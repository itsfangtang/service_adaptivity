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\\s-vmr-010\pmcommon\Project Development\LRT Ridership Analysis\"/>
    </mc:Choice>
  </mc:AlternateContent>
  <xr:revisionPtr revIDLastSave="0" documentId="13_ncr:1_{92518ED6-24D4-4BF4-B00F-8268298D8E89}" xr6:coauthVersionLast="47" xr6:coauthVersionMax="47" xr10:uidLastSave="{00000000-0000-0000-0000-000000000000}"/>
  <bookViews>
    <workbookView xWindow="-108" yWindow="-108" windowWidth="23256" windowHeight="12576" tabRatio="828" activeTab="3" xr2:uid="{00000000-000D-0000-FFFF-FFFF00000000}"/>
  </bookViews>
  <sheets>
    <sheet name="Total Boardings (All Days)" sheetId="14" r:id="rId1"/>
    <sheet name="Total Weekday Boardings" sheetId="6" r:id="rId2"/>
    <sheet name="Total Saturday Boardings" sheetId="9" r:id="rId3"/>
    <sheet name="Total Sunday-Holiday Boardings" sheetId="10" r:id="rId4"/>
    <sheet name="Average Weekday Boardings" sheetId="7" r:id="rId5"/>
    <sheet name="Average Saturday Boardings" sheetId="12" r:id="rId6"/>
    <sheet name="Average Sunday-Holiday Boarding" sheetId="13" r:id="rId7"/>
    <sheet name="Service Days per Month" sheetId="1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L4" i="7" l="1"/>
  <c r="GL69" i="13" l="1"/>
  <c r="GL56" i="13"/>
  <c r="GL57" i="13"/>
  <c r="GL58" i="13"/>
  <c r="GL59" i="13"/>
  <c r="GL60" i="13"/>
  <c r="GL61" i="13"/>
  <c r="GL62" i="13"/>
  <c r="GL63" i="13"/>
  <c r="GL64" i="13"/>
  <c r="GL65" i="13"/>
  <c r="GL66" i="13"/>
  <c r="GL67" i="13"/>
  <c r="GL68" i="13"/>
  <c r="GL55" i="13"/>
  <c r="GL5" i="13"/>
  <c r="GL6" i="13"/>
  <c r="GL7" i="13"/>
  <c r="GL8" i="13"/>
  <c r="GL9" i="13"/>
  <c r="GL10" i="13"/>
  <c r="GL11" i="13"/>
  <c r="GL12" i="13"/>
  <c r="GL13" i="13"/>
  <c r="GL14" i="13"/>
  <c r="GL15" i="13"/>
  <c r="GL16" i="13"/>
  <c r="GL17" i="13"/>
  <c r="GL18" i="13"/>
  <c r="GL19" i="13"/>
  <c r="GL20" i="13"/>
  <c r="GL21" i="13"/>
  <c r="GL22" i="13"/>
  <c r="GL23" i="13"/>
  <c r="GL24" i="13"/>
  <c r="GL25" i="13"/>
  <c r="GL26" i="13"/>
  <c r="GL27" i="13"/>
  <c r="GL28" i="13"/>
  <c r="GL29" i="13"/>
  <c r="GL30" i="13"/>
  <c r="GL31" i="13"/>
  <c r="GL32" i="13"/>
  <c r="GL33" i="13"/>
  <c r="GL34" i="13"/>
  <c r="GL35" i="13"/>
  <c r="GL36" i="13"/>
  <c r="GL37" i="13"/>
  <c r="GL38" i="13"/>
  <c r="GL39" i="13"/>
  <c r="GL40" i="13"/>
  <c r="GL41" i="13"/>
  <c r="GL42" i="13"/>
  <c r="GL43" i="13"/>
  <c r="GL44" i="13"/>
  <c r="GL45" i="13"/>
  <c r="GL46" i="13"/>
  <c r="GL47" i="13"/>
  <c r="GL48" i="13"/>
  <c r="GL49" i="13"/>
  <c r="GL50" i="13"/>
  <c r="GL4" i="13"/>
  <c r="GL72" i="12"/>
  <c r="GL59" i="12"/>
  <c r="GL60" i="12"/>
  <c r="GL61" i="12"/>
  <c r="GL62" i="12"/>
  <c r="GL63" i="12"/>
  <c r="GL64" i="12"/>
  <c r="GL65" i="12"/>
  <c r="GL66" i="12"/>
  <c r="GL67" i="12"/>
  <c r="GL68" i="12"/>
  <c r="GL69" i="12"/>
  <c r="GL70" i="12"/>
  <c r="GL71" i="12"/>
  <c r="GL58" i="12"/>
  <c r="GL5" i="12"/>
  <c r="GL6" i="12"/>
  <c r="GL7" i="12"/>
  <c r="GL8" i="12"/>
  <c r="GL9" i="12"/>
  <c r="GL10" i="12"/>
  <c r="GL11" i="12"/>
  <c r="GL12" i="12"/>
  <c r="GL13" i="12"/>
  <c r="GL14" i="12"/>
  <c r="GL15" i="12"/>
  <c r="GL16" i="12"/>
  <c r="GL17" i="12"/>
  <c r="GL18" i="12"/>
  <c r="GL19" i="12"/>
  <c r="GL20" i="12"/>
  <c r="GL21" i="12"/>
  <c r="GL22" i="12"/>
  <c r="GL23" i="12"/>
  <c r="GL24" i="12"/>
  <c r="GL25" i="12"/>
  <c r="GL26" i="12"/>
  <c r="GL27" i="12"/>
  <c r="GL28" i="12"/>
  <c r="GL29" i="12"/>
  <c r="GL30" i="12"/>
  <c r="GL31" i="12"/>
  <c r="GL32" i="12"/>
  <c r="GL33" i="12"/>
  <c r="GL34" i="12"/>
  <c r="GL35" i="12"/>
  <c r="GL36" i="12"/>
  <c r="GL37" i="12"/>
  <c r="GL38" i="12"/>
  <c r="GL39" i="12"/>
  <c r="GL40" i="12"/>
  <c r="GL41" i="12"/>
  <c r="GL42" i="12"/>
  <c r="GL43" i="12"/>
  <c r="GL44" i="12"/>
  <c r="GL45" i="12"/>
  <c r="GL46" i="12"/>
  <c r="GL47" i="12"/>
  <c r="GL48" i="12"/>
  <c r="GL49" i="12"/>
  <c r="GL50" i="12"/>
  <c r="GL4" i="12"/>
  <c r="GL71" i="7"/>
  <c r="GL58" i="7"/>
  <c r="GL59" i="7"/>
  <c r="GL60" i="7"/>
  <c r="GL61" i="7"/>
  <c r="GL62" i="7"/>
  <c r="GL63" i="7"/>
  <c r="GL64" i="7"/>
  <c r="GL65" i="7"/>
  <c r="GL66" i="7"/>
  <c r="GL67" i="7"/>
  <c r="GL68" i="7"/>
  <c r="GL69" i="7"/>
  <c r="GL70" i="7"/>
  <c r="GL57" i="7"/>
  <c r="GL5" i="7"/>
  <c r="GL6" i="7"/>
  <c r="GL7" i="7"/>
  <c r="GL8" i="7"/>
  <c r="GL9" i="7"/>
  <c r="GL10" i="7"/>
  <c r="GL11" i="7"/>
  <c r="GL12" i="7"/>
  <c r="GL13" i="7"/>
  <c r="GL14" i="7"/>
  <c r="GL15" i="7"/>
  <c r="GL16" i="7"/>
  <c r="GL17" i="7"/>
  <c r="GL18" i="7"/>
  <c r="GL19" i="7"/>
  <c r="GL20" i="7"/>
  <c r="GL21" i="7"/>
  <c r="GL22" i="7"/>
  <c r="GL23" i="7"/>
  <c r="GL24" i="7"/>
  <c r="GL25" i="7"/>
  <c r="GL26" i="7"/>
  <c r="GL27" i="7"/>
  <c r="GL28" i="7"/>
  <c r="GL29" i="7"/>
  <c r="GL30" i="7"/>
  <c r="GL31" i="7"/>
  <c r="GL32" i="7"/>
  <c r="GL33" i="7"/>
  <c r="GL34" i="7"/>
  <c r="GL35" i="7"/>
  <c r="GL36" i="7"/>
  <c r="GL37" i="7"/>
  <c r="GL38" i="7"/>
  <c r="GL39" i="7"/>
  <c r="GL40" i="7"/>
  <c r="GL41" i="7"/>
  <c r="GL42" i="7"/>
  <c r="GL43" i="7"/>
  <c r="GL44" i="7"/>
  <c r="GL45" i="7"/>
  <c r="GL46" i="7"/>
  <c r="GL47" i="7"/>
  <c r="GL48" i="7"/>
  <c r="GL49" i="7"/>
  <c r="GL50" i="7"/>
  <c r="GK4" i="7"/>
  <c r="GL70" i="10"/>
  <c r="GL50" i="10"/>
  <c r="GL50" i="9"/>
  <c r="GL70" i="9"/>
  <c r="GL70" i="6"/>
  <c r="GL50" i="6"/>
  <c r="GL70" i="14"/>
  <c r="GL50" i="14"/>
  <c r="GK56" i="13" l="1"/>
  <c r="GK57" i="13"/>
  <c r="GK58" i="13"/>
  <c r="GK59" i="13"/>
  <c r="GK60" i="13"/>
  <c r="GK61" i="13"/>
  <c r="GK62" i="13"/>
  <c r="GK63" i="13"/>
  <c r="GK64" i="13"/>
  <c r="GK65" i="13"/>
  <c r="GK66" i="13"/>
  <c r="GK67" i="13"/>
  <c r="GK68" i="13"/>
  <c r="GK55" i="13"/>
  <c r="GK69" i="13" s="1"/>
  <c r="GK5" i="13"/>
  <c r="GK6" i="13"/>
  <c r="GK7" i="13"/>
  <c r="GK8" i="13"/>
  <c r="GK9" i="13"/>
  <c r="GK10" i="13"/>
  <c r="GK11" i="13"/>
  <c r="GK12" i="13"/>
  <c r="GK13" i="13"/>
  <c r="GK14" i="13"/>
  <c r="GK15" i="13"/>
  <c r="GK16" i="13"/>
  <c r="GK17" i="13"/>
  <c r="GK18" i="13"/>
  <c r="GK19" i="13"/>
  <c r="GK20" i="13"/>
  <c r="GK21" i="13"/>
  <c r="GK22" i="13"/>
  <c r="GK23" i="13"/>
  <c r="GK24" i="13"/>
  <c r="GK25" i="13"/>
  <c r="GK26" i="13"/>
  <c r="GK27" i="13"/>
  <c r="GK28" i="13"/>
  <c r="GK29" i="13"/>
  <c r="GK30" i="13"/>
  <c r="GK31" i="13"/>
  <c r="GK32" i="13"/>
  <c r="GK33" i="13"/>
  <c r="GK34" i="13"/>
  <c r="GK35" i="13"/>
  <c r="GK36" i="13"/>
  <c r="GK37" i="13"/>
  <c r="GK38" i="13"/>
  <c r="GK39" i="13"/>
  <c r="GK40" i="13"/>
  <c r="GK41" i="13"/>
  <c r="GK42" i="13"/>
  <c r="GK43" i="13"/>
  <c r="GK44" i="13"/>
  <c r="GK45" i="13"/>
  <c r="GK46" i="13"/>
  <c r="GK47" i="13"/>
  <c r="GK48" i="13"/>
  <c r="GK49" i="13"/>
  <c r="GK50" i="13"/>
  <c r="GK4" i="13"/>
  <c r="GK72" i="12"/>
  <c r="GK59" i="12"/>
  <c r="GK60" i="12"/>
  <c r="GK61" i="12"/>
  <c r="GK62" i="12"/>
  <c r="GK63" i="12"/>
  <c r="GK64" i="12"/>
  <c r="GK65" i="12"/>
  <c r="GK66" i="12"/>
  <c r="GK67" i="12"/>
  <c r="GK68" i="12"/>
  <c r="GK69" i="12"/>
  <c r="GK70" i="12"/>
  <c r="GK71" i="12"/>
  <c r="GK58" i="12"/>
  <c r="GK5" i="12"/>
  <c r="GK6" i="12"/>
  <c r="GK7" i="12"/>
  <c r="GK8" i="12"/>
  <c r="GK9" i="12"/>
  <c r="GK10" i="12"/>
  <c r="GK11" i="12"/>
  <c r="GK12" i="12"/>
  <c r="GK13" i="12"/>
  <c r="GK14" i="12"/>
  <c r="GK15" i="12"/>
  <c r="GK16" i="12"/>
  <c r="GK17" i="12"/>
  <c r="GK18" i="12"/>
  <c r="GK19" i="12"/>
  <c r="GK20" i="12"/>
  <c r="GK21" i="12"/>
  <c r="GK22" i="12"/>
  <c r="GK23" i="12"/>
  <c r="GK24" i="12"/>
  <c r="GK25" i="12"/>
  <c r="GK26" i="12"/>
  <c r="GK27" i="12"/>
  <c r="GK28" i="12"/>
  <c r="GK29" i="12"/>
  <c r="GK30" i="12"/>
  <c r="GK31" i="12"/>
  <c r="GK32" i="12"/>
  <c r="GK33" i="12"/>
  <c r="GK34" i="12"/>
  <c r="GK35" i="12"/>
  <c r="GK36" i="12"/>
  <c r="GK37" i="12"/>
  <c r="GK38" i="12"/>
  <c r="GK39" i="12"/>
  <c r="GK40" i="12"/>
  <c r="GK41" i="12"/>
  <c r="GK42" i="12"/>
  <c r="GK43" i="12"/>
  <c r="GK44" i="12"/>
  <c r="GK45" i="12"/>
  <c r="GK46" i="12"/>
  <c r="GK47" i="12"/>
  <c r="GK48" i="12"/>
  <c r="GK49" i="12"/>
  <c r="GK50" i="12"/>
  <c r="GK4" i="12"/>
  <c r="GK71" i="7"/>
  <c r="GK58" i="7"/>
  <c r="GK59" i="7"/>
  <c r="GK60" i="7"/>
  <c r="GK61" i="7"/>
  <c r="GK62" i="7"/>
  <c r="GK63" i="7"/>
  <c r="GK64" i="7"/>
  <c r="GK65" i="7"/>
  <c r="GK66" i="7"/>
  <c r="GK67" i="7"/>
  <c r="GK68" i="7"/>
  <c r="GK69" i="7"/>
  <c r="GK70" i="7"/>
  <c r="GK57" i="7"/>
  <c r="GK5" i="7"/>
  <c r="GK6" i="7"/>
  <c r="GK7" i="7"/>
  <c r="GK8" i="7"/>
  <c r="GK9" i="7"/>
  <c r="GK10" i="7"/>
  <c r="GK11" i="7"/>
  <c r="GK12" i="7"/>
  <c r="GK13" i="7"/>
  <c r="GK14" i="7"/>
  <c r="GK15" i="7"/>
  <c r="GK16" i="7"/>
  <c r="GK17" i="7"/>
  <c r="GK18" i="7"/>
  <c r="GK19" i="7"/>
  <c r="GK20" i="7"/>
  <c r="GK21" i="7"/>
  <c r="GK22" i="7"/>
  <c r="GK23" i="7"/>
  <c r="GK24" i="7"/>
  <c r="GK25" i="7"/>
  <c r="GK26" i="7"/>
  <c r="GK27" i="7"/>
  <c r="GK28" i="7"/>
  <c r="GK29" i="7"/>
  <c r="GK30" i="7"/>
  <c r="GK31" i="7"/>
  <c r="GK32" i="7"/>
  <c r="GK33" i="7"/>
  <c r="GK34" i="7"/>
  <c r="GK35" i="7"/>
  <c r="GK36" i="7"/>
  <c r="GK37" i="7"/>
  <c r="GK38" i="7"/>
  <c r="GK39" i="7"/>
  <c r="GK40" i="7"/>
  <c r="GK41" i="7"/>
  <c r="GK42" i="7"/>
  <c r="GK43" i="7"/>
  <c r="GK44" i="7"/>
  <c r="GK45" i="7"/>
  <c r="GK46" i="7"/>
  <c r="GK47" i="7"/>
  <c r="GK48" i="7"/>
  <c r="GK49" i="7"/>
  <c r="GK50" i="7"/>
  <c r="GK70" i="10"/>
  <c r="GK50" i="10"/>
  <c r="GK50" i="9"/>
  <c r="GK70" i="9"/>
  <c r="GK70" i="6"/>
  <c r="GK50" i="6"/>
  <c r="GK70" i="14"/>
  <c r="GK50" i="14"/>
  <c r="GJ56" i="13" l="1"/>
  <c r="GJ69" i="13" s="1"/>
  <c r="GJ57" i="13"/>
  <c r="GJ58" i="13"/>
  <c r="GJ59" i="13"/>
  <c r="GJ60" i="13"/>
  <c r="GJ61" i="13"/>
  <c r="GJ62" i="13"/>
  <c r="GJ63" i="13"/>
  <c r="GJ64" i="13"/>
  <c r="GJ65" i="13"/>
  <c r="GJ66" i="13"/>
  <c r="GJ67" i="13"/>
  <c r="GJ68" i="13"/>
  <c r="GJ55" i="13"/>
  <c r="GJ5" i="13"/>
  <c r="GJ6" i="13"/>
  <c r="GJ7" i="13"/>
  <c r="GJ8" i="13"/>
  <c r="GJ9" i="13"/>
  <c r="GJ10" i="13"/>
  <c r="GJ11" i="13"/>
  <c r="GJ12" i="13"/>
  <c r="GJ13" i="13"/>
  <c r="GJ14" i="13"/>
  <c r="GJ15" i="13"/>
  <c r="GJ16" i="13"/>
  <c r="GJ17" i="13"/>
  <c r="GJ18" i="13"/>
  <c r="GJ19" i="13"/>
  <c r="GJ20" i="13"/>
  <c r="GJ21" i="13"/>
  <c r="GJ22" i="13"/>
  <c r="GJ23" i="13"/>
  <c r="GJ24" i="13"/>
  <c r="GJ25" i="13"/>
  <c r="GJ26" i="13"/>
  <c r="GJ27" i="13"/>
  <c r="GJ28" i="13"/>
  <c r="GJ29" i="13"/>
  <c r="GJ30" i="13"/>
  <c r="GJ31" i="13"/>
  <c r="GJ32" i="13"/>
  <c r="GJ33" i="13"/>
  <c r="GJ34" i="13"/>
  <c r="GJ35" i="13"/>
  <c r="GJ36" i="13"/>
  <c r="GJ37" i="13"/>
  <c r="GJ38" i="13"/>
  <c r="GJ39" i="13"/>
  <c r="GJ40" i="13"/>
  <c r="GJ41" i="13"/>
  <c r="GJ42" i="13"/>
  <c r="GJ43" i="13"/>
  <c r="GJ44" i="13"/>
  <c r="GJ45" i="13"/>
  <c r="GJ46" i="13"/>
  <c r="GJ47" i="13"/>
  <c r="GJ48" i="13"/>
  <c r="GJ49" i="13"/>
  <c r="GJ50" i="13"/>
  <c r="GJ4" i="13"/>
  <c r="GJ72" i="12"/>
  <c r="GJ59" i="12"/>
  <c r="GJ60" i="12"/>
  <c r="GJ61" i="12"/>
  <c r="GJ62" i="12"/>
  <c r="GJ63" i="12"/>
  <c r="GJ64" i="12"/>
  <c r="GJ65" i="12"/>
  <c r="GJ66" i="12"/>
  <c r="GJ67" i="12"/>
  <c r="GJ68" i="12"/>
  <c r="GJ69" i="12"/>
  <c r="GJ70" i="12"/>
  <c r="GJ71" i="12"/>
  <c r="GJ58" i="12"/>
  <c r="GJ5" i="12"/>
  <c r="GJ6" i="12"/>
  <c r="GJ7" i="12"/>
  <c r="GJ8" i="12"/>
  <c r="GJ9" i="12"/>
  <c r="GJ10" i="12"/>
  <c r="GJ11" i="12"/>
  <c r="GJ12" i="12"/>
  <c r="GJ13" i="12"/>
  <c r="GJ14" i="12"/>
  <c r="GJ15" i="12"/>
  <c r="GJ16" i="12"/>
  <c r="GJ17" i="12"/>
  <c r="GJ18" i="12"/>
  <c r="GJ19" i="12"/>
  <c r="GJ20" i="12"/>
  <c r="GJ21" i="12"/>
  <c r="GJ22" i="12"/>
  <c r="GJ23" i="12"/>
  <c r="GJ24" i="12"/>
  <c r="GJ25" i="12"/>
  <c r="GJ26" i="12"/>
  <c r="GJ27" i="12"/>
  <c r="GJ28" i="12"/>
  <c r="GJ29" i="12"/>
  <c r="GJ30" i="12"/>
  <c r="GJ31" i="12"/>
  <c r="GJ32" i="12"/>
  <c r="GJ33" i="12"/>
  <c r="GJ34" i="12"/>
  <c r="GJ35" i="12"/>
  <c r="GJ36" i="12"/>
  <c r="GJ37" i="12"/>
  <c r="GJ38" i="12"/>
  <c r="GJ39" i="12"/>
  <c r="GJ40" i="12"/>
  <c r="GJ41" i="12"/>
  <c r="GJ42" i="12"/>
  <c r="GJ43" i="12"/>
  <c r="GJ44" i="12"/>
  <c r="GJ45" i="12"/>
  <c r="GJ46" i="12"/>
  <c r="GJ47" i="12"/>
  <c r="GJ48" i="12"/>
  <c r="GJ49" i="12"/>
  <c r="GJ50" i="12"/>
  <c r="GJ4" i="12"/>
  <c r="GJ71" i="7"/>
  <c r="GJ58" i="7"/>
  <c r="GJ59" i="7"/>
  <c r="GJ60" i="7"/>
  <c r="GJ61" i="7"/>
  <c r="GJ62" i="7"/>
  <c r="GJ63" i="7"/>
  <c r="GJ64" i="7"/>
  <c r="GJ65" i="7"/>
  <c r="GJ66" i="7"/>
  <c r="GJ67" i="7"/>
  <c r="GJ68" i="7"/>
  <c r="GJ69" i="7"/>
  <c r="GJ70" i="7"/>
  <c r="GJ57" i="7"/>
  <c r="GJ5" i="7"/>
  <c r="GJ6" i="7"/>
  <c r="GJ7" i="7"/>
  <c r="GJ8" i="7"/>
  <c r="GJ9" i="7"/>
  <c r="GJ10" i="7"/>
  <c r="GJ11" i="7"/>
  <c r="GJ12" i="7"/>
  <c r="GJ13" i="7"/>
  <c r="GJ14" i="7"/>
  <c r="GJ15" i="7"/>
  <c r="GJ16" i="7"/>
  <c r="GJ17" i="7"/>
  <c r="GJ18" i="7"/>
  <c r="GJ19" i="7"/>
  <c r="GJ20" i="7"/>
  <c r="GJ21" i="7"/>
  <c r="GJ22" i="7"/>
  <c r="GJ23" i="7"/>
  <c r="GJ24" i="7"/>
  <c r="GJ25" i="7"/>
  <c r="GJ26" i="7"/>
  <c r="GJ27" i="7"/>
  <c r="GJ28" i="7"/>
  <c r="GJ29" i="7"/>
  <c r="GJ30" i="7"/>
  <c r="GJ31" i="7"/>
  <c r="GJ32" i="7"/>
  <c r="GJ33" i="7"/>
  <c r="GJ34" i="7"/>
  <c r="GJ35" i="7"/>
  <c r="GJ36" i="7"/>
  <c r="GJ37" i="7"/>
  <c r="GJ38" i="7"/>
  <c r="GJ39" i="7"/>
  <c r="GJ40" i="7"/>
  <c r="GJ41" i="7"/>
  <c r="GJ42" i="7"/>
  <c r="GJ43" i="7"/>
  <c r="GJ44" i="7"/>
  <c r="GJ45" i="7"/>
  <c r="GJ46" i="7"/>
  <c r="GJ47" i="7"/>
  <c r="GJ48" i="7"/>
  <c r="GJ49" i="7"/>
  <c r="GJ50" i="7"/>
  <c r="GJ4" i="7"/>
  <c r="GJ70" i="10"/>
  <c r="GJ50" i="10"/>
  <c r="GJ50" i="9"/>
  <c r="GJ70" i="9"/>
  <c r="GJ70" i="6"/>
  <c r="GJ50" i="6"/>
  <c r="GJ70" i="14"/>
  <c r="GJ50" i="14"/>
  <c r="GI56" i="13" l="1"/>
  <c r="GI57" i="13"/>
  <c r="GI58" i="13"/>
  <c r="GI59" i="13"/>
  <c r="GI60" i="13"/>
  <c r="GI61" i="13"/>
  <c r="GI62" i="13"/>
  <c r="GI63" i="13"/>
  <c r="GI64" i="13"/>
  <c r="GI65" i="13"/>
  <c r="GI66" i="13"/>
  <c r="GI67" i="13"/>
  <c r="GI69" i="13" s="1"/>
  <c r="GI68" i="13"/>
  <c r="GI55" i="13"/>
  <c r="GI5" i="13"/>
  <c r="GI6" i="13"/>
  <c r="GI7" i="13"/>
  <c r="GI8" i="13"/>
  <c r="GI9" i="13"/>
  <c r="GI10" i="13"/>
  <c r="GI11" i="13"/>
  <c r="GI12" i="13"/>
  <c r="GI13" i="13"/>
  <c r="GI14" i="13"/>
  <c r="GI15" i="13"/>
  <c r="GI16" i="13"/>
  <c r="GI17" i="13"/>
  <c r="GI18" i="13"/>
  <c r="GI19" i="13"/>
  <c r="GI20" i="13"/>
  <c r="GI21" i="13"/>
  <c r="GI22" i="13"/>
  <c r="GI23" i="13"/>
  <c r="GI24" i="13"/>
  <c r="GI25" i="13"/>
  <c r="GI26" i="13"/>
  <c r="GI27" i="13"/>
  <c r="GI28" i="13"/>
  <c r="GI29" i="13"/>
  <c r="GI30" i="13"/>
  <c r="GI31" i="13"/>
  <c r="GI32" i="13"/>
  <c r="GI33" i="13"/>
  <c r="GI34" i="13"/>
  <c r="GI35" i="13"/>
  <c r="GI36" i="13"/>
  <c r="GI37" i="13"/>
  <c r="GI38" i="13"/>
  <c r="GI39" i="13"/>
  <c r="GI40" i="13"/>
  <c r="GI41" i="13"/>
  <c r="GI42" i="13"/>
  <c r="GI43" i="13"/>
  <c r="GI44" i="13"/>
  <c r="GI45" i="13"/>
  <c r="GI46" i="13"/>
  <c r="GI47" i="13"/>
  <c r="GI48" i="13"/>
  <c r="GI49" i="13"/>
  <c r="GI50" i="13"/>
  <c r="GI4" i="13"/>
  <c r="GH56" i="13"/>
  <c r="GH57" i="13"/>
  <c r="GH58" i="13"/>
  <c r="GH59" i="13"/>
  <c r="GH60" i="13"/>
  <c r="GH61" i="13"/>
  <c r="GH62" i="13"/>
  <c r="GH63" i="13"/>
  <c r="GH64" i="13"/>
  <c r="GH65" i="13"/>
  <c r="GH66" i="13"/>
  <c r="GH67" i="13"/>
  <c r="GH68" i="13"/>
  <c r="GH55" i="13"/>
  <c r="GG56" i="13"/>
  <c r="GG57" i="13"/>
  <c r="GG58" i="13"/>
  <c r="GG59" i="13"/>
  <c r="GG60" i="13"/>
  <c r="GG61" i="13"/>
  <c r="GG62" i="13"/>
  <c r="GG63" i="13"/>
  <c r="GG64" i="13"/>
  <c r="GG65" i="13"/>
  <c r="GG66" i="13"/>
  <c r="GG67" i="13"/>
  <c r="GG68" i="13"/>
  <c r="GG55" i="13"/>
  <c r="GG5" i="13"/>
  <c r="GG6" i="13"/>
  <c r="GG7" i="13"/>
  <c r="GG8" i="13"/>
  <c r="GG9" i="13"/>
  <c r="GG10" i="13"/>
  <c r="GG11" i="13"/>
  <c r="GG12" i="13"/>
  <c r="GG13" i="13"/>
  <c r="GG14" i="13"/>
  <c r="GG15" i="13"/>
  <c r="GG16" i="13"/>
  <c r="GG17" i="13"/>
  <c r="GG18" i="13"/>
  <c r="GG19" i="13"/>
  <c r="GG20" i="13"/>
  <c r="GG21" i="13"/>
  <c r="GG22" i="13"/>
  <c r="GG23" i="13"/>
  <c r="GG24" i="13"/>
  <c r="GG25" i="13"/>
  <c r="GG26" i="13"/>
  <c r="GG27" i="13"/>
  <c r="GG28" i="13"/>
  <c r="GG29" i="13"/>
  <c r="GG30" i="13"/>
  <c r="GG31" i="13"/>
  <c r="GG32" i="13"/>
  <c r="GG33" i="13"/>
  <c r="GG34" i="13"/>
  <c r="GG35" i="13"/>
  <c r="GG36" i="13"/>
  <c r="GG37" i="13"/>
  <c r="GG38" i="13"/>
  <c r="GG39" i="13"/>
  <c r="GG40" i="13"/>
  <c r="GG41" i="13"/>
  <c r="GG42" i="13"/>
  <c r="GG43" i="13"/>
  <c r="GG44" i="13"/>
  <c r="GG45" i="13"/>
  <c r="GG46" i="13"/>
  <c r="GG47" i="13"/>
  <c r="GG48" i="13"/>
  <c r="GG49" i="13"/>
  <c r="GG50" i="13"/>
  <c r="GG4" i="13"/>
  <c r="GE5" i="13"/>
  <c r="GE6" i="13"/>
  <c r="GE7" i="13"/>
  <c r="GE8" i="13"/>
  <c r="GE9" i="13"/>
  <c r="GE10" i="13"/>
  <c r="GE11" i="13"/>
  <c r="GE12" i="13"/>
  <c r="GE13" i="13"/>
  <c r="GE14" i="13"/>
  <c r="GE15" i="13"/>
  <c r="GE16" i="13"/>
  <c r="GE17" i="13"/>
  <c r="GE18" i="13"/>
  <c r="GE19" i="13"/>
  <c r="GE20" i="13"/>
  <c r="GE21" i="13"/>
  <c r="GE22" i="13"/>
  <c r="GE23" i="13"/>
  <c r="GE24" i="13"/>
  <c r="GE25" i="13"/>
  <c r="GE26" i="13"/>
  <c r="GE27" i="13"/>
  <c r="GE28" i="13"/>
  <c r="GE29" i="13"/>
  <c r="GE30" i="13"/>
  <c r="GE31" i="13"/>
  <c r="GE32" i="13"/>
  <c r="GE33" i="13"/>
  <c r="GE34" i="13"/>
  <c r="GE35" i="13"/>
  <c r="GE36" i="13"/>
  <c r="GE37" i="13"/>
  <c r="GE38" i="13"/>
  <c r="GE39" i="13"/>
  <c r="GE40" i="13"/>
  <c r="GE41" i="13"/>
  <c r="GE42" i="13"/>
  <c r="GE43" i="13"/>
  <c r="GE44" i="13"/>
  <c r="GE45" i="13"/>
  <c r="GE46" i="13"/>
  <c r="GE47" i="13"/>
  <c r="GE48" i="13"/>
  <c r="GE49" i="13"/>
  <c r="GE50" i="13"/>
  <c r="GE4" i="13"/>
  <c r="GI72" i="12"/>
  <c r="GI59" i="12"/>
  <c r="GI60" i="12"/>
  <c r="GI61" i="12"/>
  <c r="GI62" i="12"/>
  <c r="GI63" i="12"/>
  <c r="GI64" i="12"/>
  <c r="GI65" i="12"/>
  <c r="GI66" i="12"/>
  <c r="GI67" i="12"/>
  <c r="GI68" i="12"/>
  <c r="GI69" i="12"/>
  <c r="GI70" i="12"/>
  <c r="GI71" i="12"/>
  <c r="GI58" i="12"/>
  <c r="GI50" i="12"/>
  <c r="GI5" i="12"/>
  <c r="GI6" i="12"/>
  <c r="GI7" i="12"/>
  <c r="GI8" i="12"/>
  <c r="GI9" i="12"/>
  <c r="GI10" i="12"/>
  <c r="GI11" i="12"/>
  <c r="GI12" i="12"/>
  <c r="GI13" i="12"/>
  <c r="GI14" i="12"/>
  <c r="GI15" i="12"/>
  <c r="GI16" i="12"/>
  <c r="GI17" i="12"/>
  <c r="GI18" i="12"/>
  <c r="GI19" i="12"/>
  <c r="GI20" i="12"/>
  <c r="GI21" i="12"/>
  <c r="GI22" i="12"/>
  <c r="GI23" i="12"/>
  <c r="GI24" i="12"/>
  <c r="GI25" i="12"/>
  <c r="GI26" i="12"/>
  <c r="GI27" i="12"/>
  <c r="GI28" i="12"/>
  <c r="GI29" i="12"/>
  <c r="GI30" i="12"/>
  <c r="GI31" i="12"/>
  <c r="GI32" i="12"/>
  <c r="GI33" i="12"/>
  <c r="GI34" i="12"/>
  <c r="GI35" i="12"/>
  <c r="GI36" i="12"/>
  <c r="GI37" i="12"/>
  <c r="GI38" i="12"/>
  <c r="GI39" i="12"/>
  <c r="GI40" i="12"/>
  <c r="GI41" i="12"/>
  <c r="GI42" i="12"/>
  <c r="GI43" i="12"/>
  <c r="GI44" i="12"/>
  <c r="GI45" i="12"/>
  <c r="GI46" i="12"/>
  <c r="GI47" i="12"/>
  <c r="GI48" i="12"/>
  <c r="GI49" i="12"/>
  <c r="GI4" i="12"/>
  <c r="GH72" i="12"/>
  <c r="GH59" i="12"/>
  <c r="GH60" i="12"/>
  <c r="GH61" i="12"/>
  <c r="GH62" i="12"/>
  <c r="GH63" i="12"/>
  <c r="GH64" i="12"/>
  <c r="GH65" i="12"/>
  <c r="GH66" i="12"/>
  <c r="GH67" i="12"/>
  <c r="GH68" i="12"/>
  <c r="GH69" i="12"/>
  <c r="GH70" i="12"/>
  <c r="GH71" i="12"/>
  <c r="GH58" i="12"/>
  <c r="GH50" i="12"/>
  <c r="GH5" i="12"/>
  <c r="GH6" i="12"/>
  <c r="GH7" i="12"/>
  <c r="GH8" i="12"/>
  <c r="GH9" i="12"/>
  <c r="GH10" i="12"/>
  <c r="GH11" i="12"/>
  <c r="GH12" i="12"/>
  <c r="GH13" i="12"/>
  <c r="GH14" i="12"/>
  <c r="GH15" i="12"/>
  <c r="GH16" i="12"/>
  <c r="GH17" i="12"/>
  <c r="GH18" i="12"/>
  <c r="GH19" i="12"/>
  <c r="GH20" i="12"/>
  <c r="GH21" i="12"/>
  <c r="GH22" i="12"/>
  <c r="GH23" i="12"/>
  <c r="GH24" i="12"/>
  <c r="GH25" i="12"/>
  <c r="GH26" i="12"/>
  <c r="GH27" i="12"/>
  <c r="GH28" i="12"/>
  <c r="GH29" i="12"/>
  <c r="GH30" i="12"/>
  <c r="GH31" i="12"/>
  <c r="GH32" i="12"/>
  <c r="GH33" i="12"/>
  <c r="GH34" i="12"/>
  <c r="GH35" i="12"/>
  <c r="GH36" i="12"/>
  <c r="GH37" i="12"/>
  <c r="GH38" i="12"/>
  <c r="GH39" i="12"/>
  <c r="GH40" i="12"/>
  <c r="GH41" i="12"/>
  <c r="GH42" i="12"/>
  <c r="GH43" i="12"/>
  <c r="GH44" i="12"/>
  <c r="GH45" i="12"/>
  <c r="GH46" i="12"/>
  <c r="GH47" i="12"/>
  <c r="GH48" i="12"/>
  <c r="GH49" i="12"/>
  <c r="GH4" i="12"/>
  <c r="GI71" i="7"/>
  <c r="GI58" i="7"/>
  <c r="GI59" i="7"/>
  <c r="GI60" i="7"/>
  <c r="GI61" i="7"/>
  <c r="GI62" i="7"/>
  <c r="GI63" i="7"/>
  <c r="GI64" i="7"/>
  <c r="GI65" i="7"/>
  <c r="GI66" i="7"/>
  <c r="GI67" i="7"/>
  <c r="GI68" i="7"/>
  <c r="GI69" i="7"/>
  <c r="GI70" i="7"/>
  <c r="GI57" i="7"/>
  <c r="GI5" i="7"/>
  <c r="GI6" i="7"/>
  <c r="GI7" i="7"/>
  <c r="GI8" i="7"/>
  <c r="GI9" i="7"/>
  <c r="GI10" i="7"/>
  <c r="GI11" i="7"/>
  <c r="GI12" i="7"/>
  <c r="GI13" i="7"/>
  <c r="GI14" i="7"/>
  <c r="GI15" i="7"/>
  <c r="GI16" i="7"/>
  <c r="GI17" i="7"/>
  <c r="GI18" i="7"/>
  <c r="GI19" i="7"/>
  <c r="GI20" i="7"/>
  <c r="GI21" i="7"/>
  <c r="GI22" i="7"/>
  <c r="GI23" i="7"/>
  <c r="GI24" i="7"/>
  <c r="GI25" i="7"/>
  <c r="GI26" i="7"/>
  <c r="GI27" i="7"/>
  <c r="GI28" i="7"/>
  <c r="GI29" i="7"/>
  <c r="GI30" i="7"/>
  <c r="GI31" i="7"/>
  <c r="GI32" i="7"/>
  <c r="GI33" i="7"/>
  <c r="GI34" i="7"/>
  <c r="GI35" i="7"/>
  <c r="GI36" i="7"/>
  <c r="GI37" i="7"/>
  <c r="GI38" i="7"/>
  <c r="GI39" i="7"/>
  <c r="GI40" i="7"/>
  <c r="GI41" i="7"/>
  <c r="GI42" i="7"/>
  <c r="GI43" i="7"/>
  <c r="GI44" i="7"/>
  <c r="GI45" i="7"/>
  <c r="GI46" i="7"/>
  <c r="GI47" i="7"/>
  <c r="GI48" i="7"/>
  <c r="GI49" i="7"/>
  <c r="GI50" i="7"/>
  <c r="GE5" i="7"/>
  <c r="GE6" i="7"/>
  <c r="GE7" i="7"/>
  <c r="GE8" i="7"/>
  <c r="GE9" i="7"/>
  <c r="GE10" i="7"/>
  <c r="GE11" i="7"/>
  <c r="GE12" i="7"/>
  <c r="GE13" i="7"/>
  <c r="GE14" i="7"/>
  <c r="GE15" i="7"/>
  <c r="GE16" i="7"/>
  <c r="GE17" i="7"/>
  <c r="GE18" i="7"/>
  <c r="GE19" i="7"/>
  <c r="GE20" i="7"/>
  <c r="GE21" i="7"/>
  <c r="GE22" i="7"/>
  <c r="GE23" i="7"/>
  <c r="GE24" i="7"/>
  <c r="GE25" i="7"/>
  <c r="GE26" i="7"/>
  <c r="GE27" i="7"/>
  <c r="GE28" i="7"/>
  <c r="GE29" i="7"/>
  <c r="GE30" i="7"/>
  <c r="GE31" i="7"/>
  <c r="GE32" i="7"/>
  <c r="GE33" i="7"/>
  <c r="GE34" i="7"/>
  <c r="GE35" i="7"/>
  <c r="GE36" i="7"/>
  <c r="GE37" i="7"/>
  <c r="GE38" i="7"/>
  <c r="GE39" i="7"/>
  <c r="GE40" i="7"/>
  <c r="GE41" i="7"/>
  <c r="GE42" i="7"/>
  <c r="GE43" i="7"/>
  <c r="GE44" i="7"/>
  <c r="GE45" i="7"/>
  <c r="GE46" i="7"/>
  <c r="GE47" i="7"/>
  <c r="GE48" i="7"/>
  <c r="GE49" i="7"/>
  <c r="GE50" i="7"/>
  <c r="GE4" i="7"/>
  <c r="GH58" i="7"/>
  <c r="GH59" i="7"/>
  <c r="GH60" i="7"/>
  <c r="GH61" i="7"/>
  <c r="GH62" i="7"/>
  <c r="GH63" i="7"/>
  <c r="GH64" i="7"/>
  <c r="GH65" i="7"/>
  <c r="GH66" i="7"/>
  <c r="GH67" i="7"/>
  <c r="GH68" i="7"/>
  <c r="GH69" i="7"/>
  <c r="GH70" i="7"/>
  <c r="GH57" i="7"/>
  <c r="GG58" i="7"/>
  <c r="GG59" i="7"/>
  <c r="GG60" i="7"/>
  <c r="GG61" i="7"/>
  <c r="GG62" i="7"/>
  <c r="GG63" i="7"/>
  <c r="GG64" i="7"/>
  <c r="GG65" i="7"/>
  <c r="GG66" i="7"/>
  <c r="GG67" i="7"/>
  <c r="GG68" i="7"/>
  <c r="GG69" i="7"/>
  <c r="GG70" i="7"/>
  <c r="GG57" i="7"/>
  <c r="GF58" i="7"/>
  <c r="GF59" i="7"/>
  <c r="GF60" i="7"/>
  <c r="GF61" i="7"/>
  <c r="GF62" i="7"/>
  <c r="GF63" i="7"/>
  <c r="GF64" i="7"/>
  <c r="GF65" i="7"/>
  <c r="GF66" i="7"/>
  <c r="GF67" i="7"/>
  <c r="GF68" i="7"/>
  <c r="GF69" i="7"/>
  <c r="GF70" i="7"/>
  <c r="GF57" i="7"/>
  <c r="GH19" i="7"/>
  <c r="GH20" i="7"/>
  <c r="GH21" i="7"/>
  <c r="GH22" i="7"/>
  <c r="GH23" i="7"/>
  <c r="GH24" i="7"/>
  <c r="GH25" i="7"/>
  <c r="GH26" i="7"/>
  <c r="GH27" i="7"/>
  <c r="GH28" i="7"/>
  <c r="GH29" i="7"/>
  <c r="GH30" i="7"/>
  <c r="GH31" i="7"/>
  <c r="GH32" i="7"/>
  <c r="GH33" i="7"/>
  <c r="GH34" i="7"/>
  <c r="GH35" i="7"/>
  <c r="GH36" i="7"/>
  <c r="GH37" i="7"/>
  <c r="GH38" i="7"/>
  <c r="GH39" i="7"/>
  <c r="GH40" i="7"/>
  <c r="GH41" i="7"/>
  <c r="GH42" i="7"/>
  <c r="GH43" i="7"/>
  <c r="GH44" i="7"/>
  <c r="GH45" i="7"/>
  <c r="GH46" i="7"/>
  <c r="GH47" i="7"/>
  <c r="GH48" i="7"/>
  <c r="GH49" i="7"/>
  <c r="GH50" i="7"/>
  <c r="GH18" i="7"/>
  <c r="GG19" i="7"/>
  <c r="GG20" i="7"/>
  <c r="GG21" i="7"/>
  <c r="GG22" i="7"/>
  <c r="GG23" i="7"/>
  <c r="GG24" i="7"/>
  <c r="GG25" i="7"/>
  <c r="GG26" i="7"/>
  <c r="GG27" i="7"/>
  <c r="GG28" i="7"/>
  <c r="GG29" i="7"/>
  <c r="GG30" i="7"/>
  <c r="GG31" i="7"/>
  <c r="GG32" i="7"/>
  <c r="GG33" i="7"/>
  <c r="GG34" i="7"/>
  <c r="GG35" i="7"/>
  <c r="GG36" i="7"/>
  <c r="GG37" i="7"/>
  <c r="GG38" i="7"/>
  <c r="GG39" i="7"/>
  <c r="GG40" i="7"/>
  <c r="GG41" i="7"/>
  <c r="GG42" i="7"/>
  <c r="GG43" i="7"/>
  <c r="GG44" i="7"/>
  <c r="GG45" i="7"/>
  <c r="GG46" i="7"/>
  <c r="GG47" i="7"/>
  <c r="GG48" i="7"/>
  <c r="GG49" i="7"/>
  <c r="GG50" i="7"/>
  <c r="GG18" i="7"/>
  <c r="GF5" i="7"/>
  <c r="GF6" i="7"/>
  <c r="GF7" i="7"/>
  <c r="GF8" i="7"/>
  <c r="GF9" i="7"/>
  <c r="GF10" i="7"/>
  <c r="GF11" i="7"/>
  <c r="GF12" i="7"/>
  <c r="GF13" i="7"/>
  <c r="GF14" i="7"/>
  <c r="GF15" i="7"/>
  <c r="GF16" i="7"/>
  <c r="GF17" i="7"/>
  <c r="GF18" i="7"/>
  <c r="GF19" i="7"/>
  <c r="GF20" i="7"/>
  <c r="GF21" i="7"/>
  <c r="GF22" i="7"/>
  <c r="GF23" i="7"/>
  <c r="GF24" i="7"/>
  <c r="GF25" i="7"/>
  <c r="GF26" i="7"/>
  <c r="GF27" i="7"/>
  <c r="GF28" i="7"/>
  <c r="GF29" i="7"/>
  <c r="GF30" i="7"/>
  <c r="GF31" i="7"/>
  <c r="GF32" i="7"/>
  <c r="GF33" i="7"/>
  <c r="GF34" i="7"/>
  <c r="GF35" i="7"/>
  <c r="GF36" i="7"/>
  <c r="GF37" i="7"/>
  <c r="GF38" i="7"/>
  <c r="GF39" i="7"/>
  <c r="GF40" i="7"/>
  <c r="GF41" i="7"/>
  <c r="GF42" i="7"/>
  <c r="GF43" i="7"/>
  <c r="GF44" i="7"/>
  <c r="GF45" i="7"/>
  <c r="GF46" i="7"/>
  <c r="GF47" i="7"/>
  <c r="GF48" i="7"/>
  <c r="GF49" i="7"/>
  <c r="GF50" i="7"/>
  <c r="GF4" i="7"/>
  <c r="GI4" i="7"/>
  <c r="GI70" i="10"/>
  <c r="GI50" i="10"/>
  <c r="GI70" i="9"/>
  <c r="GI50" i="9"/>
  <c r="GI70" i="6"/>
  <c r="GI50" i="6"/>
  <c r="GI70" i="14"/>
  <c r="GI50" i="14"/>
  <c r="GH69" i="13" l="1"/>
  <c r="GG69" i="13"/>
  <c r="GH5" i="13"/>
  <c r="GH6" i="13"/>
  <c r="GH7" i="13"/>
  <c r="GH8" i="13"/>
  <c r="GH9" i="13"/>
  <c r="GH10" i="13"/>
  <c r="GH11" i="13"/>
  <c r="GH12" i="13"/>
  <c r="GH13" i="13"/>
  <c r="GH14" i="13"/>
  <c r="GH15" i="13"/>
  <c r="GH16" i="13"/>
  <c r="GH17" i="13"/>
  <c r="GH18" i="13"/>
  <c r="GH19" i="13"/>
  <c r="GH20" i="13"/>
  <c r="GH21" i="13"/>
  <c r="GH22" i="13"/>
  <c r="GH23" i="13"/>
  <c r="GH24" i="13"/>
  <c r="GH25" i="13"/>
  <c r="GH26" i="13"/>
  <c r="GH27" i="13"/>
  <c r="GH28" i="13"/>
  <c r="GH29" i="13"/>
  <c r="GH30" i="13"/>
  <c r="GH31" i="13"/>
  <c r="GH32" i="13"/>
  <c r="GH33" i="13"/>
  <c r="GH34" i="13"/>
  <c r="GH35" i="13"/>
  <c r="GH36" i="13"/>
  <c r="GH37" i="13"/>
  <c r="GH38" i="13"/>
  <c r="GH39" i="13"/>
  <c r="GH40" i="13"/>
  <c r="GH41" i="13"/>
  <c r="GH42" i="13"/>
  <c r="GH43" i="13"/>
  <c r="GH44" i="13"/>
  <c r="GH45" i="13"/>
  <c r="GH46" i="13"/>
  <c r="GH47" i="13"/>
  <c r="GH48" i="13"/>
  <c r="GH49" i="13"/>
  <c r="GH50" i="13"/>
  <c r="GH4" i="13"/>
  <c r="GG59" i="12"/>
  <c r="GG60" i="12"/>
  <c r="GG61" i="12"/>
  <c r="GG62" i="12"/>
  <c r="GG63" i="12"/>
  <c r="GG64" i="12"/>
  <c r="GG65" i="12"/>
  <c r="GG72" i="12" s="1"/>
  <c r="GG66" i="12"/>
  <c r="GG67" i="12"/>
  <c r="GG68" i="12"/>
  <c r="GG69" i="12"/>
  <c r="GG70" i="12"/>
  <c r="GG71" i="12"/>
  <c r="GG58" i="12"/>
  <c r="GG5" i="12"/>
  <c r="GG6" i="12"/>
  <c r="GG7" i="12"/>
  <c r="GG8" i="12"/>
  <c r="GG9" i="12"/>
  <c r="GG10" i="12"/>
  <c r="GG11" i="12"/>
  <c r="GG12" i="12"/>
  <c r="GG13" i="12"/>
  <c r="GG14" i="12"/>
  <c r="GG15" i="12"/>
  <c r="GG16" i="12"/>
  <c r="GG17" i="12"/>
  <c r="GG18" i="12"/>
  <c r="GG19" i="12"/>
  <c r="GG20" i="12"/>
  <c r="GG21" i="12"/>
  <c r="GG22" i="12"/>
  <c r="GG23" i="12"/>
  <c r="GG24" i="12"/>
  <c r="GG25" i="12"/>
  <c r="GG26" i="12"/>
  <c r="GG27" i="12"/>
  <c r="GG28" i="12"/>
  <c r="GG29" i="12"/>
  <c r="GG30" i="12"/>
  <c r="GG31" i="12"/>
  <c r="GG32" i="12"/>
  <c r="GG33" i="12"/>
  <c r="GG34" i="12"/>
  <c r="GG35" i="12"/>
  <c r="GG36" i="12"/>
  <c r="GG37" i="12"/>
  <c r="GG38" i="12"/>
  <c r="GG39" i="12"/>
  <c r="GG40" i="12"/>
  <c r="GG41" i="12"/>
  <c r="GG42" i="12"/>
  <c r="GG43" i="12"/>
  <c r="GG44" i="12"/>
  <c r="GG45" i="12"/>
  <c r="GG46" i="12"/>
  <c r="GG47" i="12"/>
  <c r="GG48" i="12"/>
  <c r="GG49" i="12"/>
  <c r="GG4" i="12"/>
  <c r="GH71" i="7"/>
  <c r="GG71" i="7"/>
  <c r="GH5" i="7"/>
  <c r="GH6" i="7"/>
  <c r="GH7" i="7"/>
  <c r="GH8" i="7"/>
  <c r="GH9" i="7"/>
  <c r="GH10" i="7"/>
  <c r="GH11" i="7"/>
  <c r="GH12" i="7"/>
  <c r="GH13" i="7"/>
  <c r="GH14" i="7"/>
  <c r="GH15" i="7"/>
  <c r="GH16" i="7"/>
  <c r="GH17" i="7"/>
  <c r="GH4" i="7"/>
  <c r="GG7" i="7"/>
  <c r="GG8" i="7"/>
  <c r="GG9" i="7"/>
  <c r="GG10" i="7"/>
  <c r="GG11" i="7"/>
  <c r="GG12" i="7"/>
  <c r="GG13" i="7"/>
  <c r="GG14" i="7"/>
  <c r="GG15" i="7"/>
  <c r="GG16" i="7"/>
  <c r="GG17" i="7"/>
  <c r="GG5" i="7"/>
  <c r="GG6" i="7"/>
  <c r="GG4" i="7"/>
  <c r="GH70" i="14"/>
  <c r="GH70" i="10"/>
  <c r="GH70" i="9"/>
  <c r="GH70" i="6"/>
  <c r="GH50" i="14"/>
  <c r="GH50" i="10"/>
  <c r="GH50" i="9"/>
  <c r="GH50" i="6"/>
  <c r="GG70" i="14" l="1"/>
  <c r="GG50" i="14"/>
  <c r="GG70" i="10"/>
  <c r="GG50" i="10"/>
  <c r="GG50" i="9"/>
  <c r="GG50" i="12" s="1"/>
  <c r="GF70" i="9"/>
  <c r="GG70" i="9"/>
  <c r="GG70" i="6"/>
  <c r="GG50" i="6"/>
  <c r="GF56" i="13"/>
  <c r="GF57" i="13"/>
  <c r="GF58" i="13"/>
  <c r="GF59" i="13"/>
  <c r="GF60" i="13"/>
  <c r="GF61" i="13"/>
  <c r="GF62" i="13"/>
  <c r="GF63" i="13"/>
  <c r="GF64" i="13"/>
  <c r="GF65" i="13"/>
  <c r="GF66" i="13"/>
  <c r="GF67" i="13"/>
  <c r="GF69" i="13" s="1"/>
  <c r="GF68" i="13"/>
  <c r="GF55" i="13"/>
  <c r="GF5" i="13"/>
  <c r="GF6" i="13"/>
  <c r="GF7" i="13"/>
  <c r="GF8" i="13"/>
  <c r="GF9" i="13"/>
  <c r="GF10" i="13"/>
  <c r="GF11" i="13"/>
  <c r="GF12" i="13"/>
  <c r="GF13" i="13"/>
  <c r="GF14" i="13"/>
  <c r="GF15" i="13"/>
  <c r="GF16" i="13"/>
  <c r="GF17" i="13"/>
  <c r="GF18" i="13"/>
  <c r="GF19" i="13"/>
  <c r="GF20" i="13"/>
  <c r="GF21" i="13"/>
  <c r="GF22" i="13"/>
  <c r="GF23" i="13"/>
  <c r="GF24" i="13"/>
  <c r="GF25" i="13"/>
  <c r="GF26" i="13"/>
  <c r="GF27" i="13"/>
  <c r="GF28" i="13"/>
  <c r="GF29" i="13"/>
  <c r="GF30" i="13"/>
  <c r="GF31" i="13"/>
  <c r="GF32" i="13"/>
  <c r="GF33" i="13"/>
  <c r="GF34" i="13"/>
  <c r="GF35" i="13"/>
  <c r="GF36" i="13"/>
  <c r="GF37" i="13"/>
  <c r="GF38" i="13"/>
  <c r="GF39" i="13"/>
  <c r="GF40" i="13"/>
  <c r="GF41" i="13"/>
  <c r="GF42" i="13"/>
  <c r="GF43" i="13"/>
  <c r="GF44" i="13"/>
  <c r="GF45" i="13"/>
  <c r="GF46" i="13"/>
  <c r="GF47" i="13"/>
  <c r="GF48" i="13"/>
  <c r="GF49" i="13"/>
  <c r="GF4" i="13"/>
  <c r="GF50" i="13" s="1"/>
  <c r="GF59" i="12"/>
  <c r="GF60" i="12"/>
  <c r="GF61" i="12"/>
  <c r="GF62" i="12"/>
  <c r="GF63" i="12"/>
  <c r="GF64" i="12"/>
  <c r="GF65" i="12"/>
  <c r="GF66" i="12"/>
  <c r="GF67" i="12"/>
  <c r="GF68" i="12"/>
  <c r="GF69" i="12"/>
  <c r="GF70" i="12"/>
  <c r="GF71" i="12"/>
  <c r="GF58" i="12"/>
  <c r="GF5" i="12"/>
  <c r="GF6" i="12"/>
  <c r="GF7" i="12"/>
  <c r="GF8" i="12"/>
  <c r="GF9" i="12"/>
  <c r="GF10" i="12"/>
  <c r="GF11" i="12"/>
  <c r="GF12" i="12"/>
  <c r="GF13" i="12"/>
  <c r="GF14" i="12"/>
  <c r="GF15" i="12"/>
  <c r="GF16" i="12"/>
  <c r="GF17" i="12"/>
  <c r="GF18" i="12"/>
  <c r="GF19" i="12"/>
  <c r="GF20" i="12"/>
  <c r="GF21" i="12"/>
  <c r="GF22" i="12"/>
  <c r="GF23" i="12"/>
  <c r="GF24" i="12"/>
  <c r="GF25" i="12"/>
  <c r="GF26" i="12"/>
  <c r="GF27" i="12"/>
  <c r="GF28" i="12"/>
  <c r="GF29" i="12"/>
  <c r="GF30" i="12"/>
  <c r="GF31" i="12"/>
  <c r="GF32" i="12"/>
  <c r="GF33" i="12"/>
  <c r="GF34" i="12"/>
  <c r="GF35" i="12"/>
  <c r="GF36" i="12"/>
  <c r="GF37" i="12"/>
  <c r="GF38" i="12"/>
  <c r="GF39" i="12"/>
  <c r="GF40" i="12"/>
  <c r="GF41" i="12"/>
  <c r="GF42" i="12"/>
  <c r="GF43" i="12"/>
  <c r="GF44" i="12"/>
  <c r="GF45" i="12"/>
  <c r="GF46" i="12"/>
  <c r="GF47" i="12"/>
  <c r="GF48" i="12"/>
  <c r="GF49" i="12"/>
  <c r="GF4" i="12"/>
  <c r="GF71" i="7"/>
  <c r="GF70" i="10"/>
  <c r="GF50" i="10"/>
  <c r="GF50" i="9"/>
  <c r="GF70" i="6"/>
  <c r="GF50" i="6"/>
  <c r="GF70" i="14"/>
  <c r="GF50" i="14"/>
  <c r="GE5" i="12"/>
  <c r="GE6" i="12"/>
  <c r="GE7" i="12"/>
  <c r="GE8" i="12"/>
  <c r="GE9" i="12"/>
  <c r="GE10" i="12"/>
  <c r="GE11" i="12"/>
  <c r="GE12" i="12"/>
  <c r="GE13" i="12"/>
  <c r="GE14" i="12"/>
  <c r="GE15" i="12"/>
  <c r="GE16" i="12"/>
  <c r="GE17" i="12"/>
  <c r="GE18" i="12"/>
  <c r="GE19" i="12"/>
  <c r="GE20" i="12"/>
  <c r="GE21" i="12"/>
  <c r="GE22" i="12"/>
  <c r="GE23" i="12"/>
  <c r="GE24" i="12"/>
  <c r="GE25" i="12"/>
  <c r="GE26" i="12"/>
  <c r="GE27" i="12"/>
  <c r="GE28" i="12"/>
  <c r="GE29" i="12"/>
  <c r="GE30" i="12"/>
  <c r="GE31" i="12"/>
  <c r="GE32" i="12"/>
  <c r="GE33" i="12"/>
  <c r="GE34" i="12"/>
  <c r="GE35" i="12"/>
  <c r="GE36" i="12"/>
  <c r="GE37" i="12"/>
  <c r="GE38" i="12"/>
  <c r="GE39" i="12"/>
  <c r="GE40" i="12"/>
  <c r="GE41" i="12"/>
  <c r="GE42" i="12"/>
  <c r="GE43" i="12"/>
  <c r="GE44" i="12"/>
  <c r="GE45" i="12"/>
  <c r="GE46" i="12"/>
  <c r="GE47" i="12"/>
  <c r="GE48" i="12"/>
  <c r="GE49" i="12"/>
  <c r="GE4" i="12"/>
  <c r="GE50" i="10"/>
  <c r="GE50" i="9"/>
  <c r="GE50" i="6"/>
  <c r="GE50" i="14"/>
  <c r="GA4" i="13"/>
  <c r="GB4" i="13"/>
  <c r="GC4" i="13"/>
  <c r="GD4" i="13"/>
  <c r="GA5" i="13"/>
  <c r="GB5" i="13"/>
  <c r="GC5" i="13"/>
  <c r="GD5" i="13"/>
  <c r="GA6" i="13"/>
  <c r="GB6" i="13"/>
  <c r="GC6" i="13"/>
  <c r="GD6" i="13"/>
  <c r="FU7" i="13"/>
  <c r="FV7" i="13"/>
  <c r="FW7" i="13"/>
  <c r="FX7" i="13"/>
  <c r="FY7" i="13"/>
  <c r="FZ7" i="13"/>
  <c r="GA7" i="13"/>
  <c r="GB7" i="13"/>
  <c r="GC7" i="13"/>
  <c r="GD7" i="13"/>
  <c r="FU8" i="13"/>
  <c r="FV8" i="13"/>
  <c r="FW8" i="13"/>
  <c r="FX8" i="13"/>
  <c r="FY8" i="13"/>
  <c r="FZ8" i="13"/>
  <c r="GA8" i="13"/>
  <c r="GB8" i="13"/>
  <c r="GC8" i="13"/>
  <c r="GD8" i="13"/>
  <c r="FU9" i="13"/>
  <c r="FV9" i="13"/>
  <c r="FW9" i="13"/>
  <c r="FX9" i="13"/>
  <c r="FY9" i="13"/>
  <c r="FZ9" i="13"/>
  <c r="GA9" i="13"/>
  <c r="GB9" i="13"/>
  <c r="GC9" i="13"/>
  <c r="GD9" i="13"/>
  <c r="FU10" i="13"/>
  <c r="FV10" i="13"/>
  <c r="FW10" i="13"/>
  <c r="FX10" i="13"/>
  <c r="FY10" i="13"/>
  <c r="FZ10" i="13"/>
  <c r="GA10" i="13"/>
  <c r="GB10" i="13"/>
  <c r="GC10" i="13"/>
  <c r="GD10" i="13"/>
  <c r="FU11" i="13"/>
  <c r="FV11" i="13"/>
  <c r="FW11" i="13"/>
  <c r="FX11" i="13"/>
  <c r="FY11" i="13"/>
  <c r="FZ11" i="13"/>
  <c r="GA11" i="13"/>
  <c r="GB11" i="13"/>
  <c r="GC11" i="13"/>
  <c r="GD11" i="13"/>
  <c r="FU12" i="13"/>
  <c r="FV12" i="13"/>
  <c r="FW12" i="13"/>
  <c r="FX12" i="13"/>
  <c r="FY12" i="13"/>
  <c r="FZ12" i="13"/>
  <c r="GA12" i="13"/>
  <c r="GB12" i="13"/>
  <c r="GC12" i="13"/>
  <c r="GD12" i="13"/>
  <c r="FU13" i="13"/>
  <c r="FV13" i="13"/>
  <c r="FW13" i="13"/>
  <c r="FX13" i="13"/>
  <c r="FY13" i="13"/>
  <c r="FZ13" i="13"/>
  <c r="GA13" i="13"/>
  <c r="GB13" i="13"/>
  <c r="GC13" i="13"/>
  <c r="GD13" i="13"/>
  <c r="FU14" i="13"/>
  <c r="FV14" i="13"/>
  <c r="FW14" i="13"/>
  <c r="FX14" i="13"/>
  <c r="FY14" i="13"/>
  <c r="FZ14" i="13"/>
  <c r="GA14" i="13"/>
  <c r="GB14" i="13"/>
  <c r="GC14" i="13"/>
  <c r="GD14" i="13"/>
  <c r="FU15" i="13"/>
  <c r="FV15" i="13"/>
  <c r="FW15" i="13"/>
  <c r="FX15" i="13"/>
  <c r="FY15" i="13"/>
  <c r="FZ15" i="13"/>
  <c r="GA15" i="13"/>
  <c r="GB15" i="13"/>
  <c r="GC15" i="13"/>
  <c r="GD15" i="13"/>
  <c r="FU16" i="13"/>
  <c r="FV16" i="13"/>
  <c r="FW16" i="13"/>
  <c r="FX16" i="13"/>
  <c r="FY16" i="13"/>
  <c r="FZ16" i="13"/>
  <c r="GA16" i="13"/>
  <c r="GB16" i="13"/>
  <c r="GC16" i="13"/>
  <c r="GD16" i="13"/>
  <c r="FU17" i="13"/>
  <c r="FV17" i="13"/>
  <c r="FW17" i="13"/>
  <c r="FX17" i="13"/>
  <c r="FY17" i="13"/>
  <c r="FZ17" i="13"/>
  <c r="GA17" i="13"/>
  <c r="GB17" i="13"/>
  <c r="GC17" i="13"/>
  <c r="GD17" i="13"/>
  <c r="FU18" i="13"/>
  <c r="FV18" i="13"/>
  <c r="FW18" i="13"/>
  <c r="FX18" i="13"/>
  <c r="FY18" i="13"/>
  <c r="FZ18" i="13"/>
  <c r="GA18" i="13"/>
  <c r="GB18" i="13"/>
  <c r="GC18" i="13"/>
  <c r="GD18" i="13"/>
  <c r="FU19" i="13"/>
  <c r="FV19" i="13"/>
  <c r="FW19" i="13"/>
  <c r="FX19" i="13"/>
  <c r="FY19" i="13"/>
  <c r="FZ19" i="13"/>
  <c r="GA19" i="13"/>
  <c r="GB19" i="13"/>
  <c r="GC19" i="13"/>
  <c r="GD19" i="13"/>
  <c r="FU20" i="13"/>
  <c r="FV20" i="13"/>
  <c r="FW20" i="13"/>
  <c r="FX20" i="13"/>
  <c r="FY20" i="13"/>
  <c r="FZ20" i="13"/>
  <c r="GA20" i="13"/>
  <c r="GB20" i="13"/>
  <c r="GC20" i="13"/>
  <c r="GD20" i="13"/>
  <c r="FU21" i="13"/>
  <c r="FV21" i="13"/>
  <c r="FW21" i="13"/>
  <c r="FX21" i="13"/>
  <c r="FY21" i="13"/>
  <c r="FZ21" i="13"/>
  <c r="GA21" i="13"/>
  <c r="GB21" i="13"/>
  <c r="GC21" i="13"/>
  <c r="GD21" i="13"/>
  <c r="FP69" i="13"/>
  <c r="FQ69" i="13"/>
  <c r="FR69" i="13"/>
  <c r="FS69" i="13"/>
  <c r="FT69" i="13"/>
  <c r="FO69" i="13"/>
  <c r="FO72" i="12"/>
  <c r="FP72" i="12"/>
  <c r="FQ72" i="12"/>
  <c r="FR72" i="12"/>
  <c r="FS72" i="12"/>
  <c r="FT72" i="12"/>
  <c r="FP71" i="7"/>
  <c r="FQ71" i="7"/>
  <c r="FR71" i="7"/>
  <c r="FS71" i="7"/>
  <c r="FT71" i="7"/>
  <c r="FU71" i="7"/>
  <c r="FV71" i="7"/>
  <c r="FW71" i="7"/>
  <c r="FX71" i="7"/>
  <c r="FY71" i="7"/>
  <c r="FZ71" i="7"/>
  <c r="GA71" i="7"/>
  <c r="GB71" i="7"/>
  <c r="GC71" i="7"/>
  <c r="GD71" i="7"/>
  <c r="GE71" i="7"/>
  <c r="FO70" i="6"/>
  <c r="FP70" i="6"/>
  <c r="FQ70" i="6"/>
  <c r="FR70" i="6"/>
  <c r="FS70" i="6"/>
  <c r="FT70" i="6"/>
  <c r="FU70" i="6"/>
  <c r="FV70" i="6"/>
  <c r="FW70" i="6"/>
  <c r="FX70" i="6"/>
  <c r="FY70" i="6"/>
  <c r="FZ70" i="6"/>
  <c r="GA70" i="6"/>
  <c r="GB70" i="6"/>
  <c r="FO70" i="9"/>
  <c r="FP70" i="9"/>
  <c r="FQ70" i="9"/>
  <c r="FR70" i="9"/>
  <c r="FS70" i="9"/>
  <c r="FT70" i="9"/>
  <c r="FU70" i="9"/>
  <c r="FV70" i="9"/>
  <c r="FW70" i="9"/>
  <c r="FX70" i="9"/>
  <c r="FY70" i="9"/>
  <c r="FZ70" i="9"/>
  <c r="GA70" i="9"/>
  <c r="GB70" i="9"/>
  <c r="FO70" i="10"/>
  <c r="FP70" i="10"/>
  <c r="FQ70" i="10"/>
  <c r="FR70" i="10"/>
  <c r="FS70" i="10"/>
  <c r="FT70" i="10"/>
  <c r="FU70" i="10"/>
  <c r="FV70" i="10"/>
  <c r="FW70" i="10"/>
  <c r="FX70" i="10"/>
  <c r="FY70" i="10"/>
  <c r="FZ70" i="10"/>
  <c r="GA70" i="10"/>
  <c r="GB70" i="10"/>
  <c r="GC70" i="10"/>
  <c r="FO71" i="7"/>
  <c r="GE56" i="13"/>
  <c r="GE57" i="13"/>
  <c r="GE58" i="13"/>
  <c r="GE59" i="13"/>
  <c r="GE60" i="13"/>
  <c r="GE69" i="13" s="1"/>
  <c r="GE61" i="13"/>
  <c r="GE62" i="13"/>
  <c r="GE63" i="13"/>
  <c r="GE64" i="13"/>
  <c r="GE65" i="13"/>
  <c r="GE66" i="13"/>
  <c r="GE67" i="13"/>
  <c r="GE68" i="13"/>
  <c r="GD56" i="13"/>
  <c r="GD57" i="13"/>
  <c r="GD58" i="13"/>
  <c r="GD59" i="13"/>
  <c r="GD60" i="13"/>
  <c r="GD61" i="13"/>
  <c r="GD62" i="13"/>
  <c r="GD63" i="13"/>
  <c r="GD64" i="13"/>
  <c r="GD65" i="13"/>
  <c r="GD66" i="13"/>
  <c r="GD67" i="13"/>
  <c r="GE55" i="13"/>
  <c r="GE71" i="12"/>
  <c r="GE59" i="12"/>
  <c r="GE60" i="12"/>
  <c r="GE61" i="12"/>
  <c r="GE62" i="12"/>
  <c r="GE63" i="12"/>
  <c r="GE64" i="12"/>
  <c r="GE65" i="12"/>
  <c r="GE66" i="12"/>
  <c r="GE67" i="12"/>
  <c r="GE68" i="12"/>
  <c r="GE69" i="12"/>
  <c r="GE70" i="12"/>
  <c r="GE58" i="12"/>
  <c r="GE58" i="7"/>
  <c r="GE59" i="7"/>
  <c r="GE60" i="7"/>
  <c r="GE61" i="7"/>
  <c r="GE62" i="7"/>
  <c r="GE63" i="7"/>
  <c r="GE64" i="7"/>
  <c r="GE65" i="7"/>
  <c r="GE66" i="7"/>
  <c r="GE67" i="7"/>
  <c r="GE68" i="7"/>
  <c r="GE69" i="7"/>
  <c r="GE70" i="7"/>
  <c r="GE57" i="7"/>
  <c r="GE70" i="14"/>
  <c r="GE70" i="10"/>
  <c r="GE70" i="9"/>
  <c r="GE70" i="6"/>
  <c r="GF72" i="12" l="1"/>
  <c r="GF50" i="12"/>
  <c r="GE72" i="12"/>
  <c r="GE50" i="12"/>
  <c r="GB22" i="13"/>
  <c r="GB50" i="13" s="1"/>
  <c r="GC22" i="13"/>
  <c r="GD22" i="13"/>
  <c r="GB23" i="13"/>
  <c r="GC23" i="13"/>
  <c r="GC50" i="13" s="1"/>
  <c r="GD23" i="13"/>
  <c r="GD50" i="13" s="1"/>
  <c r="GB24" i="13"/>
  <c r="GC24" i="13"/>
  <c r="GD24" i="13"/>
  <c r="GB25" i="13"/>
  <c r="GC25" i="13"/>
  <c r="GD25" i="13"/>
  <c r="GB26" i="13"/>
  <c r="GC26" i="13"/>
  <c r="GD26" i="13"/>
  <c r="GB27" i="13"/>
  <c r="GC27" i="13"/>
  <c r="GD27" i="13"/>
  <c r="GB28" i="13"/>
  <c r="GC28" i="13"/>
  <c r="GD28" i="13"/>
  <c r="GB29" i="13"/>
  <c r="GC29" i="13"/>
  <c r="GD29" i="13"/>
  <c r="GB30" i="13"/>
  <c r="GC30" i="13"/>
  <c r="GD30" i="13"/>
  <c r="GB31" i="13"/>
  <c r="GC31" i="13"/>
  <c r="GD31" i="13"/>
  <c r="GB32" i="13"/>
  <c r="GC32" i="13"/>
  <c r="GD32" i="13"/>
  <c r="GB33" i="13"/>
  <c r="GC33" i="13"/>
  <c r="GD33" i="13"/>
  <c r="GB34" i="13"/>
  <c r="GC34" i="13"/>
  <c r="GD34" i="13"/>
  <c r="GB35" i="13"/>
  <c r="GC35" i="13"/>
  <c r="GD35" i="13"/>
  <c r="GB36" i="13"/>
  <c r="GC36" i="13"/>
  <c r="GD36" i="13"/>
  <c r="GB37" i="13"/>
  <c r="GC37" i="13"/>
  <c r="GD37" i="13"/>
  <c r="GB38" i="13"/>
  <c r="GC38" i="13"/>
  <c r="GD38" i="13"/>
  <c r="GB39" i="13"/>
  <c r="GC39" i="13"/>
  <c r="GD39" i="13"/>
  <c r="GB40" i="13"/>
  <c r="GC40" i="13"/>
  <c r="GD40" i="13"/>
  <c r="GB41" i="13"/>
  <c r="GC41" i="13"/>
  <c r="GD41" i="13"/>
  <c r="GB42" i="13"/>
  <c r="GC42" i="13"/>
  <c r="GD42" i="13"/>
  <c r="GB43" i="13"/>
  <c r="GC43" i="13"/>
  <c r="GD43" i="13"/>
  <c r="GB44" i="13"/>
  <c r="GC44" i="13"/>
  <c r="GD44" i="13"/>
  <c r="GB45" i="13"/>
  <c r="GC45" i="13"/>
  <c r="GD45" i="13"/>
  <c r="GB46" i="13"/>
  <c r="GC46" i="13"/>
  <c r="GD46" i="13"/>
  <c r="GB47" i="13"/>
  <c r="GC47" i="13"/>
  <c r="GD47" i="13"/>
  <c r="GB48" i="13"/>
  <c r="GC48" i="13"/>
  <c r="GD48" i="13"/>
  <c r="GB49" i="13"/>
  <c r="GC49" i="13"/>
  <c r="GD49" i="13"/>
  <c r="GD68" i="13" l="1"/>
  <c r="GD55" i="13"/>
  <c r="GD69" i="13" s="1"/>
  <c r="GD59" i="12"/>
  <c r="GD60" i="12"/>
  <c r="GD61" i="12"/>
  <c r="GD62" i="12"/>
  <c r="GD63" i="12"/>
  <c r="GD64" i="12"/>
  <c r="GD65" i="12"/>
  <c r="GD66" i="12"/>
  <c r="GD67" i="12"/>
  <c r="GD68" i="12"/>
  <c r="GD69" i="12"/>
  <c r="GD70" i="12"/>
  <c r="GD71" i="12"/>
  <c r="GD58" i="12"/>
  <c r="GD58" i="7"/>
  <c r="GD59" i="7"/>
  <c r="GD60" i="7"/>
  <c r="GD61" i="7"/>
  <c r="GD62" i="7"/>
  <c r="GD63" i="7"/>
  <c r="GD64" i="7"/>
  <c r="GD65" i="7"/>
  <c r="GD66" i="7"/>
  <c r="GD67" i="7"/>
  <c r="GD68" i="7"/>
  <c r="GD69" i="7"/>
  <c r="GD70" i="7"/>
  <c r="GD57" i="7"/>
  <c r="GC58" i="7"/>
  <c r="GC59" i="7"/>
  <c r="GC60" i="7"/>
  <c r="GC61" i="7"/>
  <c r="GC62" i="7"/>
  <c r="GC63" i="7"/>
  <c r="GC64" i="7"/>
  <c r="GC65" i="7"/>
  <c r="GC66" i="7"/>
  <c r="GC67" i="7"/>
  <c r="GC68" i="7"/>
  <c r="GC69" i="7"/>
  <c r="GC70" i="7"/>
  <c r="GC57" i="7"/>
  <c r="GB58" i="7"/>
  <c r="GB59" i="7"/>
  <c r="GB60" i="7"/>
  <c r="GB61" i="7"/>
  <c r="GB62" i="7"/>
  <c r="GB63" i="7"/>
  <c r="GB64" i="7"/>
  <c r="GB65" i="7"/>
  <c r="GB66" i="7"/>
  <c r="GB67" i="7"/>
  <c r="GB68" i="7"/>
  <c r="GB69" i="7"/>
  <c r="GB70" i="7"/>
  <c r="GB57" i="7"/>
  <c r="GD70" i="10"/>
  <c r="GD70" i="9"/>
  <c r="GD70" i="6"/>
  <c r="GD70" i="14"/>
  <c r="GD5" i="12"/>
  <c r="GD6" i="12"/>
  <c r="GD7" i="12"/>
  <c r="GD8" i="12"/>
  <c r="GD9" i="12"/>
  <c r="GD10" i="12"/>
  <c r="GD11" i="12"/>
  <c r="GD12" i="12"/>
  <c r="GD13" i="12"/>
  <c r="GD14" i="12"/>
  <c r="GD15" i="12"/>
  <c r="GD16" i="12"/>
  <c r="GD17" i="12"/>
  <c r="GD18" i="12"/>
  <c r="GD19" i="12"/>
  <c r="GD20" i="12"/>
  <c r="GD21" i="12"/>
  <c r="GD22" i="12"/>
  <c r="GD23" i="12"/>
  <c r="GD24" i="12"/>
  <c r="GD25" i="12"/>
  <c r="GD26" i="12"/>
  <c r="GD27" i="12"/>
  <c r="GD28" i="12"/>
  <c r="GD29" i="12"/>
  <c r="GD30" i="12"/>
  <c r="GD31" i="12"/>
  <c r="GD32" i="12"/>
  <c r="GD33" i="12"/>
  <c r="GD34" i="12"/>
  <c r="GD35" i="12"/>
  <c r="GD36" i="12"/>
  <c r="GD37" i="12"/>
  <c r="GD38" i="12"/>
  <c r="GD39" i="12"/>
  <c r="GD40" i="12"/>
  <c r="GD41" i="12"/>
  <c r="GD42" i="12"/>
  <c r="GD43" i="12"/>
  <c r="GD44" i="12"/>
  <c r="GD45" i="12"/>
  <c r="GD46" i="12"/>
  <c r="GD47" i="12"/>
  <c r="GD48" i="12"/>
  <c r="GD49" i="12"/>
  <c r="GD4" i="12"/>
  <c r="GD50" i="7"/>
  <c r="GD5" i="7"/>
  <c r="GD6" i="7"/>
  <c r="GD7" i="7"/>
  <c r="GD8" i="7"/>
  <c r="GD9" i="7"/>
  <c r="GD10" i="7"/>
  <c r="GD11" i="7"/>
  <c r="GD12" i="7"/>
  <c r="GD13" i="7"/>
  <c r="GD14" i="7"/>
  <c r="GD15" i="7"/>
  <c r="GD16" i="7"/>
  <c r="GD17" i="7"/>
  <c r="GD18" i="7"/>
  <c r="GD19" i="7"/>
  <c r="GD20" i="7"/>
  <c r="GD21" i="7"/>
  <c r="GD22" i="7"/>
  <c r="GD23" i="7"/>
  <c r="GD24" i="7"/>
  <c r="GD25" i="7"/>
  <c r="GD26" i="7"/>
  <c r="GD27" i="7"/>
  <c r="GD28" i="7"/>
  <c r="GD29" i="7"/>
  <c r="GD30" i="7"/>
  <c r="GD31" i="7"/>
  <c r="GD32" i="7"/>
  <c r="GD33" i="7"/>
  <c r="GD34" i="7"/>
  <c r="GD35" i="7"/>
  <c r="GD36" i="7"/>
  <c r="GD37" i="7"/>
  <c r="GD38" i="7"/>
  <c r="GD39" i="7"/>
  <c r="GD40" i="7"/>
  <c r="GD41" i="7"/>
  <c r="GD42" i="7"/>
  <c r="GD43" i="7"/>
  <c r="GD44" i="7"/>
  <c r="GD45" i="7"/>
  <c r="GD46" i="7"/>
  <c r="GD47" i="7"/>
  <c r="GD48" i="7"/>
  <c r="GD49" i="7"/>
  <c r="GD4" i="7"/>
  <c r="GC50" i="7"/>
  <c r="GC5" i="7"/>
  <c r="GC6" i="7"/>
  <c r="GC7" i="7"/>
  <c r="GC8" i="7"/>
  <c r="GC9" i="7"/>
  <c r="GC10" i="7"/>
  <c r="GC11" i="7"/>
  <c r="GC12" i="7"/>
  <c r="GC13" i="7"/>
  <c r="GC14" i="7"/>
  <c r="GC15" i="7"/>
  <c r="GC16" i="7"/>
  <c r="GC17" i="7"/>
  <c r="GC18" i="7"/>
  <c r="GC19" i="7"/>
  <c r="GC20" i="7"/>
  <c r="GC21" i="7"/>
  <c r="GC22" i="7"/>
  <c r="GC23" i="7"/>
  <c r="GC24" i="7"/>
  <c r="GC25" i="7"/>
  <c r="GC26" i="7"/>
  <c r="GC27" i="7"/>
  <c r="GC28" i="7"/>
  <c r="GC29" i="7"/>
  <c r="GC30" i="7"/>
  <c r="GC31" i="7"/>
  <c r="GC32" i="7"/>
  <c r="GC33" i="7"/>
  <c r="GC34" i="7"/>
  <c r="GC35" i="7"/>
  <c r="GC36" i="7"/>
  <c r="GC37" i="7"/>
  <c r="GC38" i="7"/>
  <c r="GC39" i="7"/>
  <c r="GC40" i="7"/>
  <c r="GC41" i="7"/>
  <c r="GC42" i="7"/>
  <c r="GC43" i="7"/>
  <c r="GC44" i="7"/>
  <c r="GC45" i="7"/>
  <c r="GC46" i="7"/>
  <c r="GC47" i="7"/>
  <c r="GC48" i="7"/>
  <c r="GC49" i="7"/>
  <c r="GC4" i="7"/>
  <c r="GB50" i="7"/>
  <c r="GB5" i="7"/>
  <c r="GB6" i="7"/>
  <c r="GB7" i="7"/>
  <c r="GB8" i="7"/>
  <c r="GB9" i="7"/>
  <c r="GB10" i="7"/>
  <c r="GB11" i="7"/>
  <c r="GB12" i="7"/>
  <c r="GB13" i="7"/>
  <c r="GB14" i="7"/>
  <c r="GB15" i="7"/>
  <c r="GB16" i="7"/>
  <c r="GB17" i="7"/>
  <c r="GB18" i="7"/>
  <c r="GB19" i="7"/>
  <c r="GB20" i="7"/>
  <c r="GB21" i="7"/>
  <c r="GB22" i="7"/>
  <c r="GB23" i="7"/>
  <c r="GB24" i="7"/>
  <c r="GB25" i="7"/>
  <c r="GB26" i="7"/>
  <c r="GB27" i="7"/>
  <c r="GB28" i="7"/>
  <c r="GB29" i="7"/>
  <c r="GB30" i="7"/>
  <c r="GB31" i="7"/>
  <c r="GB32" i="7"/>
  <c r="GB33" i="7"/>
  <c r="GB34" i="7"/>
  <c r="GB35" i="7"/>
  <c r="GB36" i="7"/>
  <c r="GB37" i="7"/>
  <c r="GB38" i="7"/>
  <c r="GB39" i="7"/>
  <c r="GB40" i="7"/>
  <c r="GB41" i="7"/>
  <c r="GB42" i="7"/>
  <c r="GB43" i="7"/>
  <c r="GB44" i="7"/>
  <c r="GB45" i="7"/>
  <c r="GB46" i="7"/>
  <c r="GB47" i="7"/>
  <c r="GB48" i="7"/>
  <c r="GB49" i="7"/>
  <c r="GB4" i="7"/>
  <c r="GD50" i="10"/>
  <c r="GD50" i="9"/>
  <c r="GD50" i="6"/>
  <c r="GD50" i="14"/>
  <c r="GD50" i="12" l="1"/>
  <c r="GD72" i="12"/>
  <c r="GC56" i="13"/>
  <c r="GC57" i="13"/>
  <c r="GC58" i="13"/>
  <c r="GC59" i="13"/>
  <c r="GC60" i="13"/>
  <c r="GC61" i="13"/>
  <c r="GC62" i="13"/>
  <c r="GC63" i="13"/>
  <c r="GC64" i="13"/>
  <c r="GC65" i="13"/>
  <c r="GC66" i="13"/>
  <c r="GC67" i="13"/>
  <c r="GC68" i="13"/>
  <c r="GC55" i="13"/>
  <c r="GC59" i="12"/>
  <c r="GC60" i="12"/>
  <c r="GC61" i="12"/>
  <c r="GC62" i="12"/>
  <c r="GC63" i="12"/>
  <c r="GC64" i="12"/>
  <c r="GC65" i="12"/>
  <c r="GC66" i="12"/>
  <c r="GC67" i="12"/>
  <c r="GC68" i="12"/>
  <c r="GC69" i="12"/>
  <c r="GC70" i="12"/>
  <c r="GC71" i="12"/>
  <c r="GC58" i="12"/>
  <c r="GC5" i="12"/>
  <c r="GC6" i="12"/>
  <c r="GC7" i="12"/>
  <c r="GC8" i="12"/>
  <c r="GC9" i="12"/>
  <c r="GC10" i="12"/>
  <c r="GC11" i="12"/>
  <c r="GC12" i="12"/>
  <c r="GC13" i="12"/>
  <c r="GC14" i="12"/>
  <c r="GC15" i="12"/>
  <c r="GC16" i="12"/>
  <c r="GC17" i="12"/>
  <c r="GC18" i="12"/>
  <c r="GC19" i="12"/>
  <c r="GC20" i="12"/>
  <c r="GC21" i="12"/>
  <c r="GC22" i="12"/>
  <c r="GC23" i="12"/>
  <c r="GC24" i="12"/>
  <c r="GC25" i="12"/>
  <c r="GC26" i="12"/>
  <c r="GC27" i="12"/>
  <c r="GC28" i="12"/>
  <c r="GC29" i="12"/>
  <c r="GC30" i="12"/>
  <c r="GC31" i="12"/>
  <c r="GC32" i="12"/>
  <c r="GC33" i="12"/>
  <c r="GC34" i="12"/>
  <c r="GC35" i="12"/>
  <c r="GC36" i="12"/>
  <c r="GC37" i="12"/>
  <c r="GC38" i="12"/>
  <c r="GC39" i="12"/>
  <c r="GC40" i="12"/>
  <c r="GC41" i="12"/>
  <c r="GC42" i="12"/>
  <c r="GC43" i="12"/>
  <c r="GC44" i="12"/>
  <c r="GC45" i="12"/>
  <c r="GC46" i="12"/>
  <c r="GC47" i="12"/>
  <c r="GC48" i="12"/>
  <c r="GC49" i="12"/>
  <c r="GC4" i="12"/>
  <c r="GC70" i="9"/>
  <c r="GC70" i="6"/>
  <c r="GC70" i="14"/>
  <c r="GC50" i="10"/>
  <c r="GC50" i="9"/>
  <c r="GC50" i="6"/>
  <c r="GC50" i="14"/>
  <c r="GC69" i="13" l="1"/>
  <c r="GC50" i="12"/>
  <c r="GC72" i="12"/>
  <c r="GB56" i="13"/>
  <c r="GB57" i="13"/>
  <c r="GB58" i="13"/>
  <c r="GB59" i="13"/>
  <c r="GB60" i="13"/>
  <c r="GB61" i="13"/>
  <c r="GB62" i="13"/>
  <c r="GB63" i="13"/>
  <c r="GB64" i="13"/>
  <c r="GB65" i="13"/>
  <c r="GB66" i="13"/>
  <c r="GB67" i="13"/>
  <c r="GB68" i="13"/>
  <c r="GA56" i="13"/>
  <c r="GA57" i="13"/>
  <c r="GA58" i="13"/>
  <c r="GA59" i="13"/>
  <c r="GA60" i="13"/>
  <c r="GA61" i="13"/>
  <c r="GA62" i="13"/>
  <c r="GA63" i="13"/>
  <c r="GA64" i="13"/>
  <c r="GA65" i="13"/>
  <c r="GA66" i="13"/>
  <c r="GA67" i="13"/>
  <c r="GA68" i="13"/>
  <c r="GB55" i="13"/>
  <c r="GB59" i="12"/>
  <c r="GB60" i="12"/>
  <c r="GB61" i="12"/>
  <c r="GB62" i="12"/>
  <c r="GB63" i="12"/>
  <c r="GB64" i="12"/>
  <c r="GB65" i="12"/>
  <c r="GB66" i="12"/>
  <c r="GB67" i="12"/>
  <c r="GB68" i="12"/>
  <c r="GB69" i="12"/>
  <c r="GB70" i="12"/>
  <c r="GB71" i="12"/>
  <c r="GB58" i="12"/>
  <c r="GA58" i="7"/>
  <c r="GA59" i="7"/>
  <c r="GA60" i="7"/>
  <c r="GA61" i="7"/>
  <c r="GA62" i="7"/>
  <c r="GA63" i="7"/>
  <c r="GA64" i="7"/>
  <c r="GA65" i="7"/>
  <c r="GA66" i="7"/>
  <c r="GA67" i="7"/>
  <c r="GA68" i="7"/>
  <c r="GA69" i="7"/>
  <c r="GA70" i="7"/>
  <c r="GA22" i="13"/>
  <c r="GA50" i="13" s="1"/>
  <c r="GA23" i="13"/>
  <c r="GA24" i="13"/>
  <c r="GA25" i="13"/>
  <c r="GA26" i="13"/>
  <c r="GA27" i="13"/>
  <c r="GA28" i="13"/>
  <c r="GA29" i="13"/>
  <c r="GA30" i="13"/>
  <c r="GA31" i="13"/>
  <c r="GA32" i="13"/>
  <c r="GA33" i="13"/>
  <c r="GA34" i="13"/>
  <c r="GA35" i="13"/>
  <c r="GA36" i="13"/>
  <c r="GA37" i="13"/>
  <c r="GA38" i="13"/>
  <c r="GA39" i="13"/>
  <c r="GA40" i="13"/>
  <c r="GA41" i="13"/>
  <c r="GA42" i="13"/>
  <c r="GA43" i="13"/>
  <c r="GA44" i="13"/>
  <c r="GA45" i="13"/>
  <c r="GA46" i="13"/>
  <c r="GA47" i="13"/>
  <c r="GA48" i="13"/>
  <c r="GA49" i="13"/>
  <c r="GB5" i="12"/>
  <c r="GB6" i="12"/>
  <c r="GB7" i="12"/>
  <c r="GB8" i="12"/>
  <c r="GB9" i="12"/>
  <c r="GB10" i="12"/>
  <c r="GB11" i="12"/>
  <c r="GB12" i="12"/>
  <c r="GB13" i="12"/>
  <c r="GB14" i="12"/>
  <c r="GB15" i="12"/>
  <c r="GB16" i="12"/>
  <c r="GB17" i="12"/>
  <c r="GB18" i="12"/>
  <c r="GB19" i="12"/>
  <c r="GB20" i="12"/>
  <c r="GB21" i="12"/>
  <c r="GB22" i="12"/>
  <c r="GB23" i="12"/>
  <c r="GB24" i="12"/>
  <c r="GB25" i="12"/>
  <c r="GB26" i="12"/>
  <c r="GB27" i="12"/>
  <c r="GB28" i="12"/>
  <c r="GB29" i="12"/>
  <c r="GB30" i="12"/>
  <c r="GB31" i="12"/>
  <c r="GB32" i="12"/>
  <c r="GB33" i="12"/>
  <c r="GB34" i="12"/>
  <c r="GB35" i="12"/>
  <c r="GB36" i="12"/>
  <c r="GB37" i="12"/>
  <c r="GB38" i="12"/>
  <c r="GB39" i="12"/>
  <c r="GB40" i="12"/>
  <c r="GB41" i="12"/>
  <c r="GB42" i="12"/>
  <c r="GB43" i="12"/>
  <c r="GB44" i="12"/>
  <c r="GB45" i="12"/>
  <c r="GB46" i="12"/>
  <c r="GB47" i="12"/>
  <c r="GB48" i="12"/>
  <c r="GB49" i="12"/>
  <c r="GB4" i="12"/>
  <c r="GA4" i="7"/>
  <c r="GB50" i="9"/>
  <c r="GB50" i="10"/>
  <c r="GB50" i="6"/>
  <c r="GB50" i="14"/>
  <c r="GB69" i="13" l="1"/>
  <c r="GB72" i="12"/>
  <c r="GB50" i="12"/>
  <c r="GB70" i="14"/>
  <c r="FP70" i="14" l="1"/>
  <c r="FQ70" i="14"/>
  <c r="FU70" i="14"/>
  <c r="FV70" i="14"/>
  <c r="FW70" i="14"/>
  <c r="FX70" i="14"/>
  <c r="FY70" i="14"/>
  <c r="FZ70" i="14"/>
  <c r="GA70" i="14"/>
  <c r="FO70" i="14"/>
  <c r="GA55" i="13"/>
  <c r="GA69" i="13" s="1"/>
  <c r="FY68" i="13"/>
  <c r="FY67" i="13"/>
  <c r="FY66" i="13"/>
  <c r="FY65" i="13"/>
  <c r="FY64" i="13"/>
  <c r="FY63" i="13"/>
  <c r="FY62" i="13"/>
  <c r="FY61" i="13"/>
  <c r="FY60" i="13"/>
  <c r="FY59" i="13"/>
  <c r="FY58" i="13"/>
  <c r="FY57" i="13"/>
  <c r="FY56" i="13"/>
  <c r="FY55" i="13"/>
  <c r="FW68" i="13"/>
  <c r="FW67" i="13"/>
  <c r="FW66" i="13"/>
  <c r="FW65" i="13"/>
  <c r="FW64" i="13"/>
  <c r="FW63" i="13"/>
  <c r="FW62" i="13"/>
  <c r="FW61" i="13"/>
  <c r="FW60" i="13"/>
  <c r="FW59" i="13"/>
  <c r="FW58" i="13"/>
  <c r="FW57" i="13"/>
  <c r="FW56" i="13"/>
  <c r="FW55" i="13"/>
  <c r="FV68" i="13"/>
  <c r="FV67" i="13"/>
  <c r="FV66" i="13"/>
  <c r="FV65" i="13"/>
  <c r="FV64" i="13"/>
  <c r="FV63" i="13"/>
  <c r="FV62" i="13"/>
  <c r="FV61" i="13"/>
  <c r="FV60" i="13"/>
  <c r="FV59" i="13"/>
  <c r="FV58" i="13"/>
  <c r="FV57" i="13"/>
  <c r="FV56" i="13"/>
  <c r="FV55" i="13"/>
  <c r="FZ68" i="13"/>
  <c r="FZ67" i="13"/>
  <c r="FZ66" i="13"/>
  <c r="FZ65" i="13"/>
  <c r="FZ64" i="13"/>
  <c r="FZ63" i="13"/>
  <c r="FZ62" i="13"/>
  <c r="FZ61" i="13"/>
  <c r="FZ60" i="13"/>
  <c r="FZ59" i="13"/>
  <c r="FZ58" i="13"/>
  <c r="FZ57" i="13"/>
  <c r="FZ56" i="13"/>
  <c r="FZ55" i="13"/>
  <c r="FX68" i="13"/>
  <c r="FX67" i="13"/>
  <c r="FX66" i="13"/>
  <c r="FX65" i="13"/>
  <c r="FX64" i="13"/>
  <c r="FX63" i="13"/>
  <c r="FX62" i="13"/>
  <c r="FX61" i="13"/>
  <c r="FX60" i="13"/>
  <c r="FX59" i="13"/>
  <c r="FX58" i="13"/>
  <c r="FX57" i="13"/>
  <c r="FX56" i="13"/>
  <c r="FX55" i="13"/>
  <c r="FU68" i="13"/>
  <c r="FU67" i="13"/>
  <c r="FU66" i="13"/>
  <c r="FU65" i="13"/>
  <c r="FU64" i="13"/>
  <c r="FU63" i="13"/>
  <c r="FU62" i="13"/>
  <c r="FU61" i="13"/>
  <c r="FU60" i="13"/>
  <c r="FU59" i="13"/>
  <c r="FU58" i="13"/>
  <c r="FU57" i="13"/>
  <c r="FU56" i="13"/>
  <c r="FU55" i="13"/>
  <c r="FZ49" i="13"/>
  <c r="FZ48" i="13"/>
  <c r="FZ47" i="13"/>
  <c r="FZ46" i="13"/>
  <c r="FZ45" i="13"/>
  <c r="FZ44" i="13"/>
  <c r="FZ43" i="13"/>
  <c r="FZ42" i="13"/>
  <c r="FZ41" i="13"/>
  <c r="FZ40" i="13"/>
  <c r="FZ39" i="13"/>
  <c r="FZ38" i="13"/>
  <c r="FZ37" i="13"/>
  <c r="FZ36" i="13"/>
  <c r="FZ35" i="13"/>
  <c r="FZ34" i="13"/>
  <c r="FZ33" i="13"/>
  <c r="FZ32" i="13"/>
  <c r="FZ31" i="13"/>
  <c r="FZ30" i="13"/>
  <c r="FZ29" i="13"/>
  <c r="FZ28" i="13"/>
  <c r="FZ27" i="13"/>
  <c r="FZ26" i="13"/>
  <c r="FZ25" i="13"/>
  <c r="FZ24" i="13"/>
  <c r="FZ23" i="13"/>
  <c r="FZ22" i="13"/>
  <c r="FX49" i="13"/>
  <c r="FX48" i="13"/>
  <c r="FX47" i="13"/>
  <c r="FX46" i="13"/>
  <c r="FX45" i="13"/>
  <c r="FX44" i="13"/>
  <c r="FX43" i="13"/>
  <c r="FX42" i="13"/>
  <c r="FX41" i="13"/>
  <c r="FX40" i="13"/>
  <c r="FX39" i="13"/>
  <c r="FX38" i="13"/>
  <c r="FX37" i="13"/>
  <c r="FX36" i="13"/>
  <c r="FX35" i="13"/>
  <c r="FX34" i="13"/>
  <c r="FX33" i="13"/>
  <c r="FX32" i="13"/>
  <c r="FX31" i="13"/>
  <c r="FX30" i="13"/>
  <c r="FX29" i="13"/>
  <c r="FX28" i="13"/>
  <c r="FX27" i="13"/>
  <c r="FX26" i="13"/>
  <c r="FX25" i="13"/>
  <c r="FX24" i="13"/>
  <c r="FX23" i="13"/>
  <c r="FX22" i="13"/>
  <c r="FU49" i="13"/>
  <c r="FU48" i="13"/>
  <c r="FU47" i="13"/>
  <c r="FU46" i="13"/>
  <c r="FU45" i="13"/>
  <c r="FU44" i="13"/>
  <c r="FU43" i="13"/>
  <c r="FU42" i="13"/>
  <c r="FU41" i="13"/>
  <c r="FU40" i="13"/>
  <c r="FU39" i="13"/>
  <c r="FU38" i="13"/>
  <c r="FU37" i="13"/>
  <c r="FU36" i="13"/>
  <c r="FU35" i="13"/>
  <c r="FU34" i="13"/>
  <c r="FU33" i="13"/>
  <c r="FU32" i="13"/>
  <c r="FU31" i="13"/>
  <c r="FU30" i="13"/>
  <c r="FU29" i="13"/>
  <c r="FU28" i="13"/>
  <c r="FU27" i="13"/>
  <c r="FU26" i="13"/>
  <c r="FU25" i="13"/>
  <c r="FU24" i="13"/>
  <c r="FU23" i="13"/>
  <c r="FU22" i="13"/>
  <c r="FY70" i="7"/>
  <c r="FY69" i="7"/>
  <c r="FY68" i="7"/>
  <c r="FY67" i="7"/>
  <c r="FY66" i="7"/>
  <c r="FY65" i="7"/>
  <c r="FY64" i="7"/>
  <c r="FY63" i="7"/>
  <c r="FY62" i="7"/>
  <c r="FY61" i="7"/>
  <c r="FY60" i="7"/>
  <c r="FY59" i="7"/>
  <c r="FY58" i="7"/>
  <c r="FY57" i="7"/>
  <c r="FX70" i="7"/>
  <c r="FX69" i="7"/>
  <c r="FX68" i="7"/>
  <c r="FX67" i="7"/>
  <c r="FX66" i="7"/>
  <c r="FX65" i="7"/>
  <c r="FX64" i="7"/>
  <c r="FX63" i="7"/>
  <c r="FX62" i="7"/>
  <c r="FX61" i="7"/>
  <c r="FX60" i="7"/>
  <c r="FX59" i="7"/>
  <c r="FX58" i="7"/>
  <c r="FX57" i="7"/>
  <c r="GA57" i="7"/>
  <c r="FV70" i="7"/>
  <c r="FV69" i="7"/>
  <c r="FV68" i="7"/>
  <c r="FV67" i="7"/>
  <c r="FV66" i="7"/>
  <c r="FV65" i="7"/>
  <c r="FV64" i="7"/>
  <c r="FV63" i="7"/>
  <c r="FV62" i="7"/>
  <c r="FV61" i="7"/>
  <c r="FV60" i="7"/>
  <c r="FV59" i="7"/>
  <c r="FV58" i="7"/>
  <c r="FV57" i="7"/>
  <c r="FZ70" i="7"/>
  <c r="FZ69" i="7"/>
  <c r="FZ68" i="7"/>
  <c r="FZ67" i="7"/>
  <c r="FZ66" i="7"/>
  <c r="FZ65" i="7"/>
  <c r="FZ64" i="7"/>
  <c r="FZ63" i="7"/>
  <c r="FZ62" i="7"/>
  <c r="FZ61" i="7"/>
  <c r="FZ60" i="7"/>
  <c r="FZ59" i="7"/>
  <c r="FZ58" i="7"/>
  <c r="FZ57" i="7"/>
  <c r="FW70" i="7"/>
  <c r="FW69" i="7"/>
  <c r="FW68" i="7"/>
  <c r="FW67" i="7"/>
  <c r="FW66" i="7"/>
  <c r="FW65" i="7"/>
  <c r="FW64" i="7"/>
  <c r="FW63" i="7"/>
  <c r="FW62" i="7"/>
  <c r="FW61" i="7"/>
  <c r="FW60" i="7"/>
  <c r="FW59" i="7"/>
  <c r="FW58" i="7"/>
  <c r="FW57" i="7"/>
  <c r="FU70" i="7"/>
  <c r="FU69" i="7"/>
  <c r="FU68" i="7"/>
  <c r="FU67" i="7"/>
  <c r="FU66" i="7"/>
  <c r="FU65" i="7"/>
  <c r="FU64" i="7"/>
  <c r="FU63" i="7"/>
  <c r="FU62" i="7"/>
  <c r="FU61" i="7"/>
  <c r="FU60" i="7"/>
  <c r="FU59" i="7"/>
  <c r="FU58" i="7"/>
  <c r="FU57" i="7"/>
  <c r="GA71" i="12"/>
  <c r="GA70" i="12"/>
  <c r="GA69" i="12"/>
  <c r="GA68" i="12"/>
  <c r="GA67" i="12"/>
  <c r="GA66" i="12"/>
  <c r="GA65" i="12"/>
  <c r="GA64" i="12"/>
  <c r="GA63" i="12"/>
  <c r="GA62" i="12"/>
  <c r="GA61" i="12"/>
  <c r="GA60" i="12"/>
  <c r="GA59" i="12"/>
  <c r="GA58" i="12"/>
  <c r="FY71" i="12"/>
  <c r="FY70" i="12"/>
  <c r="FY69" i="12"/>
  <c r="FY68" i="12"/>
  <c r="FY67" i="12"/>
  <c r="FY66" i="12"/>
  <c r="FY65" i="12"/>
  <c r="FY64" i="12"/>
  <c r="FY63" i="12"/>
  <c r="FY62" i="12"/>
  <c r="FY61" i="12"/>
  <c r="FY60" i="12"/>
  <c r="FY59" i="12"/>
  <c r="FY58" i="12"/>
  <c r="FX71" i="12"/>
  <c r="FX70" i="12"/>
  <c r="FX69" i="12"/>
  <c r="FX68" i="12"/>
  <c r="FX67" i="12"/>
  <c r="FX66" i="12"/>
  <c r="FX65" i="12"/>
  <c r="FX64" i="12"/>
  <c r="FX63" i="12"/>
  <c r="FX62" i="12"/>
  <c r="FX61" i="12"/>
  <c r="FX60" i="12"/>
  <c r="FX59" i="12"/>
  <c r="FX58" i="12"/>
  <c r="FV71" i="12"/>
  <c r="FV70" i="12"/>
  <c r="FV69" i="12"/>
  <c r="FV68" i="12"/>
  <c r="FV67" i="12"/>
  <c r="FV66" i="12"/>
  <c r="FV65" i="12"/>
  <c r="FV64" i="12"/>
  <c r="FV63" i="12"/>
  <c r="FV62" i="12"/>
  <c r="FV61" i="12"/>
  <c r="FV60" i="12"/>
  <c r="FV59" i="12"/>
  <c r="FV58" i="12"/>
  <c r="FZ71" i="12"/>
  <c r="FZ70" i="12"/>
  <c r="FZ69" i="12"/>
  <c r="FZ68" i="12"/>
  <c r="FZ67" i="12"/>
  <c r="FZ66" i="12"/>
  <c r="FZ65" i="12"/>
  <c r="FZ64" i="12"/>
  <c r="FZ63" i="12"/>
  <c r="FZ62" i="12"/>
  <c r="FZ61" i="12"/>
  <c r="FZ60" i="12"/>
  <c r="FZ59" i="12"/>
  <c r="FZ58" i="12"/>
  <c r="FW71" i="12"/>
  <c r="FW70" i="12"/>
  <c r="FW69" i="12"/>
  <c r="FW68" i="12"/>
  <c r="FW67" i="12"/>
  <c r="FW66" i="12"/>
  <c r="FW65" i="12"/>
  <c r="FW64" i="12"/>
  <c r="FW63" i="12"/>
  <c r="FW62" i="12"/>
  <c r="FW61" i="12"/>
  <c r="FW60" i="12"/>
  <c r="FW59" i="12"/>
  <c r="FW58" i="12"/>
  <c r="FU71" i="12"/>
  <c r="FU70" i="12"/>
  <c r="FU69" i="12"/>
  <c r="FU68" i="12"/>
  <c r="FU67" i="12"/>
  <c r="FU66" i="12"/>
  <c r="FU65" i="12"/>
  <c r="FU64" i="12"/>
  <c r="FU63" i="12"/>
  <c r="FU62" i="12"/>
  <c r="FU61" i="12"/>
  <c r="FU60" i="12"/>
  <c r="FU59" i="12"/>
  <c r="FU58" i="12"/>
  <c r="FZ49" i="12"/>
  <c r="FZ48" i="12"/>
  <c r="FZ47" i="12"/>
  <c r="FZ46" i="12"/>
  <c r="FZ45" i="12"/>
  <c r="FZ44" i="12"/>
  <c r="FZ43" i="12"/>
  <c r="FZ42" i="12"/>
  <c r="FZ41" i="12"/>
  <c r="FZ40" i="12"/>
  <c r="FZ39" i="12"/>
  <c r="FZ38" i="12"/>
  <c r="FZ37" i="12"/>
  <c r="FZ36" i="12"/>
  <c r="FZ35" i="12"/>
  <c r="FZ34" i="12"/>
  <c r="FZ33" i="12"/>
  <c r="FZ32" i="12"/>
  <c r="FZ31" i="12"/>
  <c r="FZ30" i="12"/>
  <c r="FZ29" i="12"/>
  <c r="FZ28" i="12"/>
  <c r="FZ27" i="12"/>
  <c r="FZ26" i="12"/>
  <c r="FZ25" i="12"/>
  <c r="FZ24" i="12"/>
  <c r="FZ23" i="12"/>
  <c r="FZ22" i="12"/>
  <c r="FZ21" i="12"/>
  <c r="FZ20" i="12"/>
  <c r="FZ19" i="12"/>
  <c r="FZ18" i="12"/>
  <c r="FZ17" i="12"/>
  <c r="FZ16" i="12"/>
  <c r="FZ15" i="12"/>
  <c r="FZ14" i="12"/>
  <c r="FZ13" i="12"/>
  <c r="FZ12" i="12"/>
  <c r="FZ11" i="12"/>
  <c r="FZ10" i="12"/>
  <c r="FZ9" i="12"/>
  <c r="FZ8" i="12"/>
  <c r="FZ7" i="12"/>
  <c r="FW49" i="12"/>
  <c r="FW48" i="12"/>
  <c r="FW47" i="12"/>
  <c r="FW46" i="12"/>
  <c r="FW45" i="12"/>
  <c r="FW44" i="12"/>
  <c r="FW43" i="12"/>
  <c r="FW42" i="12"/>
  <c r="FW41" i="12"/>
  <c r="FW40" i="12"/>
  <c r="FW39" i="12"/>
  <c r="FW38" i="12"/>
  <c r="FW37" i="12"/>
  <c r="FW36" i="12"/>
  <c r="FW35" i="12"/>
  <c r="FW34" i="12"/>
  <c r="FW33" i="12"/>
  <c r="FW32" i="12"/>
  <c r="FW31" i="12"/>
  <c r="FW30" i="12"/>
  <c r="FW29" i="12"/>
  <c r="FW28" i="12"/>
  <c r="FW27" i="12"/>
  <c r="FW26" i="12"/>
  <c r="FW25" i="12"/>
  <c r="FW24" i="12"/>
  <c r="FW23" i="12"/>
  <c r="FW22" i="12"/>
  <c r="FW21" i="12"/>
  <c r="FW20" i="12"/>
  <c r="FW19" i="12"/>
  <c r="FW18" i="12"/>
  <c r="FW17" i="12"/>
  <c r="FW16" i="12"/>
  <c r="FW15" i="12"/>
  <c r="FW14" i="12"/>
  <c r="FW13" i="12"/>
  <c r="FW12" i="12"/>
  <c r="FW11" i="12"/>
  <c r="FW10" i="12"/>
  <c r="FW9" i="12"/>
  <c r="FW8" i="12"/>
  <c r="FW7" i="12"/>
  <c r="FU49" i="12"/>
  <c r="FU48" i="12"/>
  <c r="FU47" i="12"/>
  <c r="FU46" i="12"/>
  <c r="FU45" i="12"/>
  <c r="FU44" i="12"/>
  <c r="FU43" i="12"/>
  <c r="FU42" i="12"/>
  <c r="FU41" i="12"/>
  <c r="FU40" i="12"/>
  <c r="FU39" i="12"/>
  <c r="FU38" i="12"/>
  <c r="FU37" i="12"/>
  <c r="FU36" i="12"/>
  <c r="FU35" i="12"/>
  <c r="FU34" i="12"/>
  <c r="FU33" i="12"/>
  <c r="FU32" i="12"/>
  <c r="FU31" i="12"/>
  <c r="FU30" i="12"/>
  <c r="FU29" i="12"/>
  <c r="FU28" i="12"/>
  <c r="FU27" i="12"/>
  <c r="FU26" i="12"/>
  <c r="FU25" i="12"/>
  <c r="FU24" i="12"/>
  <c r="FU23" i="12"/>
  <c r="FU22" i="12"/>
  <c r="FU21" i="12"/>
  <c r="FU20" i="12"/>
  <c r="FU19" i="12"/>
  <c r="FU18" i="12"/>
  <c r="FU17" i="12"/>
  <c r="FU16" i="12"/>
  <c r="FU15" i="12"/>
  <c r="FU14" i="12"/>
  <c r="FU13" i="12"/>
  <c r="FU12" i="12"/>
  <c r="FU11" i="12"/>
  <c r="FU10" i="12"/>
  <c r="FU9" i="12"/>
  <c r="FU8" i="12"/>
  <c r="FU7" i="12"/>
  <c r="FZ49" i="7"/>
  <c r="FZ48" i="7"/>
  <c r="FZ47" i="7"/>
  <c r="FZ46" i="7"/>
  <c r="FZ45" i="7"/>
  <c r="FZ44" i="7"/>
  <c r="FZ43" i="7"/>
  <c r="FZ42" i="7"/>
  <c r="FZ41" i="7"/>
  <c r="FZ40" i="7"/>
  <c r="FZ39" i="7"/>
  <c r="FZ38" i="7"/>
  <c r="FZ37" i="7"/>
  <c r="FZ36" i="7"/>
  <c r="FZ35" i="7"/>
  <c r="FZ34" i="7"/>
  <c r="FZ33" i="7"/>
  <c r="FZ32" i="7"/>
  <c r="FZ31" i="7"/>
  <c r="FZ30" i="7"/>
  <c r="FZ29" i="7"/>
  <c r="FZ28" i="7"/>
  <c r="FZ27" i="7"/>
  <c r="FZ26" i="7"/>
  <c r="FZ25" i="7"/>
  <c r="FZ24" i="7"/>
  <c r="FZ23" i="7"/>
  <c r="FZ22" i="7"/>
  <c r="FZ21" i="7"/>
  <c r="FZ20" i="7"/>
  <c r="FZ19" i="7"/>
  <c r="FZ18" i="7"/>
  <c r="FZ17" i="7"/>
  <c r="FZ16" i="7"/>
  <c r="FZ15" i="7"/>
  <c r="FZ14" i="7"/>
  <c r="FZ13" i="7"/>
  <c r="FZ12" i="7"/>
  <c r="FZ11" i="7"/>
  <c r="FZ10" i="7"/>
  <c r="FZ9" i="7"/>
  <c r="FZ8" i="7"/>
  <c r="FZ7" i="7"/>
  <c r="FY49" i="7"/>
  <c r="FY48" i="7"/>
  <c r="FY47" i="7"/>
  <c r="FY46" i="7"/>
  <c r="FY45" i="7"/>
  <c r="FY44" i="7"/>
  <c r="FY43" i="7"/>
  <c r="FY42" i="7"/>
  <c r="FY41" i="7"/>
  <c r="FY40" i="7"/>
  <c r="FY39" i="7"/>
  <c r="FY38" i="7"/>
  <c r="FY37" i="7"/>
  <c r="FY36" i="7"/>
  <c r="FY35" i="7"/>
  <c r="FY34" i="7"/>
  <c r="FY33" i="7"/>
  <c r="FY32" i="7"/>
  <c r="FY31" i="7"/>
  <c r="FY30" i="7"/>
  <c r="FY29" i="7"/>
  <c r="FY28" i="7"/>
  <c r="FY27" i="7"/>
  <c r="FY26" i="7"/>
  <c r="FY25" i="7"/>
  <c r="FY24" i="7"/>
  <c r="FY23" i="7"/>
  <c r="FY22" i="7"/>
  <c r="FY21" i="7"/>
  <c r="FY20" i="7"/>
  <c r="FY19" i="7"/>
  <c r="FY18" i="7"/>
  <c r="FY17" i="7"/>
  <c r="FY16" i="7"/>
  <c r="FY15" i="7"/>
  <c r="FY14" i="7"/>
  <c r="FY13" i="7"/>
  <c r="FY12" i="7"/>
  <c r="FY11" i="7"/>
  <c r="FY10" i="7"/>
  <c r="FY9" i="7"/>
  <c r="FY8" i="7"/>
  <c r="FY7" i="7"/>
  <c r="FX49" i="7"/>
  <c r="FX48" i="7"/>
  <c r="FX47" i="7"/>
  <c r="FX46" i="7"/>
  <c r="FX45" i="7"/>
  <c r="FX44" i="7"/>
  <c r="FX43" i="7"/>
  <c r="FX42" i="7"/>
  <c r="FX41" i="7"/>
  <c r="FX40" i="7"/>
  <c r="FX39" i="7"/>
  <c r="FX38" i="7"/>
  <c r="FX37" i="7"/>
  <c r="FX36" i="7"/>
  <c r="FX35" i="7"/>
  <c r="FX34" i="7"/>
  <c r="FX33" i="7"/>
  <c r="FX32" i="7"/>
  <c r="FX31" i="7"/>
  <c r="FX30" i="7"/>
  <c r="FX29" i="7"/>
  <c r="FX28" i="7"/>
  <c r="FX27" i="7"/>
  <c r="FX26" i="7"/>
  <c r="FX25" i="7"/>
  <c r="FX24" i="7"/>
  <c r="FX23" i="7"/>
  <c r="FX22" i="7"/>
  <c r="FX21" i="7"/>
  <c r="FX20" i="7"/>
  <c r="FX19" i="7"/>
  <c r="FX18" i="7"/>
  <c r="FX17" i="7"/>
  <c r="FX16" i="7"/>
  <c r="FX15" i="7"/>
  <c r="FX14" i="7"/>
  <c r="FX13" i="7"/>
  <c r="FX12" i="7"/>
  <c r="FX11" i="7"/>
  <c r="FX10" i="7"/>
  <c r="FX9" i="7"/>
  <c r="FX8" i="7"/>
  <c r="FX7" i="7"/>
  <c r="FW49" i="7"/>
  <c r="FW48" i="7"/>
  <c r="FW47" i="7"/>
  <c r="FW46" i="7"/>
  <c r="FW45" i="7"/>
  <c r="FW44" i="7"/>
  <c r="FW43" i="7"/>
  <c r="FW42" i="7"/>
  <c r="FW41" i="7"/>
  <c r="FW40" i="7"/>
  <c r="FW39" i="7"/>
  <c r="FW38" i="7"/>
  <c r="FW37" i="7"/>
  <c r="FW36" i="7"/>
  <c r="FW35" i="7"/>
  <c r="FW34" i="7"/>
  <c r="FW33" i="7"/>
  <c r="FW32" i="7"/>
  <c r="FW31" i="7"/>
  <c r="FW30" i="7"/>
  <c r="FW29" i="7"/>
  <c r="FW28" i="7"/>
  <c r="FW27" i="7"/>
  <c r="FW26" i="7"/>
  <c r="FW25" i="7"/>
  <c r="FW24" i="7"/>
  <c r="FW23" i="7"/>
  <c r="FW22" i="7"/>
  <c r="FW21" i="7"/>
  <c r="FW20" i="7"/>
  <c r="FW19" i="7"/>
  <c r="FW18" i="7"/>
  <c r="FW17" i="7"/>
  <c r="FW16" i="7"/>
  <c r="FW15" i="7"/>
  <c r="FW14" i="7"/>
  <c r="FW13" i="7"/>
  <c r="FW12" i="7"/>
  <c r="FW11" i="7"/>
  <c r="FW10" i="7"/>
  <c r="FW9" i="7"/>
  <c r="FW8" i="7"/>
  <c r="FW7" i="7"/>
  <c r="FU49" i="7"/>
  <c r="FU48" i="7"/>
  <c r="FU47" i="7"/>
  <c r="FU46" i="7"/>
  <c r="FU45" i="7"/>
  <c r="FU44" i="7"/>
  <c r="FU43" i="7"/>
  <c r="FU42" i="7"/>
  <c r="FU41" i="7"/>
  <c r="FU40" i="7"/>
  <c r="FU39" i="7"/>
  <c r="FU38" i="7"/>
  <c r="FU37" i="7"/>
  <c r="FU36" i="7"/>
  <c r="FU35" i="7"/>
  <c r="FU34" i="7"/>
  <c r="FU33" i="7"/>
  <c r="FU32" i="7"/>
  <c r="FU31" i="7"/>
  <c r="FU30" i="7"/>
  <c r="FU29" i="7"/>
  <c r="FU28" i="7"/>
  <c r="FU27" i="7"/>
  <c r="FU26" i="7"/>
  <c r="FU25" i="7"/>
  <c r="FU24" i="7"/>
  <c r="FU23" i="7"/>
  <c r="FU22" i="7"/>
  <c r="FU21" i="7"/>
  <c r="FU20" i="7"/>
  <c r="FU19" i="7"/>
  <c r="FU18" i="7"/>
  <c r="FU17" i="7"/>
  <c r="FU16" i="7"/>
  <c r="FU15" i="7"/>
  <c r="FU14" i="7"/>
  <c r="FU13" i="7"/>
  <c r="FU12" i="7"/>
  <c r="FU11" i="7"/>
  <c r="FU10" i="7"/>
  <c r="FU9" i="7"/>
  <c r="FU8" i="7"/>
  <c r="FU7" i="7"/>
  <c r="GA6" i="7"/>
  <c r="GA5" i="7"/>
  <c r="GA6" i="12"/>
  <c r="GA5" i="12"/>
  <c r="GA4" i="12"/>
  <c r="CK7" i="13"/>
  <c r="CL7" i="13"/>
  <c r="CM7" i="13"/>
  <c r="CN7" i="13"/>
  <c r="CO7" i="13"/>
  <c r="CP7" i="13"/>
  <c r="CQ7" i="13"/>
  <c r="CR7" i="13"/>
  <c r="CS7" i="13"/>
  <c r="CT7" i="13"/>
  <c r="CU7" i="13"/>
  <c r="CV7" i="13"/>
  <c r="CW7" i="13"/>
  <c r="CX7" i="13"/>
  <c r="CY7" i="13"/>
  <c r="CZ7" i="13"/>
  <c r="DA7" i="13"/>
  <c r="DB7" i="13"/>
  <c r="DC7" i="13"/>
  <c r="DD7" i="13"/>
  <c r="DE7" i="13"/>
  <c r="DF7" i="13"/>
  <c r="DG7" i="13"/>
  <c r="DH7" i="13"/>
  <c r="DI7" i="13"/>
  <c r="DJ7" i="13"/>
  <c r="DK7" i="13"/>
  <c r="DL7" i="13"/>
  <c r="DM7" i="13"/>
  <c r="DN7" i="13"/>
  <c r="DO7" i="13"/>
  <c r="DP7" i="13"/>
  <c r="DQ7" i="13"/>
  <c r="DR7" i="13"/>
  <c r="DS7" i="13"/>
  <c r="DT7" i="13"/>
  <c r="DU7" i="13"/>
  <c r="DV7" i="13"/>
  <c r="DW7" i="13"/>
  <c r="DX7" i="13"/>
  <c r="DY7" i="13"/>
  <c r="DZ7" i="13"/>
  <c r="EA7" i="13"/>
  <c r="EB7" i="13"/>
  <c r="EC7" i="13"/>
  <c r="ED7" i="13"/>
  <c r="EE7" i="13"/>
  <c r="EF7" i="13"/>
  <c r="EG7" i="13"/>
  <c r="EH7" i="13"/>
  <c r="EI7" i="13"/>
  <c r="EJ7" i="13"/>
  <c r="EK7" i="13"/>
  <c r="EL7" i="13"/>
  <c r="EM7" i="13"/>
  <c r="EN7" i="13"/>
  <c r="EO7" i="13"/>
  <c r="EP7" i="13"/>
  <c r="EQ7" i="13"/>
  <c r="ER7" i="13"/>
  <c r="ES7" i="13"/>
  <c r="ET7" i="13"/>
  <c r="EU7" i="13"/>
  <c r="EV7" i="13"/>
  <c r="EW7" i="13"/>
  <c r="EX7" i="13"/>
  <c r="EY7" i="13"/>
  <c r="EZ7" i="13"/>
  <c r="FA7" i="13"/>
  <c r="FB7" i="13"/>
  <c r="FC7" i="13"/>
  <c r="FD7" i="13"/>
  <c r="FE7" i="13"/>
  <c r="FF7" i="13"/>
  <c r="FG7" i="13"/>
  <c r="FH7" i="13"/>
  <c r="FR7" i="13"/>
  <c r="FS7" i="13"/>
  <c r="FT7" i="13"/>
  <c r="FY49" i="13"/>
  <c r="FW49" i="13"/>
  <c r="FV49" i="13"/>
  <c r="FY48" i="13"/>
  <c r="FW48" i="13"/>
  <c r="FV48" i="13"/>
  <c r="FY47" i="13"/>
  <c r="FW47" i="13"/>
  <c r="FV47" i="13"/>
  <c r="FY46" i="13"/>
  <c r="FW46" i="13"/>
  <c r="FV46" i="13"/>
  <c r="FY45" i="13"/>
  <c r="FW45" i="13"/>
  <c r="FV45" i="13"/>
  <c r="FY44" i="13"/>
  <c r="FW44" i="13"/>
  <c r="FV44" i="13"/>
  <c r="FY43" i="13"/>
  <c r="FW43" i="13"/>
  <c r="FV43" i="13"/>
  <c r="FY42" i="13"/>
  <c r="FW42" i="13"/>
  <c r="FV42" i="13"/>
  <c r="FY41" i="13"/>
  <c r="FW41" i="13"/>
  <c r="FV41" i="13"/>
  <c r="FY40" i="13"/>
  <c r="FW40" i="13"/>
  <c r="FV40" i="13"/>
  <c r="FY39" i="13"/>
  <c r="FW39" i="13"/>
  <c r="FV39" i="13"/>
  <c r="FY38" i="13"/>
  <c r="FW38" i="13"/>
  <c r="FV38" i="13"/>
  <c r="FY37" i="13"/>
  <c r="FW37" i="13"/>
  <c r="FV37" i="13"/>
  <c r="FY36" i="13"/>
  <c r="FW36" i="13"/>
  <c r="FV36" i="13"/>
  <c r="FY35" i="13"/>
  <c r="FW35" i="13"/>
  <c r="FV35" i="13"/>
  <c r="FY34" i="13"/>
  <c r="FW34" i="13"/>
  <c r="FV34" i="13"/>
  <c r="FY33" i="13"/>
  <c r="FW33" i="13"/>
  <c r="FV33" i="13"/>
  <c r="FY32" i="13"/>
  <c r="FW32" i="13"/>
  <c r="FV32" i="13"/>
  <c r="FY31" i="13"/>
  <c r="FW31" i="13"/>
  <c r="FV31" i="13"/>
  <c r="FY30" i="13"/>
  <c r="FW30" i="13"/>
  <c r="FV30" i="13"/>
  <c r="FY29" i="13"/>
  <c r="FW29" i="13"/>
  <c r="FV29" i="13"/>
  <c r="FY28" i="13"/>
  <c r="FW28" i="13"/>
  <c r="FV28" i="13"/>
  <c r="FY27" i="13"/>
  <c r="FW27" i="13"/>
  <c r="FV27" i="13"/>
  <c r="FY26" i="13"/>
  <c r="FW26" i="13"/>
  <c r="FV26" i="13"/>
  <c r="FY25" i="13"/>
  <c r="FW25" i="13"/>
  <c r="FV25" i="13"/>
  <c r="FY24" i="13"/>
  <c r="FW24" i="13"/>
  <c r="FV24" i="13"/>
  <c r="FY23" i="13"/>
  <c r="FW23" i="13"/>
  <c r="FV23" i="13"/>
  <c r="FY22" i="13"/>
  <c r="FW22" i="13"/>
  <c r="FV22" i="13"/>
  <c r="GA49" i="12"/>
  <c r="FY49" i="12"/>
  <c r="FX49" i="12"/>
  <c r="FV49" i="12"/>
  <c r="GA48" i="12"/>
  <c r="FY48" i="12"/>
  <c r="FX48" i="12"/>
  <c r="FV48" i="12"/>
  <c r="GA47" i="12"/>
  <c r="FY47" i="12"/>
  <c r="FX47" i="12"/>
  <c r="FV47" i="12"/>
  <c r="GA46" i="12"/>
  <c r="FY46" i="12"/>
  <c r="FX46" i="12"/>
  <c r="FV46" i="12"/>
  <c r="GA45" i="12"/>
  <c r="FY45" i="12"/>
  <c r="FX45" i="12"/>
  <c r="FV45" i="12"/>
  <c r="GA44" i="12"/>
  <c r="FY44" i="12"/>
  <c r="FX44" i="12"/>
  <c r="FV44" i="12"/>
  <c r="GA43" i="12"/>
  <c r="FY43" i="12"/>
  <c r="FX43" i="12"/>
  <c r="FV43" i="12"/>
  <c r="GA42" i="12"/>
  <c r="FY42" i="12"/>
  <c r="FX42" i="12"/>
  <c r="FV42" i="12"/>
  <c r="GA41" i="12"/>
  <c r="FY41" i="12"/>
  <c r="FX41" i="12"/>
  <c r="FV41" i="12"/>
  <c r="GA40" i="12"/>
  <c r="FY40" i="12"/>
  <c r="FX40" i="12"/>
  <c r="FV40" i="12"/>
  <c r="GA39" i="12"/>
  <c r="FY39" i="12"/>
  <c r="FX39" i="12"/>
  <c r="FV39" i="12"/>
  <c r="GA38" i="12"/>
  <c r="FY38" i="12"/>
  <c r="FX38" i="12"/>
  <c r="FV38" i="12"/>
  <c r="GA37" i="12"/>
  <c r="FY37" i="12"/>
  <c r="FX37" i="12"/>
  <c r="FV37" i="12"/>
  <c r="GA36" i="12"/>
  <c r="FY36" i="12"/>
  <c r="FX36" i="12"/>
  <c r="FV36" i="12"/>
  <c r="GA35" i="12"/>
  <c r="FY35" i="12"/>
  <c r="FX35" i="12"/>
  <c r="FV35" i="12"/>
  <c r="GA34" i="12"/>
  <c r="FY34" i="12"/>
  <c r="FX34" i="12"/>
  <c r="FV34" i="12"/>
  <c r="GA33" i="12"/>
  <c r="FY33" i="12"/>
  <c r="FX33" i="12"/>
  <c r="FV33" i="12"/>
  <c r="GA32" i="12"/>
  <c r="FY32" i="12"/>
  <c r="FX32" i="12"/>
  <c r="FV32" i="12"/>
  <c r="GA31" i="12"/>
  <c r="FY31" i="12"/>
  <c r="FX31" i="12"/>
  <c r="FV31" i="12"/>
  <c r="GA30" i="12"/>
  <c r="FY30" i="12"/>
  <c r="FX30" i="12"/>
  <c r="FV30" i="12"/>
  <c r="GA29" i="12"/>
  <c r="FY29" i="12"/>
  <c r="FX29" i="12"/>
  <c r="FV29" i="12"/>
  <c r="GA28" i="12"/>
  <c r="FY28" i="12"/>
  <c r="FX28" i="12"/>
  <c r="FV28" i="12"/>
  <c r="GA27" i="12"/>
  <c r="FY27" i="12"/>
  <c r="FX27" i="12"/>
  <c r="FV27" i="12"/>
  <c r="GA26" i="12"/>
  <c r="FY26" i="12"/>
  <c r="FX26" i="12"/>
  <c r="FV26" i="12"/>
  <c r="GA25" i="12"/>
  <c r="FY25" i="12"/>
  <c r="FX25" i="12"/>
  <c r="FV25" i="12"/>
  <c r="GA24" i="12"/>
  <c r="FY24" i="12"/>
  <c r="FX24" i="12"/>
  <c r="FV24" i="12"/>
  <c r="GA23" i="12"/>
  <c r="FY23" i="12"/>
  <c r="FX23" i="12"/>
  <c r="FV23" i="12"/>
  <c r="GA22" i="12"/>
  <c r="FY22" i="12"/>
  <c r="FX22" i="12"/>
  <c r="FV22" i="12"/>
  <c r="GA21" i="12"/>
  <c r="FY21" i="12"/>
  <c r="FX21" i="12"/>
  <c r="FV21" i="12"/>
  <c r="GA20" i="12"/>
  <c r="FY20" i="12"/>
  <c r="FX20" i="12"/>
  <c r="FV20" i="12"/>
  <c r="GA19" i="12"/>
  <c r="FY19" i="12"/>
  <c r="FX19" i="12"/>
  <c r="FV19" i="12"/>
  <c r="GA18" i="12"/>
  <c r="FY18" i="12"/>
  <c r="FX18" i="12"/>
  <c r="FV18" i="12"/>
  <c r="GA17" i="12"/>
  <c r="FY17" i="12"/>
  <c r="FX17" i="12"/>
  <c r="FV17" i="12"/>
  <c r="GA16" i="12"/>
  <c r="FY16" i="12"/>
  <c r="FX16" i="12"/>
  <c r="FV16" i="12"/>
  <c r="GA15" i="12"/>
  <c r="FY15" i="12"/>
  <c r="FX15" i="12"/>
  <c r="FV15" i="12"/>
  <c r="GA14" i="12"/>
  <c r="FY14" i="12"/>
  <c r="FX14" i="12"/>
  <c r="FV14" i="12"/>
  <c r="GA13" i="12"/>
  <c r="FY13" i="12"/>
  <c r="FX13" i="12"/>
  <c r="FV13" i="12"/>
  <c r="GA12" i="12"/>
  <c r="FY12" i="12"/>
  <c r="FX12" i="12"/>
  <c r="FV12" i="12"/>
  <c r="GA11" i="12"/>
  <c r="FY11" i="12"/>
  <c r="FX11" i="12"/>
  <c r="FV11" i="12"/>
  <c r="GA10" i="12"/>
  <c r="FY10" i="12"/>
  <c r="FX10" i="12"/>
  <c r="FV10" i="12"/>
  <c r="GA9" i="12"/>
  <c r="FY9" i="12"/>
  <c r="FX9" i="12"/>
  <c r="FV9" i="12"/>
  <c r="GA8" i="12"/>
  <c r="FY8" i="12"/>
  <c r="FX8" i="12"/>
  <c r="FV8" i="12"/>
  <c r="GA7" i="12"/>
  <c r="FY7" i="12"/>
  <c r="FX7" i="12"/>
  <c r="FV7" i="12"/>
  <c r="GA49" i="7"/>
  <c r="FV49" i="7"/>
  <c r="GA48" i="7"/>
  <c r="FV48" i="7"/>
  <c r="GA47" i="7"/>
  <c r="FV47" i="7"/>
  <c r="GA46" i="7"/>
  <c r="FV46" i="7"/>
  <c r="GA45" i="7"/>
  <c r="FV45" i="7"/>
  <c r="GA44" i="7"/>
  <c r="FV44" i="7"/>
  <c r="GA43" i="7"/>
  <c r="FV43" i="7"/>
  <c r="GA42" i="7"/>
  <c r="FV42" i="7"/>
  <c r="GA41" i="7"/>
  <c r="FV41" i="7"/>
  <c r="GA40" i="7"/>
  <c r="FV40" i="7"/>
  <c r="GA39" i="7"/>
  <c r="FV39" i="7"/>
  <c r="GA38" i="7"/>
  <c r="FV38" i="7"/>
  <c r="GA37" i="7"/>
  <c r="FV37" i="7"/>
  <c r="GA36" i="7"/>
  <c r="FV36" i="7"/>
  <c r="GA35" i="7"/>
  <c r="FV35" i="7"/>
  <c r="GA34" i="7"/>
  <c r="FV34" i="7"/>
  <c r="GA33" i="7"/>
  <c r="FV33" i="7"/>
  <c r="GA32" i="7"/>
  <c r="FV32" i="7"/>
  <c r="GA31" i="7"/>
  <c r="FV31" i="7"/>
  <c r="GA30" i="7"/>
  <c r="FV30" i="7"/>
  <c r="GA29" i="7"/>
  <c r="FV29" i="7"/>
  <c r="GA28" i="7"/>
  <c r="FV28" i="7"/>
  <c r="GA27" i="7"/>
  <c r="FV27" i="7"/>
  <c r="GA26" i="7"/>
  <c r="FV26" i="7"/>
  <c r="GA25" i="7"/>
  <c r="FV25" i="7"/>
  <c r="GA24" i="7"/>
  <c r="FV24" i="7"/>
  <c r="GA23" i="7"/>
  <c r="FV23" i="7"/>
  <c r="GA22" i="7"/>
  <c r="FV22" i="7"/>
  <c r="GA21" i="7"/>
  <c r="FV21" i="7"/>
  <c r="GA20" i="7"/>
  <c r="FV20" i="7"/>
  <c r="GA19" i="7"/>
  <c r="FV19" i="7"/>
  <c r="GA18" i="7"/>
  <c r="FV18" i="7"/>
  <c r="GA17" i="7"/>
  <c r="FV17" i="7"/>
  <c r="GA16" i="7"/>
  <c r="FV16" i="7"/>
  <c r="GA15" i="7"/>
  <c r="FV15" i="7"/>
  <c r="GA14" i="7"/>
  <c r="FV14" i="7"/>
  <c r="GA13" i="7"/>
  <c r="FV13" i="7"/>
  <c r="GA12" i="7"/>
  <c r="FV12" i="7"/>
  <c r="GA11" i="7"/>
  <c r="FV11" i="7"/>
  <c r="GA10" i="7"/>
  <c r="FV10" i="7"/>
  <c r="GA9" i="7"/>
  <c r="FV9" i="7"/>
  <c r="GA8" i="7"/>
  <c r="FV8" i="7"/>
  <c r="FV50" i="7" s="1"/>
  <c r="GA7" i="7"/>
  <c r="FV7" i="7"/>
  <c r="FU51" i="14"/>
  <c r="FU51" i="10"/>
  <c r="GA50" i="10"/>
  <c r="FZ50" i="10"/>
  <c r="FY50" i="10"/>
  <c r="FX50" i="10"/>
  <c r="FW50" i="10"/>
  <c r="FV50" i="10"/>
  <c r="FU50" i="10"/>
  <c r="GA50" i="9"/>
  <c r="FZ50" i="9"/>
  <c r="FY50" i="9"/>
  <c r="FX50" i="9"/>
  <c r="FW50" i="9"/>
  <c r="FV50" i="9"/>
  <c r="FU50" i="9"/>
  <c r="FU51" i="9" s="1"/>
  <c r="GA50" i="6"/>
  <c r="FZ50" i="6"/>
  <c r="FY50" i="6"/>
  <c r="FX50" i="6"/>
  <c r="FW50" i="6"/>
  <c r="FV50" i="6"/>
  <c r="FU50" i="6"/>
  <c r="FU51" i="6" s="1"/>
  <c r="GA50" i="14"/>
  <c r="FZ50" i="14"/>
  <c r="FY50" i="14"/>
  <c r="FX50" i="14"/>
  <c r="FW50" i="14"/>
  <c r="FV50" i="14"/>
  <c r="FU50" i="14"/>
  <c r="FX69" i="13" l="1"/>
  <c r="FZ69" i="13"/>
  <c r="FU69" i="13"/>
  <c r="FV69" i="13"/>
  <c r="FW69" i="13"/>
  <c r="FY69" i="13"/>
  <c r="FX50" i="12"/>
  <c r="FZ50" i="12"/>
  <c r="FU50" i="12"/>
  <c r="GA50" i="12"/>
  <c r="FW50" i="12"/>
  <c r="FY50" i="12"/>
  <c r="FV50" i="12"/>
  <c r="GA72" i="12"/>
  <c r="FW72" i="12"/>
  <c r="FV72" i="12"/>
  <c r="FX72" i="12"/>
  <c r="FZ72" i="12"/>
  <c r="FY72" i="12"/>
  <c r="FU72" i="12"/>
  <c r="GA50" i="7"/>
  <c r="FX50" i="7"/>
  <c r="FU50" i="7"/>
  <c r="FY50" i="7"/>
  <c r="FZ50" i="7"/>
  <c r="FZ50" i="13"/>
  <c r="FW50" i="7"/>
  <c r="FX50" i="13"/>
  <c r="FW50" i="13"/>
  <c r="FY50" i="13"/>
  <c r="FV50" i="13"/>
  <c r="FU50" i="13"/>
  <c r="FU51" i="12" l="1"/>
  <c r="FU51" i="7"/>
  <c r="FU51" i="13"/>
  <c r="FT69" i="14" l="1"/>
  <c r="FS69" i="14"/>
  <c r="FR69" i="14"/>
  <c r="FT68" i="14"/>
  <c r="FS68" i="14"/>
  <c r="FR68" i="14"/>
  <c r="FT67" i="14"/>
  <c r="FS67" i="14"/>
  <c r="FR67" i="14"/>
  <c r="FT66" i="14"/>
  <c r="FS66" i="14"/>
  <c r="FR66" i="14"/>
  <c r="FT65" i="14"/>
  <c r="FS65" i="14"/>
  <c r="FR65" i="14"/>
  <c r="FT64" i="14"/>
  <c r="FS64" i="14"/>
  <c r="FR64" i="14"/>
  <c r="FT63" i="14"/>
  <c r="FS63" i="14"/>
  <c r="FR63" i="14"/>
  <c r="FT62" i="14"/>
  <c r="FS62" i="14"/>
  <c r="FR62" i="14"/>
  <c r="FT61" i="14"/>
  <c r="FS61" i="14"/>
  <c r="FR61" i="14"/>
  <c r="FT60" i="14"/>
  <c r="FS60" i="14"/>
  <c r="FR60" i="14"/>
  <c r="FT59" i="14"/>
  <c r="FS59" i="14"/>
  <c r="FR59" i="14"/>
  <c r="FT58" i="14"/>
  <c r="FS58" i="14"/>
  <c r="FR58" i="14"/>
  <c r="FT57" i="14"/>
  <c r="FS57" i="14"/>
  <c r="FR57" i="14"/>
  <c r="FT56" i="14"/>
  <c r="FS56" i="14"/>
  <c r="FR56" i="14"/>
  <c r="FG39" i="14"/>
  <c r="FT49" i="14"/>
  <c r="FS49" i="14"/>
  <c r="FR49" i="14"/>
  <c r="FQ49" i="14"/>
  <c r="FP49" i="14"/>
  <c r="FO49" i="14"/>
  <c r="FN49" i="14"/>
  <c r="FM49" i="14"/>
  <c r="FL49" i="14"/>
  <c r="FH49" i="14"/>
  <c r="FT48" i="14"/>
  <c r="FS48" i="14"/>
  <c r="FR48" i="14"/>
  <c r="FQ48" i="14"/>
  <c r="FP48" i="14"/>
  <c r="FO48" i="14"/>
  <c r="FN48" i="14"/>
  <c r="FM48" i="14"/>
  <c r="FL48" i="14"/>
  <c r="FH48" i="14"/>
  <c r="FT47" i="14"/>
  <c r="FS47" i="14"/>
  <c r="FR47" i="14"/>
  <c r="FQ47" i="14"/>
  <c r="FP47" i="14"/>
  <c r="FO47" i="14"/>
  <c r="FN47" i="14"/>
  <c r="FM47" i="14"/>
  <c r="FL47" i="14"/>
  <c r="FH47" i="14"/>
  <c r="FT46" i="14"/>
  <c r="FS46" i="14"/>
  <c r="FR46" i="14"/>
  <c r="FQ46" i="14"/>
  <c r="FP46" i="14"/>
  <c r="FO46" i="14"/>
  <c r="FN46" i="14"/>
  <c r="FM46" i="14"/>
  <c r="FL46" i="14"/>
  <c r="FH46" i="14"/>
  <c r="FT45" i="14"/>
  <c r="FS45" i="14"/>
  <c r="FR45" i="14"/>
  <c r="FQ45" i="14"/>
  <c r="FP45" i="14"/>
  <c r="FO45" i="14"/>
  <c r="FN45" i="14"/>
  <c r="FM45" i="14"/>
  <c r="FL45" i="14"/>
  <c r="FH45" i="14"/>
  <c r="FT44" i="14"/>
  <c r="FS44" i="14"/>
  <c r="FR44" i="14"/>
  <c r="FQ44" i="14"/>
  <c r="FP44" i="14"/>
  <c r="FO44" i="14"/>
  <c r="FN44" i="14"/>
  <c r="FM44" i="14"/>
  <c r="FL44" i="14"/>
  <c r="FH44" i="14"/>
  <c r="FT43" i="14"/>
  <c r="FS43" i="14"/>
  <c r="FR43" i="14"/>
  <c r="FQ43" i="14"/>
  <c r="FP43" i="14"/>
  <c r="FO43" i="14"/>
  <c r="FN43" i="14"/>
  <c r="FM43" i="14"/>
  <c r="FL43" i="14"/>
  <c r="FH43" i="14"/>
  <c r="FT42" i="14"/>
  <c r="FS42" i="14"/>
  <c r="FR42" i="14"/>
  <c r="FQ42" i="14"/>
  <c r="FP42" i="14"/>
  <c r="FO42" i="14"/>
  <c r="FN42" i="14"/>
  <c r="FM42" i="14"/>
  <c r="FL42" i="14"/>
  <c r="FH42" i="14"/>
  <c r="FT41" i="14"/>
  <c r="FS41" i="14"/>
  <c r="FR41" i="14"/>
  <c r="FQ41" i="14"/>
  <c r="FP41" i="14"/>
  <c r="FO41" i="14"/>
  <c r="FN41" i="14"/>
  <c r="FM41" i="14"/>
  <c r="FL41" i="14"/>
  <c r="FH41" i="14"/>
  <c r="FT40" i="14"/>
  <c r="FS40" i="14"/>
  <c r="FR40" i="14"/>
  <c r="FQ40" i="14"/>
  <c r="FP40" i="14"/>
  <c r="FO40" i="14"/>
  <c r="FN40" i="14"/>
  <c r="FM40" i="14"/>
  <c r="FL40" i="14"/>
  <c r="FH40" i="14"/>
  <c r="FT39" i="14"/>
  <c r="FS39" i="14"/>
  <c r="FR39" i="14"/>
  <c r="FQ39" i="14"/>
  <c r="FP39" i="14"/>
  <c r="FO39" i="14"/>
  <c r="FN39" i="14"/>
  <c r="FM39" i="14"/>
  <c r="FL39" i="14"/>
  <c r="FH39" i="14"/>
  <c r="FT38" i="14"/>
  <c r="FS38" i="14"/>
  <c r="FR38" i="14"/>
  <c r="FQ38" i="14"/>
  <c r="FP38" i="14"/>
  <c r="FO38" i="14"/>
  <c r="FN38" i="14"/>
  <c r="FM38" i="14"/>
  <c r="FL38" i="14"/>
  <c r="FH38" i="14"/>
  <c r="FT37" i="14"/>
  <c r="FS37" i="14"/>
  <c r="FR37" i="14"/>
  <c r="FQ37" i="14"/>
  <c r="FP37" i="14"/>
  <c r="FO37" i="14"/>
  <c r="FN37" i="14"/>
  <c r="FM37" i="14"/>
  <c r="FL37" i="14"/>
  <c r="FH37" i="14"/>
  <c r="FT36" i="14"/>
  <c r="FS36" i="14"/>
  <c r="FR36" i="14"/>
  <c r="FQ36" i="14"/>
  <c r="FP36" i="14"/>
  <c r="FO36" i="14"/>
  <c r="FN36" i="14"/>
  <c r="FM36" i="14"/>
  <c r="FL36" i="14"/>
  <c r="FH36" i="14"/>
  <c r="FT35" i="14"/>
  <c r="FS35" i="14"/>
  <c r="FR35" i="14"/>
  <c r="FQ35" i="14"/>
  <c r="FP35" i="14"/>
  <c r="FO35" i="14"/>
  <c r="FN35" i="14"/>
  <c r="FM35" i="14"/>
  <c r="FL35" i="14"/>
  <c r="FH35" i="14"/>
  <c r="FT34" i="14"/>
  <c r="FS34" i="14"/>
  <c r="FR34" i="14"/>
  <c r="FQ34" i="14"/>
  <c r="FP34" i="14"/>
  <c r="FO34" i="14"/>
  <c r="FN34" i="14"/>
  <c r="FM34" i="14"/>
  <c r="FL34" i="14"/>
  <c r="FH34" i="14"/>
  <c r="FT33" i="14"/>
  <c r="FS33" i="14"/>
  <c r="FR33" i="14"/>
  <c r="FQ33" i="14"/>
  <c r="FP33" i="14"/>
  <c r="FO33" i="14"/>
  <c r="FN33" i="14"/>
  <c r="FM33" i="14"/>
  <c r="FL33" i="14"/>
  <c r="FH33" i="14"/>
  <c r="FT32" i="14"/>
  <c r="FS32" i="14"/>
  <c r="FR32" i="14"/>
  <c r="FQ32" i="14"/>
  <c r="FP32" i="14"/>
  <c r="FO32" i="14"/>
  <c r="FN32" i="14"/>
  <c r="FM32" i="14"/>
  <c r="FL32" i="14"/>
  <c r="FH32" i="14"/>
  <c r="FT31" i="14"/>
  <c r="FS31" i="14"/>
  <c r="FR31" i="14"/>
  <c r="FQ31" i="14"/>
  <c r="FP31" i="14"/>
  <c r="FO31" i="14"/>
  <c r="FN31" i="14"/>
  <c r="FM31" i="14"/>
  <c r="FL31" i="14"/>
  <c r="FH31" i="14"/>
  <c r="FT30" i="14"/>
  <c r="FS30" i="14"/>
  <c r="FR30" i="14"/>
  <c r="FQ30" i="14"/>
  <c r="FP30" i="14"/>
  <c r="FO30" i="14"/>
  <c r="FN30" i="14"/>
  <c r="FM30" i="14"/>
  <c r="FL30" i="14"/>
  <c r="FH30" i="14"/>
  <c r="FT29" i="14"/>
  <c r="FS29" i="14"/>
  <c r="FR29" i="14"/>
  <c r="FQ29" i="14"/>
  <c r="FP29" i="14"/>
  <c r="FO29" i="14"/>
  <c r="FN29" i="14"/>
  <c r="FM29" i="14"/>
  <c r="FL29" i="14"/>
  <c r="FH29" i="14"/>
  <c r="FT28" i="14"/>
  <c r="FS28" i="14"/>
  <c r="FR28" i="14"/>
  <c r="FQ28" i="14"/>
  <c r="FP28" i="14"/>
  <c r="FO28" i="14"/>
  <c r="FN28" i="14"/>
  <c r="FM28" i="14"/>
  <c r="FL28" i="14"/>
  <c r="FH28" i="14"/>
  <c r="FT27" i="14"/>
  <c r="FS27" i="14"/>
  <c r="FR27" i="14"/>
  <c r="FQ27" i="14"/>
  <c r="FP27" i="14"/>
  <c r="FO27" i="14"/>
  <c r="FN27" i="14"/>
  <c r="FM27" i="14"/>
  <c r="FL27" i="14"/>
  <c r="FH27" i="14"/>
  <c r="FT26" i="14"/>
  <c r="FS26" i="14"/>
  <c r="FR26" i="14"/>
  <c r="FQ26" i="14"/>
  <c r="FP26" i="14"/>
  <c r="FO26" i="14"/>
  <c r="FN26" i="14"/>
  <c r="FM26" i="14"/>
  <c r="FL26" i="14"/>
  <c r="FH26" i="14"/>
  <c r="FT25" i="14"/>
  <c r="FS25" i="14"/>
  <c r="FR25" i="14"/>
  <c r="FQ25" i="14"/>
  <c r="FP25" i="14"/>
  <c r="FO25" i="14"/>
  <c r="FN25" i="14"/>
  <c r="FM25" i="14"/>
  <c r="FL25" i="14"/>
  <c r="FH25" i="14"/>
  <c r="FT24" i="14"/>
  <c r="FS24" i="14"/>
  <c r="FR24" i="14"/>
  <c r="FQ24" i="14"/>
  <c r="FP24" i="14"/>
  <c r="FO24" i="14"/>
  <c r="FN24" i="14"/>
  <c r="FM24" i="14"/>
  <c r="FL24" i="14"/>
  <c r="FH24" i="14"/>
  <c r="FT23" i="14"/>
  <c r="FS23" i="14"/>
  <c r="FR23" i="14"/>
  <c r="FQ23" i="14"/>
  <c r="FP23" i="14"/>
  <c r="FO23" i="14"/>
  <c r="FN23" i="14"/>
  <c r="FM23" i="14"/>
  <c r="FL23" i="14"/>
  <c r="FH23" i="14"/>
  <c r="FT22" i="14"/>
  <c r="FS22" i="14"/>
  <c r="FR22" i="14"/>
  <c r="FQ22" i="14"/>
  <c r="FP22" i="14"/>
  <c r="FO22" i="14"/>
  <c r="FN22" i="14"/>
  <c r="FM22" i="14"/>
  <c r="FL22" i="14"/>
  <c r="FH22" i="14"/>
  <c r="FT21" i="14"/>
  <c r="FS21" i="14"/>
  <c r="FR21" i="14"/>
  <c r="FQ21" i="14"/>
  <c r="FP21" i="14"/>
  <c r="FO21" i="14"/>
  <c r="FN21" i="14"/>
  <c r="FM21" i="14"/>
  <c r="FL21" i="14"/>
  <c r="FH21" i="14"/>
  <c r="FT20" i="14"/>
  <c r="FS20" i="14"/>
  <c r="FR20" i="14"/>
  <c r="FQ20" i="14"/>
  <c r="FP20" i="14"/>
  <c r="FO20" i="14"/>
  <c r="FN20" i="14"/>
  <c r="FM20" i="14"/>
  <c r="FL20" i="14"/>
  <c r="FH20" i="14"/>
  <c r="FT19" i="14"/>
  <c r="FS19" i="14"/>
  <c r="FR19" i="14"/>
  <c r="FQ19" i="14"/>
  <c r="FP19" i="14"/>
  <c r="FO19" i="14"/>
  <c r="FN19" i="14"/>
  <c r="FM19" i="14"/>
  <c r="FL19" i="14"/>
  <c r="FH19" i="14"/>
  <c r="FT18" i="14"/>
  <c r="FS18" i="14"/>
  <c r="FR18" i="14"/>
  <c r="FQ18" i="14"/>
  <c r="FP18" i="14"/>
  <c r="FO18" i="14"/>
  <c r="FN18" i="14"/>
  <c r="FM18" i="14"/>
  <c r="FL18" i="14"/>
  <c r="FH18" i="14"/>
  <c r="FT17" i="14"/>
  <c r="FS17" i="14"/>
  <c r="FR17" i="14"/>
  <c r="FQ17" i="14"/>
  <c r="FP17" i="14"/>
  <c r="FO17" i="14"/>
  <c r="FN17" i="14"/>
  <c r="FM17" i="14"/>
  <c r="FL17" i="14"/>
  <c r="FH17" i="14"/>
  <c r="FT16" i="14"/>
  <c r="FS16" i="14"/>
  <c r="FR16" i="14"/>
  <c r="FQ16" i="14"/>
  <c r="FP16" i="14"/>
  <c r="FO16" i="14"/>
  <c r="FN16" i="14"/>
  <c r="FM16" i="14"/>
  <c r="FL16" i="14"/>
  <c r="FH16" i="14"/>
  <c r="FT15" i="14"/>
  <c r="FS15" i="14"/>
  <c r="FR15" i="14"/>
  <c r="FQ15" i="14"/>
  <c r="FP15" i="14"/>
  <c r="FO15" i="14"/>
  <c r="FN15" i="14"/>
  <c r="FM15" i="14"/>
  <c r="FL15" i="14"/>
  <c r="FH15" i="14"/>
  <c r="FT14" i="14"/>
  <c r="FS14" i="14"/>
  <c r="FR14" i="14"/>
  <c r="FQ14" i="14"/>
  <c r="FP14" i="14"/>
  <c r="FO14" i="14"/>
  <c r="FN14" i="14"/>
  <c r="FM14" i="14"/>
  <c r="FL14" i="14"/>
  <c r="FH14" i="14"/>
  <c r="FT13" i="14"/>
  <c r="FS13" i="14"/>
  <c r="FR13" i="14"/>
  <c r="FQ13" i="14"/>
  <c r="FP13" i="14"/>
  <c r="FO13" i="14"/>
  <c r="FN13" i="14"/>
  <c r="FM13" i="14"/>
  <c r="FL13" i="14"/>
  <c r="FH13" i="14"/>
  <c r="FT12" i="14"/>
  <c r="FS12" i="14"/>
  <c r="FR12" i="14"/>
  <c r="FQ12" i="14"/>
  <c r="FP12" i="14"/>
  <c r="FO12" i="14"/>
  <c r="FN12" i="14"/>
  <c r="FM12" i="14"/>
  <c r="FL12" i="14"/>
  <c r="FH12" i="14"/>
  <c r="FT11" i="14"/>
  <c r="FS11" i="14"/>
  <c r="FR11" i="14"/>
  <c r="FQ11" i="14"/>
  <c r="FP11" i="14"/>
  <c r="FO11" i="14"/>
  <c r="FN11" i="14"/>
  <c r="FM11" i="14"/>
  <c r="FL11" i="14"/>
  <c r="FH11" i="14"/>
  <c r="FT10" i="14"/>
  <c r="FS10" i="14"/>
  <c r="FR10" i="14"/>
  <c r="FQ10" i="14"/>
  <c r="FP10" i="14"/>
  <c r="FO10" i="14"/>
  <c r="FN10" i="14"/>
  <c r="FM10" i="14"/>
  <c r="FL10" i="14"/>
  <c r="FH10" i="14"/>
  <c r="FT9" i="14"/>
  <c r="FS9" i="14"/>
  <c r="FR9" i="14"/>
  <c r="FQ9" i="14"/>
  <c r="FP9" i="14"/>
  <c r="FO9" i="14"/>
  <c r="FN9" i="14"/>
  <c r="FM9" i="14"/>
  <c r="FL9" i="14"/>
  <c r="FH9" i="14"/>
  <c r="FT8" i="14"/>
  <c r="FS8" i="14"/>
  <c r="FR8" i="14"/>
  <c r="FQ8" i="14"/>
  <c r="FP8" i="14"/>
  <c r="FO8" i="14"/>
  <c r="FN8" i="14"/>
  <c r="FM8" i="14"/>
  <c r="FL8" i="14"/>
  <c r="FH8" i="14"/>
  <c r="FT7" i="14"/>
  <c r="FS7" i="14"/>
  <c r="FR7" i="14"/>
  <c r="FQ7" i="14"/>
  <c r="FP7" i="14"/>
  <c r="FO7" i="14"/>
  <c r="FN7" i="14"/>
  <c r="FM7" i="14"/>
  <c r="FL7" i="14"/>
  <c r="FH7" i="14"/>
  <c r="FG49" i="14"/>
  <c r="FG48" i="14"/>
  <c r="FG47" i="14"/>
  <c r="FG46" i="14"/>
  <c r="FG45" i="14"/>
  <c r="FG44" i="14"/>
  <c r="FG43" i="14"/>
  <c r="FG42" i="14"/>
  <c r="FG41" i="14"/>
  <c r="FG40" i="14"/>
  <c r="FG38" i="14"/>
  <c r="FG37" i="14"/>
  <c r="FG36" i="14"/>
  <c r="FG35" i="14"/>
  <c r="FG34" i="14"/>
  <c r="FG33" i="14"/>
  <c r="FG32" i="14"/>
  <c r="FG31" i="14"/>
  <c r="FG30" i="14"/>
  <c r="FG29" i="14"/>
  <c r="FG28" i="14"/>
  <c r="FG27" i="14"/>
  <c r="FG26" i="14"/>
  <c r="FG25" i="14"/>
  <c r="FG24" i="14"/>
  <c r="FG23" i="14"/>
  <c r="FG22" i="14"/>
  <c r="FG21" i="14"/>
  <c r="FG20" i="14"/>
  <c r="FG19" i="14"/>
  <c r="FG18" i="14"/>
  <c r="FG17" i="14"/>
  <c r="FG16" i="14"/>
  <c r="FG15" i="14"/>
  <c r="FG14" i="14"/>
  <c r="FG13" i="14"/>
  <c r="FG12" i="14"/>
  <c r="FG11" i="14"/>
  <c r="FG10" i="14"/>
  <c r="FG9" i="14"/>
  <c r="FG8" i="14"/>
  <c r="FG7" i="14"/>
  <c r="FI51" i="10"/>
  <c r="FI51" i="13"/>
  <c r="FI51" i="12"/>
  <c r="FI51" i="7"/>
  <c r="FI51" i="9"/>
  <c r="EW51" i="10"/>
  <c r="FT49" i="13"/>
  <c r="FT48" i="13"/>
  <c r="FT47" i="13"/>
  <c r="FT46" i="13"/>
  <c r="FT45" i="13"/>
  <c r="FT44" i="13"/>
  <c r="FT43" i="13"/>
  <c r="FT42" i="13"/>
  <c r="FT41" i="13"/>
  <c r="FT40" i="13"/>
  <c r="FT39" i="13"/>
  <c r="FT38" i="13"/>
  <c r="FT37" i="13"/>
  <c r="FT36" i="13"/>
  <c r="FT35" i="13"/>
  <c r="FT34" i="13"/>
  <c r="FT33" i="13"/>
  <c r="FT32" i="13"/>
  <c r="FT31" i="13"/>
  <c r="FT30" i="13"/>
  <c r="FT29" i="13"/>
  <c r="FT28" i="13"/>
  <c r="FT27" i="13"/>
  <c r="FT26" i="13"/>
  <c r="FT25" i="13"/>
  <c r="FT24" i="13"/>
  <c r="FT23" i="13"/>
  <c r="FT22" i="13"/>
  <c r="FT21" i="13"/>
  <c r="FT20" i="13"/>
  <c r="FT19" i="13"/>
  <c r="FT18" i="13"/>
  <c r="FT17" i="13"/>
  <c r="FT16" i="13"/>
  <c r="FT15" i="13"/>
  <c r="FT14" i="13"/>
  <c r="FT13" i="13"/>
  <c r="FT12" i="13"/>
  <c r="FT11" i="13"/>
  <c r="FT10" i="13"/>
  <c r="FT9" i="13"/>
  <c r="FT8" i="13"/>
  <c r="FT49" i="12"/>
  <c r="FT48" i="12"/>
  <c r="FT47" i="12"/>
  <c r="FT46" i="12"/>
  <c r="FT45" i="12"/>
  <c r="FT44" i="12"/>
  <c r="FT43" i="12"/>
  <c r="FT42" i="12"/>
  <c r="FT41" i="12"/>
  <c r="FT40" i="12"/>
  <c r="FT39" i="12"/>
  <c r="FT38" i="12"/>
  <c r="FT37" i="12"/>
  <c r="FT36" i="12"/>
  <c r="FT35" i="12"/>
  <c r="FT34" i="12"/>
  <c r="FT33" i="12"/>
  <c r="FT32" i="12"/>
  <c r="FT31" i="12"/>
  <c r="FT30" i="12"/>
  <c r="FT29" i="12"/>
  <c r="FT28" i="12"/>
  <c r="FT27" i="12"/>
  <c r="FT26" i="12"/>
  <c r="FT25" i="12"/>
  <c r="FT24" i="12"/>
  <c r="FT23" i="12"/>
  <c r="FT22" i="12"/>
  <c r="FT21" i="12"/>
  <c r="FT20" i="12"/>
  <c r="FT19" i="12"/>
  <c r="FT18" i="12"/>
  <c r="FT17" i="12"/>
  <c r="FT16" i="12"/>
  <c r="FT15" i="12"/>
  <c r="FT14" i="12"/>
  <c r="FT13" i="12"/>
  <c r="FT12" i="12"/>
  <c r="FT11" i="12"/>
  <c r="FT10" i="12"/>
  <c r="FT9" i="12"/>
  <c r="FT8" i="12"/>
  <c r="FT7" i="12"/>
  <c r="FT49" i="7"/>
  <c r="FT48" i="7"/>
  <c r="FT47" i="7"/>
  <c r="FT46" i="7"/>
  <c r="FT45" i="7"/>
  <c r="FT44" i="7"/>
  <c r="FT43" i="7"/>
  <c r="FT42" i="7"/>
  <c r="FT41" i="7"/>
  <c r="FT40" i="7"/>
  <c r="FT39" i="7"/>
  <c r="FT38" i="7"/>
  <c r="FT37" i="7"/>
  <c r="FT36" i="7"/>
  <c r="FT35" i="7"/>
  <c r="FT34" i="7"/>
  <c r="FT33" i="7"/>
  <c r="FT32" i="7"/>
  <c r="FT31" i="7"/>
  <c r="FT30" i="7"/>
  <c r="FT29" i="7"/>
  <c r="FT28" i="7"/>
  <c r="FT27" i="7"/>
  <c r="FT26" i="7"/>
  <c r="FT25" i="7"/>
  <c r="FT24" i="7"/>
  <c r="FT23" i="7"/>
  <c r="FT22" i="7"/>
  <c r="FT21" i="7"/>
  <c r="FT20" i="7"/>
  <c r="FT19" i="7"/>
  <c r="FT18" i="7"/>
  <c r="FT17" i="7"/>
  <c r="FT16" i="7"/>
  <c r="FT15" i="7"/>
  <c r="FT14" i="7"/>
  <c r="FT13" i="7"/>
  <c r="FT12" i="7"/>
  <c r="FT11" i="7"/>
  <c r="FT10" i="7"/>
  <c r="FT9" i="7"/>
  <c r="FT8" i="7"/>
  <c r="FT7" i="7"/>
  <c r="FT70" i="14" l="1"/>
  <c r="FR70" i="14"/>
  <c r="FS70" i="14"/>
  <c r="FL50" i="14"/>
  <c r="FM50" i="14"/>
  <c r="FG50" i="14"/>
  <c r="FN50" i="14"/>
  <c r="FQ50" i="14"/>
  <c r="FO50" i="14"/>
  <c r="FR50" i="14"/>
  <c r="FP50" i="14"/>
  <c r="FS50" i="14"/>
  <c r="FH50" i="14"/>
  <c r="FT50" i="14"/>
  <c r="FS49" i="13"/>
  <c r="FS48" i="13"/>
  <c r="FS47" i="13"/>
  <c r="FS46" i="13"/>
  <c r="FS45" i="13"/>
  <c r="FS44" i="13"/>
  <c r="FS43" i="13"/>
  <c r="FS42" i="13"/>
  <c r="FS41" i="13"/>
  <c r="FS40" i="13"/>
  <c r="FS39" i="13"/>
  <c r="FS38" i="13"/>
  <c r="FS37" i="13"/>
  <c r="FS36" i="13"/>
  <c r="FS35" i="13"/>
  <c r="FS34" i="13"/>
  <c r="FS33" i="13"/>
  <c r="FS32" i="13"/>
  <c r="FS31" i="13"/>
  <c r="FS30" i="13"/>
  <c r="FS29" i="13"/>
  <c r="FS28" i="13"/>
  <c r="FS27" i="13"/>
  <c r="FS26" i="13"/>
  <c r="FS25" i="13"/>
  <c r="FS24" i="13"/>
  <c r="FS23" i="13"/>
  <c r="FS22" i="13"/>
  <c r="FS21" i="13"/>
  <c r="FS20" i="13"/>
  <c r="FS19" i="13"/>
  <c r="FS18" i="13"/>
  <c r="FS17" i="13"/>
  <c r="FS16" i="13"/>
  <c r="FS15" i="13"/>
  <c r="FS14" i="13"/>
  <c r="FS13" i="13"/>
  <c r="FS12" i="13"/>
  <c r="FS11" i="13"/>
  <c r="FS10" i="13"/>
  <c r="FS9" i="13"/>
  <c r="FS8" i="13"/>
  <c r="FS49" i="12"/>
  <c r="FS48" i="12"/>
  <c r="FS47" i="12"/>
  <c r="FS46" i="12"/>
  <c r="FS45" i="12"/>
  <c r="FS44" i="12"/>
  <c r="FS43" i="12"/>
  <c r="FS42" i="12"/>
  <c r="FS41" i="12"/>
  <c r="FS40" i="12"/>
  <c r="FS39" i="12"/>
  <c r="FS38" i="12"/>
  <c r="FS37" i="12"/>
  <c r="FS36" i="12"/>
  <c r="FS35" i="12"/>
  <c r="FS34" i="12"/>
  <c r="FS33" i="12"/>
  <c r="FS32" i="12"/>
  <c r="FS31" i="12"/>
  <c r="FS30" i="12"/>
  <c r="FS29" i="12"/>
  <c r="FS28" i="12"/>
  <c r="FS27" i="12"/>
  <c r="FS26" i="12"/>
  <c r="FS25" i="12"/>
  <c r="FS24" i="12"/>
  <c r="FS23" i="12"/>
  <c r="FS22" i="12"/>
  <c r="FS21" i="12"/>
  <c r="FS20" i="12"/>
  <c r="FS19" i="12"/>
  <c r="FS18" i="12"/>
  <c r="FS17" i="12"/>
  <c r="FS16" i="12"/>
  <c r="FS15" i="12"/>
  <c r="FS14" i="12"/>
  <c r="FS13" i="12"/>
  <c r="FS12" i="12"/>
  <c r="FS11" i="12"/>
  <c r="FS10" i="12"/>
  <c r="FS9" i="12"/>
  <c r="FS8" i="12"/>
  <c r="FS7" i="12"/>
  <c r="FS49" i="7"/>
  <c r="FS48" i="7"/>
  <c r="FS47" i="7"/>
  <c r="FS46" i="7"/>
  <c r="FS45" i="7"/>
  <c r="FS44" i="7"/>
  <c r="FS43" i="7"/>
  <c r="FS42" i="7"/>
  <c r="FS41" i="7"/>
  <c r="FS40" i="7"/>
  <c r="FS39" i="7"/>
  <c r="FS38" i="7"/>
  <c r="FS37" i="7"/>
  <c r="FS36" i="7"/>
  <c r="FS35" i="7"/>
  <c r="FS34" i="7"/>
  <c r="FS33" i="7"/>
  <c r="FS32" i="7"/>
  <c r="FS31" i="7"/>
  <c r="FS30" i="7"/>
  <c r="FS29" i="7"/>
  <c r="FS28" i="7"/>
  <c r="FS27" i="7"/>
  <c r="FS26" i="7"/>
  <c r="FS25" i="7"/>
  <c r="FS24" i="7"/>
  <c r="FS23" i="7"/>
  <c r="FS22" i="7"/>
  <c r="FS21" i="7"/>
  <c r="FS20" i="7"/>
  <c r="FS19" i="7"/>
  <c r="FS18" i="7"/>
  <c r="FS17" i="7"/>
  <c r="FS16" i="7"/>
  <c r="FS15" i="7"/>
  <c r="FS14" i="7"/>
  <c r="FS13" i="7"/>
  <c r="FS12" i="7"/>
  <c r="FS11" i="7"/>
  <c r="FS10" i="7"/>
  <c r="FS9" i="7"/>
  <c r="FS8" i="7"/>
  <c r="FS7" i="7"/>
  <c r="FR49" i="13" l="1"/>
  <c r="FR48" i="13"/>
  <c r="FR47" i="13"/>
  <c r="FR46" i="13"/>
  <c r="FR45" i="13"/>
  <c r="FR44" i="13"/>
  <c r="FR43" i="13"/>
  <c r="FR42" i="13"/>
  <c r="FR41" i="13"/>
  <c r="FR40" i="13"/>
  <c r="FR39" i="13"/>
  <c r="FR38" i="13"/>
  <c r="FR37" i="13"/>
  <c r="FR36" i="13"/>
  <c r="FR35" i="13"/>
  <c r="FR34" i="13"/>
  <c r="FR33" i="13"/>
  <c r="FR32" i="13"/>
  <c r="FR31" i="13"/>
  <c r="FR30" i="13"/>
  <c r="FR29" i="13"/>
  <c r="FR28" i="13"/>
  <c r="FR27" i="13"/>
  <c r="FR26" i="13"/>
  <c r="FR25" i="13"/>
  <c r="FR24" i="13"/>
  <c r="FR23" i="13"/>
  <c r="FR22" i="13"/>
  <c r="FR21" i="13"/>
  <c r="FR20" i="13"/>
  <c r="FR19" i="13"/>
  <c r="FR18" i="13"/>
  <c r="FR17" i="13"/>
  <c r="FR16" i="13"/>
  <c r="FR15" i="13"/>
  <c r="FR14" i="13"/>
  <c r="FR13" i="13"/>
  <c r="FR12" i="13"/>
  <c r="FR11" i="13"/>
  <c r="FR10" i="13"/>
  <c r="FR9" i="13"/>
  <c r="FR8" i="13"/>
  <c r="FR49" i="12"/>
  <c r="FR48" i="12"/>
  <c r="FR47" i="12"/>
  <c r="FR46" i="12"/>
  <c r="FR45" i="12"/>
  <c r="FR44" i="12"/>
  <c r="FR43" i="12"/>
  <c r="FR42" i="12"/>
  <c r="FR41" i="12"/>
  <c r="FR40" i="12"/>
  <c r="FR39" i="12"/>
  <c r="FR38" i="12"/>
  <c r="FR37" i="12"/>
  <c r="FR36" i="12"/>
  <c r="FR35" i="12"/>
  <c r="FR34" i="12"/>
  <c r="FR33" i="12"/>
  <c r="FR32" i="12"/>
  <c r="FR31" i="12"/>
  <c r="FR30" i="12"/>
  <c r="FR29" i="12"/>
  <c r="FR28" i="12"/>
  <c r="FR27" i="12"/>
  <c r="FR26" i="12"/>
  <c r="FR25" i="12"/>
  <c r="FR24" i="12"/>
  <c r="FR23" i="12"/>
  <c r="FR22" i="12"/>
  <c r="FR21" i="12"/>
  <c r="FR20" i="12"/>
  <c r="FR19" i="12"/>
  <c r="FR18" i="12"/>
  <c r="FR17" i="12"/>
  <c r="FR16" i="12"/>
  <c r="FR15" i="12"/>
  <c r="FR14" i="12"/>
  <c r="FR13" i="12"/>
  <c r="FR12" i="12"/>
  <c r="FR11" i="12"/>
  <c r="FR10" i="12"/>
  <c r="FR9" i="12"/>
  <c r="FR8" i="12"/>
  <c r="FR7" i="12"/>
  <c r="FR49" i="7"/>
  <c r="FR48" i="7"/>
  <c r="FR47" i="7"/>
  <c r="FR46" i="7"/>
  <c r="FR45" i="7"/>
  <c r="FR44" i="7"/>
  <c r="FR43" i="7"/>
  <c r="FR42" i="7"/>
  <c r="FR41" i="7"/>
  <c r="FR40" i="7"/>
  <c r="FR39" i="7"/>
  <c r="FR38" i="7"/>
  <c r="FR37" i="7"/>
  <c r="FR36" i="7"/>
  <c r="FR35" i="7"/>
  <c r="FR34" i="7"/>
  <c r="FR33" i="7"/>
  <c r="FR32" i="7"/>
  <c r="FR31" i="7"/>
  <c r="FR30" i="7"/>
  <c r="FR29" i="7"/>
  <c r="FR28" i="7"/>
  <c r="FR27" i="7"/>
  <c r="FR26" i="7"/>
  <c r="FR25" i="7"/>
  <c r="FR24" i="7"/>
  <c r="FR23" i="7"/>
  <c r="FR22" i="7"/>
  <c r="FR21" i="7"/>
  <c r="FR20" i="7"/>
  <c r="FR19" i="7"/>
  <c r="FR18" i="7"/>
  <c r="FR17" i="7"/>
  <c r="FR16" i="7"/>
  <c r="FR15" i="7"/>
  <c r="FR14" i="7"/>
  <c r="FR13" i="7"/>
  <c r="FR12" i="7"/>
  <c r="FR11" i="7"/>
  <c r="FR10" i="7"/>
  <c r="FR9" i="7"/>
  <c r="FR8" i="7"/>
  <c r="FR7" i="7"/>
  <c r="FK49" i="6" l="1"/>
  <c r="FK48" i="6"/>
  <c r="FK47" i="6"/>
  <c r="FK46" i="6"/>
  <c r="FK45" i="6"/>
  <c r="FK44" i="6"/>
  <c r="FK43" i="6"/>
  <c r="FK42" i="6"/>
  <c r="FK41" i="6"/>
  <c r="FK40" i="6"/>
  <c r="FK39" i="6"/>
  <c r="FK38" i="6"/>
  <c r="FK37" i="6"/>
  <c r="FK36" i="6"/>
  <c r="FK35" i="6"/>
  <c r="FK34" i="6"/>
  <c r="FK33" i="6"/>
  <c r="FK32" i="6"/>
  <c r="FK31" i="6"/>
  <c r="FK30" i="6"/>
  <c r="FK29" i="6"/>
  <c r="FK28" i="6"/>
  <c r="FK27" i="6"/>
  <c r="FK26" i="6"/>
  <c r="FK25" i="6"/>
  <c r="FK24" i="6"/>
  <c r="FK23" i="6"/>
  <c r="FK22" i="6"/>
  <c r="FK21" i="6"/>
  <c r="FK20" i="6"/>
  <c r="FK19" i="6"/>
  <c r="FK18" i="6"/>
  <c r="FK17" i="6"/>
  <c r="FK16" i="6"/>
  <c r="FK15" i="6"/>
  <c r="FK14" i="6"/>
  <c r="FK13" i="6"/>
  <c r="FK12" i="6"/>
  <c r="FK11" i="6"/>
  <c r="FK10" i="6"/>
  <c r="FK9" i="6"/>
  <c r="FK8" i="6"/>
  <c r="FK7" i="6"/>
  <c r="FK49" i="9"/>
  <c r="FK48" i="9"/>
  <c r="FK47" i="9"/>
  <c r="FK46" i="9"/>
  <c r="FK45" i="9"/>
  <c r="FK44" i="9"/>
  <c r="FK43" i="9"/>
  <c r="FK42" i="9"/>
  <c r="FK41" i="9"/>
  <c r="FK40" i="9"/>
  <c r="FK39" i="9"/>
  <c r="FK38" i="9"/>
  <c r="FK37" i="9"/>
  <c r="FK36" i="9"/>
  <c r="FK35" i="9"/>
  <c r="FK34" i="9"/>
  <c r="FK33" i="9"/>
  <c r="FK32" i="9"/>
  <c r="FK31" i="9"/>
  <c r="FK30" i="9"/>
  <c r="FK29" i="9"/>
  <c r="FK28" i="9"/>
  <c r="FK27" i="9"/>
  <c r="FK26" i="9"/>
  <c r="FK25" i="9"/>
  <c r="FK24" i="9"/>
  <c r="FK23" i="9"/>
  <c r="FK22" i="9"/>
  <c r="FK21" i="9"/>
  <c r="FK20" i="9"/>
  <c r="FK19" i="9"/>
  <c r="FK18" i="9"/>
  <c r="FK17" i="9"/>
  <c r="FK16" i="9"/>
  <c r="FK15" i="9"/>
  <c r="FK14" i="9"/>
  <c r="FK13" i="9"/>
  <c r="FK12" i="9"/>
  <c r="FK11" i="9"/>
  <c r="FK10" i="9"/>
  <c r="FK9" i="9"/>
  <c r="FK8" i="9"/>
  <c r="FK7" i="9"/>
  <c r="FK49" i="10"/>
  <c r="FK48" i="10"/>
  <c r="FK47" i="10"/>
  <c r="FK46" i="10"/>
  <c r="FK45" i="10"/>
  <c r="FK44" i="10"/>
  <c r="FK43" i="10"/>
  <c r="FK42" i="10"/>
  <c r="FK41" i="10"/>
  <c r="FK40" i="10"/>
  <c r="FK39" i="10"/>
  <c r="FK38" i="10"/>
  <c r="FK37" i="10"/>
  <c r="FK36" i="10"/>
  <c r="FK35" i="10"/>
  <c r="FK34" i="10"/>
  <c r="FK33" i="10"/>
  <c r="FK32" i="10"/>
  <c r="FK31" i="10"/>
  <c r="FK30" i="10"/>
  <c r="FK29" i="10"/>
  <c r="FK28" i="10"/>
  <c r="FK27" i="10"/>
  <c r="FK26" i="10"/>
  <c r="FK25" i="10"/>
  <c r="FK24" i="10"/>
  <c r="FK23" i="10"/>
  <c r="FK22" i="10"/>
  <c r="FK21" i="10"/>
  <c r="FK20" i="10"/>
  <c r="FK19" i="10"/>
  <c r="FK19" i="14" s="1"/>
  <c r="FK18" i="10"/>
  <c r="FK17" i="10"/>
  <c r="FK16" i="10"/>
  <c r="FK15" i="10"/>
  <c r="FK14" i="10"/>
  <c r="FK13" i="10"/>
  <c r="FK12" i="10"/>
  <c r="FK11" i="10"/>
  <c r="FK10" i="10"/>
  <c r="FK9" i="10"/>
  <c r="FK8" i="10"/>
  <c r="FK7" i="10"/>
  <c r="FK7" i="14" s="1"/>
  <c r="FK31" i="14" l="1"/>
  <c r="FK16" i="14"/>
  <c r="FK17" i="14"/>
  <c r="FK29" i="14"/>
  <c r="FK41" i="14"/>
  <c r="FK28" i="14"/>
  <c r="FK18" i="14"/>
  <c r="FK30" i="14"/>
  <c r="FK42" i="14"/>
  <c r="FK43" i="14"/>
  <c r="FK8" i="14"/>
  <c r="FK20" i="14"/>
  <c r="FK32" i="14"/>
  <c r="FK44" i="14"/>
  <c r="FK40" i="14"/>
  <c r="FK45" i="14"/>
  <c r="FK46" i="14"/>
  <c r="FK47" i="14"/>
  <c r="FK21" i="14"/>
  <c r="FK22" i="14"/>
  <c r="FK23" i="14"/>
  <c r="FK24" i="14"/>
  <c r="FK36" i="14"/>
  <c r="FK48" i="14"/>
  <c r="FK11" i="14"/>
  <c r="FK13" i="14"/>
  <c r="FK25" i="14"/>
  <c r="FK37" i="14"/>
  <c r="FK49" i="14"/>
  <c r="FK9" i="14"/>
  <c r="FK10" i="14"/>
  <c r="FK35" i="14"/>
  <c r="FK14" i="14"/>
  <c r="FK26" i="14"/>
  <c r="FK38" i="14"/>
  <c r="FK33" i="14"/>
  <c r="FK34" i="14"/>
  <c r="FK12" i="14"/>
  <c r="FK15" i="14"/>
  <c r="FK27" i="14"/>
  <c r="FK39" i="14"/>
  <c r="FJ49" i="6"/>
  <c r="FJ48" i="6"/>
  <c r="FJ47" i="6"/>
  <c r="FJ46" i="6"/>
  <c r="FJ45" i="6"/>
  <c r="FJ44" i="6"/>
  <c r="FJ43" i="6"/>
  <c r="FJ42" i="6"/>
  <c r="FJ41" i="6"/>
  <c r="FJ40" i="6"/>
  <c r="FJ39" i="6"/>
  <c r="FJ38" i="6"/>
  <c r="FJ37" i="6"/>
  <c r="FJ36" i="6"/>
  <c r="FJ35" i="6"/>
  <c r="FJ34" i="6"/>
  <c r="FJ33" i="6"/>
  <c r="FJ32" i="6"/>
  <c r="FJ31" i="6"/>
  <c r="FJ30" i="6"/>
  <c r="FJ29" i="6"/>
  <c r="FJ28" i="6"/>
  <c r="FJ27" i="6"/>
  <c r="FJ26" i="6"/>
  <c r="FJ25" i="6"/>
  <c r="FJ24" i="6"/>
  <c r="FJ23" i="6"/>
  <c r="FJ22" i="6"/>
  <c r="FJ21" i="6"/>
  <c r="FJ20" i="6"/>
  <c r="FJ19" i="6"/>
  <c r="FJ18" i="6"/>
  <c r="FJ17" i="6"/>
  <c r="FJ16" i="6"/>
  <c r="FJ15" i="6"/>
  <c r="FJ14" i="6"/>
  <c r="FJ13" i="6"/>
  <c r="FJ12" i="6"/>
  <c r="FJ11" i="6"/>
  <c r="FJ10" i="6"/>
  <c r="FJ9" i="6"/>
  <c r="FJ8" i="6"/>
  <c r="FJ7" i="6"/>
  <c r="FJ49" i="9"/>
  <c r="FJ48" i="9"/>
  <c r="FJ47" i="9"/>
  <c r="FJ46" i="9"/>
  <c r="FJ45" i="9"/>
  <c r="FJ44" i="9"/>
  <c r="FJ43" i="9"/>
  <c r="FJ42" i="9"/>
  <c r="FJ41" i="9"/>
  <c r="FJ40" i="9"/>
  <c r="FJ39" i="9"/>
  <c r="FJ38" i="9"/>
  <c r="FJ37" i="9"/>
  <c r="FJ36" i="9"/>
  <c r="FJ35" i="9"/>
  <c r="FJ34" i="9"/>
  <c r="FJ33" i="9"/>
  <c r="FJ32" i="9"/>
  <c r="FJ31" i="9"/>
  <c r="FJ30" i="9"/>
  <c r="FJ29" i="9"/>
  <c r="FJ28" i="9"/>
  <c r="FJ27" i="9"/>
  <c r="FJ26" i="9"/>
  <c r="FJ25" i="9"/>
  <c r="FJ24" i="9"/>
  <c r="FJ23" i="9"/>
  <c r="FJ22" i="9"/>
  <c r="FJ21" i="9"/>
  <c r="FJ20" i="9"/>
  <c r="FJ19" i="9"/>
  <c r="FJ18" i="9"/>
  <c r="FJ17" i="9"/>
  <c r="FJ16" i="9"/>
  <c r="FJ15" i="9"/>
  <c r="FJ14" i="9"/>
  <c r="FJ13" i="9"/>
  <c r="FJ12" i="9"/>
  <c r="FJ11" i="9"/>
  <c r="FJ10" i="9"/>
  <c r="FJ9" i="9"/>
  <c r="FJ8" i="9"/>
  <c r="FJ7" i="9"/>
  <c r="FJ49" i="10"/>
  <c r="FJ48" i="10"/>
  <c r="FJ47" i="10"/>
  <c r="FJ46" i="10"/>
  <c r="FJ45" i="10"/>
  <c r="FJ44" i="10"/>
  <c r="FJ43" i="10"/>
  <c r="FJ42" i="10"/>
  <c r="FJ41" i="10"/>
  <c r="FJ40" i="10"/>
  <c r="FJ39" i="10"/>
  <c r="FJ38" i="10"/>
  <c r="FJ37" i="10"/>
  <c r="FJ36" i="10"/>
  <c r="FJ35" i="10"/>
  <c r="FJ34" i="10"/>
  <c r="FJ33" i="10"/>
  <c r="FJ32" i="10"/>
  <c r="FJ31" i="10"/>
  <c r="FJ30" i="10"/>
  <c r="FJ29" i="10"/>
  <c r="FJ28" i="10"/>
  <c r="FJ27" i="10"/>
  <c r="FJ26" i="10"/>
  <c r="FJ25" i="10"/>
  <c r="FJ24" i="10"/>
  <c r="FJ23" i="10"/>
  <c r="FJ22" i="10"/>
  <c r="FJ21" i="10"/>
  <c r="FJ20" i="10"/>
  <c r="FJ19" i="10"/>
  <c r="FJ18" i="10"/>
  <c r="FJ17" i="10"/>
  <c r="FJ16" i="10"/>
  <c r="FJ15" i="10"/>
  <c r="FJ14" i="10"/>
  <c r="FJ13" i="10"/>
  <c r="FJ12" i="10"/>
  <c r="FJ11" i="10"/>
  <c r="FJ10" i="10"/>
  <c r="FJ9" i="10"/>
  <c r="FJ8" i="10"/>
  <c r="FJ7" i="10"/>
  <c r="FI49" i="9"/>
  <c r="FI48" i="9"/>
  <c r="FI47" i="9"/>
  <c r="FI46" i="9"/>
  <c r="FI45" i="9"/>
  <c r="FI44" i="9"/>
  <c r="FI43" i="9"/>
  <c r="FI42" i="9"/>
  <c r="FI41" i="9"/>
  <c r="FI40" i="9"/>
  <c r="FI39" i="9"/>
  <c r="FI38" i="9"/>
  <c r="FI37" i="9"/>
  <c r="FI36" i="9"/>
  <c r="FI35" i="9"/>
  <c r="FI34" i="9"/>
  <c r="FI33" i="9"/>
  <c r="FI32" i="9"/>
  <c r="FI31" i="9"/>
  <c r="FI30" i="9"/>
  <c r="FI29" i="9"/>
  <c r="FI28" i="9"/>
  <c r="FI27" i="9"/>
  <c r="FI26" i="9"/>
  <c r="FI25" i="9"/>
  <c r="FI24" i="9"/>
  <c r="FI23" i="9"/>
  <c r="FI22" i="9"/>
  <c r="FI21" i="9"/>
  <c r="FI20" i="9"/>
  <c r="FI19" i="9"/>
  <c r="FI18" i="9"/>
  <c r="FI17" i="9"/>
  <c r="FI16" i="9"/>
  <c r="FI15" i="9"/>
  <c r="FI14" i="9"/>
  <c r="FI13" i="9"/>
  <c r="FI12" i="9"/>
  <c r="FI11" i="9"/>
  <c r="FI10" i="9"/>
  <c r="FI9" i="9"/>
  <c r="FI8" i="9"/>
  <c r="FI7" i="9"/>
  <c r="FI49" i="10"/>
  <c r="FI48" i="10"/>
  <c r="FI47" i="10"/>
  <c r="FI46" i="10"/>
  <c r="FI45" i="10"/>
  <c r="FI44" i="10"/>
  <c r="FI43" i="10"/>
  <c r="FI42" i="10"/>
  <c r="FI41" i="10"/>
  <c r="FI40" i="10"/>
  <c r="FI39" i="10"/>
  <c r="FI38" i="10"/>
  <c r="FI37" i="10"/>
  <c r="FI36" i="10"/>
  <c r="FI35" i="10"/>
  <c r="FI34" i="10"/>
  <c r="FI33" i="10"/>
  <c r="FI32" i="10"/>
  <c r="FI31" i="10"/>
  <c r="FI30" i="10"/>
  <c r="FI29" i="10"/>
  <c r="FI28" i="10"/>
  <c r="FI27" i="10"/>
  <c r="FI26" i="10"/>
  <c r="FI25" i="10"/>
  <c r="FI24" i="10"/>
  <c r="FI23" i="10"/>
  <c r="FI22" i="10"/>
  <c r="FI21" i="10"/>
  <c r="FI20" i="10"/>
  <c r="FI19" i="10"/>
  <c r="FI18" i="10"/>
  <c r="FI17" i="10"/>
  <c r="FI16" i="10"/>
  <c r="FI15" i="10"/>
  <c r="FI14" i="10"/>
  <c r="FI13" i="10"/>
  <c r="FI12" i="10"/>
  <c r="FI11" i="10"/>
  <c r="FI10" i="10"/>
  <c r="FI9" i="10"/>
  <c r="FI8" i="10"/>
  <c r="FI7" i="10"/>
  <c r="FI49" i="6"/>
  <c r="FI48" i="6"/>
  <c r="FI47" i="6"/>
  <c r="FI46" i="6"/>
  <c r="FI45" i="6"/>
  <c r="FI44" i="6"/>
  <c r="FI43" i="6"/>
  <c r="FI42" i="6"/>
  <c r="FI41" i="6"/>
  <c r="FI40" i="6"/>
  <c r="FI39" i="6"/>
  <c r="FI38" i="6"/>
  <c r="FI37" i="6"/>
  <c r="FI36" i="6"/>
  <c r="FI35" i="6"/>
  <c r="FI34" i="6"/>
  <c r="FI33" i="6"/>
  <c r="FI32" i="6"/>
  <c r="FI31" i="6"/>
  <c r="FI30" i="6"/>
  <c r="FI29" i="6"/>
  <c r="FI28" i="6"/>
  <c r="FI27" i="6"/>
  <c r="FI26" i="6"/>
  <c r="FI25" i="6"/>
  <c r="FI24" i="6"/>
  <c r="FI23" i="6"/>
  <c r="FI22" i="6"/>
  <c r="FI21" i="6"/>
  <c r="FI20" i="6"/>
  <c r="FI19" i="6"/>
  <c r="FI18" i="6"/>
  <c r="FI17" i="6"/>
  <c r="FI16" i="6"/>
  <c r="FI15" i="6"/>
  <c r="FI14" i="6"/>
  <c r="FI13" i="6"/>
  <c r="FI12" i="6"/>
  <c r="FI11" i="6"/>
  <c r="FI10" i="6"/>
  <c r="FI9" i="6"/>
  <c r="FI8" i="6"/>
  <c r="FI7" i="6"/>
  <c r="FI9" i="14" l="1"/>
  <c r="FI21" i="14"/>
  <c r="FI33" i="14"/>
  <c r="FJ19" i="14"/>
  <c r="FI10" i="14"/>
  <c r="FI22" i="14"/>
  <c r="FI34" i="14"/>
  <c r="FI46" i="14"/>
  <c r="FJ8" i="14"/>
  <c r="FJ20" i="14"/>
  <c r="FJ32" i="14"/>
  <c r="FI11" i="14"/>
  <c r="FI23" i="14"/>
  <c r="FI35" i="14"/>
  <c r="FI47" i="14"/>
  <c r="FJ9" i="14"/>
  <c r="FJ33" i="14"/>
  <c r="FJ45" i="14"/>
  <c r="FI45" i="14"/>
  <c r="FJ31" i="14"/>
  <c r="FJ7" i="14"/>
  <c r="FJ43" i="14"/>
  <c r="FI48" i="14"/>
  <c r="FI36" i="14"/>
  <c r="FJ22" i="14"/>
  <c r="FI12" i="14"/>
  <c r="FJ34" i="14"/>
  <c r="FI24" i="14"/>
  <c r="FJ46" i="14"/>
  <c r="FJ10" i="14"/>
  <c r="FJ21" i="14"/>
  <c r="FJ44" i="14"/>
  <c r="FJ35" i="14"/>
  <c r="FI25" i="14"/>
  <c r="FI49" i="14"/>
  <c r="FJ11" i="14"/>
  <c r="FK50" i="14"/>
  <c r="FI13" i="14"/>
  <c r="FI37" i="14"/>
  <c r="FJ47" i="14"/>
  <c r="FI27" i="14"/>
  <c r="FJ23" i="14"/>
  <c r="FJ12" i="14"/>
  <c r="FJ24" i="14"/>
  <c r="FJ36" i="14"/>
  <c r="FJ48" i="14"/>
  <c r="FJ13" i="14"/>
  <c r="FJ25" i="14"/>
  <c r="FJ37" i="14"/>
  <c r="FJ49" i="14"/>
  <c r="FJ38" i="14"/>
  <c r="FI14" i="14"/>
  <c r="FI38" i="14"/>
  <c r="FI39" i="14"/>
  <c r="FI16" i="14"/>
  <c r="FI40" i="14"/>
  <c r="FJ14" i="14"/>
  <c r="FI17" i="14"/>
  <c r="FI29" i="14"/>
  <c r="FJ15" i="14"/>
  <c r="FJ39" i="14"/>
  <c r="FI18" i="14"/>
  <c r="FI30" i="14"/>
  <c r="FI42" i="14"/>
  <c r="FJ16" i="14"/>
  <c r="FJ28" i="14"/>
  <c r="FJ40" i="14"/>
  <c r="FI15" i="14"/>
  <c r="FI19" i="14"/>
  <c r="FI31" i="14"/>
  <c r="FI43" i="14"/>
  <c r="FJ17" i="14"/>
  <c r="FJ29" i="14"/>
  <c r="FJ41" i="14"/>
  <c r="FI26" i="14"/>
  <c r="FI28" i="14"/>
  <c r="FJ26" i="14"/>
  <c r="FI41" i="14"/>
  <c r="FJ27" i="14"/>
  <c r="FI7" i="14"/>
  <c r="FI8" i="14"/>
  <c r="FI20" i="14"/>
  <c r="FI32" i="14"/>
  <c r="FI44" i="14"/>
  <c r="FJ18" i="14"/>
  <c r="FJ30" i="14"/>
  <c r="FJ42" i="14"/>
  <c r="FH49" i="7"/>
  <c r="FG49" i="7"/>
  <c r="FF49" i="7"/>
  <c r="FE49" i="7"/>
  <c r="FD49" i="7"/>
  <c r="FC49" i="7"/>
  <c r="FB49" i="7"/>
  <c r="FA49" i="7"/>
  <c r="EZ49" i="7"/>
  <c r="EY49" i="7"/>
  <c r="EX49" i="7"/>
  <c r="EW49" i="7"/>
  <c r="FH48" i="7"/>
  <c r="FG48" i="7"/>
  <c r="FF48" i="7"/>
  <c r="FE48" i="7"/>
  <c r="FD48" i="7"/>
  <c r="FC48" i="7"/>
  <c r="FB48" i="7"/>
  <c r="FA48" i="7"/>
  <c r="EZ48" i="7"/>
  <c r="EY48" i="7"/>
  <c r="EX48" i="7"/>
  <c r="EW48" i="7"/>
  <c r="FH47" i="7"/>
  <c r="FG47" i="7"/>
  <c r="FF47" i="7"/>
  <c r="FE47" i="7"/>
  <c r="FD47" i="7"/>
  <c r="FC47" i="7"/>
  <c r="FB47" i="7"/>
  <c r="FA47" i="7"/>
  <c r="EZ47" i="7"/>
  <c r="EY47" i="7"/>
  <c r="EX47" i="7"/>
  <c r="EW47" i="7"/>
  <c r="FH46" i="7"/>
  <c r="FG46" i="7"/>
  <c r="FF46" i="7"/>
  <c r="FE46" i="7"/>
  <c r="FD46" i="7"/>
  <c r="FC46" i="7"/>
  <c r="FB46" i="7"/>
  <c r="FA46" i="7"/>
  <c r="EZ46" i="7"/>
  <c r="EY46" i="7"/>
  <c r="EX46" i="7"/>
  <c r="EW46" i="7"/>
  <c r="FH45" i="7"/>
  <c r="FG45" i="7"/>
  <c r="FF45" i="7"/>
  <c r="FE45" i="7"/>
  <c r="FD45" i="7"/>
  <c r="FC45" i="7"/>
  <c r="FB45" i="7"/>
  <c r="FA45" i="7"/>
  <c r="EZ45" i="7"/>
  <c r="EY45" i="7"/>
  <c r="EX45" i="7"/>
  <c r="EW45" i="7"/>
  <c r="FH44" i="7"/>
  <c r="FG44" i="7"/>
  <c r="FF44" i="7"/>
  <c r="FE44" i="7"/>
  <c r="FD44" i="7"/>
  <c r="FC44" i="7"/>
  <c r="FB44" i="7"/>
  <c r="FA44" i="7"/>
  <c r="EZ44" i="7"/>
  <c r="EY44" i="7"/>
  <c r="EX44" i="7"/>
  <c r="EW44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FH42" i="7"/>
  <c r="FG42" i="7"/>
  <c r="FF42" i="7"/>
  <c r="FE42" i="7"/>
  <c r="FD42" i="7"/>
  <c r="FC42" i="7"/>
  <c r="FB42" i="7"/>
  <c r="FA42" i="7"/>
  <c r="EZ42" i="7"/>
  <c r="EY42" i="7"/>
  <c r="EX42" i="7"/>
  <c r="EW42" i="7"/>
  <c r="FH41" i="7"/>
  <c r="FG41" i="7"/>
  <c r="FF41" i="7"/>
  <c r="FE41" i="7"/>
  <c r="FD41" i="7"/>
  <c r="FC41" i="7"/>
  <c r="FB41" i="7"/>
  <c r="FA41" i="7"/>
  <c r="EZ41" i="7"/>
  <c r="EY41" i="7"/>
  <c r="EX41" i="7"/>
  <c r="EW41" i="7"/>
  <c r="FH40" i="7"/>
  <c r="FG40" i="7"/>
  <c r="FF40" i="7"/>
  <c r="FE40" i="7"/>
  <c r="FD40" i="7"/>
  <c r="FC40" i="7"/>
  <c r="FB40" i="7"/>
  <c r="FA40" i="7"/>
  <c r="EZ40" i="7"/>
  <c r="EY40" i="7"/>
  <c r="EX40" i="7"/>
  <c r="EW40" i="7"/>
  <c r="FH39" i="7"/>
  <c r="FG39" i="7"/>
  <c r="FF39" i="7"/>
  <c r="FE39" i="7"/>
  <c r="FD39" i="7"/>
  <c r="FC39" i="7"/>
  <c r="FB39" i="7"/>
  <c r="FA39" i="7"/>
  <c r="EZ39" i="7"/>
  <c r="EY39" i="7"/>
  <c r="EX39" i="7"/>
  <c r="EW39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FH37" i="7"/>
  <c r="FG37" i="7"/>
  <c r="FF37" i="7"/>
  <c r="FE37" i="7"/>
  <c r="FD37" i="7"/>
  <c r="FC37" i="7"/>
  <c r="FB37" i="7"/>
  <c r="FA37" i="7"/>
  <c r="EZ37" i="7"/>
  <c r="EY37" i="7"/>
  <c r="EX37" i="7"/>
  <c r="EW37" i="7"/>
  <c r="FH36" i="7"/>
  <c r="FG36" i="7"/>
  <c r="FF36" i="7"/>
  <c r="FE36" i="7"/>
  <c r="FD36" i="7"/>
  <c r="FC36" i="7"/>
  <c r="FB36" i="7"/>
  <c r="FA36" i="7"/>
  <c r="EZ36" i="7"/>
  <c r="EY36" i="7"/>
  <c r="EX36" i="7"/>
  <c r="EW36" i="7"/>
  <c r="FH35" i="7"/>
  <c r="FG35" i="7"/>
  <c r="FF35" i="7"/>
  <c r="FE35" i="7"/>
  <c r="FD35" i="7"/>
  <c r="FC35" i="7"/>
  <c r="FB35" i="7"/>
  <c r="FA35" i="7"/>
  <c r="EZ35" i="7"/>
  <c r="EY35" i="7"/>
  <c r="EX35" i="7"/>
  <c r="EW35" i="7"/>
  <c r="FH34" i="7"/>
  <c r="FG34" i="7"/>
  <c r="FF34" i="7"/>
  <c r="FE34" i="7"/>
  <c r="FD34" i="7"/>
  <c r="FC34" i="7"/>
  <c r="FB34" i="7"/>
  <c r="FA34" i="7"/>
  <c r="EZ34" i="7"/>
  <c r="EY34" i="7"/>
  <c r="EX34" i="7"/>
  <c r="EW34" i="7"/>
  <c r="FH33" i="7"/>
  <c r="FG33" i="7"/>
  <c r="FF33" i="7"/>
  <c r="FE33" i="7"/>
  <c r="FD33" i="7"/>
  <c r="FC33" i="7"/>
  <c r="FB33" i="7"/>
  <c r="FA33" i="7"/>
  <c r="EZ33" i="7"/>
  <c r="EY33" i="7"/>
  <c r="EX33" i="7"/>
  <c r="EW33" i="7"/>
  <c r="FH32" i="7"/>
  <c r="FG32" i="7"/>
  <c r="FF32" i="7"/>
  <c r="FE32" i="7"/>
  <c r="FD32" i="7"/>
  <c r="FC32" i="7"/>
  <c r="FB32" i="7"/>
  <c r="FA32" i="7"/>
  <c r="EZ32" i="7"/>
  <c r="EY32" i="7"/>
  <c r="EX32" i="7"/>
  <c r="EW32" i="7"/>
  <c r="FH31" i="7"/>
  <c r="FG31" i="7"/>
  <c r="FF31" i="7"/>
  <c r="FE31" i="7"/>
  <c r="FD31" i="7"/>
  <c r="FC31" i="7"/>
  <c r="FB31" i="7"/>
  <c r="FA31" i="7"/>
  <c r="EZ31" i="7"/>
  <c r="EY31" i="7"/>
  <c r="EX31" i="7"/>
  <c r="EW31" i="7"/>
  <c r="FH30" i="7"/>
  <c r="FG30" i="7"/>
  <c r="FF30" i="7"/>
  <c r="FE30" i="7"/>
  <c r="FD30" i="7"/>
  <c r="FC30" i="7"/>
  <c r="FB30" i="7"/>
  <c r="FA30" i="7"/>
  <c r="EZ30" i="7"/>
  <c r="EY30" i="7"/>
  <c r="EX30" i="7"/>
  <c r="EW30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FH27" i="7"/>
  <c r="FG27" i="7"/>
  <c r="FF27" i="7"/>
  <c r="FE27" i="7"/>
  <c r="FD27" i="7"/>
  <c r="FC27" i="7"/>
  <c r="FB27" i="7"/>
  <c r="FA27" i="7"/>
  <c r="EZ27" i="7"/>
  <c r="EY27" i="7"/>
  <c r="EX27" i="7"/>
  <c r="EW27" i="7"/>
  <c r="FH26" i="7"/>
  <c r="FG26" i="7"/>
  <c r="FF26" i="7"/>
  <c r="FE26" i="7"/>
  <c r="FD26" i="7"/>
  <c r="FC26" i="7"/>
  <c r="FB26" i="7"/>
  <c r="FA26" i="7"/>
  <c r="EZ26" i="7"/>
  <c r="EY26" i="7"/>
  <c r="EX26" i="7"/>
  <c r="EW26" i="7"/>
  <c r="FH25" i="7"/>
  <c r="FG25" i="7"/>
  <c r="FF25" i="7"/>
  <c r="FE25" i="7"/>
  <c r="FD25" i="7"/>
  <c r="FC25" i="7"/>
  <c r="FB25" i="7"/>
  <c r="FA25" i="7"/>
  <c r="EZ25" i="7"/>
  <c r="EY25" i="7"/>
  <c r="EX25" i="7"/>
  <c r="EW25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FH23" i="7"/>
  <c r="FG23" i="7"/>
  <c r="FF23" i="7"/>
  <c r="FE23" i="7"/>
  <c r="FD23" i="7"/>
  <c r="FC23" i="7"/>
  <c r="FB23" i="7"/>
  <c r="FA23" i="7"/>
  <c r="EZ23" i="7"/>
  <c r="EY23" i="7"/>
  <c r="EX23" i="7"/>
  <c r="EW23" i="7"/>
  <c r="FH22" i="7"/>
  <c r="FG22" i="7"/>
  <c r="FF22" i="7"/>
  <c r="FE22" i="7"/>
  <c r="FD22" i="7"/>
  <c r="FC22" i="7"/>
  <c r="FB22" i="7"/>
  <c r="FA22" i="7"/>
  <c r="EZ22" i="7"/>
  <c r="EY22" i="7"/>
  <c r="EX22" i="7"/>
  <c r="EW22" i="7"/>
  <c r="FH21" i="7"/>
  <c r="FG21" i="7"/>
  <c r="FF21" i="7"/>
  <c r="FE21" i="7"/>
  <c r="FD21" i="7"/>
  <c r="FC21" i="7"/>
  <c r="FB21" i="7"/>
  <c r="FA21" i="7"/>
  <c r="EZ21" i="7"/>
  <c r="EY21" i="7"/>
  <c r="EX21" i="7"/>
  <c r="EW21" i="7"/>
  <c r="FH20" i="7"/>
  <c r="FG20" i="7"/>
  <c r="FF20" i="7"/>
  <c r="FE20" i="7"/>
  <c r="FD20" i="7"/>
  <c r="FC20" i="7"/>
  <c r="FB20" i="7"/>
  <c r="FA20" i="7"/>
  <c r="EZ20" i="7"/>
  <c r="EY20" i="7"/>
  <c r="EX20" i="7"/>
  <c r="EW20" i="7"/>
  <c r="FH19" i="7"/>
  <c r="FG19" i="7"/>
  <c r="FF19" i="7"/>
  <c r="FE19" i="7"/>
  <c r="FD19" i="7"/>
  <c r="FC19" i="7"/>
  <c r="FB19" i="7"/>
  <c r="FA19" i="7"/>
  <c r="EZ19" i="7"/>
  <c r="EY19" i="7"/>
  <c r="EX19" i="7"/>
  <c r="EW19" i="7"/>
  <c r="FH18" i="7"/>
  <c r="FG18" i="7"/>
  <c r="FF18" i="7"/>
  <c r="FE18" i="7"/>
  <c r="FD18" i="7"/>
  <c r="FC18" i="7"/>
  <c r="FB18" i="7"/>
  <c r="FA18" i="7"/>
  <c r="EZ18" i="7"/>
  <c r="EY18" i="7"/>
  <c r="EX18" i="7"/>
  <c r="EW18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FH16" i="7"/>
  <c r="FG16" i="7"/>
  <c r="FF16" i="7"/>
  <c r="FE16" i="7"/>
  <c r="FD16" i="7"/>
  <c r="FC16" i="7"/>
  <c r="FB16" i="7"/>
  <c r="FA16" i="7"/>
  <c r="EZ16" i="7"/>
  <c r="EY16" i="7"/>
  <c r="EX16" i="7"/>
  <c r="EW16" i="7"/>
  <c r="FH15" i="7"/>
  <c r="FG15" i="7"/>
  <c r="FF15" i="7"/>
  <c r="FE15" i="7"/>
  <c r="FD15" i="7"/>
  <c r="FC15" i="7"/>
  <c r="FB15" i="7"/>
  <c r="FA15" i="7"/>
  <c r="EZ15" i="7"/>
  <c r="EY15" i="7"/>
  <c r="EX15" i="7"/>
  <c r="EW15" i="7"/>
  <c r="FH14" i="7"/>
  <c r="FG14" i="7"/>
  <c r="FF14" i="7"/>
  <c r="FE14" i="7"/>
  <c r="FD14" i="7"/>
  <c r="FC14" i="7"/>
  <c r="FB14" i="7"/>
  <c r="FA14" i="7"/>
  <c r="EZ14" i="7"/>
  <c r="EY14" i="7"/>
  <c r="EX14" i="7"/>
  <c r="EW14" i="7"/>
  <c r="FH13" i="7"/>
  <c r="FG13" i="7"/>
  <c r="FF13" i="7"/>
  <c r="FE13" i="7"/>
  <c r="FD13" i="7"/>
  <c r="FC13" i="7"/>
  <c r="FB13" i="7"/>
  <c r="FA13" i="7"/>
  <c r="EZ13" i="7"/>
  <c r="EY13" i="7"/>
  <c r="EX13" i="7"/>
  <c r="EW13" i="7"/>
  <c r="FH12" i="7"/>
  <c r="FG12" i="7"/>
  <c r="FF12" i="7"/>
  <c r="FE12" i="7"/>
  <c r="FD12" i="7"/>
  <c r="FC12" i="7"/>
  <c r="FB12" i="7"/>
  <c r="FA12" i="7"/>
  <c r="EZ12" i="7"/>
  <c r="EY12" i="7"/>
  <c r="EX12" i="7"/>
  <c r="EW12" i="7"/>
  <c r="FH11" i="7"/>
  <c r="FG11" i="7"/>
  <c r="FF11" i="7"/>
  <c r="FE11" i="7"/>
  <c r="FD11" i="7"/>
  <c r="FC11" i="7"/>
  <c r="FB11" i="7"/>
  <c r="FA11" i="7"/>
  <c r="EZ11" i="7"/>
  <c r="EY11" i="7"/>
  <c r="EX11" i="7"/>
  <c r="EW11" i="7"/>
  <c r="FH10" i="7"/>
  <c r="FG10" i="7"/>
  <c r="FF10" i="7"/>
  <c r="FE10" i="7"/>
  <c r="FD10" i="7"/>
  <c r="FC10" i="7"/>
  <c r="FB10" i="7"/>
  <c r="FA10" i="7"/>
  <c r="EZ10" i="7"/>
  <c r="EY10" i="7"/>
  <c r="EX10" i="7"/>
  <c r="EW10" i="7"/>
  <c r="FH9" i="7"/>
  <c r="FG9" i="7"/>
  <c r="FF9" i="7"/>
  <c r="FE9" i="7"/>
  <c r="FD9" i="7"/>
  <c r="FC9" i="7"/>
  <c r="FB9" i="7"/>
  <c r="FA9" i="7"/>
  <c r="EZ9" i="7"/>
  <c r="EY9" i="7"/>
  <c r="EX9" i="7"/>
  <c r="EW9" i="7"/>
  <c r="FH8" i="7"/>
  <c r="FG8" i="7"/>
  <c r="FF8" i="7"/>
  <c r="FE8" i="7"/>
  <c r="FD8" i="7"/>
  <c r="FC8" i="7"/>
  <c r="FB8" i="7"/>
  <c r="FA8" i="7"/>
  <c r="EZ8" i="7"/>
  <c r="EY8" i="7"/>
  <c r="EX8" i="7"/>
  <c r="EW8" i="7"/>
  <c r="FH7" i="7"/>
  <c r="FG7" i="7"/>
  <c r="FF7" i="7"/>
  <c r="FE7" i="7"/>
  <c r="FD7" i="7"/>
  <c r="FC7" i="7"/>
  <c r="FB7" i="7"/>
  <c r="FA7" i="7"/>
  <c r="FA50" i="7" s="1"/>
  <c r="EZ7" i="7"/>
  <c r="EY7" i="7"/>
  <c r="EY50" i="7" s="1"/>
  <c r="EX7" i="7"/>
  <c r="EW7" i="7"/>
  <c r="FH49" i="12"/>
  <c r="FG49" i="12"/>
  <c r="FF49" i="12"/>
  <c r="FE49" i="12"/>
  <c r="FD49" i="12"/>
  <c r="FC49" i="12"/>
  <c r="FB49" i="12"/>
  <c r="FA49" i="12"/>
  <c r="EZ49" i="12"/>
  <c r="EY49" i="12"/>
  <c r="EX49" i="12"/>
  <c r="EW49" i="12"/>
  <c r="FH48" i="12"/>
  <c r="FG48" i="12"/>
  <c r="FF48" i="12"/>
  <c r="FE48" i="12"/>
  <c r="FD48" i="12"/>
  <c r="FC48" i="12"/>
  <c r="FB48" i="12"/>
  <c r="FA48" i="12"/>
  <c r="EZ48" i="12"/>
  <c r="EY48" i="12"/>
  <c r="EX48" i="12"/>
  <c r="EW48" i="12"/>
  <c r="FH47" i="12"/>
  <c r="FG47" i="12"/>
  <c r="FF47" i="12"/>
  <c r="FE47" i="12"/>
  <c r="FD47" i="12"/>
  <c r="FC47" i="12"/>
  <c r="FB47" i="12"/>
  <c r="FA47" i="12"/>
  <c r="EZ47" i="12"/>
  <c r="EY47" i="12"/>
  <c r="EX47" i="12"/>
  <c r="EW47" i="12"/>
  <c r="FH46" i="12"/>
  <c r="FG46" i="12"/>
  <c r="FF46" i="12"/>
  <c r="FE46" i="12"/>
  <c r="FD46" i="12"/>
  <c r="FC46" i="12"/>
  <c r="FB46" i="12"/>
  <c r="FA46" i="12"/>
  <c r="EZ46" i="12"/>
  <c r="EY46" i="12"/>
  <c r="EX46" i="12"/>
  <c r="EW46" i="12"/>
  <c r="FH45" i="12"/>
  <c r="FG45" i="12"/>
  <c r="FF45" i="12"/>
  <c r="FE45" i="12"/>
  <c r="FD45" i="12"/>
  <c r="FC45" i="12"/>
  <c r="FB45" i="12"/>
  <c r="FA45" i="12"/>
  <c r="EZ45" i="12"/>
  <c r="EY45" i="12"/>
  <c r="EX45" i="12"/>
  <c r="EW45" i="12"/>
  <c r="FH44" i="12"/>
  <c r="FG44" i="12"/>
  <c r="FF44" i="12"/>
  <c r="FE44" i="12"/>
  <c r="FD44" i="12"/>
  <c r="FC44" i="12"/>
  <c r="FB44" i="12"/>
  <c r="FA44" i="12"/>
  <c r="EZ44" i="12"/>
  <c r="EY44" i="12"/>
  <c r="EX44" i="12"/>
  <c r="EW44" i="12"/>
  <c r="FH43" i="12"/>
  <c r="FG43" i="12"/>
  <c r="FF43" i="12"/>
  <c r="FE43" i="12"/>
  <c r="FD43" i="12"/>
  <c r="FC43" i="12"/>
  <c r="FB43" i="12"/>
  <c r="FA43" i="12"/>
  <c r="EZ43" i="12"/>
  <c r="EY43" i="12"/>
  <c r="EX43" i="12"/>
  <c r="EW43" i="12"/>
  <c r="FH42" i="12"/>
  <c r="FG42" i="12"/>
  <c r="FF42" i="12"/>
  <c r="FE42" i="12"/>
  <c r="FD42" i="12"/>
  <c r="FC42" i="12"/>
  <c r="FB42" i="12"/>
  <c r="FA42" i="12"/>
  <c r="EZ42" i="12"/>
  <c r="EY42" i="12"/>
  <c r="EX42" i="12"/>
  <c r="EW42" i="12"/>
  <c r="FH41" i="12"/>
  <c r="FG41" i="12"/>
  <c r="FF41" i="12"/>
  <c r="FE41" i="12"/>
  <c r="FD41" i="12"/>
  <c r="FC41" i="12"/>
  <c r="FB41" i="12"/>
  <c r="FA41" i="12"/>
  <c r="EZ41" i="12"/>
  <c r="EY41" i="12"/>
  <c r="EX41" i="12"/>
  <c r="EW41" i="12"/>
  <c r="FH40" i="12"/>
  <c r="FG40" i="12"/>
  <c r="FF40" i="12"/>
  <c r="FE40" i="12"/>
  <c r="FD40" i="12"/>
  <c r="FC40" i="12"/>
  <c r="FB40" i="12"/>
  <c r="FA40" i="12"/>
  <c r="EZ40" i="12"/>
  <c r="EY40" i="12"/>
  <c r="EX40" i="12"/>
  <c r="EW40" i="12"/>
  <c r="FH39" i="12"/>
  <c r="FG39" i="12"/>
  <c r="FF39" i="12"/>
  <c r="FE39" i="12"/>
  <c r="FD39" i="12"/>
  <c r="FC39" i="12"/>
  <c r="FB39" i="12"/>
  <c r="FA39" i="12"/>
  <c r="EZ39" i="12"/>
  <c r="EY39" i="12"/>
  <c r="EX39" i="12"/>
  <c r="EW39" i="12"/>
  <c r="FH38" i="12"/>
  <c r="FG38" i="12"/>
  <c r="FF38" i="12"/>
  <c r="FE38" i="12"/>
  <c r="FD38" i="12"/>
  <c r="FC38" i="12"/>
  <c r="FB38" i="12"/>
  <c r="FA38" i="12"/>
  <c r="EZ38" i="12"/>
  <c r="EY38" i="12"/>
  <c r="EX38" i="12"/>
  <c r="EW38" i="12"/>
  <c r="FH37" i="12"/>
  <c r="FG37" i="12"/>
  <c r="FF37" i="12"/>
  <c r="FE37" i="12"/>
  <c r="FD37" i="12"/>
  <c r="FC37" i="12"/>
  <c r="FB37" i="12"/>
  <c r="FA37" i="12"/>
  <c r="EZ37" i="12"/>
  <c r="EY37" i="12"/>
  <c r="EX37" i="12"/>
  <c r="EW37" i="12"/>
  <c r="FH36" i="12"/>
  <c r="FG36" i="12"/>
  <c r="FF36" i="12"/>
  <c r="FE36" i="12"/>
  <c r="FD36" i="12"/>
  <c r="FC36" i="12"/>
  <c r="FB36" i="12"/>
  <c r="FA36" i="12"/>
  <c r="EZ36" i="12"/>
  <c r="EY36" i="12"/>
  <c r="EX36" i="12"/>
  <c r="EW36" i="12"/>
  <c r="FH35" i="12"/>
  <c r="FG35" i="12"/>
  <c r="FF35" i="12"/>
  <c r="FE35" i="12"/>
  <c r="FD35" i="12"/>
  <c r="FC35" i="12"/>
  <c r="FB35" i="12"/>
  <c r="FA35" i="12"/>
  <c r="EZ35" i="12"/>
  <c r="EY35" i="12"/>
  <c r="EX35" i="12"/>
  <c r="EW35" i="12"/>
  <c r="FH34" i="12"/>
  <c r="FG34" i="12"/>
  <c r="FF34" i="12"/>
  <c r="FE34" i="12"/>
  <c r="FD34" i="12"/>
  <c r="FC34" i="12"/>
  <c r="FB34" i="12"/>
  <c r="FA34" i="12"/>
  <c r="EZ34" i="12"/>
  <c r="EY34" i="12"/>
  <c r="EX34" i="12"/>
  <c r="EW34" i="12"/>
  <c r="FH33" i="12"/>
  <c r="FG33" i="12"/>
  <c r="FF33" i="12"/>
  <c r="FE33" i="12"/>
  <c r="FD33" i="12"/>
  <c r="FC33" i="12"/>
  <c r="FB33" i="12"/>
  <c r="FA33" i="12"/>
  <c r="EZ33" i="12"/>
  <c r="EY33" i="12"/>
  <c r="EX33" i="12"/>
  <c r="EW33" i="12"/>
  <c r="FH32" i="12"/>
  <c r="FG32" i="12"/>
  <c r="FF32" i="12"/>
  <c r="FE32" i="12"/>
  <c r="FD32" i="12"/>
  <c r="FC32" i="12"/>
  <c r="FB32" i="12"/>
  <c r="FA32" i="12"/>
  <c r="EZ32" i="12"/>
  <c r="EY32" i="12"/>
  <c r="EX32" i="12"/>
  <c r="EW32" i="12"/>
  <c r="FH31" i="12"/>
  <c r="FG31" i="12"/>
  <c r="FF31" i="12"/>
  <c r="FE31" i="12"/>
  <c r="FD31" i="12"/>
  <c r="FC31" i="12"/>
  <c r="FB31" i="12"/>
  <c r="FA31" i="12"/>
  <c r="EZ31" i="12"/>
  <c r="EY31" i="12"/>
  <c r="EX31" i="12"/>
  <c r="EW31" i="12"/>
  <c r="FH30" i="12"/>
  <c r="FG30" i="12"/>
  <c r="FF30" i="12"/>
  <c r="FE30" i="12"/>
  <c r="FD30" i="12"/>
  <c r="FC30" i="12"/>
  <c r="FB30" i="12"/>
  <c r="FA30" i="12"/>
  <c r="EZ30" i="12"/>
  <c r="EY30" i="12"/>
  <c r="EX30" i="12"/>
  <c r="EW30" i="12"/>
  <c r="FH29" i="12"/>
  <c r="FG29" i="12"/>
  <c r="FF29" i="12"/>
  <c r="FE29" i="12"/>
  <c r="FD29" i="12"/>
  <c r="FC29" i="12"/>
  <c r="FB29" i="12"/>
  <c r="FA29" i="12"/>
  <c r="EZ29" i="12"/>
  <c r="EY29" i="12"/>
  <c r="EX29" i="12"/>
  <c r="EW29" i="12"/>
  <c r="FH28" i="12"/>
  <c r="FG28" i="12"/>
  <c r="FF28" i="12"/>
  <c r="FE28" i="12"/>
  <c r="FD28" i="12"/>
  <c r="FC28" i="12"/>
  <c r="FB28" i="12"/>
  <c r="FA28" i="12"/>
  <c r="EZ28" i="12"/>
  <c r="EY28" i="12"/>
  <c r="EX28" i="12"/>
  <c r="EW28" i="12"/>
  <c r="FH27" i="12"/>
  <c r="FG27" i="12"/>
  <c r="FF27" i="12"/>
  <c r="FE27" i="12"/>
  <c r="FD27" i="12"/>
  <c r="FC27" i="12"/>
  <c r="FB27" i="12"/>
  <c r="FA27" i="12"/>
  <c r="EZ27" i="12"/>
  <c r="EY27" i="12"/>
  <c r="EX27" i="12"/>
  <c r="EW27" i="12"/>
  <c r="FH26" i="12"/>
  <c r="FG26" i="12"/>
  <c r="FF26" i="12"/>
  <c r="FE26" i="12"/>
  <c r="FD26" i="12"/>
  <c r="FC26" i="12"/>
  <c r="FB26" i="12"/>
  <c r="FA26" i="12"/>
  <c r="EZ26" i="12"/>
  <c r="EY26" i="12"/>
  <c r="EX26" i="12"/>
  <c r="EW26" i="12"/>
  <c r="FH25" i="12"/>
  <c r="FG25" i="12"/>
  <c r="FF25" i="12"/>
  <c r="FE25" i="12"/>
  <c r="FD25" i="12"/>
  <c r="FC25" i="12"/>
  <c r="FB25" i="12"/>
  <c r="FA25" i="12"/>
  <c r="EZ25" i="12"/>
  <c r="EY25" i="12"/>
  <c r="EX25" i="12"/>
  <c r="EW25" i="12"/>
  <c r="FH24" i="12"/>
  <c r="FG24" i="12"/>
  <c r="FF24" i="12"/>
  <c r="FE24" i="12"/>
  <c r="FD24" i="12"/>
  <c r="FC24" i="12"/>
  <c r="FB24" i="12"/>
  <c r="FA24" i="12"/>
  <c r="EZ24" i="12"/>
  <c r="EY24" i="12"/>
  <c r="EX24" i="12"/>
  <c r="EW24" i="12"/>
  <c r="FH23" i="12"/>
  <c r="FG23" i="12"/>
  <c r="FF23" i="12"/>
  <c r="FE23" i="12"/>
  <c r="FD23" i="12"/>
  <c r="FC23" i="12"/>
  <c r="FB23" i="12"/>
  <c r="FA23" i="12"/>
  <c r="EZ23" i="12"/>
  <c r="EY23" i="12"/>
  <c r="EX23" i="12"/>
  <c r="EW23" i="12"/>
  <c r="FH22" i="12"/>
  <c r="FG22" i="12"/>
  <c r="FF22" i="12"/>
  <c r="FE22" i="12"/>
  <c r="FD22" i="12"/>
  <c r="FC22" i="12"/>
  <c r="FB22" i="12"/>
  <c r="FA22" i="12"/>
  <c r="EZ22" i="12"/>
  <c r="EY22" i="12"/>
  <c r="EX22" i="12"/>
  <c r="EW22" i="12"/>
  <c r="FH21" i="12"/>
  <c r="FG21" i="12"/>
  <c r="FF21" i="12"/>
  <c r="FE21" i="12"/>
  <c r="FD21" i="12"/>
  <c r="FC21" i="12"/>
  <c r="FB21" i="12"/>
  <c r="FA21" i="12"/>
  <c r="EZ21" i="12"/>
  <c r="EY21" i="12"/>
  <c r="EX21" i="12"/>
  <c r="EW21" i="12"/>
  <c r="FH20" i="12"/>
  <c r="FG20" i="12"/>
  <c r="FF20" i="12"/>
  <c r="FE20" i="12"/>
  <c r="FD20" i="12"/>
  <c r="FC20" i="12"/>
  <c r="FB20" i="12"/>
  <c r="FA20" i="12"/>
  <c r="EZ20" i="12"/>
  <c r="EY20" i="12"/>
  <c r="EX20" i="12"/>
  <c r="EW20" i="12"/>
  <c r="FH19" i="12"/>
  <c r="FG19" i="12"/>
  <c r="FF19" i="12"/>
  <c r="FE19" i="12"/>
  <c r="FD19" i="12"/>
  <c r="FC19" i="12"/>
  <c r="FB19" i="12"/>
  <c r="FA19" i="12"/>
  <c r="EZ19" i="12"/>
  <c r="EY19" i="12"/>
  <c r="EX19" i="12"/>
  <c r="EW19" i="12"/>
  <c r="FH18" i="12"/>
  <c r="FG18" i="12"/>
  <c r="FF18" i="12"/>
  <c r="FE18" i="12"/>
  <c r="FD18" i="12"/>
  <c r="FC18" i="12"/>
  <c r="FB18" i="12"/>
  <c r="FA18" i="12"/>
  <c r="EZ18" i="12"/>
  <c r="EY18" i="12"/>
  <c r="EX18" i="12"/>
  <c r="EW18" i="12"/>
  <c r="FH17" i="12"/>
  <c r="FG17" i="12"/>
  <c r="FF17" i="12"/>
  <c r="FE17" i="12"/>
  <c r="FD17" i="12"/>
  <c r="FC17" i="12"/>
  <c r="FB17" i="12"/>
  <c r="FA17" i="12"/>
  <c r="EZ17" i="12"/>
  <c r="EY17" i="12"/>
  <c r="EX17" i="12"/>
  <c r="EW17" i="12"/>
  <c r="FH16" i="12"/>
  <c r="FG16" i="12"/>
  <c r="FF16" i="12"/>
  <c r="FE16" i="12"/>
  <c r="FD16" i="12"/>
  <c r="FC16" i="12"/>
  <c r="FB16" i="12"/>
  <c r="FA16" i="12"/>
  <c r="EZ16" i="12"/>
  <c r="EY16" i="12"/>
  <c r="EX16" i="12"/>
  <c r="EW16" i="12"/>
  <c r="FH15" i="12"/>
  <c r="FG15" i="12"/>
  <c r="FF15" i="12"/>
  <c r="FE15" i="12"/>
  <c r="FD15" i="12"/>
  <c r="FC15" i="12"/>
  <c r="FB15" i="12"/>
  <c r="FA15" i="12"/>
  <c r="EZ15" i="12"/>
  <c r="EY15" i="12"/>
  <c r="EX15" i="12"/>
  <c r="EW15" i="12"/>
  <c r="FH14" i="12"/>
  <c r="FG14" i="12"/>
  <c r="FF14" i="12"/>
  <c r="FE14" i="12"/>
  <c r="FD14" i="12"/>
  <c r="FC14" i="12"/>
  <c r="FB14" i="12"/>
  <c r="FA14" i="12"/>
  <c r="EZ14" i="12"/>
  <c r="EY14" i="12"/>
  <c r="EX14" i="12"/>
  <c r="EW14" i="12"/>
  <c r="FH13" i="12"/>
  <c r="FG13" i="12"/>
  <c r="FF13" i="12"/>
  <c r="FE13" i="12"/>
  <c r="FD13" i="12"/>
  <c r="FC13" i="12"/>
  <c r="FB13" i="12"/>
  <c r="FA13" i="12"/>
  <c r="EZ13" i="12"/>
  <c r="EY13" i="12"/>
  <c r="EX13" i="12"/>
  <c r="EW13" i="12"/>
  <c r="FH12" i="12"/>
  <c r="FG12" i="12"/>
  <c r="FF12" i="12"/>
  <c r="FE12" i="12"/>
  <c r="FD12" i="12"/>
  <c r="FC12" i="12"/>
  <c r="FB12" i="12"/>
  <c r="FA12" i="12"/>
  <c r="EZ12" i="12"/>
  <c r="EY12" i="12"/>
  <c r="EX12" i="12"/>
  <c r="EW12" i="12"/>
  <c r="FH11" i="12"/>
  <c r="FG11" i="12"/>
  <c r="FF11" i="12"/>
  <c r="FE11" i="12"/>
  <c r="FD11" i="12"/>
  <c r="FC11" i="12"/>
  <c r="FB11" i="12"/>
  <c r="FA11" i="12"/>
  <c r="EZ11" i="12"/>
  <c r="EY11" i="12"/>
  <c r="EX11" i="12"/>
  <c r="EW11" i="12"/>
  <c r="FH10" i="12"/>
  <c r="FG10" i="12"/>
  <c r="FF10" i="12"/>
  <c r="FE10" i="12"/>
  <c r="FD10" i="12"/>
  <c r="FC10" i="12"/>
  <c r="FB10" i="12"/>
  <c r="FA10" i="12"/>
  <c r="EZ10" i="12"/>
  <c r="EY10" i="12"/>
  <c r="EX10" i="12"/>
  <c r="EW10" i="12"/>
  <c r="FH9" i="12"/>
  <c r="FG9" i="12"/>
  <c r="FF9" i="12"/>
  <c r="FE9" i="12"/>
  <c r="FD9" i="12"/>
  <c r="FC9" i="12"/>
  <c r="FB9" i="12"/>
  <c r="FA9" i="12"/>
  <c r="EZ9" i="12"/>
  <c r="EY9" i="12"/>
  <c r="EX9" i="12"/>
  <c r="EW9" i="12"/>
  <c r="FH8" i="12"/>
  <c r="FG8" i="12"/>
  <c r="FF8" i="12"/>
  <c r="FE8" i="12"/>
  <c r="FD8" i="12"/>
  <c r="FC8" i="12"/>
  <c r="FB8" i="12"/>
  <c r="FA8" i="12"/>
  <c r="EZ8" i="12"/>
  <c r="EY8" i="12"/>
  <c r="EX8" i="12"/>
  <c r="EW8" i="12"/>
  <c r="FH7" i="12"/>
  <c r="FG7" i="12"/>
  <c r="FG50" i="12" s="1"/>
  <c r="FF7" i="12"/>
  <c r="FE7" i="12"/>
  <c r="FD7" i="12"/>
  <c r="FC7" i="12"/>
  <c r="FB7" i="12"/>
  <c r="FA7" i="12"/>
  <c r="EZ7" i="12"/>
  <c r="EZ50" i="12" s="1"/>
  <c r="EY7" i="12"/>
  <c r="EY50" i="12" s="1"/>
  <c r="EX7" i="12"/>
  <c r="EW7" i="12"/>
  <c r="EW8" i="13"/>
  <c r="EX8" i="13"/>
  <c r="EY8" i="13"/>
  <c r="EZ8" i="13"/>
  <c r="FA8" i="13"/>
  <c r="FB8" i="13"/>
  <c r="FC8" i="13"/>
  <c r="FD8" i="13"/>
  <c r="FE8" i="13"/>
  <c r="FF8" i="13"/>
  <c r="FG8" i="13"/>
  <c r="FH8" i="13"/>
  <c r="EW9" i="13"/>
  <c r="EX9" i="13"/>
  <c r="EY9" i="13"/>
  <c r="EZ9" i="13"/>
  <c r="FA9" i="13"/>
  <c r="FB9" i="13"/>
  <c r="FC9" i="13"/>
  <c r="FD9" i="13"/>
  <c r="FE9" i="13"/>
  <c r="FF9" i="13"/>
  <c r="FG9" i="13"/>
  <c r="FH9" i="13"/>
  <c r="EW10" i="13"/>
  <c r="EX10" i="13"/>
  <c r="EY10" i="13"/>
  <c r="EZ10" i="13"/>
  <c r="FA10" i="13"/>
  <c r="FB10" i="13"/>
  <c r="FC10" i="13"/>
  <c r="FD10" i="13"/>
  <c r="FE10" i="13"/>
  <c r="FF10" i="13"/>
  <c r="FG10" i="13"/>
  <c r="FH10" i="13"/>
  <c r="EW11" i="13"/>
  <c r="EX11" i="13"/>
  <c r="EY11" i="13"/>
  <c r="EZ11" i="13"/>
  <c r="FA11" i="13"/>
  <c r="FB11" i="13"/>
  <c r="FC11" i="13"/>
  <c r="FD11" i="13"/>
  <c r="FE11" i="13"/>
  <c r="FF11" i="13"/>
  <c r="FG11" i="13"/>
  <c r="FH11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EW13" i="13"/>
  <c r="EX13" i="13"/>
  <c r="EY13" i="13"/>
  <c r="EZ13" i="13"/>
  <c r="FA13" i="13"/>
  <c r="FB13" i="13"/>
  <c r="FC13" i="13"/>
  <c r="FD13" i="13"/>
  <c r="FE13" i="13"/>
  <c r="FF13" i="13"/>
  <c r="FG13" i="13"/>
  <c r="FH13" i="13"/>
  <c r="EW14" i="13"/>
  <c r="EX14" i="13"/>
  <c r="EY14" i="13"/>
  <c r="EZ14" i="13"/>
  <c r="FA14" i="13"/>
  <c r="FB14" i="13"/>
  <c r="FC14" i="13"/>
  <c r="FD14" i="13"/>
  <c r="FE14" i="13"/>
  <c r="FF14" i="13"/>
  <c r="FG14" i="13"/>
  <c r="FH14" i="13"/>
  <c r="EW15" i="13"/>
  <c r="EX15" i="13"/>
  <c r="EY15" i="13"/>
  <c r="EZ15" i="13"/>
  <c r="FA15" i="13"/>
  <c r="FB15" i="13"/>
  <c r="FC15" i="13"/>
  <c r="FD15" i="13"/>
  <c r="FE15" i="13"/>
  <c r="FF15" i="13"/>
  <c r="FG15" i="13"/>
  <c r="FH15" i="13"/>
  <c r="EW16" i="13"/>
  <c r="EX16" i="13"/>
  <c r="EY16" i="13"/>
  <c r="EZ16" i="13"/>
  <c r="FA16" i="13"/>
  <c r="FB16" i="13"/>
  <c r="FC16" i="13"/>
  <c r="FD16" i="13"/>
  <c r="FE16" i="13"/>
  <c r="FF16" i="13"/>
  <c r="FG16" i="13"/>
  <c r="FH16" i="13"/>
  <c r="EW17" i="13"/>
  <c r="EX17" i="13"/>
  <c r="EY17" i="13"/>
  <c r="EZ17" i="13"/>
  <c r="FA17" i="13"/>
  <c r="FB17" i="13"/>
  <c r="FC17" i="13"/>
  <c r="FD17" i="13"/>
  <c r="FE17" i="13"/>
  <c r="FF17" i="13"/>
  <c r="FG17" i="13"/>
  <c r="FH17" i="13"/>
  <c r="EW18" i="13"/>
  <c r="EX18" i="13"/>
  <c r="EY18" i="13"/>
  <c r="EZ18" i="13"/>
  <c r="FA18" i="13"/>
  <c r="FB18" i="13"/>
  <c r="FC18" i="13"/>
  <c r="FD18" i="13"/>
  <c r="FE18" i="13"/>
  <c r="FF18" i="13"/>
  <c r="FG18" i="13"/>
  <c r="FH18" i="13"/>
  <c r="EW19" i="13"/>
  <c r="EX19" i="13"/>
  <c r="EY19" i="13"/>
  <c r="EZ19" i="13"/>
  <c r="FA19" i="13"/>
  <c r="FB19" i="13"/>
  <c r="FC19" i="13"/>
  <c r="FD19" i="13"/>
  <c r="FE19" i="13"/>
  <c r="FF19" i="13"/>
  <c r="FG19" i="13"/>
  <c r="FH19" i="13"/>
  <c r="EW20" i="13"/>
  <c r="EX20" i="13"/>
  <c r="EY20" i="13"/>
  <c r="EZ20" i="13"/>
  <c r="FA20" i="13"/>
  <c r="FB20" i="13"/>
  <c r="FC20" i="13"/>
  <c r="FD20" i="13"/>
  <c r="FE20" i="13"/>
  <c r="FF20" i="13"/>
  <c r="FG20" i="13"/>
  <c r="FH20" i="13"/>
  <c r="EW21" i="13"/>
  <c r="EX21" i="13"/>
  <c r="EY21" i="13"/>
  <c r="EZ21" i="13"/>
  <c r="FA21" i="13"/>
  <c r="FB21" i="13"/>
  <c r="FC21" i="13"/>
  <c r="FD21" i="13"/>
  <c r="FE21" i="13"/>
  <c r="FF21" i="13"/>
  <c r="FG21" i="13"/>
  <c r="FH21" i="13"/>
  <c r="EW22" i="13"/>
  <c r="EX22" i="13"/>
  <c r="EY22" i="13"/>
  <c r="EZ22" i="13"/>
  <c r="FA22" i="13"/>
  <c r="FB22" i="13"/>
  <c r="FC22" i="13"/>
  <c r="FD22" i="13"/>
  <c r="FE22" i="13"/>
  <c r="FF22" i="13"/>
  <c r="FG22" i="13"/>
  <c r="FH22" i="13"/>
  <c r="EW23" i="13"/>
  <c r="EX23" i="13"/>
  <c r="EY23" i="13"/>
  <c r="EZ23" i="13"/>
  <c r="FA23" i="13"/>
  <c r="FB23" i="13"/>
  <c r="FC23" i="13"/>
  <c r="FD23" i="13"/>
  <c r="FE23" i="13"/>
  <c r="FF23" i="13"/>
  <c r="FG23" i="13"/>
  <c r="FH23" i="13"/>
  <c r="EW24" i="13"/>
  <c r="EX24" i="13"/>
  <c r="EY24" i="13"/>
  <c r="EZ24" i="13"/>
  <c r="FA24" i="13"/>
  <c r="FB24" i="13"/>
  <c r="FC24" i="13"/>
  <c r="FD24" i="13"/>
  <c r="FE24" i="13"/>
  <c r="FF24" i="13"/>
  <c r="FG24" i="13"/>
  <c r="FH24" i="13"/>
  <c r="EW25" i="13"/>
  <c r="EX25" i="13"/>
  <c r="EY25" i="13"/>
  <c r="EZ25" i="13"/>
  <c r="FA25" i="13"/>
  <c r="FB25" i="13"/>
  <c r="FC25" i="13"/>
  <c r="FD25" i="13"/>
  <c r="FE25" i="13"/>
  <c r="FF25" i="13"/>
  <c r="FG25" i="13"/>
  <c r="FH25" i="13"/>
  <c r="EW26" i="13"/>
  <c r="EX26" i="13"/>
  <c r="EY26" i="13"/>
  <c r="EZ26" i="13"/>
  <c r="FA26" i="13"/>
  <c r="FB26" i="13"/>
  <c r="FC26" i="13"/>
  <c r="FD26" i="13"/>
  <c r="FE26" i="13"/>
  <c r="FF26" i="13"/>
  <c r="FG26" i="13"/>
  <c r="FH26" i="13"/>
  <c r="EW27" i="13"/>
  <c r="EX27" i="13"/>
  <c r="EY27" i="13"/>
  <c r="EZ27" i="13"/>
  <c r="FA27" i="13"/>
  <c r="FB27" i="13"/>
  <c r="FC27" i="13"/>
  <c r="FD27" i="13"/>
  <c r="FE27" i="13"/>
  <c r="FF27" i="13"/>
  <c r="FG27" i="13"/>
  <c r="FH27" i="13"/>
  <c r="EW28" i="13"/>
  <c r="EX28" i="13"/>
  <c r="EY28" i="13"/>
  <c r="EZ28" i="13"/>
  <c r="FA28" i="13"/>
  <c r="FB28" i="13"/>
  <c r="FC28" i="13"/>
  <c r="FD28" i="13"/>
  <c r="FE28" i="13"/>
  <c r="FF28" i="13"/>
  <c r="FG28" i="13"/>
  <c r="FH28" i="13"/>
  <c r="EW29" i="13"/>
  <c r="EX29" i="13"/>
  <c r="EY29" i="13"/>
  <c r="EZ29" i="13"/>
  <c r="FA29" i="13"/>
  <c r="FB29" i="13"/>
  <c r="FC29" i="13"/>
  <c r="FD29" i="13"/>
  <c r="FE29" i="13"/>
  <c r="FF29" i="13"/>
  <c r="FG29" i="13"/>
  <c r="FH29" i="13"/>
  <c r="EW30" i="13"/>
  <c r="EX30" i="13"/>
  <c r="EY30" i="13"/>
  <c r="EZ30" i="13"/>
  <c r="FA30" i="13"/>
  <c r="FB30" i="13"/>
  <c r="FC30" i="13"/>
  <c r="FD30" i="13"/>
  <c r="FE30" i="13"/>
  <c r="FF30" i="13"/>
  <c r="FG30" i="13"/>
  <c r="FH30" i="13"/>
  <c r="EW31" i="13"/>
  <c r="EX31" i="13"/>
  <c r="EY31" i="13"/>
  <c r="EZ31" i="13"/>
  <c r="FA31" i="13"/>
  <c r="FB31" i="13"/>
  <c r="FC31" i="13"/>
  <c r="FD31" i="13"/>
  <c r="FE31" i="13"/>
  <c r="FF31" i="13"/>
  <c r="FG31" i="13"/>
  <c r="FH31" i="13"/>
  <c r="EW32" i="13"/>
  <c r="EX32" i="13"/>
  <c r="EY32" i="13"/>
  <c r="EZ32" i="13"/>
  <c r="FA32" i="13"/>
  <c r="FB32" i="13"/>
  <c r="FC32" i="13"/>
  <c r="FD32" i="13"/>
  <c r="FE32" i="13"/>
  <c r="FF32" i="13"/>
  <c r="FG32" i="13"/>
  <c r="FH32" i="13"/>
  <c r="EW33" i="13"/>
  <c r="EX33" i="13"/>
  <c r="EY33" i="13"/>
  <c r="EZ33" i="13"/>
  <c r="FA33" i="13"/>
  <c r="FB33" i="13"/>
  <c r="FC33" i="13"/>
  <c r="FD33" i="13"/>
  <c r="FE33" i="13"/>
  <c r="FF33" i="13"/>
  <c r="FG33" i="13"/>
  <c r="FH33" i="13"/>
  <c r="EW34" i="13"/>
  <c r="EX34" i="13"/>
  <c r="EY34" i="13"/>
  <c r="EZ34" i="13"/>
  <c r="FA34" i="13"/>
  <c r="FB34" i="13"/>
  <c r="FC34" i="13"/>
  <c r="FD34" i="13"/>
  <c r="FE34" i="13"/>
  <c r="FF34" i="13"/>
  <c r="FG34" i="13"/>
  <c r="FH34" i="13"/>
  <c r="EW35" i="13"/>
  <c r="EX35" i="13"/>
  <c r="EY35" i="13"/>
  <c r="EZ35" i="13"/>
  <c r="FA35" i="13"/>
  <c r="FB35" i="13"/>
  <c r="FC35" i="13"/>
  <c r="FD35" i="13"/>
  <c r="FE35" i="13"/>
  <c r="FF35" i="13"/>
  <c r="FG35" i="13"/>
  <c r="FH35" i="13"/>
  <c r="EW36" i="13"/>
  <c r="EX36" i="13"/>
  <c r="EY36" i="13"/>
  <c r="EZ36" i="13"/>
  <c r="FA36" i="13"/>
  <c r="FB36" i="13"/>
  <c r="FC36" i="13"/>
  <c r="FD36" i="13"/>
  <c r="FE36" i="13"/>
  <c r="FF36" i="13"/>
  <c r="FG36" i="13"/>
  <c r="FH36" i="13"/>
  <c r="EW37" i="13"/>
  <c r="EX37" i="13"/>
  <c r="EY37" i="13"/>
  <c r="EZ37" i="13"/>
  <c r="FA37" i="13"/>
  <c r="FB37" i="13"/>
  <c r="FC37" i="13"/>
  <c r="FD37" i="13"/>
  <c r="FE37" i="13"/>
  <c r="FF37" i="13"/>
  <c r="FG37" i="13"/>
  <c r="FH37" i="13"/>
  <c r="EW38" i="13"/>
  <c r="EX38" i="13"/>
  <c r="EY38" i="13"/>
  <c r="EZ38" i="13"/>
  <c r="FA38" i="13"/>
  <c r="FB38" i="13"/>
  <c r="FC38" i="13"/>
  <c r="FD38" i="13"/>
  <c r="FE38" i="13"/>
  <c r="FF38" i="13"/>
  <c r="FG38" i="13"/>
  <c r="FH38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EW40" i="13"/>
  <c r="EX40" i="13"/>
  <c r="EY40" i="13"/>
  <c r="EZ40" i="13"/>
  <c r="FA40" i="13"/>
  <c r="FB40" i="13"/>
  <c r="FC40" i="13"/>
  <c r="FD40" i="13"/>
  <c r="FE40" i="13"/>
  <c r="FF40" i="13"/>
  <c r="FG40" i="13"/>
  <c r="FH40" i="13"/>
  <c r="EW41" i="13"/>
  <c r="EX41" i="13"/>
  <c r="EY41" i="13"/>
  <c r="EZ41" i="13"/>
  <c r="FA41" i="13"/>
  <c r="FB41" i="13"/>
  <c r="FC41" i="13"/>
  <c r="FD41" i="13"/>
  <c r="FE41" i="13"/>
  <c r="FF41" i="13"/>
  <c r="FG41" i="13"/>
  <c r="FH41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EW43" i="13"/>
  <c r="EX43" i="13"/>
  <c r="EY43" i="13"/>
  <c r="EZ43" i="13"/>
  <c r="FA43" i="13"/>
  <c r="FB43" i="13"/>
  <c r="FC43" i="13"/>
  <c r="FD43" i="13"/>
  <c r="FE43" i="13"/>
  <c r="FF43" i="13"/>
  <c r="FG43" i="13"/>
  <c r="FH43" i="13"/>
  <c r="EW44" i="13"/>
  <c r="EX44" i="13"/>
  <c r="EY44" i="13"/>
  <c r="EZ44" i="13"/>
  <c r="FA44" i="13"/>
  <c r="FB44" i="13"/>
  <c r="FC44" i="13"/>
  <c r="FD44" i="13"/>
  <c r="FE44" i="13"/>
  <c r="FF44" i="13"/>
  <c r="FG44" i="13"/>
  <c r="FH44" i="13"/>
  <c r="EW45" i="13"/>
  <c r="EX45" i="13"/>
  <c r="EY45" i="13"/>
  <c r="EZ45" i="13"/>
  <c r="FA45" i="13"/>
  <c r="FB45" i="13"/>
  <c r="FC45" i="13"/>
  <c r="FD45" i="13"/>
  <c r="FE45" i="13"/>
  <c r="FF45" i="13"/>
  <c r="FG45" i="13"/>
  <c r="FH45" i="13"/>
  <c r="EW46" i="13"/>
  <c r="EX46" i="13"/>
  <c r="EY46" i="13"/>
  <c r="EZ46" i="13"/>
  <c r="FA46" i="13"/>
  <c r="FB46" i="13"/>
  <c r="FC46" i="13"/>
  <c r="FD46" i="13"/>
  <c r="FE46" i="13"/>
  <c r="FF46" i="13"/>
  <c r="FG46" i="13"/>
  <c r="FH46" i="13"/>
  <c r="EW47" i="13"/>
  <c r="EX47" i="13"/>
  <c r="EY47" i="13"/>
  <c r="EZ47" i="13"/>
  <c r="FA47" i="13"/>
  <c r="FB47" i="13"/>
  <c r="FC47" i="13"/>
  <c r="FD47" i="13"/>
  <c r="FE47" i="13"/>
  <c r="FF47" i="13"/>
  <c r="FG47" i="13"/>
  <c r="FH47" i="13"/>
  <c r="EW48" i="13"/>
  <c r="EX48" i="13"/>
  <c r="EY48" i="13"/>
  <c r="EZ48" i="13"/>
  <c r="FA48" i="13"/>
  <c r="FB48" i="13"/>
  <c r="FC48" i="13"/>
  <c r="FD48" i="13"/>
  <c r="FE48" i="13"/>
  <c r="FF48" i="13"/>
  <c r="FG48" i="13"/>
  <c r="FH48" i="13"/>
  <c r="EW49" i="13"/>
  <c r="EX49" i="13"/>
  <c r="EY49" i="13"/>
  <c r="EZ49" i="13"/>
  <c r="FA49" i="13"/>
  <c r="FB49" i="13"/>
  <c r="FC49" i="13"/>
  <c r="FD49" i="13"/>
  <c r="FE49" i="13"/>
  <c r="FF49" i="13"/>
  <c r="FG49" i="13"/>
  <c r="FH49" i="13"/>
  <c r="EW50" i="13"/>
  <c r="EX50" i="13"/>
  <c r="EW51" i="9"/>
  <c r="EW51" i="6"/>
  <c r="EW51" i="14"/>
  <c r="EK51" i="14"/>
  <c r="EK42" i="7"/>
  <c r="FD50" i="7" l="1"/>
  <c r="EY50" i="13"/>
  <c r="FH50" i="7"/>
  <c r="EX50" i="7"/>
  <c r="FC50" i="7"/>
  <c r="FJ50" i="14"/>
  <c r="FI50" i="14"/>
  <c r="FE50" i="12"/>
  <c r="FH50" i="12"/>
  <c r="EX50" i="12"/>
  <c r="EZ50" i="7"/>
  <c r="FA50" i="13"/>
  <c r="EW50" i="12"/>
  <c r="FF50" i="12"/>
  <c r="EW50" i="7"/>
  <c r="FF50" i="13"/>
  <c r="FD50" i="13"/>
  <c r="EZ50" i="13"/>
  <c r="FE50" i="7"/>
  <c r="FE50" i="13"/>
  <c r="FH50" i="13"/>
  <c r="FG50" i="13"/>
  <c r="FD50" i="12"/>
  <c r="FC50" i="12"/>
  <c r="FG50" i="7"/>
  <c r="FF50" i="7"/>
  <c r="FB50" i="13"/>
  <c r="FC50" i="13"/>
  <c r="FB50" i="7"/>
  <c r="FB50" i="12"/>
  <c r="FA50" i="12"/>
  <c r="EU49" i="7"/>
  <c r="EU48" i="7"/>
  <c r="EI49" i="7"/>
  <c r="EI48" i="7"/>
  <c r="EV49" i="12"/>
  <c r="EU49" i="12"/>
  <c r="ET49" i="12"/>
  <c r="ES49" i="12"/>
  <c r="ER49" i="12"/>
  <c r="EQ49" i="12"/>
  <c r="EP49" i="12"/>
  <c r="EO49" i="12"/>
  <c r="EN49" i="12"/>
  <c r="EM49" i="12"/>
  <c r="EL49" i="12"/>
  <c r="EK49" i="12"/>
  <c r="EV48" i="12"/>
  <c r="EU48" i="12"/>
  <c r="ET48" i="12"/>
  <c r="ES48" i="12"/>
  <c r="ER48" i="12"/>
  <c r="EQ48" i="12"/>
  <c r="EP48" i="12"/>
  <c r="EO48" i="12"/>
  <c r="EN48" i="12"/>
  <c r="EM48" i="12"/>
  <c r="EL48" i="12"/>
  <c r="EK48" i="12"/>
  <c r="EV47" i="12"/>
  <c r="EU47" i="12"/>
  <c r="ET47" i="12"/>
  <c r="ES47" i="12"/>
  <c r="ER47" i="12"/>
  <c r="EQ47" i="12"/>
  <c r="EP47" i="12"/>
  <c r="EO47" i="12"/>
  <c r="EN47" i="12"/>
  <c r="EM47" i="12"/>
  <c r="EL47" i="12"/>
  <c r="EK47" i="12"/>
  <c r="EV46" i="12"/>
  <c r="EU46" i="12"/>
  <c r="ET46" i="12"/>
  <c r="ES46" i="12"/>
  <c r="ER46" i="12"/>
  <c r="EQ46" i="12"/>
  <c r="EP46" i="12"/>
  <c r="EO46" i="12"/>
  <c r="EN46" i="12"/>
  <c r="EM46" i="12"/>
  <c r="EL46" i="12"/>
  <c r="EK46" i="12"/>
  <c r="EV45" i="12"/>
  <c r="EU45" i="12"/>
  <c r="ET45" i="12"/>
  <c r="ES45" i="12"/>
  <c r="ER45" i="12"/>
  <c r="EQ45" i="12"/>
  <c r="EP45" i="12"/>
  <c r="EO45" i="12"/>
  <c r="EN45" i="12"/>
  <c r="EM45" i="12"/>
  <c r="EL45" i="12"/>
  <c r="EK45" i="12"/>
  <c r="EV44" i="12"/>
  <c r="EU44" i="12"/>
  <c r="ET44" i="12"/>
  <c r="ES44" i="12"/>
  <c r="ER44" i="12"/>
  <c r="EQ44" i="12"/>
  <c r="EP44" i="12"/>
  <c r="EO44" i="12"/>
  <c r="EN44" i="12"/>
  <c r="EM44" i="12"/>
  <c r="EL44" i="12"/>
  <c r="EK44" i="12"/>
  <c r="EV43" i="12"/>
  <c r="EU43" i="12"/>
  <c r="ET43" i="12"/>
  <c r="ES43" i="12"/>
  <c r="ER43" i="12"/>
  <c r="EQ43" i="12"/>
  <c r="EP43" i="12"/>
  <c r="EO43" i="12"/>
  <c r="EN43" i="12"/>
  <c r="EM43" i="12"/>
  <c r="EL43" i="12"/>
  <c r="EK43" i="12"/>
  <c r="EV42" i="12"/>
  <c r="EU42" i="12"/>
  <c r="ET42" i="12"/>
  <c r="ES42" i="12"/>
  <c r="ER42" i="12"/>
  <c r="EQ42" i="12"/>
  <c r="EP42" i="12"/>
  <c r="EO42" i="12"/>
  <c r="EN42" i="12"/>
  <c r="EM42" i="12"/>
  <c r="EL42" i="12"/>
  <c r="EK42" i="12"/>
  <c r="EV41" i="12"/>
  <c r="EU41" i="12"/>
  <c r="ET41" i="12"/>
  <c r="ES41" i="12"/>
  <c r="ER41" i="12"/>
  <c r="EQ41" i="12"/>
  <c r="EP41" i="12"/>
  <c r="EO41" i="12"/>
  <c r="EN41" i="12"/>
  <c r="EM41" i="12"/>
  <c r="EL41" i="12"/>
  <c r="EK41" i="12"/>
  <c r="EV40" i="12"/>
  <c r="EU40" i="12"/>
  <c r="ET40" i="12"/>
  <c r="ES40" i="12"/>
  <c r="ER40" i="12"/>
  <c r="EQ40" i="12"/>
  <c r="EP40" i="12"/>
  <c r="EO40" i="12"/>
  <c r="EN40" i="12"/>
  <c r="EM40" i="12"/>
  <c r="EL40" i="12"/>
  <c r="EK40" i="12"/>
  <c r="EV39" i="12"/>
  <c r="EU39" i="12"/>
  <c r="ET39" i="12"/>
  <c r="ES39" i="12"/>
  <c r="ER39" i="12"/>
  <c r="EQ39" i="12"/>
  <c r="EP39" i="12"/>
  <c r="EO39" i="12"/>
  <c r="EN39" i="12"/>
  <c r="EM39" i="12"/>
  <c r="EL39" i="12"/>
  <c r="EK39" i="12"/>
  <c r="EV38" i="12"/>
  <c r="EU38" i="12"/>
  <c r="ET38" i="12"/>
  <c r="ES38" i="12"/>
  <c r="ER38" i="12"/>
  <c r="EQ38" i="12"/>
  <c r="EP38" i="12"/>
  <c r="EO38" i="12"/>
  <c r="EN38" i="12"/>
  <c r="EM38" i="12"/>
  <c r="EL38" i="12"/>
  <c r="EK38" i="12"/>
  <c r="EV37" i="12"/>
  <c r="EU37" i="12"/>
  <c r="ET37" i="12"/>
  <c r="ES37" i="12"/>
  <c r="ER37" i="12"/>
  <c r="EQ37" i="12"/>
  <c r="EP37" i="12"/>
  <c r="EO37" i="12"/>
  <c r="EN37" i="12"/>
  <c r="EM37" i="12"/>
  <c r="EL37" i="12"/>
  <c r="EK37" i="12"/>
  <c r="EV36" i="12"/>
  <c r="EU36" i="12"/>
  <c r="ET36" i="12"/>
  <c r="ES36" i="12"/>
  <c r="ER36" i="12"/>
  <c r="EQ36" i="12"/>
  <c r="EP36" i="12"/>
  <c r="EO36" i="12"/>
  <c r="EN36" i="12"/>
  <c r="EM36" i="12"/>
  <c r="EL36" i="12"/>
  <c r="EK36" i="12"/>
  <c r="EV35" i="12"/>
  <c r="EU35" i="12"/>
  <c r="ET35" i="12"/>
  <c r="ES35" i="12"/>
  <c r="ER35" i="12"/>
  <c r="EQ35" i="12"/>
  <c r="EP35" i="12"/>
  <c r="EO35" i="12"/>
  <c r="EN35" i="12"/>
  <c r="EM35" i="12"/>
  <c r="EL35" i="12"/>
  <c r="EK35" i="12"/>
  <c r="EV34" i="12"/>
  <c r="EU34" i="12"/>
  <c r="ET34" i="12"/>
  <c r="ES34" i="12"/>
  <c r="ER34" i="12"/>
  <c r="EQ34" i="12"/>
  <c r="EP34" i="12"/>
  <c r="EO34" i="12"/>
  <c r="EN34" i="12"/>
  <c r="EM34" i="12"/>
  <c r="EL34" i="12"/>
  <c r="EK34" i="12"/>
  <c r="EV33" i="12"/>
  <c r="EU33" i="12"/>
  <c r="ET33" i="12"/>
  <c r="ES33" i="12"/>
  <c r="ER33" i="12"/>
  <c r="EQ33" i="12"/>
  <c r="EP33" i="12"/>
  <c r="EO33" i="12"/>
  <c r="EN33" i="12"/>
  <c r="EM33" i="12"/>
  <c r="EL33" i="12"/>
  <c r="EK33" i="12"/>
  <c r="EV32" i="12"/>
  <c r="EU32" i="12"/>
  <c r="ET32" i="12"/>
  <c r="ES32" i="12"/>
  <c r="ER32" i="12"/>
  <c r="EQ32" i="12"/>
  <c r="EP32" i="12"/>
  <c r="EO32" i="12"/>
  <c r="EN32" i="12"/>
  <c r="EM32" i="12"/>
  <c r="EL32" i="12"/>
  <c r="EK32" i="12"/>
  <c r="EV31" i="12"/>
  <c r="EU31" i="12"/>
  <c r="ET31" i="12"/>
  <c r="ES31" i="12"/>
  <c r="ER31" i="12"/>
  <c r="EQ31" i="12"/>
  <c r="EP31" i="12"/>
  <c r="EO31" i="12"/>
  <c r="EN31" i="12"/>
  <c r="EM31" i="12"/>
  <c r="EL31" i="12"/>
  <c r="EK31" i="12"/>
  <c r="EV30" i="12"/>
  <c r="EU30" i="12"/>
  <c r="ET30" i="12"/>
  <c r="ES30" i="12"/>
  <c r="ER30" i="12"/>
  <c r="EQ30" i="12"/>
  <c r="EP30" i="12"/>
  <c r="EO30" i="12"/>
  <c r="EN30" i="12"/>
  <c r="EM30" i="12"/>
  <c r="EL30" i="12"/>
  <c r="EK30" i="12"/>
  <c r="EV29" i="12"/>
  <c r="EU29" i="12"/>
  <c r="ET29" i="12"/>
  <c r="ES29" i="12"/>
  <c r="ER29" i="12"/>
  <c r="EQ29" i="12"/>
  <c r="EP29" i="12"/>
  <c r="EO29" i="12"/>
  <c r="EN29" i="12"/>
  <c r="EM29" i="12"/>
  <c r="EL29" i="12"/>
  <c r="EK29" i="12"/>
  <c r="EV28" i="12"/>
  <c r="EU28" i="12"/>
  <c r="ET28" i="12"/>
  <c r="ES28" i="12"/>
  <c r="ER28" i="12"/>
  <c r="EQ28" i="12"/>
  <c r="EP28" i="12"/>
  <c r="EO28" i="12"/>
  <c r="EN28" i="12"/>
  <c r="EM28" i="12"/>
  <c r="EL28" i="12"/>
  <c r="EK28" i="12"/>
  <c r="EV27" i="12"/>
  <c r="EU27" i="12"/>
  <c r="ET27" i="12"/>
  <c r="ES27" i="12"/>
  <c r="ER27" i="12"/>
  <c r="EQ27" i="12"/>
  <c r="EP27" i="12"/>
  <c r="EO27" i="12"/>
  <c r="EN27" i="12"/>
  <c r="EM27" i="12"/>
  <c r="EL27" i="12"/>
  <c r="EK27" i="12"/>
  <c r="EV26" i="12"/>
  <c r="EU26" i="12"/>
  <c r="ET26" i="12"/>
  <c r="ES26" i="12"/>
  <c r="ER26" i="12"/>
  <c r="EQ26" i="12"/>
  <c r="EP26" i="12"/>
  <c r="EO26" i="12"/>
  <c r="EN26" i="12"/>
  <c r="EM26" i="12"/>
  <c r="EL26" i="12"/>
  <c r="EK26" i="12"/>
  <c r="EV25" i="12"/>
  <c r="EU25" i="12"/>
  <c r="ET25" i="12"/>
  <c r="ES25" i="12"/>
  <c r="ER25" i="12"/>
  <c r="EQ25" i="12"/>
  <c r="EP25" i="12"/>
  <c r="EO25" i="12"/>
  <c r="EN25" i="12"/>
  <c r="EM25" i="12"/>
  <c r="EL25" i="12"/>
  <c r="EK25" i="12"/>
  <c r="EV24" i="12"/>
  <c r="EU24" i="12"/>
  <c r="ET24" i="12"/>
  <c r="ES24" i="12"/>
  <c r="ER24" i="12"/>
  <c r="EQ24" i="12"/>
  <c r="EP24" i="12"/>
  <c r="EO24" i="12"/>
  <c r="EN24" i="12"/>
  <c r="EM24" i="12"/>
  <c r="EL24" i="12"/>
  <c r="EK24" i="12"/>
  <c r="EV23" i="12"/>
  <c r="EU23" i="12"/>
  <c r="ET23" i="12"/>
  <c r="ES23" i="12"/>
  <c r="ER23" i="12"/>
  <c r="EQ23" i="12"/>
  <c r="EP23" i="12"/>
  <c r="EO23" i="12"/>
  <c r="EN23" i="12"/>
  <c r="EM23" i="12"/>
  <c r="EL23" i="12"/>
  <c r="EK23" i="12"/>
  <c r="EV22" i="12"/>
  <c r="EU22" i="12"/>
  <c r="ET22" i="12"/>
  <c r="ES22" i="12"/>
  <c r="ER22" i="12"/>
  <c r="EQ22" i="12"/>
  <c r="EP22" i="12"/>
  <c r="EO22" i="12"/>
  <c r="EN22" i="12"/>
  <c r="EM22" i="12"/>
  <c r="EL22" i="12"/>
  <c r="EK22" i="12"/>
  <c r="EV21" i="12"/>
  <c r="EU21" i="12"/>
  <c r="ET21" i="12"/>
  <c r="ES21" i="12"/>
  <c r="ER21" i="12"/>
  <c r="EQ21" i="12"/>
  <c r="EP21" i="12"/>
  <c r="EO21" i="12"/>
  <c r="EN21" i="12"/>
  <c r="EM21" i="12"/>
  <c r="EL21" i="12"/>
  <c r="EK21" i="12"/>
  <c r="EV20" i="12"/>
  <c r="EU20" i="12"/>
  <c r="ET20" i="12"/>
  <c r="ES20" i="12"/>
  <c r="ER20" i="12"/>
  <c r="EQ20" i="12"/>
  <c r="EP20" i="12"/>
  <c r="EO20" i="12"/>
  <c r="EN20" i="12"/>
  <c r="EM20" i="12"/>
  <c r="EL20" i="12"/>
  <c r="EK20" i="12"/>
  <c r="EV19" i="12"/>
  <c r="EU19" i="12"/>
  <c r="ET19" i="12"/>
  <c r="ES19" i="12"/>
  <c r="ER19" i="12"/>
  <c r="EQ19" i="12"/>
  <c r="EP19" i="12"/>
  <c r="EO19" i="12"/>
  <c r="EN19" i="12"/>
  <c r="EM19" i="12"/>
  <c r="EL19" i="12"/>
  <c r="EK19" i="12"/>
  <c r="EV18" i="12"/>
  <c r="EU18" i="12"/>
  <c r="ET18" i="12"/>
  <c r="ES18" i="12"/>
  <c r="ER18" i="12"/>
  <c r="EQ18" i="12"/>
  <c r="EP18" i="12"/>
  <c r="EO18" i="12"/>
  <c r="EN18" i="12"/>
  <c r="EM18" i="12"/>
  <c r="EL18" i="12"/>
  <c r="EK18" i="12"/>
  <c r="EV17" i="12"/>
  <c r="EU17" i="12"/>
  <c r="ET17" i="12"/>
  <c r="ES17" i="12"/>
  <c r="ER17" i="12"/>
  <c r="EQ17" i="12"/>
  <c r="EP17" i="12"/>
  <c r="EO17" i="12"/>
  <c r="EN17" i="12"/>
  <c r="EM17" i="12"/>
  <c r="EL17" i="12"/>
  <c r="EK17" i="12"/>
  <c r="EV16" i="12"/>
  <c r="EU16" i="12"/>
  <c r="ET16" i="12"/>
  <c r="ES16" i="12"/>
  <c r="ER16" i="12"/>
  <c r="EQ16" i="12"/>
  <c r="EP16" i="12"/>
  <c r="EO16" i="12"/>
  <c r="EN16" i="12"/>
  <c r="EM16" i="12"/>
  <c r="EL16" i="12"/>
  <c r="EK16" i="12"/>
  <c r="EV15" i="12"/>
  <c r="EU15" i="12"/>
  <c r="ET15" i="12"/>
  <c r="ES15" i="12"/>
  <c r="ER15" i="12"/>
  <c r="EQ15" i="12"/>
  <c r="EP15" i="12"/>
  <c r="EO15" i="12"/>
  <c r="EN15" i="12"/>
  <c r="EM15" i="12"/>
  <c r="EL15" i="12"/>
  <c r="EK15" i="12"/>
  <c r="EV14" i="12"/>
  <c r="EU14" i="12"/>
  <c r="ET14" i="12"/>
  <c r="ES14" i="12"/>
  <c r="ER14" i="12"/>
  <c r="EQ14" i="12"/>
  <c r="EP14" i="12"/>
  <c r="EO14" i="12"/>
  <c r="EN14" i="12"/>
  <c r="EM14" i="12"/>
  <c r="EL14" i="12"/>
  <c r="EK14" i="12"/>
  <c r="EV13" i="12"/>
  <c r="EU13" i="12"/>
  <c r="ET13" i="12"/>
  <c r="ES13" i="12"/>
  <c r="ER13" i="12"/>
  <c r="EQ13" i="12"/>
  <c r="EP13" i="12"/>
  <c r="EO13" i="12"/>
  <c r="EN13" i="12"/>
  <c r="EM13" i="12"/>
  <c r="EL13" i="12"/>
  <c r="EK13" i="12"/>
  <c r="EV12" i="12"/>
  <c r="EU12" i="12"/>
  <c r="ET12" i="12"/>
  <c r="ES12" i="12"/>
  <c r="ER12" i="12"/>
  <c r="EQ12" i="12"/>
  <c r="EP12" i="12"/>
  <c r="EO12" i="12"/>
  <c r="EN12" i="12"/>
  <c r="EM12" i="12"/>
  <c r="EL12" i="12"/>
  <c r="EK12" i="12"/>
  <c r="EV11" i="12"/>
  <c r="EU11" i="12"/>
  <c r="ET11" i="12"/>
  <c r="ES11" i="12"/>
  <c r="ER11" i="12"/>
  <c r="EQ11" i="12"/>
  <c r="EP11" i="12"/>
  <c r="EO11" i="12"/>
  <c r="EN11" i="12"/>
  <c r="EM11" i="12"/>
  <c r="EL11" i="12"/>
  <c r="EK11" i="12"/>
  <c r="EV10" i="12"/>
  <c r="EU10" i="12"/>
  <c r="ET10" i="12"/>
  <c r="ES10" i="12"/>
  <c r="ER10" i="12"/>
  <c r="EQ10" i="12"/>
  <c r="EP10" i="12"/>
  <c r="EO10" i="12"/>
  <c r="EN10" i="12"/>
  <c r="EM10" i="12"/>
  <c r="EL10" i="12"/>
  <c r="EK10" i="12"/>
  <c r="EV9" i="12"/>
  <c r="EU9" i="12"/>
  <c r="ET9" i="12"/>
  <c r="ES9" i="12"/>
  <c r="ER9" i="12"/>
  <c r="EQ9" i="12"/>
  <c r="EP9" i="12"/>
  <c r="EO9" i="12"/>
  <c r="EN9" i="12"/>
  <c r="EM9" i="12"/>
  <c r="EL9" i="12"/>
  <c r="EK9" i="12"/>
  <c r="EV8" i="12"/>
  <c r="EU8" i="12"/>
  <c r="ET8" i="12"/>
  <c r="ES8" i="12"/>
  <c r="ER8" i="12"/>
  <c r="EQ8" i="12"/>
  <c r="EP8" i="12"/>
  <c r="EO8" i="12"/>
  <c r="EN8" i="12"/>
  <c r="EM8" i="12"/>
  <c r="EL8" i="12"/>
  <c r="EK8" i="12"/>
  <c r="EV7" i="12"/>
  <c r="EU7" i="12"/>
  <c r="ET7" i="12"/>
  <c r="ES7" i="12"/>
  <c r="ER7" i="12"/>
  <c r="EQ7" i="12"/>
  <c r="EP7" i="12"/>
  <c r="EO7" i="12"/>
  <c r="EN7" i="12"/>
  <c r="EM7" i="12"/>
  <c r="EL7" i="12"/>
  <c r="EK7" i="12"/>
  <c r="EI49" i="12"/>
  <c r="EI48" i="12"/>
  <c r="EV49" i="13"/>
  <c r="EU49" i="13"/>
  <c r="ET49" i="13"/>
  <c r="ES49" i="13"/>
  <c r="ER49" i="13"/>
  <c r="EQ49" i="13"/>
  <c r="EP49" i="13"/>
  <c r="EO49" i="13"/>
  <c r="EN49" i="13"/>
  <c r="EM49" i="13"/>
  <c r="EL49" i="13"/>
  <c r="EK49" i="13"/>
  <c r="EV48" i="13"/>
  <c r="EU48" i="13"/>
  <c r="ET48" i="13"/>
  <c r="ES48" i="13"/>
  <c r="ER48" i="13"/>
  <c r="EQ48" i="13"/>
  <c r="EP48" i="13"/>
  <c r="EO48" i="13"/>
  <c r="EN48" i="13"/>
  <c r="EM48" i="13"/>
  <c r="EL48" i="13"/>
  <c r="EK48" i="13"/>
  <c r="EV47" i="13"/>
  <c r="EU47" i="13"/>
  <c r="ET47" i="13"/>
  <c r="ES47" i="13"/>
  <c r="ER47" i="13"/>
  <c r="EQ47" i="13"/>
  <c r="EP47" i="13"/>
  <c r="EO47" i="13"/>
  <c r="EN47" i="13"/>
  <c r="EM47" i="13"/>
  <c r="EL47" i="13"/>
  <c r="EK47" i="13"/>
  <c r="EV46" i="13"/>
  <c r="EU46" i="13"/>
  <c r="ET46" i="13"/>
  <c r="ES46" i="13"/>
  <c r="ER46" i="13"/>
  <c r="EQ46" i="13"/>
  <c r="EP46" i="13"/>
  <c r="EO46" i="13"/>
  <c r="EN46" i="13"/>
  <c r="EM46" i="13"/>
  <c r="EL46" i="13"/>
  <c r="EK46" i="13"/>
  <c r="EV45" i="13"/>
  <c r="EU45" i="13"/>
  <c r="ET45" i="13"/>
  <c r="ES45" i="13"/>
  <c r="ER45" i="13"/>
  <c r="EQ45" i="13"/>
  <c r="EP45" i="13"/>
  <c r="EO45" i="13"/>
  <c r="EN45" i="13"/>
  <c r="EM45" i="13"/>
  <c r="EL45" i="13"/>
  <c r="EK45" i="13"/>
  <c r="EV44" i="13"/>
  <c r="EU44" i="13"/>
  <c r="ET44" i="13"/>
  <c r="ES44" i="13"/>
  <c r="ER44" i="13"/>
  <c r="EQ44" i="13"/>
  <c r="EP44" i="13"/>
  <c r="EO44" i="13"/>
  <c r="EN44" i="13"/>
  <c r="EM44" i="13"/>
  <c r="EL44" i="13"/>
  <c r="EK44" i="13"/>
  <c r="EV43" i="13"/>
  <c r="EU43" i="13"/>
  <c r="ET43" i="13"/>
  <c r="ES43" i="13"/>
  <c r="ER43" i="13"/>
  <c r="EQ43" i="13"/>
  <c r="EP43" i="13"/>
  <c r="EO43" i="13"/>
  <c r="EN43" i="13"/>
  <c r="EM43" i="13"/>
  <c r="EL43" i="13"/>
  <c r="EK43" i="13"/>
  <c r="EV42" i="13"/>
  <c r="EU42" i="13"/>
  <c r="ET42" i="13"/>
  <c r="ES42" i="13"/>
  <c r="ER42" i="13"/>
  <c r="EQ42" i="13"/>
  <c r="EP42" i="13"/>
  <c r="EO42" i="13"/>
  <c r="EN42" i="13"/>
  <c r="EM42" i="13"/>
  <c r="EL42" i="13"/>
  <c r="EK42" i="13"/>
  <c r="EV41" i="13"/>
  <c r="EU41" i="13"/>
  <c r="ET41" i="13"/>
  <c r="ES41" i="13"/>
  <c r="ER41" i="13"/>
  <c r="EQ41" i="13"/>
  <c r="EP41" i="13"/>
  <c r="EO41" i="13"/>
  <c r="EN41" i="13"/>
  <c r="EM41" i="13"/>
  <c r="EL41" i="13"/>
  <c r="EK41" i="13"/>
  <c r="EV40" i="13"/>
  <c r="EU40" i="13"/>
  <c r="ET40" i="13"/>
  <c r="ES40" i="13"/>
  <c r="ER40" i="13"/>
  <c r="EQ40" i="13"/>
  <c r="EP40" i="13"/>
  <c r="EO40" i="13"/>
  <c r="EN40" i="13"/>
  <c r="EM40" i="13"/>
  <c r="EL40" i="13"/>
  <c r="EK40" i="13"/>
  <c r="EV39" i="13"/>
  <c r="EU39" i="13"/>
  <c r="ET39" i="13"/>
  <c r="ES39" i="13"/>
  <c r="ER39" i="13"/>
  <c r="EQ39" i="13"/>
  <c r="EP39" i="13"/>
  <c r="EO39" i="13"/>
  <c r="EN39" i="13"/>
  <c r="EM39" i="13"/>
  <c r="EL39" i="13"/>
  <c r="EK39" i="13"/>
  <c r="EV38" i="13"/>
  <c r="EU38" i="13"/>
  <c r="ET38" i="13"/>
  <c r="ES38" i="13"/>
  <c r="ER38" i="13"/>
  <c r="EQ38" i="13"/>
  <c r="EP38" i="13"/>
  <c r="EO38" i="13"/>
  <c r="EN38" i="13"/>
  <c r="EM38" i="13"/>
  <c r="EL38" i="13"/>
  <c r="EK38" i="13"/>
  <c r="EV37" i="13"/>
  <c r="EU37" i="13"/>
  <c r="ET37" i="13"/>
  <c r="ES37" i="13"/>
  <c r="ER37" i="13"/>
  <c r="EQ37" i="13"/>
  <c r="EP37" i="13"/>
  <c r="EO37" i="13"/>
  <c r="EN37" i="13"/>
  <c r="EM37" i="13"/>
  <c r="EL37" i="13"/>
  <c r="EK37" i="13"/>
  <c r="EV36" i="13"/>
  <c r="EU36" i="13"/>
  <c r="ET36" i="13"/>
  <c r="ES36" i="13"/>
  <c r="ER36" i="13"/>
  <c r="EQ36" i="13"/>
  <c r="EP36" i="13"/>
  <c r="EO36" i="13"/>
  <c r="EN36" i="13"/>
  <c r="EM36" i="13"/>
  <c r="EL36" i="13"/>
  <c r="EK36" i="13"/>
  <c r="EV35" i="13"/>
  <c r="EU35" i="13"/>
  <c r="ET35" i="13"/>
  <c r="ES35" i="13"/>
  <c r="ER35" i="13"/>
  <c r="EQ35" i="13"/>
  <c r="EP35" i="13"/>
  <c r="EO35" i="13"/>
  <c r="EN35" i="13"/>
  <c r="EM35" i="13"/>
  <c r="EL35" i="13"/>
  <c r="EK35" i="13"/>
  <c r="EV34" i="13"/>
  <c r="EU34" i="13"/>
  <c r="ET34" i="13"/>
  <c r="ES34" i="13"/>
  <c r="ER34" i="13"/>
  <c r="EQ34" i="13"/>
  <c r="EP34" i="13"/>
  <c r="EO34" i="13"/>
  <c r="EN34" i="13"/>
  <c r="EM34" i="13"/>
  <c r="EL34" i="13"/>
  <c r="EK34" i="13"/>
  <c r="EV33" i="13"/>
  <c r="EU33" i="13"/>
  <c r="ET33" i="13"/>
  <c r="ES33" i="13"/>
  <c r="ER33" i="13"/>
  <c r="EQ33" i="13"/>
  <c r="EP33" i="13"/>
  <c r="EO33" i="13"/>
  <c r="EN33" i="13"/>
  <c r="EM33" i="13"/>
  <c r="EL33" i="13"/>
  <c r="EK33" i="13"/>
  <c r="EV32" i="13"/>
  <c r="EU32" i="13"/>
  <c r="ET32" i="13"/>
  <c r="ES32" i="13"/>
  <c r="ER32" i="13"/>
  <c r="EQ32" i="13"/>
  <c r="EP32" i="13"/>
  <c r="EO32" i="13"/>
  <c r="EN32" i="13"/>
  <c r="EM32" i="13"/>
  <c r="EL32" i="13"/>
  <c r="EK32" i="13"/>
  <c r="EV31" i="13"/>
  <c r="EU31" i="13"/>
  <c r="ET31" i="13"/>
  <c r="ES31" i="13"/>
  <c r="ER31" i="13"/>
  <c r="EQ31" i="13"/>
  <c r="EP31" i="13"/>
  <c r="EO31" i="13"/>
  <c r="EN31" i="13"/>
  <c r="EM31" i="13"/>
  <c r="EL31" i="13"/>
  <c r="EK31" i="13"/>
  <c r="EV30" i="13"/>
  <c r="EU30" i="13"/>
  <c r="ET30" i="13"/>
  <c r="ES30" i="13"/>
  <c r="ER30" i="13"/>
  <c r="EQ30" i="13"/>
  <c r="EP30" i="13"/>
  <c r="EO30" i="13"/>
  <c r="EN30" i="13"/>
  <c r="EM30" i="13"/>
  <c r="EL30" i="13"/>
  <c r="EK30" i="13"/>
  <c r="EV29" i="13"/>
  <c r="EU29" i="13"/>
  <c r="ET29" i="13"/>
  <c r="ES29" i="13"/>
  <c r="ER29" i="13"/>
  <c r="EQ29" i="13"/>
  <c r="EP29" i="13"/>
  <c r="EO29" i="13"/>
  <c r="EN29" i="13"/>
  <c r="EM29" i="13"/>
  <c r="EL29" i="13"/>
  <c r="EK29" i="13"/>
  <c r="EV28" i="13"/>
  <c r="EU28" i="13"/>
  <c r="ET28" i="13"/>
  <c r="ES28" i="13"/>
  <c r="ER28" i="13"/>
  <c r="EQ28" i="13"/>
  <c r="EP28" i="13"/>
  <c r="EO28" i="13"/>
  <c r="EN28" i="13"/>
  <c r="EM28" i="13"/>
  <c r="EL28" i="13"/>
  <c r="EK28" i="13"/>
  <c r="EV27" i="13"/>
  <c r="EU27" i="13"/>
  <c r="ET27" i="13"/>
  <c r="ES27" i="13"/>
  <c r="ER27" i="13"/>
  <c r="EQ27" i="13"/>
  <c r="EP27" i="13"/>
  <c r="EO27" i="13"/>
  <c r="EN27" i="13"/>
  <c r="EM27" i="13"/>
  <c r="EL27" i="13"/>
  <c r="EK27" i="13"/>
  <c r="EV26" i="13"/>
  <c r="EU26" i="13"/>
  <c r="ET26" i="13"/>
  <c r="ES26" i="13"/>
  <c r="ER26" i="13"/>
  <c r="EQ26" i="13"/>
  <c r="EP26" i="13"/>
  <c r="EO26" i="13"/>
  <c r="EN26" i="13"/>
  <c r="EM26" i="13"/>
  <c r="EL26" i="13"/>
  <c r="EK26" i="13"/>
  <c r="EV25" i="13"/>
  <c r="EU25" i="13"/>
  <c r="ET25" i="13"/>
  <c r="ES25" i="13"/>
  <c r="ER25" i="13"/>
  <c r="EQ25" i="13"/>
  <c r="EP25" i="13"/>
  <c r="EO25" i="13"/>
  <c r="EN25" i="13"/>
  <c r="EM25" i="13"/>
  <c r="EL25" i="13"/>
  <c r="EK25" i="13"/>
  <c r="EV24" i="13"/>
  <c r="EU24" i="13"/>
  <c r="ET24" i="13"/>
  <c r="ES24" i="13"/>
  <c r="ER24" i="13"/>
  <c r="EQ24" i="13"/>
  <c r="EP24" i="13"/>
  <c r="EO24" i="13"/>
  <c r="EN24" i="13"/>
  <c r="EM24" i="13"/>
  <c r="EL24" i="13"/>
  <c r="EK24" i="13"/>
  <c r="EV23" i="13"/>
  <c r="EU23" i="13"/>
  <c r="ET23" i="13"/>
  <c r="ES23" i="13"/>
  <c r="ER23" i="13"/>
  <c r="EQ23" i="13"/>
  <c r="EP23" i="13"/>
  <c r="EO23" i="13"/>
  <c r="EN23" i="13"/>
  <c r="EM23" i="13"/>
  <c r="EL23" i="13"/>
  <c r="EK23" i="13"/>
  <c r="EV22" i="13"/>
  <c r="EU22" i="13"/>
  <c r="ET22" i="13"/>
  <c r="ES22" i="13"/>
  <c r="ER22" i="13"/>
  <c r="EQ22" i="13"/>
  <c r="EP22" i="13"/>
  <c r="EO22" i="13"/>
  <c r="EN22" i="13"/>
  <c r="EM22" i="13"/>
  <c r="EL22" i="13"/>
  <c r="EK22" i="13"/>
  <c r="EV21" i="13"/>
  <c r="EU21" i="13"/>
  <c r="ET21" i="13"/>
  <c r="ES21" i="13"/>
  <c r="ER21" i="13"/>
  <c r="EQ21" i="13"/>
  <c r="EP21" i="13"/>
  <c r="EO21" i="13"/>
  <c r="EN21" i="13"/>
  <c r="EM21" i="13"/>
  <c r="EL21" i="13"/>
  <c r="EK21" i="13"/>
  <c r="EV20" i="13"/>
  <c r="EU20" i="13"/>
  <c r="ET20" i="13"/>
  <c r="ES20" i="13"/>
  <c r="ER20" i="13"/>
  <c r="EQ20" i="13"/>
  <c r="EP20" i="13"/>
  <c r="EO20" i="13"/>
  <c r="EN20" i="13"/>
  <c r="EM20" i="13"/>
  <c r="EL20" i="13"/>
  <c r="EK20" i="13"/>
  <c r="EV19" i="13"/>
  <c r="EU19" i="13"/>
  <c r="ET19" i="13"/>
  <c r="ES19" i="13"/>
  <c r="ER19" i="13"/>
  <c r="EQ19" i="13"/>
  <c r="EP19" i="13"/>
  <c r="EO19" i="13"/>
  <c r="EN19" i="13"/>
  <c r="EM19" i="13"/>
  <c r="EL19" i="13"/>
  <c r="EK19" i="13"/>
  <c r="EV18" i="13"/>
  <c r="EU18" i="13"/>
  <c r="ET18" i="13"/>
  <c r="ES18" i="13"/>
  <c r="ER18" i="13"/>
  <c r="EQ18" i="13"/>
  <c r="EP18" i="13"/>
  <c r="EO18" i="13"/>
  <c r="EN18" i="13"/>
  <c r="EM18" i="13"/>
  <c r="EL18" i="13"/>
  <c r="EK18" i="13"/>
  <c r="EV17" i="13"/>
  <c r="EU17" i="13"/>
  <c r="ET17" i="13"/>
  <c r="ES17" i="13"/>
  <c r="ER17" i="13"/>
  <c r="EQ17" i="13"/>
  <c r="EP17" i="13"/>
  <c r="EO17" i="13"/>
  <c r="EN17" i="13"/>
  <c r="EM17" i="13"/>
  <c r="EL17" i="13"/>
  <c r="EK17" i="13"/>
  <c r="EV16" i="13"/>
  <c r="EU16" i="13"/>
  <c r="ET16" i="13"/>
  <c r="ES16" i="13"/>
  <c r="ER16" i="13"/>
  <c r="EQ16" i="13"/>
  <c r="EP16" i="13"/>
  <c r="EO16" i="13"/>
  <c r="EN16" i="13"/>
  <c r="EM16" i="13"/>
  <c r="EL16" i="13"/>
  <c r="EK16" i="13"/>
  <c r="EV15" i="13"/>
  <c r="EU15" i="13"/>
  <c r="ET15" i="13"/>
  <c r="ES15" i="13"/>
  <c r="ER15" i="13"/>
  <c r="EQ15" i="13"/>
  <c r="EP15" i="13"/>
  <c r="EO15" i="13"/>
  <c r="EN15" i="13"/>
  <c r="EM15" i="13"/>
  <c r="EL15" i="13"/>
  <c r="EK15" i="13"/>
  <c r="EV14" i="13"/>
  <c r="EU14" i="13"/>
  <c r="ET14" i="13"/>
  <c r="ES14" i="13"/>
  <c r="ER14" i="13"/>
  <c r="EQ14" i="13"/>
  <c r="EP14" i="13"/>
  <c r="EO14" i="13"/>
  <c r="EN14" i="13"/>
  <c r="EM14" i="13"/>
  <c r="EL14" i="13"/>
  <c r="EK14" i="13"/>
  <c r="EV13" i="13"/>
  <c r="EU13" i="13"/>
  <c r="ET13" i="13"/>
  <c r="ES13" i="13"/>
  <c r="ER13" i="13"/>
  <c r="EQ13" i="13"/>
  <c r="EP13" i="13"/>
  <c r="EO13" i="13"/>
  <c r="EN13" i="13"/>
  <c r="EM13" i="13"/>
  <c r="EL13" i="13"/>
  <c r="EK13" i="13"/>
  <c r="EV12" i="13"/>
  <c r="EU12" i="13"/>
  <c r="ET12" i="13"/>
  <c r="ES12" i="13"/>
  <c r="ER12" i="13"/>
  <c r="EQ12" i="13"/>
  <c r="EP12" i="13"/>
  <c r="EO12" i="13"/>
  <c r="EN12" i="13"/>
  <c r="EM12" i="13"/>
  <c r="EL12" i="13"/>
  <c r="EK12" i="13"/>
  <c r="EV11" i="13"/>
  <c r="EU11" i="13"/>
  <c r="ET11" i="13"/>
  <c r="ES11" i="13"/>
  <c r="ER11" i="13"/>
  <c r="EQ11" i="13"/>
  <c r="EP11" i="13"/>
  <c r="EO11" i="13"/>
  <c r="EN11" i="13"/>
  <c r="EM11" i="13"/>
  <c r="EL11" i="13"/>
  <c r="EK11" i="13"/>
  <c r="EV10" i="13"/>
  <c r="EU10" i="13"/>
  <c r="ET10" i="13"/>
  <c r="ES10" i="13"/>
  <c r="ER10" i="13"/>
  <c r="EQ10" i="13"/>
  <c r="EP10" i="13"/>
  <c r="EO10" i="13"/>
  <c r="EN10" i="13"/>
  <c r="EM10" i="13"/>
  <c r="EL10" i="13"/>
  <c r="EK10" i="13"/>
  <c r="EV9" i="13"/>
  <c r="EU9" i="13"/>
  <c r="ET9" i="13"/>
  <c r="ES9" i="13"/>
  <c r="ER9" i="13"/>
  <c r="EQ9" i="13"/>
  <c r="EP9" i="13"/>
  <c r="EO9" i="13"/>
  <c r="EN9" i="13"/>
  <c r="EM9" i="13"/>
  <c r="EL9" i="13"/>
  <c r="EK9" i="13"/>
  <c r="EV8" i="13"/>
  <c r="EU8" i="13"/>
  <c r="ET8" i="13"/>
  <c r="ET50" i="13" s="1"/>
  <c r="ES8" i="13"/>
  <c r="ER8" i="13"/>
  <c r="EQ8" i="13"/>
  <c r="EP8" i="13"/>
  <c r="EO8" i="13"/>
  <c r="EN8" i="13"/>
  <c r="EM8" i="13"/>
  <c r="EL8" i="13"/>
  <c r="EK8" i="13"/>
  <c r="EI46" i="13"/>
  <c r="EI45" i="13"/>
  <c r="EI49" i="13"/>
  <c r="EI48" i="13"/>
  <c r="EV49" i="7"/>
  <c r="ET49" i="7"/>
  <c r="ES49" i="7"/>
  <c r="ER49" i="7"/>
  <c r="EQ49" i="7"/>
  <c r="EP49" i="7"/>
  <c r="EO49" i="7"/>
  <c r="EN49" i="7"/>
  <c r="EM49" i="7"/>
  <c r="EL49" i="7"/>
  <c r="EK49" i="7"/>
  <c r="EV48" i="7"/>
  <c r="ET48" i="7"/>
  <c r="ES48" i="7"/>
  <c r="ER48" i="7"/>
  <c r="EQ48" i="7"/>
  <c r="EP48" i="7"/>
  <c r="EO48" i="7"/>
  <c r="EN48" i="7"/>
  <c r="EM48" i="7"/>
  <c r="EL48" i="7"/>
  <c r="EK48" i="7"/>
  <c r="EV47" i="7"/>
  <c r="EU47" i="7"/>
  <c r="ET47" i="7"/>
  <c r="ES47" i="7"/>
  <c r="ER47" i="7"/>
  <c r="EQ47" i="7"/>
  <c r="EP47" i="7"/>
  <c r="EO47" i="7"/>
  <c r="EN47" i="7"/>
  <c r="EM47" i="7"/>
  <c r="EL47" i="7"/>
  <c r="EK47" i="7"/>
  <c r="EV46" i="7"/>
  <c r="EU46" i="7"/>
  <c r="ET46" i="7"/>
  <c r="ES46" i="7"/>
  <c r="ER46" i="7"/>
  <c r="EQ46" i="7"/>
  <c r="EP46" i="7"/>
  <c r="EO46" i="7"/>
  <c r="EN46" i="7"/>
  <c r="EM46" i="7"/>
  <c r="EL46" i="7"/>
  <c r="EK46" i="7"/>
  <c r="EV45" i="7"/>
  <c r="EU45" i="7"/>
  <c r="ET45" i="7"/>
  <c r="ES45" i="7"/>
  <c r="ER45" i="7"/>
  <c r="EQ45" i="7"/>
  <c r="EP45" i="7"/>
  <c r="EO45" i="7"/>
  <c r="EN45" i="7"/>
  <c r="EM45" i="7"/>
  <c r="EL45" i="7"/>
  <c r="EK45" i="7"/>
  <c r="EV44" i="7"/>
  <c r="EU44" i="7"/>
  <c r="ET44" i="7"/>
  <c r="ES44" i="7"/>
  <c r="ER44" i="7"/>
  <c r="EQ44" i="7"/>
  <c r="EP44" i="7"/>
  <c r="EO44" i="7"/>
  <c r="EN44" i="7"/>
  <c r="EM44" i="7"/>
  <c r="EL44" i="7"/>
  <c r="EK44" i="7"/>
  <c r="EV43" i="7"/>
  <c r="EU43" i="7"/>
  <c r="ET43" i="7"/>
  <c r="ES43" i="7"/>
  <c r="ER43" i="7"/>
  <c r="EQ43" i="7"/>
  <c r="EP43" i="7"/>
  <c r="EO43" i="7"/>
  <c r="EN43" i="7"/>
  <c r="EM43" i="7"/>
  <c r="EL43" i="7"/>
  <c r="EK43" i="7"/>
  <c r="EV42" i="7"/>
  <c r="EU42" i="7"/>
  <c r="ET42" i="7"/>
  <c r="ES42" i="7"/>
  <c r="ER42" i="7"/>
  <c r="EQ42" i="7"/>
  <c r="EP42" i="7"/>
  <c r="EO42" i="7"/>
  <c r="EN42" i="7"/>
  <c r="EM42" i="7"/>
  <c r="EL42" i="7"/>
  <c r="EV41" i="7"/>
  <c r="EU41" i="7"/>
  <c r="ET41" i="7"/>
  <c r="ES41" i="7"/>
  <c r="ER41" i="7"/>
  <c r="EQ41" i="7"/>
  <c r="EP41" i="7"/>
  <c r="EO41" i="7"/>
  <c r="EN41" i="7"/>
  <c r="EM41" i="7"/>
  <c r="EL41" i="7"/>
  <c r="EK41" i="7"/>
  <c r="EV40" i="7"/>
  <c r="EU40" i="7"/>
  <c r="ET40" i="7"/>
  <c r="ES40" i="7"/>
  <c r="ER40" i="7"/>
  <c r="EQ40" i="7"/>
  <c r="EP40" i="7"/>
  <c r="EO40" i="7"/>
  <c r="EN40" i="7"/>
  <c r="EM40" i="7"/>
  <c r="EL40" i="7"/>
  <c r="EK40" i="7"/>
  <c r="EV39" i="7"/>
  <c r="EU39" i="7"/>
  <c r="ET39" i="7"/>
  <c r="ES39" i="7"/>
  <c r="ER39" i="7"/>
  <c r="EQ39" i="7"/>
  <c r="EP39" i="7"/>
  <c r="EO39" i="7"/>
  <c r="EN39" i="7"/>
  <c r="EM39" i="7"/>
  <c r="EL39" i="7"/>
  <c r="EK39" i="7"/>
  <c r="EV38" i="7"/>
  <c r="EU38" i="7"/>
  <c r="ET38" i="7"/>
  <c r="ES38" i="7"/>
  <c r="ER38" i="7"/>
  <c r="EQ38" i="7"/>
  <c r="EP38" i="7"/>
  <c r="EO38" i="7"/>
  <c r="EN38" i="7"/>
  <c r="EM38" i="7"/>
  <c r="EL38" i="7"/>
  <c r="EK38" i="7"/>
  <c r="EV37" i="7"/>
  <c r="EU37" i="7"/>
  <c r="ET37" i="7"/>
  <c r="ES37" i="7"/>
  <c r="ER37" i="7"/>
  <c r="EQ37" i="7"/>
  <c r="EP37" i="7"/>
  <c r="EO37" i="7"/>
  <c r="EN37" i="7"/>
  <c r="EM37" i="7"/>
  <c r="EL37" i="7"/>
  <c r="EK37" i="7"/>
  <c r="EV36" i="7"/>
  <c r="EU36" i="7"/>
  <c r="ET36" i="7"/>
  <c r="ES36" i="7"/>
  <c r="ER36" i="7"/>
  <c r="EQ36" i="7"/>
  <c r="EP36" i="7"/>
  <c r="EO36" i="7"/>
  <c r="EN36" i="7"/>
  <c r="EM36" i="7"/>
  <c r="EL36" i="7"/>
  <c r="EK36" i="7"/>
  <c r="EV35" i="7"/>
  <c r="EU35" i="7"/>
  <c r="ET35" i="7"/>
  <c r="ES35" i="7"/>
  <c r="ER35" i="7"/>
  <c r="EQ35" i="7"/>
  <c r="EP35" i="7"/>
  <c r="EO35" i="7"/>
  <c r="EN35" i="7"/>
  <c r="EM35" i="7"/>
  <c r="EL35" i="7"/>
  <c r="EK35" i="7"/>
  <c r="EV34" i="7"/>
  <c r="EU34" i="7"/>
  <c r="ET34" i="7"/>
  <c r="ES34" i="7"/>
  <c r="ER34" i="7"/>
  <c r="EQ34" i="7"/>
  <c r="EP34" i="7"/>
  <c r="EO34" i="7"/>
  <c r="EN34" i="7"/>
  <c r="EM34" i="7"/>
  <c r="EL34" i="7"/>
  <c r="EK34" i="7"/>
  <c r="EV33" i="7"/>
  <c r="EU33" i="7"/>
  <c r="ET33" i="7"/>
  <c r="ES33" i="7"/>
  <c r="ER33" i="7"/>
  <c r="EQ33" i="7"/>
  <c r="EP33" i="7"/>
  <c r="EO33" i="7"/>
  <c r="EN33" i="7"/>
  <c r="EM33" i="7"/>
  <c r="EL33" i="7"/>
  <c r="EK33" i="7"/>
  <c r="EV32" i="7"/>
  <c r="EU32" i="7"/>
  <c r="ET32" i="7"/>
  <c r="ES32" i="7"/>
  <c r="ER32" i="7"/>
  <c r="EQ32" i="7"/>
  <c r="EP32" i="7"/>
  <c r="EO32" i="7"/>
  <c r="EN32" i="7"/>
  <c r="EM32" i="7"/>
  <c r="EL32" i="7"/>
  <c r="EK32" i="7"/>
  <c r="EV31" i="7"/>
  <c r="EU31" i="7"/>
  <c r="ET31" i="7"/>
  <c r="ES31" i="7"/>
  <c r="ER31" i="7"/>
  <c r="EQ31" i="7"/>
  <c r="EP31" i="7"/>
  <c r="EO31" i="7"/>
  <c r="EN31" i="7"/>
  <c r="EM31" i="7"/>
  <c r="EL31" i="7"/>
  <c r="EK31" i="7"/>
  <c r="EV30" i="7"/>
  <c r="EU30" i="7"/>
  <c r="ET30" i="7"/>
  <c r="ES30" i="7"/>
  <c r="ER30" i="7"/>
  <c r="EQ30" i="7"/>
  <c r="EP30" i="7"/>
  <c r="EO30" i="7"/>
  <c r="EN30" i="7"/>
  <c r="EM30" i="7"/>
  <c r="EL30" i="7"/>
  <c r="EK30" i="7"/>
  <c r="EV29" i="7"/>
  <c r="EU29" i="7"/>
  <c r="ET29" i="7"/>
  <c r="ES29" i="7"/>
  <c r="ER29" i="7"/>
  <c r="EQ29" i="7"/>
  <c r="EP29" i="7"/>
  <c r="EO29" i="7"/>
  <c r="EN29" i="7"/>
  <c r="EM29" i="7"/>
  <c r="EL29" i="7"/>
  <c r="EK29" i="7"/>
  <c r="EV28" i="7"/>
  <c r="EU28" i="7"/>
  <c r="ET28" i="7"/>
  <c r="ES28" i="7"/>
  <c r="ER28" i="7"/>
  <c r="EQ28" i="7"/>
  <c r="EP28" i="7"/>
  <c r="EO28" i="7"/>
  <c r="EN28" i="7"/>
  <c r="EM28" i="7"/>
  <c r="EL28" i="7"/>
  <c r="EK28" i="7"/>
  <c r="EV27" i="7"/>
  <c r="EU27" i="7"/>
  <c r="ET27" i="7"/>
  <c r="ES27" i="7"/>
  <c r="ER27" i="7"/>
  <c r="EQ27" i="7"/>
  <c r="EP27" i="7"/>
  <c r="EO27" i="7"/>
  <c r="EN27" i="7"/>
  <c r="EM27" i="7"/>
  <c r="EL27" i="7"/>
  <c r="EK27" i="7"/>
  <c r="EV26" i="7"/>
  <c r="EU26" i="7"/>
  <c r="ET26" i="7"/>
  <c r="ES26" i="7"/>
  <c r="ER26" i="7"/>
  <c r="EQ26" i="7"/>
  <c r="EP26" i="7"/>
  <c r="EO26" i="7"/>
  <c r="EN26" i="7"/>
  <c r="EM26" i="7"/>
  <c r="EL26" i="7"/>
  <c r="EK26" i="7"/>
  <c r="EV25" i="7"/>
  <c r="EU25" i="7"/>
  <c r="ET25" i="7"/>
  <c r="ES25" i="7"/>
  <c r="ER25" i="7"/>
  <c r="EQ25" i="7"/>
  <c r="EP25" i="7"/>
  <c r="EO25" i="7"/>
  <c r="EN25" i="7"/>
  <c r="EM25" i="7"/>
  <c r="EL25" i="7"/>
  <c r="EK25" i="7"/>
  <c r="EV24" i="7"/>
  <c r="EU24" i="7"/>
  <c r="ET24" i="7"/>
  <c r="ES24" i="7"/>
  <c r="ER24" i="7"/>
  <c r="EQ24" i="7"/>
  <c r="EP24" i="7"/>
  <c r="EO24" i="7"/>
  <c r="EN24" i="7"/>
  <c r="EM24" i="7"/>
  <c r="EL24" i="7"/>
  <c r="EK24" i="7"/>
  <c r="EV23" i="7"/>
  <c r="EU23" i="7"/>
  <c r="ET23" i="7"/>
  <c r="ES23" i="7"/>
  <c r="ER23" i="7"/>
  <c r="EQ23" i="7"/>
  <c r="EP23" i="7"/>
  <c r="EO23" i="7"/>
  <c r="EN23" i="7"/>
  <c r="EM23" i="7"/>
  <c r="EL23" i="7"/>
  <c r="EK23" i="7"/>
  <c r="EV22" i="7"/>
  <c r="EU22" i="7"/>
  <c r="ET22" i="7"/>
  <c r="ES22" i="7"/>
  <c r="ER22" i="7"/>
  <c r="EQ22" i="7"/>
  <c r="EP22" i="7"/>
  <c r="EO22" i="7"/>
  <c r="EN22" i="7"/>
  <c r="EM22" i="7"/>
  <c r="EL22" i="7"/>
  <c r="EK22" i="7"/>
  <c r="EV21" i="7"/>
  <c r="EU21" i="7"/>
  <c r="ET21" i="7"/>
  <c r="ES21" i="7"/>
  <c r="ER21" i="7"/>
  <c r="EQ21" i="7"/>
  <c r="EP21" i="7"/>
  <c r="EO21" i="7"/>
  <c r="EN21" i="7"/>
  <c r="EM21" i="7"/>
  <c r="EL21" i="7"/>
  <c r="EK21" i="7"/>
  <c r="EV20" i="7"/>
  <c r="EU20" i="7"/>
  <c r="ET20" i="7"/>
  <c r="ES20" i="7"/>
  <c r="ER20" i="7"/>
  <c r="EQ20" i="7"/>
  <c r="EP20" i="7"/>
  <c r="EO20" i="7"/>
  <c r="EN20" i="7"/>
  <c r="EM20" i="7"/>
  <c r="EL20" i="7"/>
  <c r="EK20" i="7"/>
  <c r="EV19" i="7"/>
  <c r="EU19" i="7"/>
  <c r="ET19" i="7"/>
  <c r="ES19" i="7"/>
  <c r="ER19" i="7"/>
  <c r="EQ19" i="7"/>
  <c r="EP19" i="7"/>
  <c r="EO19" i="7"/>
  <c r="EN19" i="7"/>
  <c r="EM19" i="7"/>
  <c r="EL19" i="7"/>
  <c r="EK19" i="7"/>
  <c r="EV18" i="7"/>
  <c r="EU18" i="7"/>
  <c r="ET18" i="7"/>
  <c r="ES18" i="7"/>
  <c r="ER18" i="7"/>
  <c r="EQ18" i="7"/>
  <c r="EP18" i="7"/>
  <c r="EO18" i="7"/>
  <c r="EN18" i="7"/>
  <c r="EM18" i="7"/>
  <c r="EL18" i="7"/>
  <c r="EK18" i="7"/>
  <c r="EV17" i="7"/>
  <c r="EU17" i="7"/>
  <c r="ET17" i="7"/>
  <c r="ES17" i="7"/>
  <c r="ER17" i="7"/>
  <c r="EQ17" i="7"/>
  <c r="EP17" i="7"/>
  <c r="EO17" i="7"/>
  <c r="EN17" i="7"/>
  <c r="EM17" i="7"/>
  <c r="EL17" i="7"/>
  <c r="EK17" i="7"/>
  <c r="EV16" i="7"/>
  <c r="EU16" i="7"/>
  <c r="ET16" i="7"/>
  <c r="ES16" i="7"/>
  <c r="ER16" i="7"/>
  <c r="EQ16" i="7"/>
  <c r="EP16" i="7"/>
  <c r="EO16" i="7"/>
  <c r="EN16" i="7"/>
  <c r="EM16" i="7"/>
  <c r="EL16" i="7"/>
  <c r="EK16" i="7"/>
  <c r="EV15" i="7"/>
  <c r="EU15" i="7"/>
  <c r="ET15" i="7"/>
  <c r="ES15" i="7"/>
  <c r="ER15" i="7"/>
  <c r="EQ15" i="7"/>
  <c r="EP15" i="7"/>
  <c r="EO15" i="7"/>
  <c r="EN15" i="7"/>
  <c r="EM15" i="7"/>
  <c r="EL15" i="7"/>
  <c r="EK15" i="7"/>
  <c r="EV14" i="7"/>
  <c r="EU14" i="7"/>
  <c r="ET14" i="7"/>
  <c r="ES14" i="7"/>
  <c r="ER14" i="7"/>
  <c r="EQ14" i="7"/>
  <c r="EP14" i="7"/>
  <c r="EO14" i="7"/>
  <c r="EN14" i="7"/>
  <c r="EM14" i="7"/>
  <c r="EL14" i="7"/>
  <c r="EK14" i="7"/>
  <c r="EV13" i="7"/>
  <c r="EU13" i="7"/>
  <c r="ET13" i="7"/>
  <c r="ES13" i="7"/>
  <c r="ER13" i="7"/>
  <c r="EQ13" i="7"/>
  <c r="EP13" i="7"/>
  <c r="EO13" i="7"/>
  <c r="EN13" i="7"/>
  <c r="EM13" i="7"/>
  <c r="EL13" i="7"/>
  <c r="EK13" i="7"/>
  <c r="EV12" i="7"/>
  <c r="EU12" i="7"/>
  <c r="ET12" i="7"/>
  <c r="ES12" i="7"/>
  <c r="ER12" i="7"/>
  <c r="EQ12" i="7"/>
  <c r="EP12" i="7"/>
  <c r="EO12" i="7"/>
  <c r="EN12" i="7"/>
  <c r="EM12" i="7"/>
  <c r="EL12" i="7"/>
  <c r="EK12" i="7"/>
  <c r="EV11" i="7"/>
  <c r="EU11" i="7"/>
  <c r="ET11" i="7"/>
  <c r="ES11" i="7"/>
  <c r="ER11" i="7"/>
  <c r="EQ11" i="7"/>
  <c r="EP11" i="7"/>
  <c r="EO11" i="7"/>
  <c r="EN11" i="7"/>
  <c r="EM11" i="7"/>
  <c r="EL11" i="7"/>
  <c r="EK11" i="7"/>
  <c r="EV10" i="7"/>
  <c r="EU10" i="7"/>
  <c r="ET10" i="7"/>
  <c r="ES10" i="7"/>
  <c r="ER10" i="7"/>
  <c r="EQ10" i="7"/>
  <c r="EP10" i="7"/>
  <c r="EO10" i="7"/>
  <c r="EN10" i="7"/>
  <c r="EM10" i="7"/>
  <c r="EL10" i="7"/>
  <c r="EK10" i="7"/>
  <c r="EV9" i="7"/>
  <c r="EU9" i="7"/>
  <c r="ET9" i="7"/>
  <c r="ES9" i="7"/>
  <c r="ER9" i="7"/>
  <c r="EQ9" i="7"/>
  <c r="EP9" i="7"/>
  <c r="EO9" i="7"/>
  <c r="EN9" i="7"/>
  <c r="EM9" i="7"/>
  <c r="EL9" i="7"/>
  <c r="EK9" i="7"/>
  <c r="EV8" i="7"/>
  <c r="EU8" i="7"/>
  <c r="ET8" i="7"/>
  <c r="ES8" i="7"/>
  <c r="ER8" i="7"/>
  <c r="EQ8" i="7"/>
  <c r="EP8" i="7"/>
  <c r="EO8" i="7"/>
  <c r="EN8" i="7"/>
  <c r="EM8" i="7"/>
  <c r="EL8" i="7"/>
  <c r="EK8" i="7"/>
  <c r="EV7" i="7"/>
  <c r="EU7" i="7"/>
  <c r="ET7" i="7"/>
  <c r="ES7" i="7"/>
  <c r="ER7" i="7"/>
  <c r="EQ7" i="7"/>
  <c r="EP7" i="7"/>
  <c r="EO7" i="7"/>
  <c r="EN7" i="7"/>
  <c r="EM7" i="7"/>
  <c r="EL7" i="7"/>
  <c r="EK7" i="7"/>
  <c r="DY8" i="13"/>
  <c r="DZ8" i="13"/>
  <c r="EA8" i="13"/>
  <c r="EB8" i="13"/>
  <c r="EC8" i="13"/>
  <c r="ED8" i="13"/>
  <c r="EE8" i="13"/>
  <c r="EF8" i="13"/>
  <c r="EG8" i="13"/>
  <c r="EH8" i="13"/>
  <c r="EI8" i="13"/>
  <c r="EJ8" i="13"/>
  <c r="DY9" i="13"/>
  <c r="DZ9" i="13"/>
  <c r="EA9" i="13"/>
  <c r="EB9" i="13"/>
  <c r="EC9" i="13"/>
  <c r="ED9" i="13"/>
  <c r="EE9" i="13"/>
  <c r="EF9" i="13"/>
  <c r="EG9" i="13"/>
  <c r="EH9" i="13"/>
  <c r="EI9" i="13"/>
  <c r="EJ9" i="13"/>
  <c r="DY10" i="13"/>
  <c r="DZ10" i="13"/>
  <c r="EA10" i="13"/>
  <c r="EB10" i="13"/>
  <c r="EC10" i="13"/>
  <c r="ED10" i="13"/>
  <c r="EE10" i="13"/>
  <c r="EF10" i="13"/>
  <c r="EG10" i="13"/>
  <c r="EH10" i="13"/>
  <c r="EI10" i="13"/>
  <c r="EJ10" i="13"/>
  <c r="DY11" i="13"/>
  <c r="DZ11" i="13"/>
  <c r="EA11" i="13"/>
  <c r="EB11" i="13"/>
  <c r="EC11" i="13"/>
  <c r="ED11" i="13"/>
  <c r="EE11" i="13"/>
  <c r="EF11" i="13"/>
  <c r="EG11" i="13"/>
  <c r="EH11" i="13"/>
  <c r="EI11" i="13"/>
  <c r="EJ11" i="13"/>
  <c r="DY12" i="13"/>
  <c r="DZ12" i="13"/>
  <c r="EA12" i="13"/>
  <c r="EB12" i="13"/>
  <c r="EC12" i="13"/>
  <c r="ED12" i="13"/>
  <c r="EE12" i="13"/>
  <c r="EF12" i="13"/>
  <c r="EG12" i="13"/>
  <c r="EH12" i="13"/>
  <c r="EI12" i="13"/>
  <c r="EJ12" i="13"/>
  <c r="DY13" i="13"/>
  <c r="DZ13" i="13"/>
  <c r="EA13" i="13"/>
  <c r="EB13" i="13"/>
  <c r="EC13" i="13"/>
  <c r="ED13" i="13"/>
  <c r="EE13" i="13"/>
  <c r="EF13" i="13"/>
  <c r="EG13" i="13"/>
  <c r="EH13" i="13"/>
  <c r="EI13" i="13"/>
  <c r="EJ13" i="13"/>
  <c r="DY14" i="13"/>
  <c r="DZ14" i="13"/>
  <c r="EA14" i="13"/>
  <c r="EB14" i="13"/>
  <c r="EC14" i="13"/>
  <c r="ED14" i="13"/>
  <c r="EE14" i="13"/>
  <c r="EF14" i="13"/>
  <c r="EG14" i="13"/>
  <c r="EH14" i="13"/>
  <c r="EI14" i="13"/>
  <c r="EJ14" i="13"/>
  <c r="DY15" i="13"/>
  <c r="DZ15" i="13"/>
  <c r="EA15" i="13"/>
  <c r="EB15" i="13"/>
  <c r="EC15" i="13"/>
  <c r="ED15" i="13"/>
  <c r="EE15" i="13"/>
  <c r="EF15" i="13"/>
  <c r="EG15" i="13"/>
  <c r="EH15" i="13"/>
  <c r="EI15" i="13"/>
  <c r="EJ15" i="13"/>
  <c r="DY16" i="13"/>
  <c r="DZ16" i="13"/>
  <c r="EA16" i="13"/>
  <c r="EB16" i="13"/>
  <c r="EC16" i="13"/>
  <c r="ED16" i="13"/>
  <c r="EE16" i="13"/>
  <c r="EF16" i="13"/>
  <c r="EG16" i="13"/>
  <c r="EH16" i="13"/>
  <c r="EI16" i="13"/>
  <c r="EJ16" i="13"/>
  <c r="DY17" i="13"/>
  <c r="DZ17" i="13"/>
  <c r="EA17" i="13"/>
  <c r="EB17" i="13"/>
  <c r="EC17" i="13"/>
  <c r="ED17" i="13"/>
  <c r="EE17" i="13"/>
  <c r="EF17" i="13"/>
  <c r="EG17" i="13"/>
  <c r="EH17" i="13"/>
  <c r="EI17" i="13"/>
  <c r="EJ17" i="13"/>
  <c r="DY18" i="13"/>
  <c r="DZ18" i="13"/>
  <c r="EA18" i="13"/>
  <c r="EB18" i="13"/>
  <c r="EC18" i="13"/>
  <c r="ED18" i="13"/>
  <c r="EE18" i="13"/>
  <c r="EF18" i="13"/>
  <c r="EG18" i="13"/>
  <c r="EH18" i="13"/>
  <c r="EI18" i="13"/>
  <c r="EJ18" i="13"/>
  <c r="DY19" i="13"/>
  <c r="DZ19" i="13"/>
  <c r="EA19" i="13"/>
  <c r="EB19" i="13"/>
  <c r="EC19" i="13"/>
  <c r="ED19" i="13"/>
  <c r="EE19" i="13"/>
  <c r="EF19" i="13"/>
  <c r="EG19" i="13"/>
  <c r="EH19" i="13"/>
  <c r="EI19" i="13"/>
  <c r="EJ19" i="13"/>
  <c r="DY20" i="13"/>
  <c r="DZ20" i="13"/>
  <c r="EA20" i="13"/>
  <c r="EB20" i="13"/>
  <c r="EC20" i="13"/>
  <c r="ED20" i="13"/>
  <c r="EE20" i="13"/>
  <c r="EF20" i="13"/>
  <c r="EG20" i="13"/>
  <c r="EH20" i="13"/>
  <c r="EI20" i="13"/>
  <c r="EJ20" i="13"/>
  <c r="DY21" i="13"/>
  <c r="DZ21" i="13"/>
  <c r="EA21" i="13"/>
  <c r="EB21" i="13"/>
  <c r="EC21" i="13"/>
  <c r="ED21" i="13"/>
  <c r="EE21" i="13"/>
  <c r="EF21" i="13"/>
  <c r="EG21" i="13"/>
  <c r="EH21" i="13"/>
  <c r="EI21" i="13"/>
  <c r="EJ21" i="13"/>
  <c r="DY22" i="13"/>
  <c r="DZ22" i="13"/>
  <c r="EA22" i="13"/>
  <c r="EB22" i="13"/>
  <c r="EC22" i="13"/>
  <c r="ED22" i="13"/>
  <c r="EE22" i="13"/>
  <c r="EF22" i="13"/>
  <c r="EG22" i="13"/>
  <c r="EH22" i="13"/>
  <c r="EI22" i="13"/>
  <c r="EJ22" i="13"/>
  <c r="DY23" i="13"/>
  <c r="DZ23" i="13"/>
  <c r="EA23" i="13"/>
  <c r="EB23" i="13"/>
  <c r="EC23" i="13"/>
  <c r="ED23" i="13"/>
  <c r="EE23" i="13"/>
  <c r="EF23" i="13"/>
  <c r="EG23" i="13"/>
  <c r="EH23" i="13"/>
  <c r="EI23" i="13"/>
  <c r="EJ23" i="13"/>
  <c r="DY24" i="13"/>
  <c r="DZ24" i="13"/>
  <c r="EA24" i="13"/>
  <c r="EB24" i="13"/>
  <c r="EC24" i="13"/>
  <c r="ED24" i="13"/>
  <c r="EE24" i="13"/>
  <c r="EF24" i="13"/>
  <c r="EG24" i="13"/>
  <c r="EH24" i="13"/>
  <c r="EI24" i="13"/>
  <c r="EJ24" i="13"/>
  <c r="DY25" i="13"/>
  <c r="DZ25" i="13"/>
  <c r="EA25" i="13"/>
  <c r="EB25" i="13"/>
  <c r="EC25" i="13"/>
  <c r="ED25" i="13"/>
  <c r="EE25" i="13"/>
  <c r="EF25" i="13"/>
  <c r="EG25" i="13"/>
  <c r="EH25" i="13"/>
  <c r="EI25" i="13"/>
  <c r="EJ25" i="13"/>
  <c r="DY26" i="13"/>
  <c r="DZ26" i="13"/>
  <c r="EA26" i="13"/>
  <c r="EB26" i="13"/>
  <c r="EC26" i="13"/>
  <c r="ED26" i="13"/>
  <c r="EE26" i="13"/>
  <c r="EF26" i="13"/>
  <c r="EG26" i="13"/>
  <c r="EH26" i="13"/>
  <c r="EI26" i="13"/>
  <c r="EJ26" i="13"/>
  <c r="DY27" i="13"/>
  <c r="DZ27" i="13"/>
  <c r="EA27" i="13"/>
  <c r="EB27" i="13"/>
  <c r="EC27" i="13"/>
  <c r="ED27" i="13"/>
  <c r="EE27" i="13"/>
  <c r="EF27" i="13"/>
  <c r="EG27" i="13"/>
  <c r="EH27" i="13"/>
  <c r="EI27" i="13"/>
  <c r="EJ27" i="13"/>
  <c r="DY28" i="13"/>
  <c r="DZ28" i="13"/>
  <c r="EA28" i="13"/>
  <c r="EB28" i="13"/>
  <c r="EC28" i="13"/>
  <c r="ED28" i="13"/>
  <c r="EE28" i="13"/>
  <c r="EF28" i="13"/>
  <c r="EG28" i="13"/>
  <c r="EH28" i="13"/>
  <c r="EI28" i="13"/>
  <c r="EJ28" i="13"/>
  <c r="DY29" i="13"/>
  <c r="DZ29" i="13"/>
  <c r="EA29" i="13"/>
  <c r="EB29" i="13"/>
  <c r="EC29" i="13"/>
  <c r="ED29" i="13"/>
  <c r="EE29" i="13"/>
  <c r="EF29" i="13"/>
  <c r="EG29" i="13"/>
  <c r="EH29" i="13"/>
  <c r="EI29" i="13"/>
  <c r="EJ29" i="13"/>
  <c r="DY30" i="13"/>
  <c r="DZ30" i="13"/>
  <c r="EA30" i="13"/>
  <c r="EB30" i="13"/>
  <c r="EC30" i="13"/>
  <c r="ED30" i="13"/>
  <c r="EE30" i="13"/>
  <c r="EF30" i="13"/>
  <c r="EG30" i="13"/>
  <c r="EH30" i="13"/>
  <c r="EI30" i="13"/>
  <c r="EJ30" i="13"/>
  <c r="DY31" i="13"/>
  <c r="DZ31" i="13"/>
  <c r="EA31" i="13"/>
  <c r="EB31" i="13"/>
  <c r="EC31" i="13"/>
  <c r="ED31" i="13"/>
  <c r="EE31" i="13"/>
  <c r="EF31" i="13"/>
  <c r="EG31" i="13"/>
  <c r="EH31" i="13"/>
  <c r="EI31" i="13"/>
  <c r="EJ31" i="13"/>
  <c r="DY32" i="13"/>
  <c r="DZ32" i="13"/>
  <c r="EA32" i="13"/>
  <c r="EB32" i="13"/>
  <c r="EC32" i="13"/>
  <c r="ED32" i="13"/>
  <c r="EE32" i="13"/>
  <c r="EF32" i="13"/>
  <c r="EG32" i="13"/>
  <c r="EH32" i="13"/>
  <c r="EI32" i="13"/>
  <c r="EJ32" i="13"/>
  <c r="DY33" i="13"/>
  <c r="DZ33" i="13"/>
  <c r="EA33" i="13"/>
  <c r="EB33" i="13"/>
  <c r="EC33" i="13"/>
  <c r="ED33" i="13"/>
  <c r="EE33" i="13"/>
  <c r="EF33" i="13"/>
  <c r="EG33" i="13"/>
  <c r="EH33" i="13"/>
  <c r="EI33" i="13"/>
  <c r="EJ33" i="13"/>
  <c r="DY34" i="13"/>
  <c r="DZ34" i="13"/>
  <c r="EA34" i="13"/>
  <c r="EB34" i="13"/>
  <c r="EC34" i="13"/>
  <c r="ED34" i="13"/>
  <c r="EE34" i="13"/>
  <c r="EF34" i="13"/>
  <c r="EG34" i="13"/>
  <c r="EH34" i="13"/>
  <c r="EI34" i="13"/>
  <c r="EJ34" i="13"/>
  <c r="DY35" i="13"/>
  <c r="DZ35" i="13"/>
  <c r="EA35" i="13"/>
  <c r="EB35" i="13"/>
  <c r="EC35" i="13"/>
  <c r="ED35" i="13"/>
  <c r="EE35" i="13"/>
  <c r="EF35" i="13"/>
  <c r="EG35" i="13"/>
  <c r="EH35" i="13"/>
  <c r="EI35" i="13"/>
  <c r="EJ35" i="13"/>
  <c r="DY36" i="13"/>
  <c r="DZ36" i="13"/>
  <c r="EA36" i="13"/>
  <c r="EB36" i="13"/>
  <c r="EC36" i="13"/>
  <c r="ED36" i="13"/>
  <c r="EE36" i="13"/>
  <c r="EF36" i="13"/>
  <c r="EG36" i="13"/>
  <c r="EH36" i="13"/>
  <c r="EI36" i="13"/>
  <c r="EJ36" i="13"/>
  <c r="DY37" i="13"/>
  <c r="DZ37" i="13"/>
  <c r="EA37" i="13"/>
  <c r="EB37" i="13"/>
  <c r="EC37" i="13"/>
  <c r="ED37" i="13"/>
  <c r="EE37" i="13"/>
  <c r="EF37" i="13"/>
  <c r="EG37" i="13"/>
  <c r="EH37" i="13"/>
  <c r="EI37" i="13"/>
  <c r="EJ37" i="13"/>
  <c r="DY38" i="13"/>
  <c r="DZ38" i="13"/>
  <c r="EA38" i="13"/>
  <c r="EB38" i="13"/>
  <c r="EC38" i="13"/>
  <c r="ED38" i="13"/>
  <c r="EE38" i="13"/>
  <c r="EF38" i="13"/>
  <c r="EG38" i="13"/>
  <c r="EH38" i="13"/>
  <c r="EI38" i="13"/>
  <c r="EJ38" i="13"/>
  <c r="DY39" i="13"/>
  <c r="DZ39" i="13"/>
  <c r="EA39" i="13"/>
  <c r="EB39" i="13"/>
  <c r="EC39" i="13"/>
  <c r="ED39" i="13"/>
  <c r="EE39" i="13"/>
  <c r="EF39" i="13"/>
  <c r="EG39" i="13"/>
  <c r="EH39" i="13"/>
  <c r="EI39" i="13"/>
  <c r="EJ39" i="13"/>
  <c r="DY40" i="13"/>
  <c r="DZ40" i="13"/>
  <c r="EA40" i="13"/>
  <c r="EB40" i="13"/>
  <c r="EC40" i="13"/>
  <c r="ED40" i="13"/>
  <c r="EE40" i="13"/>
  <c r="EF40" i="13"/>
  <c r="EG40" i="13"/>
  <c r="EH40" i="13"/>
  <c r="EI40" i="13"/>
  <c r="EJ40" i="13"/>
  <c r="DY41" i="13"/>
  <c r="DZ41" i="13"/>
  <c r="EA41" i="13"/>
  <c r="EB41" i="13"/>
  <c r="EC41" i="13"/>
  <c r="ED41" i="13"/>
  <c r="EE41" i="13"/>
  <c r="EF41" i="13"/>
  <c r="EG41" i="13"/>
  <c r="EH41" i="13"/>
  <c r="EI41" i="13"/>
  <c r="EJ41" i="13"/>
  <c r="DY42" i="13"/>
  <c r="DZ42" i="13"/>
  <c r="EA42" i="13"/>
  <c r="EB42" i="13"/>
  <c r="EC42" i="13"/>
  <c r="ED42" i="13"/>
  <c r="EE42" i="13"/>
  <c r="EF42" i="13"/>
  <c r="EG42" i="13"/>
  <c r="EH42" i="13"/>
  <c r="EI42" i="13"/>
  <c r="EJ42" i="13"/>
  <c r="DY43" i="13"/>
  <c r="DZ43" i="13"/>
  <c r="EA43" i="13"/>
  <c r="EB43" i="13"/>
  <c r="EC43" i="13"/>
  <c r="ED43" i="13"/>
  <c r="EE43" i="13"/>
  <c r="EF43" i="13"/>
  <c r="EG43" i="13"/>
  <c r="EH43" i="13"/>
  <c r="EI43" i="13"/>
  <c r="EJ43" i="13"/>
  <c r="DY44" i="13"/>
  <c r="DZ44" i="13"/>
  <c r="EA44" i="13"/>
  <c r="EB44" i="13"/>
  <c r="EC44" i="13"/>
  <c r="ED44" i="13"/>
  <c r="EE44" i="13"/>
  <c r="EF44" i="13"/>
  <c r="EG44" i="13"/>
  <c r="EH44" i="13"/>
  <c r="EI44" i="13"/>
  <c r="EJ44" i="13"/>
  <c r="DY45" i="13"/>
  <c r="DZ45" i="13"/>
  <c r="EA45" i="13"/>
  <c r="EB45" i="13"/>
  <c r="EC45" i="13"/>
  <c r="ED45" i="13"/>
  <c r="EE45" i="13"/>
  <c r="EF45" i="13"/>
  <c r="EG45" i="13"/>
  <c r="EH45" i="13"/>
  <c r="EJ45" i="13"/>
  <c r="DY46" i="13"/>
  <c r="DZ46" i="13"/>
  <c r="EA46" i="13"/>
  <c r="EB46" i="13"/>
  <c r="EC46" i="13"/>
  <c r="ED46" i="13"/>
  <c r="EE46" i="13"/>
  <c r="EF46" i="13"/>
  <c r="EG46" i="13"/>
  <c r="EH46" i="13"/>
  <c r="EJ46" i="13"/>
  <c r="DY47" i="13"/>
  <c r="DZ47" i="13"/>
  <c r="EA47" i="13"/>
  <c r="EB47" i="13"/>
  <c r="EC47" i="13"/>
  <c r="ED47" i="13"/>
  <c r="EE47" i="13"/>
  <c r="EF47" i="13"/>
  <c r="EG47" i="13"/>
  <c r="EH47" i="13"/>
  <c r="EI47" i="13"/>
  <c r="EJ47" i="13"/>
  <c r="DY48" i="13"/>
  <c r="DZ48" i="13"/>
  <c r="EA48" i="13"/>
  <c r="EB48" i="13"/>
  <c r="EC48" i="13"/>
  <c r="ED48" i="13"/>
  <c r="EE48" i="13"/>
  <c r="EF48" i="13"/>
  <c r="EG48" i="13"/>
  <c r="EH48" i="13"/>
  <c r="EJ48" i="13"/>
  <c r="DY49" i="13"/>
  <c r="DZ49" i="13"/>
  <c r="EA49" i="13"/>
  <c r="EB49" i="13"/>
  <c r="EC49" i="13"/>
  <c r="ED49" i="13"/>
  <c r="EE49" i="13"/>
  <c r="EF49" i="13"/>
  <c r="EG49" i="13"/>
  <c r="EH49" i="13"/>
  <c r="EJ49" i="13"/>
  <c r="EL50" i="13" l="1"/>
  <c r="FI51" i="14"/>
  <c r="ER50" i="12"/>
  <c r="EP50" i="12"/>
  <c r="EO50" i="13"/>
  <c r="EE50" i="13"/>
  <c r="EB50" i="13"/>
  <c r="EG50" i="13"/>
  <c r="ED50" i="13"/>
  <c r="EA50" i="13"/>
  <c r="EN50" i="12"/>
  <c r="EU50" i="12"/>
  <c r="EJ50" i="13"/>
  <c r="EI50" i="13"/>
  <c r="EL50" i="12"/>
  <c r="EV50" i="13"/>
  <c r="EH50" i="13"/>
  <c r="EF50" i="13"/>
  <c r="EK50" i="13"/>
  <c r="EC50" i="13"/>
  <c r="DZ50" i="13"/>
  <c r="EW51" i="12"/>
  <c r="EW51" i="7"/>
  <c r="EW51" i="13"/>
  <c r="EK50" i="12"/>
  <c r="EK50" i="7"/>
  <c r="DY50" i="13"/>
  <c r="EV50" i="12"/>
  <c r="EV50" i="7"/>
  <c r="EU50" i="13"/>
  <c r="ET50" i="12"/>
  <c r="ET50" i="7"/>
  <c r="EU50" i="7"/>
  <c r="ES50" i="13"/>
  <c r="ES50" i="12"/>
  <c r="ES50" i="7"/>
  <c r="ER50" i="13"/>
  <c r="ER50" i="7"/>
  <c r="EQ50" i="13"/>
  <c r="EQ50" i="12"/>
  <c r="EQ50" i="7"/>
  <c r="EP50" i="13"/>
  <c r="EP50" i="7"/>
  <c r="EO50" i="7"/>
  <c r="EN50" i="13"/>
  <c r="EO50" i="12"/>
  <c r="EN50" i="7"/>
  <c r="EM50" i="13"/>
  <c r="EM50" i="12"/>
  <c r="EM50" i="7"/>
  <c r="EL50" i="7"/>
  <c r="EK51" i="6"/>
  <c r="EK51" i="9"/>
  <c r="EK51" i="10"/>
  <c r="DY51" i="13" l="1"/>
  <c r="EK51" i="13"/>
  <c r="EK51" i="12"/>
  <c r="EK51" i="7"/>
  <c r="EE8" i="12"/>
  <c r="EE7" i="7" l="1"/>
  <c r="ED50" i="10" l="1"/>
  <c r="EC50" i="10" l="1"/>
  <c r="EB50" i="10" l="1"/>
  <c r="EA50" i="10" l="1"/>
  <c r="DY50" i="10" l="1"/>
  <c r="DZ50" i="10"/>
  <c r="DZ50" i="14" l="1"/>
  <c r="DY50" i="14" l="1"/>
  <c r="EJ34" i="7"/>
  <c r="EJ35" i="7"/>
  <c r="EJ36" i="7"/>
  <c r="EJ37" i="7"/>
  <c r="EJ38" i="7"/>
  <c r="EJ39" i="7"/>
  <c r="EJ40" i="7"/>
  <c r="EJ41" i="7"/>
  <c r="EJ42" i="7"/>
  <c r="EJ43" i="7"/>
  <c r="EJ44" i="7"/>
  <c r="EJ45" i="7"/>
  <c r="EJ46" i="7"/>
  <c r="EJ47" i="7"/>
  <c r="EJ48" i="7"/>
  <c r="EJ49" i="7"/>
  <c r="EH30" i="7"/>
  <c r="EH31" i="7"/>
  <c r="EH32" i="7"/>
  <c r="EH33" i="7"/>
  <c r="EH34" i="7"/>
  <c r="EH35" i="7"/>
  <c r="EH36" i="7"/>
  <c r="EH37" i="7"/>
  <c r="EH38" i="7"/>
  <c r="EH39" i="7"/>
  <c r="EH40" i="7"/>
  <c r="EH41" i="7"/>
  <c r="EH42" i="7"/>
  <c r="EH43" i="7"/>
  <c r="EH44" i="7"/>
  <c r="EH45" i="7"/>
  <c r="EH46" i="7"/>
  <c r="EH47" i="7"/>
  <c r="EH48" i="7"/>
  <c r="EH49" i="7"/>
  <c r="EG30" i="7"/>
  <c r="EG31" i="7"/>
  <c r="EG32" i="7"/>
  <c r="EG33" i="7"/>
  <c r="EG34" i="7"/>
  <c r="EG35" i="7"/>
  <c r="EG36" i="7"/>
  <c r="EG37" i="7"/>
  <c r="EG38" i="7"/>
  <c r="EG39" i="7"/>
  <c r="EG40" i="7"/>
  <c r="EG41" i="7"/>
  <c r="EG42" i="7"/>
  <c r="EG43" i="7"/>
  <c r="EG44" i="7"/>
  <c r="EG45" i="7"/>
  <c r="EG46" i="7"/>
  <c r="EG47" i="7"/>
  <c r="EG48" i="7"/>
  <c r="EG49" i="7"/>
  <c r="EF29" i="7"/>
  <c r="EF30" i="7"/>
  <c r="EF31" i="7"/>
  <c r="EF32" i="7"/>
  <c r="EF33" i="7"/>
  <c r="EF34" i="7"/>
  <c r="EF35" i="7"/>
  <c r="EF36" i="7"/>
  <c r="EF37" i="7"/>
  <c r="EF38" i="7"/>
  <c r="EF39" i="7"/>
  <c r="EF40" i="7"/>
  <c r="EF41" i="7"/>
  <c r="EF42" i="7"/>
  <c r="EF43" i="7"/>
  <c r="EF44" i="7"/>
  <c r="EF45" i="7"/>
  <c r="EF46" i="7"/>
  <c r="EF47" i="7"/>
  <c r="EF48" i="7"/>
  <c r="EF49" i="7"/>
  <c r="EE27" i="7"/>
  <c r="EE28" i="7"/>
  <c r="EE29" i="7"/>
  <c r="EE30" i="7"/>
  <c r="EE31" i="7"/>
  <c r="EE32" i="7"/>
  <c r="EE33" i="7"/>
  <c r="EE34" i="7"/>
  <c r="EE35" i="7"/>
  <c r="EE36" i="7"/>
  <c r="EE37" i="7"/>
  <c r="EE38" i="7"/>
  <c r="EE39" i="7"/>
  <c r="EE40" i="7"/>
  <c r="EE41" i="7"/>
  <c r="EE42" i="7"/>
  <c r="EE43" i="7"/>
  <c r="EE44" i="7"/>
  <c r="EE45" i="7"/>
  <c r="EE46" i="7"/>
  <c r="EE47" i="7"/>
  <c r="EE48" i="7"/>
  <c r="EE49" i="7"/>
  <c r="ED27" i="7"/>
  <c r="ED28" i="7"/>
  <c r="ED29" i="7"/>
  <c r="ED30" i="7"/>
  <c r="ED31" i="7"/>
  <c r="ED32" i="7"/>
  <c r="ED33" i="7"/>
  <c r="ED34" i="7"/>
  <c r="ED35" i="7"/>
  <c r="ED36" i="7"/>
  <c r="ED37" i="7"/>
  <c r="ED38" i="7"/>
  <c r="ED39" i="7"/>
  <c r="ED40" i="7"/>
  <c r="ED41" i="7"/>
  <c r="ED42" i="7"/>
  <c r="ED43" i="7"/>
  <c r="ED44" i="7"/>
  <c r="ED45" i="7"/>
  <c r="ED46" i="7"/>
  <c r="ED47" i="7"/>
  <c r="ED48" i="7"/>
  <c r="ED49" i="7"/>
  <c r="EC26" i="7"/>
  <c r="EC27" i="7"/>
  <c r="EC28" i="7"/>
  <c r="EC29" i="7"/>
  <c r="EC30" i="7"/>
  <c r="EC31" i="7"/>
  <c r="EC32" i="7"/>
  <c r="EC33" i="7"/>
  <c r="EC34" i="7"/>
  <c r="EC35" i="7"/>
  <c r="EC36" i="7"/>
  <c r="EC37" i="7"/>
  <c r="EC38" i="7"/>
  <c r="EC39" i="7"/>
  <c r="EC40" i="7"/>
  <c r="EC41" i="7"/>
  <c r="EC42" i="7"/>
  <c r="EC43" i="7"/>
  <c r="EC44" i="7"/>
  <c r="EC45" i="7"/>
  <c r="EC46" i="7"/>
  <c r="EC47" i="7"/>
  <c r="EC48" i="7"/>
  <c r="EC49" i="7"/>
  <c r="EB25" i="7"/>
  <c r="EB26" i="7"/>
  <c r="EB27" i="7"/>
  <c r="EB28" i="7"/>
  <c r="EB29" i="7"/>
  <c r="EB30" i="7"/>
  <c r="EB31" i="7"/>
  <c r="EB32" i="7"/>
  <c r="EB33" i="7"/>
  <c r="EB34" i="7"/>
  <c r="EB35" i="7"/>
  <c r="EB36" i="7"/>
  <c r="EB37" i="7"/>
  <c r="EB38" i="7"/>
  <c r="EB39" i="7"/>
  <c r="EB40" i="7"/>
  <c r="EB41" i="7"/>
  <c r="EB42" i="7"/>
  <c r="EB43" i="7"/>
  <c r="EB44" i="7"/>
  <c r="EB45" i="7"/>
  <c r="EB46" i="7"/>
  <c r="EB47" i="7"/>
  <c r="EB48" i="7"/>
  <c r="EB49" i="7"/>
  <c r="EA28" i="7"/>
  <c r="EA29" i="7"/>
  <c r="EA30" i="7"/>
  <c r="EA31" i="7"/>
  <c r="EA32" i="7"/>
  <c r="EA33" i="7"/>
  <c r="EA34" i="7"/>
  <c r="EA35" i="7"/>
  <c r="EA36" i="7"/>
  <c r="EA37" i="7"/>
  <c r="EA38" i="7"/>
  <c r="EA39" i="7"/>
  <c r="EA40" i="7"/>
  <c r="EA41" i="7"/>
  <c r="EA42" i="7"/>
  <c r="EA43" i="7"/>
  <c r="EA44" i="7"/>
  <c r="EA45" i="7"/>
  <c r="EA46" i="7"/>
  <c r="EA47" i="7"/>
  <c r="EA48" i="7"/>
  <c r="EA49" i="7"/>
  <c r="DZ25" i="7"/>
  <c r="DZ26" i="7"/>
  <c r="DZ27" i="7"/>
  <c r="DZ28" i="7"/>
  <c r="DZ29" i="7"/>
  <c r="DZ30" i="7"/>
  <c r="DZ31" i="7"/>
  <c r="DZ32" i="7"/>
  <c r="DZ33" i="7"/>
  <c r="DZ34" i="7"/>
  <c r="DZ35" i="7"/>
  <c r="DZ36" i="7"/>
  <c r="DZ37" i="7"/>
  <c r="DZ38" i="7"/>
  <c r="DZ39" i="7"/>
  <c r="DZ40" i="7"/>
  <c r="DZ41" i="7"/>
  <c r="DZ42" i="7"/>
  <c r="DZ43" i="7"/>
  <c r="DZ44" i="7"/>
  <c r="DZ45" i="7"/>
  <c r="DZ46" i="7"/>
  <c r="DZ47" i="7"/>
  <c r="DZ48" i="7"/>
  <c r="DZ49" i="7"/>
  <c r="DY26" i="7"/>
  <c r="DY27" i="7"/>
  <c r="DY28" i="7"/>
  <c r="DY29" i="7"/>
  <c r="DY30" i="7"/>
  <c r="DY31" i="7"/>
  <c r="DY32" i="7"/>
  <c r="DY33" i="7"/>
  <c r="DY34" i="7"/>
  <c r="DY35" i="7"/>
  <c r="DY36" i="7"/>
  <c r="DY37" i="7"/>
  <c r="DY38" i="7"/>
  <c r="DY39" i="7"/>
  <c r="DY40" i="7"/>
  <c r="DY41" i="7"/>
  <c r="DY42" i="7"/>
  <c r="DY43" i="7"/>
  <c r="DY44" i="7"/>
  <c r="DY45" i="7"/>
  <c r="DY46" i="7"/>
  <c r="DY47" i="7"/>
  <c r="DY48" i="7"/>
  <c r="DY49" i="7"/>
  <c r="EH28" i="12"/>
  <c r="EH29" i="12"/>
  <c r="EH30" i="12"/>
  <c r="EH31" i="12"/>
  <c r="EH32" i="12"/>
  <c r="EH33" i="12"/>
  <c r="EH34" i="12"/>
  <c r="EH35" i="12"/>
  <c r="EH36" i="12"/>
  <c r="EH37" i="12"/>
  <c r="EH38" i="12"/>
  <c r="EH39" i="12"/>
  <c r="EH40" i="12"/>
  <c r="EH41" i="12"/>
  <c r="EH42" i="12"/>
  <c r="EH43" i="12"/>
  <c r="EH44" i="12"/>
  <c r="EH45" i="12"/>
  <c r="EH46" i="12"/>
  <c r="EH47" i="12"/>
  <c r="EH48" i="12"/>
  <c r="EH49" i="12"/>
  <c r="EG27" i="12"/>
  <c r="EG28" i="12"/>
  <c r="EG29" i="12"/>
  <c r="EG30" i="12"/>
  <c r="EG31" i="12"/>
  <c r="EG32" i="12"/>
  <c r="EG33" i="12"/>
  <c r="EG34" i="12"/>
  <c r="EG35" i="12"/>
  <c r="EG36" i="12"/>
  <c r="EG37" i="12"/>
  <c r="EG38" i="12"/>
  <c r="EG39" i="12"/>
  <c r="EG40" i="12"/>
  <c r="EG41" i="12"/>
  <c r="EG42" i="12"/>
  <c r="EG43" i="12"/>
  <c r="EG44" i="12"/>
  <c r="EG45" i="12"/>
  <c r="EG46" i="12"/>
  <c r="EG47" i="12"/>
  <c r="EG48" i="12"/>
  <c r="EG49" i="12"/>
  <c r="EF24" i="12"/>
  <c r="EF25" i="12"/>
  <c r="EF26" i="12"/>
  <c r="EF27" i="12"/>
  <c r="EF28" i="12"/>
  <c r="EF29" i="12"/>
  <c r="EF30" i="12"/>
  <c r="EF31" i="12"/>
  <c r="EF32" i="12"/>
  <c r="EF33" i="12"/>
  <c r="EF34" i="12"/>
  <c r="EF35" i="12"/>
  <c r="EF36" i="12"/>
  <c r="EF37" i="12"/>
  <c r="EF38" i="12"/>
  <c r="EF39" i="12"/>
  <c r="EF40" i="12"/>
  <c r="EF41" i="12"/>
  <c r="EF42" i="12"/>
  <c r="EF43" i="12"/>
  <c r="EF44" i="12"/>
  <c r="EF45" i="12"/>
  <c r="EF46" i="12"/>
  <c r="EF47" i="12"/>
  <c r="EF48" i="12"/>
  <c r="EF49" i="12"/>
  <c r="EE26" i="12"/>
  <c r="EE27" i="12"/>
  <c r="EE28" i="12"/>
  <c r="EE29" i="12"/>
  <c r="EE30" i="12"/>
  <c r="EE31" i="12"/>
  <c r="EE32" i="12"/>
  <c r="EE33" i="12"/>
  <c r="EE34" i="12"/>
  <c r="EE35" i="12"/>
  <c r="EE36" i="12"/>
  <c r="EE37" i="12"/>
  <c r="EE38" i="12"/>
  <c r="EE39" i="12"/>
  <c r="EE40" i="12"/>
  <c r="EE41" i="12"/>
  <c r="EE42" i="12"/>
  <c r="EE43" i="12"/>
  <c r="EE44" i="12"/>
  <c r="EE45" i="12"/>
  <c r="EE46" i="12"/>
  <c r="EE47" i="12"/>
  <c r="EE48" i="12"/>
  <c r="EE49" i="12"/>
  <c r="ED29" i="12"/>
  <c r="ED30" i="12"/>
  <c r="ED31" i="12"/>
  <c r="ED32" i="12"/>
  <c r="ED33" i="12"/>
  <c r="ED34" i="12"/>
  <c r="ED35" i="12"/>
  <c r="ED36" i="12"/>
  <c r="ED37" i="12"/>
  <c r="ED38" i="12"/>
  <c r="ED39" i="12"/>
  <c r="ED40" i="12"/>
  <c r="ED41" i="12"/>
  <c r="ED42" i="12"/>
  <c r="ED43" i="12"/>
  <c r="ED44" i="12"/>
  <c r="ED45" i="12"/>
  <c r="ED46" i="12"/>
  <c r="ED47" i="12"/>
  <c r="ED48" i="12"/>
  <c r="ED49" i="12"/>
  <c r="EC30" i="12"/>
  <c r="EC31" i="12"/>
  <c r="EC32" i="12"/>
  <c r="EC33" i="12"/>
  <c r="EC34" i="12"/>
  <c r="EC35" i="12"/>
  <c r="EC36" i="12"/>
  <c r="EC37" i="12"/>
  <c r="EC38" i="12"/>
  <c r="EC39" i="12"/>
  <c r="EC40" i="12"/>
  <c r="EC41" i="12"/>
  <c r="EC42" i="12"/>
  <c r="EC43" i="12"/>
  <c r="EC44" i="12"/>
  <c r="EC45" i="12"/>
  <c r="EC46" i="12"/>
  <c r="EC47" i="12"/>
  <c r="EC48" i="12"/>
  <c r="EC49" i="12"/>
  <c r="EB26" i="12"/>
  <c r="EB27" i="12"/>
  <c r="EB28" i="12"/>
  <c r="EB29" i="12"/>
  <c r="EB30" i="12"/>
  <c r="EB31" i="12"/>
  <c r="EB32" i="12"/>
  <c r="EB33" i="12"/>
  <c r="EB34" i="12"/>
  <c r="EB35" i="12"/>
  <c r="EB36" i="12"/>
  <c r="EB37" i="12"/>
  <c r="EB38" i="12"/>
  <c r="EB39" i="12"/>
  <c r="EB40" i="12"/>
  <c r="EB41" i="12"/>
  <c r="EB42" i="12"/>
  <c r="EB43" i="12"/>
  <c r="EB44" i="12"/>
  <c r="EB45" i="12"/>
  <c r="EB46" i="12"/>
  <c r="EB47" i="12"/>
  <c r="EB48" i="12"/>
  <c r="EB49" i="12"/>
  <c r="EA26" i="12"/>
  <c r="EA27" i="12"/>
  <c r="EA28" i="12"/>
  <c r="EA29" i="12"/>
  <c r="EA30" i="12"/>
  <c r="EA31" i="12"/>
  <c r="EA32" i="12"/>
  <c r="EA33" i="12"/>
  <c r="EA34" i="12"/>
  <c r="EA35" i="12"/>
  <c r="EA36" i="12"/>
  <c r="EA37" i="12"/>
  <c r="EA38" i="12"/>
  <c r="EA39" i="12"/>
  <c r="EA40" i="12"/>
  <c r="EA41" i="12"/>
  <c r="EA42" i="12"/>
  <c r="EA43" i="12"/>
  <c r="EA44" i="12"/>
  <c r="EA45" i="12"/>
  <c r="EA46" i="12"/>
  <c r="EA47" i="12"/>
  <c r="EA48" i="12"/>
  <c r="EA49" i="12"/>
  <c r="DZ28" i="12"/>
  <c r="DZ29" i="12"/>
  <c r="DZ30" i="12"/>
  <c r="DZ31" i="12"/>
  <c r="DZ32" i="12"/>
  <c r="DZ33" i="12"/>
  <c r="DZ34" i="12"/>
  <c r="DZ35" i="12"/>
  <c r="DZ36" i="12"/>
  <c r="DZ37" i="12"/>
  <c r="DZ38" i="12"/>
  <c r="DZ39" i="12"/>
  <c r="DZ40" i="12"/>
  <c r="DZ41" i="12"/>
  <c r="DZ42" i="12"/>
  <c r="DZ43" i="12"/>
  <c r="DZ44" i="12"/>
  <c r="DZ45" i="12"/>
  <c r="DZ46" i="12"/>
  <c r="DZ47" i="12"/>
  <c r="DZ48" i="12"/>
  <c r="DZ49" i="12"/>
  <c r="DY23" i="12"/>
  <c r="DY24" i="12"/>
  <c r="DY25" i="12"/>
  <c r="DY26" i="12"/>
  <c r="DY27" i="12"/>
  <c r="DY28" i="12"/>
  <c r="DY29" i="12"/>
  <c r="DY30" i="12"/>
  <c r="DY31" i="12"/>
  <c r="DY32" i="12"/>
  <c r="DY33" i="12"/>
  <c r="DY34" i="12"/>
  <c r="DY35" i="12"/>
  <c r="DY36" i="12"/>
  <c r="DY37" i="12"/>
  <c r="DY38" i="12"/>
  <c r="DY39" i="12"/>
  <c r="DY40" i="12"/>
  <c r="DY41" i="12"/>
  <c r="DY42" i="12"/>
  <c r="DY43" i="12"/>
  <c r="DY44" i="12"/>
  <c r="DY45" i="12"/>
  <c r="DY46" i="12"/>
  <c r="DY47" i="12"/>
  <c r="DY48" i="12"/>
  <c r="DY49" i="12"/>
  <c r="EC50" i="9" l="1"/>
  <c r="EB50" i="9"/>
  <c r="EA50" i="9"/>
  <c r="DZ50" i="9"/>
  <c r="DY50" i="9"/>
  <c r="DX50" i="9"/>
  <c r="DW50" i="9"/>
  <c r="EE50" i="6"/>
  <c r="ED50" i="6"/>
  <c r="EC50" i="6"/>
  <c r="EB50" i="6"/>
  <c r="EA50" i="6"/>
  <c r="DZ50" i="6"/>
  <c r="DY50" i="6"/>
  <c r="DX50" i="6"/>
  <c r="DW50" i="6"/>
  <c r="EE50" i="10"/>
  <c r="DY51" i="10" s="1"/>
  <c r="DX50" i="10"/>
  <c r="EE50" i="9"/>
  <c r="ED50" i="9"/>
  <c r="EC50" i="14"/>
  <c r="EB50" i="14"/>
  <c r="EE50" i="14"/>
  <c r="ED50" i="14"/>
  <c r="EA50" i="14"/>
  <c r="EJ49" i="12"/>
  <c r="EJ48" i="12"/>
  <c r="EJ47" i="12"/>
  <c r="EI47" i="12"/>
  <c r="EJ46" i="12"/>
  <c r="EI46" i="12"/>
  <c r="EJ45" i="12"/>
  <c r="EI45" i="12"/>
  <c r="EJ44" i="12"/>
  <c r="EI44" i="12"/>
  <c r="EJ43" i="12"/>
  <c r="EI43" i="12"/>
  <c r="EJ42" i="12"/>
  <c r="EI42" i="12"/>
  <c r="EJ41" i="12"/>
  <c r="EI41" i="12"/>
  <c r="EJ40" i="12"/>
  <c r="EI40" i="12"/>
  <c r="EJ39" i="12"/>
  <c r="EI39" i="12"/>
  <c r="EJ38" i="12"/>
  <c r="EI38" i="12"/>
  <c r="EJ37" i="12"/>
  <c r="EI37" i="12"/>
  <c r="EJ36" i="12"/>
  <c r="EI36" i="12"/>
  <c r="EJ35" i="12"/>
  <c r="EI35" i="12"/>
  <c r="EJ34" i="12"/>
  <c r="EI34" i="12"/>
  <c r="EJ33" i="12"/>
  <c r="EI33" i="12"/>
  <c r="EJ32" i="12"/>
  <c r="EI32" i="12"/>
  <c r="EJ31" i="12"/>
  <c r="EI31" i="12"/>
  <c r="EJ30" i="12"/>
  <c r="EI30" i="12"/>
  <c r="EJ29" i="12"/>
  <c r="EI29" i="12"/>
  <c r="EC29" i="12"/>
  <c r="EJ28" i="12"/>
  <c r="EI28" i="12"/>
  <c r="ED28" i="12"/>
  <c r="EC28" i="12"/>
  <c r="EJ27" i="12"/>
  <c r="EI27" i="12"/>
  <c r="EH27" i="12"/>
  <c r="ED27" i="12"/>
  <c r="EC27" i="12"/>
  <c r="DZ27" i="12"/>
  <c r="EJ26" i="12"/>
  <c r="EI26" i="12"/>
  <c r="EH26" i="12"/>
  <c r="EG26" i="12"/>
  <c r="ED26" i="12"/>
  <c r="EC26" i="12"/>
  <c r="DZ26" i="12"/>
  <c r="EJ25" i="12"/>
  <c r="EI25" i="12"/>
  <c r="EH25" i="12"/>
  <c r="EG25" i="12"/>
  <c r="EE25" i="12"/>
  <c r="ED25" i="12"/>
  <c r="EC25" i="12"/>
  <c r="EB25" i="12"/>
  <c r="EA25" i="12"/>
  <c r="DZ25" i="12"/>
  <c r="EJ24" i="12"/>
  <c r="EI24" i="12"/>
  <c r="EH24" i="12"/>
  <c r="EG24" i="12"/>
  <c r="EE24" i="12"/>
  <c r="ED24" i="12"/>
  <c r="EC24" i="12"/>
  <c r="EB24" i="12"/>
  <c r="EA24" i="12"/>
  <c r="DZ24" i="12"/>
  <c r="EJ23" i="12"/>
  <c r="EI23" i="12"/>
  <c r="EH23" i="12"/>
  <c r="EG23" i="12"/>
  <c r="EF23" i="12"/>
  <c r="EE23" i="12"/>
  <c r="ED23" i="12"/>
  <c r="EC23" i="12"/>
  <c r="EB23" i="12"/>
  <c r="EA23" i="12"/>
  <c r="DZ23" i="12"/>
  <c r="EJ22" i="12"/>
  <c r="EI22" i="12"/>
  <c r="EH22" i="12"/>
  <c r="EG22" i="12"/>
  <c r="EF22" i="12"/>
  <c r="EE22" i="12"/>
  <c r="ED22" i="12"/>
  <c r="EC22" i="12"/>
  <c r="EB22" i="12"/>
  <c r="EA22" i="12"/>
  <c r="DZ22" i="12"/>
  <c r="DY22" i="12"/>
  <c r="EJ21" i="12"/>
  <c r="EI21" i="12"/>
  <c r="EH21" i="12"/>
  <c r="EG21" i="12"/>
  <c r="EF21" i="12"/>
  <c r="EE21" i="12"/>
  <c r="ED21" i="12"/>
  <c r="EC21" i="12"/>
  <c r="EB21" i="12"/>
  <c r="EA21" i="12"/>
  <c r="DZ21" i="12"/>
  <c r="DY21" i="12"/>
  <c r="EJ20" i="12"/>
  <c r="EI20" i="12"/>
  <c r="EH20" i="12"/>
  <c r="EG20" i="12"/>
  <c r="EF20" i="12"/>
  <c r="EE20" i="12"/>
  <c r="ED20" i="12"/>
  <c r="EC20" i="12"/>
  <c r="EB20" i="12"/>
  <c r="EA20" i="12"/>
  <c r="DZ20" i="12"/>
  <c r="DY20" i="12"/>
  <c r="EJ19" i="12"/>
  <c r="EI19" i="12"/>
  <c r="EH19" i="12"/>
  <c r="EG19" i="12"/>
  <c r="EF19" i="12"/>
  <c r="EE19" i="12"/>
  <c r="ED19" i="12"/>
  <c r="EC19" i="12"/>
  <c r="EB19" i="12"/>
  <c r="EA19" i="12"/>
  <c r="DZ19" i="12"/>
  <c r="DY19" i="12"/>
  <c r="EJ18" i="12"/>
  <c r="EI18" i="12"/>
  <c r="EH18" i="12"/>
  <c r="EG18" i="12"/>
  <c r="EF18" i="12"/>
  <c r="EE18" i="12"/>
  <c r="ED18" i="12"/>
  <c r="EC18" i="12"/>
  <c r="EB18" i="12"/>
  <c r="EA18" i="12"/>
  <c r="DZ18" i="12"/>
  <c r="DY18" i="12"/>
  <c r="EJ17" i="12"/>
  <c r="EI17" i="12"/>
  <c r="EH17" i="12"/>
  <c r="EG17" i="12"/>
  <c r="EF17" i="12"/>
  <c r="EE17" i="12"/>
  <c r="ED17" i="12"/>
  <c r="EC17" i="12"/>
  <c r="EB17" i="12"/>
  <c r="EA17" i="12"/>
  <c r="DZ17" i="12"/>
  <c r="DY17" i="12"/>
  <c r="EJ16" i="12"/>
  <c r="EI16" i="12"/>
  <c r="EH16" i="12"/>
  <c r="EG16" i="12"/>
  <c r="EF16" i="12"/>
  <c r="EE16" i="12"/>
  <c r="ED16" i="12"/>
  <c r="EC16" i="12"/>
  <c r="EB16" i="12"/>
  <c r="EA16" i="12"/>
  <c r="DZ16" i="12"/>
  <c r="DY16" i="12"/>
  <c r="EJ15" i="12"/>
  <c r="EI15" i="12"/>
  <c r="EH15" i="12"/>
  <c r="EG15" i="12"/>
  <c r="EF15" i="12"/>
  <c r="EE15" i="12"/>
  <c r="ED15" i="12"/>
  <c r="EC15" i="12"/>
  <c r="EB15" i="12"/>
  <c r="EA15" i="12"/>
  <c r="DZ15" i="12"/>
  <c r="DY15" i="12"/>
  <c r="EJ14" i="12"/>
  <c r="EI14" i="12"/>
  <c r="EH14" i="12"/>
  <c r="EG14" i="12"/>
  <c r="EF14" i="12"/>
  <c r="EE14" i="12"/>
  <c r="ED14" i="12"/>
  <c r="EC14" i="12"/>
  <c r="EB14" i="12"/>
  <c r="EA14" i="12"/>
  <c r="DZ14" i="12"/>
  <c r="DY14" i="12"/>
  <c r="EJ13" i="12"/>
  <c r="EI13" i="12"/>
  <c r="EH13" i="12"/>
  <c r="EG13" i="12"/>
  <c r="EF13" i="12"/>
  <c r="EE13" i="12"/>
  <c r="ED13" i="12"/>
  <c r="EC13" i="12"/>
  <c r="EB13" i="12"/>
  <c r="EA13" i="12"/>
  <c r="DZ13" i="12"/>
  <c r="DY13" i="12"/>
  <c r="EJ12" i="12"/>
  <c r="EI12" i="12"/>
  <c r="EH12" i="12"/>
  <c r="EG12" i="12"/>
  <c r="EF12" i="12"/>
  <c r="EE12" i="12"/>
  <c r="ED12" i="12"/>
  <c r="EC12" i="12"/>
  <c r="EB12" i="12"/>
  <c r="EA12" i="12"/>
  <c r="DZ12" i="12"/>
  <c r="DY12" i="12"/>
  <c r="EJ11" i="12"/>
  <c r="EI11" i="12"/>
  <c r="EH11" i="12"/>
  <c r="EG11" i="12"/>
  <c r="EF11" i="12"/>
  <c r="EE11" i="12"/>
  <c r="ED11" i="12"/>
  <c r="EC11" i="12"/>
  <c r="EB11" i="12"/>
  <c r="EA11" i="12"/>
  <c r="DZ11" i="12"/>
  <c r="DY11" i="12"/>
  <c r="EJ10" i="12"/>
  <c r="EI10" i="12"/>
  <c r="EH10" i="12"/>
  <c r="EG10" i="12"/>
  <c r="EF10" i="12"/>
  <c r="EE10" i="12"/>
  <c r="ED10" i="12"/>
  <c r="EC10" i="12"/>
  <c r="EB10" i="12"/>
  <c r="EA10" i="12"/>
  <c r="DZ10" i="12"/>
  <c r="DY10" i="12"/>
  <c r="EJ9" i="12"/>
  <c r="EI9" i="12"/>
  <c r="EH9" i="12"/>
  <c r="EG9" i="12"/>
  <c r="EF9" i="12"/>
  <c r="EE9" i="12"/>
  <c r="ED9" i="12"/>
  <c r="EC9" i="12"/>
  <c r="EB9" i="12"/>
  <c r="EA9" i="12"/>
  <c r="DZ9" i="12"/>
  <c r="DY9" i="12"/>
  <c r="EJ8" i="12"/>
  <c r="EI8" i="12"/>
  <c r="EH8" i="12"/>
  <c r="EG8" i="12"/>
  <c r="EF8" i="12"/>
  <c r="ED8" i="12"/>
  <c r="EC8" i="12"/>
  <c r="EB8" i="12"/>
  <c r="EA8" i="12"/>
  <c r="DZ8" i="12"/>
  <c r="DY8" i="12"/>
  <c r="EJ7" i="12"/>
  <c r="EI7" i="12"/>
  <c r="EH7" i="12"/>
  <c r="EG7" i="12"/>
  <c r="EF7" i="12"/>
  <c r="EE7" i="12"/>
  <c r="ED7" i="12"/>
  <c r="EC7" i="12"/>
  <c r="EB7" i="12"/>
  <c r="EA7" i="12"/>
  <c r="DZ7" i="12"/>
  <c r="DY7" i="12"/>
  <c r="EE8" i="7"/>
  <c r="EI47" i="7"/>
  <c r="EI46" i="7"/>
  <c r="EI45" i="7"/>
  <c r="EI44" i="7"/>
  <c r="EI43" i="7"/>
  <c r="EI42" i="7"/>
  <c r="EI41" i="7"/>
  <c r="EI40" i="7"/>
  <c r="EI39" i="7"/>
  <c r="EI38" i="7"/>
  <c r="EI37" i="7"/>
  <c r="EI36" i="7"/>
  <c r="EI35" i="7"/>
  <c r="EI34" i="7"/>
  <c r="EJ33" i="7"/>
  <c r="EI33" i="7"/>
  <c r="EJ32" i="7"/>
  <c r="EI32" i="7"/>
  <c r="EJ31" i="7"/>
  <c r="EI31" i="7"/>
  <c r="EJ30" i="7"/>
  <c r="EI30" i="7"/>
  <c r="EJ29" i="7"/>
  <c r="EI29" i="7"/>
  <c r="EH29" i="7"/>
  <c r="EG29" i="7"/>
  <c r="EJ28" i="7"/>
  <c r="EI28" i="7"/>
  <c r="EH28" i="7"/>
  <c r="EG28" i="7"/>
  <c r="EF28" i="7"/>
  <c r="EJ27" i="7"/>
  <c r="EI27" i="7"/>
  <c r="EH27" i="7"/>
  <c r="EG27" i="7"/>
  <c r="EF27" i="7"/>
  <c r="EA27" i="7"/>
  <c r="EJ26" i="7"/>
  <c r="EI26" i="7"/>
  <c r="EH26" i="7"/>
  <c r="EG26" i="7"/>
  <c r="EF26" i="7"/>
  <c r="EE26" i="7"/>
  <c r="ED26" i="7"/>
  <c r="EA26" i="7"/>
  <c r="EJ25" i="7"/>
  <c r="EI25" i="7"/>
  <c r="EH25" i="7"/>
  <c r="EG25" i="7"/>
  <c r="EF25" i="7"/>
  <c r="EE25" i="7"/>
  <c r="ED25" i="7"/>
  <c r="EC25" i="7"/>
  <c r="EA25" i="7"/>
  <c r="DY25" i="7"/>
  <c r="EJ24" i="7"/>
  <c r="EI24" i="7"/>
  <c r="EH24" i="7"/>
  <c r="EG24" i="7"/>
  <c r="EF24" i="7"/>
  <c r="EE24" i="7"/>
  <c r="ED24" i="7"/>
  <c r="EC24" i="7"/>
  <c r="EB24" i="7"/>
  <c r="EA24" i="7"/>
  <c r="DZ24" i="7"/>
  <c r="DY24" i="7"/>
  <c r="EJ23" i="7"/>
  <c r="EI23" i="7"/>
  <c r="EH23" i="7"/>
  <c r="EG23" i="7"/>
  <c r="EF23" i="7"/>
  <c r="EE23" i="7"/>
  <c r="ED23" i="7"/>
  <c r="EC23" i="7"/>
  <c r="EB23" i="7"/>
  <c r="EA23" i="7"/>
  <c r="DZ23" i="7"/>
  <c r="DY23" i="7"/>
  <c r="EJ22" i="7"/>
  <c r="EI22" i="7"/>
  <c r="EH22" i="7"/>
  <c r="EG22" i="7"/>
  <c r="EF22" i="7"/>
  <c r="EE22" i="7"/>
  <c r="ED22" i="7"/>
  <c r="EC22" i="7"/>
  <c r="EB22" i="7"/>
  <c r="EA22" i="7"/>
  <c r="DZ22" i="7"/>
  <c r="DY22" i="7"/>
  <c r="EJ21" i="7"/>
  <c r="EI21" i="7"/>
  <c r="EH21" i="7"/>
  <c r="EG21" i="7"/>
  <c r="EF21" i="7"/>
  <c r="EE21" i="7"/>
  <c r="ED21" i="7"/>
  <c r="EC21" i="7"/>
  <c r="EB21" i="7"/>
  <c r="EA21" i="7"/>
  <c r="DZ21" i="7"/>
  <c r="DY21" i="7"/>
  <c r="EJ20" i="7"/>
  <c r="EI20" i="7"/>
  <c r="EH20" i="7"/>
  <c r="EG20" i="7"/>
  <c r="EF20" i="7"/>
  <c r="EE20" i="7"/>
  <c r="ED20" i="7"/>
  <c r="EC20" i="7"/>
  <c r="EB20" i="7"/>
  <c r="EA20" i="7"/>
  <c r="DZ20" i="7"/>
  <c r="DY20" i="7"/>
  <c r="EJ19" i="7"/>
  <c r="EI19" i="7"/>
  <c r="EH19" i="7"/>
  <c r="EG19" i="7"/>
  <c r="EF19" i="7"/>
  <c r="EE19" i="7"/>
  <c r="ED19" i="7"/>
  <c r="EC19" i="7"/>
  <c r="EB19" i="7"/>
  <c r="EA19" i="7"/>
  <c r="DZ19" i="7"/>
  <c r="DY19" i="7"/>
  <c r="EJ18" i="7"/>
  <c r="EI18" i="7"/>
  <c r="EH18" i="7"/>
  <c r="EG18" i="7"/>
  <c r="EF18" i="7"/>
  <c r="EE18" i="7"/>
  <c r="ED18" i="7"/>
  <c r="EC18" i="7"/>
  <c r="EB18" i="7"/>
  <c r="EA18" i="7"/>
  <c r="DZ18" i="7"/>
  <c r="DY18" i="7"/>
  <c r="EJ17" i="7"/>
  <c r="EI17" i="7"/>
  <c r="EH17" i="7"/>
  <c r="EG17" i="7"/>
  <c r="EF17" i="7"/>
  <c r="EE17" i="7"/>
  <c r="ED17" i="7"/>
  <c r="EC17" i="7"/>
  <c r="EB17" i="7"/>
  <c r="EA17" i="7"/>
  <c r="DZ17" i="7"/>
  <c r="DY17" i="7"/>
  <c r="EJ16" i="7"/>
  <c r="EI16" i="7"/>
  <c r="EH16" i="7"/>
  <c r="EG16" i="7"/>
  <c r="EF16" i="7"/>
  <c r="EE16" i="7"/>
  <c r="ED16" i="7"/>
  <c r="EC16" i="7"/>
  <c r="EB16" i="7"/>
  <c r="EA16" i="7"/>
  <c r="DZ16" i="7"/>
  <c r="DY16" i="7"/>
  <c r="EJ15" i="7"/>
  <c r="EI15" i="7"/>
  <c r="EH15" i="7"/>
  <c r="EG15" i="7"/>
  <c r="EF15" i="7"/>
  <c r="EE15" i="7"/>
  <c r="ED15" i="7"/>
  <c r="EC15" i="7"/>
  <c r="EB15" i="7"/>
  <c r="EA15" i="7"/>
  <c r="DZ15" i="7"/>
  <c r="DY15" i="7"/>
  <c r="EJ14" i="7"/>
  <c r="EI14" i="7"/>
  <c r="EH14" i="7"/>
  <c r="EG14" i="7"/>
  <c r="EF14" i="7"/>
  <c r="EE14" i="7"/>
  <c r="ED14" i="7"/>
  <c r="EC14" i="7"/>
  <c r="EB14" i="7"/>
  <c r="EA14" i="7"/>
  <c r="DZ14" i="7"/>
  <c r="DY14" i="7"/>
  <c r="EJ13" i="7"/>
  <c r="EI13" i="7"/>
  <c r="EH13" i="7"/>
  <c r="EG13" i="7"/>
  <c r="EF13" i="7"/>
  <c r="EE13" i="7"/>
  <c r="ED13" i="7"/>
  <c r="EC13" i="7"/>
  <c r="EB13" i="7"/>
  <c r="EA13" i="7"/>
  <c r="DZ13" i="7"/>
  <c r="DY13" i="7"/>
  <c r="EJ12" i="7"/>
  <c r="EI12" i="7"/>
  <c r="EH12" i="7"/>
  <c r="EG12" i="7"/>
  <c r="EF12" i="7"/>
  <c r="EE12" i="7"/>
  <c r="ED12" i="7"/>
  <c r="EC12" i="7"/>
  <c r="EB12" i="7"/>
  <c r="EA12" i="7"/>
  <c r="DZ12" i="7"/>
  <c r="DY12" i="7"/>
  <c r="EJ11" i="7"/>
  <c r="EI11" i="7"/>
  <c r="EH11" i="7"/>
  <c r="EG11" i="7"/>
  <c r="EF11" i="7"/>
  <c r="EE11" i="7"/>
  <c r="ED11" i="7"/>
  <c r="EC11" i="7"/>
  <c r="EB11" i="7"/>
  <c r="EA11" i="7"/>
  <c r="DZ11" i="7"/>
  <c r="DY11" i="7"/>
  <c r="EJ10" i="7"/>
  <c r="EI10" i="7"/>
  <c r="EH10" i="7"/>
  <c r="EG10" i="7"/>
  <c r="EF10" i="7"/>
  <c r="EE10" i="7"/>
  <c r="ED10" i="7"/>
  <c r="EC10" i="7"/>
  <c r="EB10" i="7"/>
  <c r="EA10" i="7"/>
  <c r="DZ10" i="7"/>
  <c r="DY10" i="7"/>
  <c r="EJ9" i="7"/>
  <c r="EI9" i="7"/>
  <c r="EH9" i="7"/>
  <c r="EG9" i="7"/>
  <c r="EF9" i="7"/>
  <c r="EE9" i="7"/>
  <c r="ED9" i="7"/>
  <c r="EC9" i="7"/>
  <c r="EB9" i="7"/>
  <c r="EA9" i="7"/>
  <c r="DZ9" i="7"/>
  <c r="DY9" i="7"/>
  <c r="EJ8" i="7"/>
  <c r="EI8" i="7"/>
  <c r="EH8" i="7"/>
  <c r="EG8" i="7"/>
  <c r="EF8" i="7"/>
  <c r="ED8" i="7"/>
  <c r="EC8" i="7"/>
  <c r="EB8" i="7"/>
  <c r="EA8" i="7"/>
  <c r="DZ8" i="7"/>
  <c r="DY8" i="7"/>
  <c r="EJ7" i="7"/>
  <c r="EI7" i="7"/>
  <c r="EH7" i="7"/>
  <c r="EG7" i="7"/>
  <c r="EF7" i="7"/>
  <c r="ED7" i="7"/>
  <c r="EC7" i="7"/>
  <c r="EB7" i="7"/>
  <c r="EA7" i="7"/>
  <c r="DZ7" i="7"/>
  <c r="DY7" i="7"/>
  <c r="EE50" i="7" l="1"/>
  <c r="DZ50" i="12"/>
  <c r="EC50" i="12"/>
  <c r="EJ50" i="12"/>
  <c r="EJ50" i="7"/>
  <c r="EB50" i="12"/>
  <c r="DY50" i="7"/>
  <c r="DY50" i="12"/>
  <c r="EI50" i="7"/>
  <c r="EI50" i="12"/>
  <c r="EH50" i="7"/>
  <c r="EH50" i="12"/>
  <c r="EG50" i="12"/>
  <c r="EG50" i="7"/>
  <c r="EF50" i="7"/>
  <c r="EF50" i="12"/>
  <c r="EE50" i="12"/>
  <c r="ED50" i="12"/>
  <c r="ED50" i="7"/>
  <c r="EC50" i="7"/>
  <c r="DY51" i="14"/>
  <c r="EB50" i="7"/>
  <c r="EA50" i="12"/>
  <c r="EA50" i="7"/>
  <c r="DZ50" i="7"/>
  <c r="DY51" i="6"/>
  <c r="DY51" i="9"/>
  <c r="DX33" i="7"/>
  <c r="DW48" i="14"/>
  <c r="DX48" i="14"/>
  <c r="DW49" i="14"/>
  <c r="DX49" i="14"/>
  <c r="DW47" i="14"/>
  <c r="DW50" i="10"/>
  <c r="DX7" i="7"/>
  <c r="DX8" i="7"/>
  <c r="DX9" i="7"/>
  <c r="DX10" i="7"/>
  <c r="DX11" i="7"/>
  <c r="DX12" i="7"/>
  <c r="DX13" i="7"/>
  <c r="DX14" i="7"/>
  <c r="DX15" i="7"/>
  <c r="DX16" i="7"/>
  <c r="DX17" i="7"/>
  <c r="DX18" i="7"/>
  <c r="DX19" i="7"/>
  <c r="DX20" i="7"/>
  <c r="DX21" i="7"/>
  <c r="DX22" i="7"/>
  <c r="DX23" i="7"/>
  <c r="DX24" i="7"/>
  <c r="DX25" i="7"/>
  <c r="DX26" i="7"/>
  <c r="DX27" i="7"/>
  <c r="DX28" i="7"/>
  <c r="DX29" i="7"/>
  <c r="DX30" i="7"/>
  <c r="DX31" i="7"/>
  <c r="DX32" i="7"/>
  <c r="DX34" i="7"/>
  <c r="DX35" i="7"/>
  <c r="DX36" i="7"/>
  <c r="DX37" i="7"/>
  <c r="DX38" i="7"/>
  <c r="DX39" i="7"/>
  <c r="DX40" i="7"/>
  <c r="DX41" i="7"/>
  <c r="DX42" i="7"/>
  <c r="DX43" i="7"/>
  <c r="DX44" i="7"/>
  <c r="DX45" i="7"/>
  <c r="DX46" i="7"/>
  <c r="DX47" i="7"/>
  <c r="DW7" i="7"/>
  <c r="DX7" i="14"/>
  <c r="DX8" i="14"/>
  <c r="DX9" i="14"/>
  <c r="DX10" i="14"/>
  <c r="DX11" i="14"/>
  <c r="DX12" i="14"/>
  <c r="DX13" i="14"/>
  <c r="DX14" i="14"/>
  <c r="DX15" i="14"/>
  <c r="DX16" i="14"/>
  <c r="DX17" i="14"/>
  <c r="DX18" i="14"/>
  <c r="DX19" i="14"/>
  <c r="DX20" i="14"/>
  <c r="DX21" i="14"/>
  <c r="DX22" i="14"/>
  <c r="DX23" i="14"/>
  <c r="DX24" i="14"/>
  <c r="DX25" i="14"/>
  <c r="DX26" i="14"/>
  <c r="DX27" i="14"/>
  <c r="DX28" i="14"/>
  <c r="DX29" i="14"/>
  <c r="DX30" i="14"/>
  <c r="DX31" i="14"/>
  <c r="DX32" i="14"/>
  <c r="DX33" i="14"/>
  <c r="DX34" i="14"/>
  <c r="DX35" i="14"/>
  <c r="DX36" i="14"/>
  <c r="DX37" i="14"/>
  <c r="DX38" i="14"/>
  <c r="DX39" i="14"/>
  <c r="DX40" i="14"/>
  <c r="DX41" i="14"/>
  <c r="DX42" i="14"/>
  <c r="DX43" i="14"/>
  <c r="DX44" i="14"/>
  <c r="DX45" i="14"/>
  <c r="DX46" i="14"/>
  <c r="DX47" i="14"/>
  <c r="DX48" i="12"/>
  <c r="DX49" i="12"/>
  <c r="DX48" i="13"/>
  <c r="DX49" i="13"/>
  <c r="DW49" i="7"/>
  <c r="DW48" i="7"/>
  <c r="DW49" i="12"/>
  <c r="DW48" i="12"/>
  <c r="DW49" i="13"/>
  <c r="DW48" i="13"/>
  <c r="DV33" i="13"/>
  <c r="DV33" i="12"/>
  <c r="DV33" i="7"/>
  <c r="DO12" i="14"/>
  <c r="DW33" i="14"/>
  <c r="DN7" i="14"/>
  <c r="DO7" i="14"/>
  <c r="DP7" i="14"/>
  <c r="DQ7" i="14"/>
  <c r="DR7" i="14"/>
  <c r="DS7" i="14"/>
  <c r="DT7" i="14"/>
  <c r="DU7" i="14"/>
  <c r="DV7" i="14"/>
  <c r="DW7" i="14"/>
  <c r="DN8" i="14"/>
  <c r="DO8" i="14"/>
  <c r="DP8" i="14"/>
  <c r="DQ8" i="14"/>
  <c r="DR8" i="14"/>
  <c r="DS8" i="14"/>
  <c r="DT8" i="14"/>
  <c r="DU8" i="14"/>
  <c r="DV8" i="14"/>
  <c r="DW8" i="14"/>
  <c r="DN9" i="14"/>
  <c r="DO9" i="14"/>
  <c r="DP9" i="14"/>
  <c r="DQ9" i="14"/>
  <c r="DR9" i="14"/>
  <c r="DS9" i="14"/>
  <c r="DT9" i="14"/>
  <c r="DU9" i="14"/>
  <c r="DV9" i="14"/>
  <c r="DW9" i="14"/>
  <c r="DN10" i="14"/>
  <c r="DO10" i="14"/>
  <c r="DP10" i="14"/>
  <c r="DQ10" i="14"/>
  <c r="DR10" i="14"/>
  <c r="DS10" i="14"/>
  <c r="DT10" i="14"/>
  <c r="DU10" i="14"/>
  <c r="DV10" i="14"/>
  <c r="DW10" i="14"/>
  <c r="DN11" i="14"/>
  <c r="DO11" i="14"/>
  <c r="DP11" i="14"/>
  <c r="DQ11" i="14"/>
  <c r="DR11" i="14"/>
  <c r="DS11" i="14"/>
  <c r="DT11" i="14"/>
  <c r="DU11" i="14"/>
  <c r="DV11" i="14"/>
  <c r="DW11" i="14"/>
  <c r="DN12" i="14"/>
  <c r="DP12" i="14"/>
  <c r="DQ12" i="14"/>
  <c r="DR12" i="14"/>
  <c r="DS12" i="14"/>
  <c r="DT12" i="14"/>
  <c r="DU12" i="14"/>
  <c r="DV12" i="14"/>
  <c r="DW12" i="14"/>
  <c r="DN13" i="14"/>
  <c r="DO13" i="14"/>
  <c r="DP13" i="14"/>
  <c r="DQ13" i="14"/>
  <c r="DR13" i="14"/>
  <c r="DS13" i="14"/>
  <c r="DT13" i="14"/>
  <c r="DU13" i="14"/>
  <c r="DV13" i="14"/>
  <c r="DW13" i="14"/>
  <c r="DN14" i="14"/>
  <c r="DO14" i="14"/>
  <c r="DP14" i="14"/>
  <c r="DQ14" i="14"/>
  <c r="DR14" i="14"/>
  <c r="DS14" i="14"/>
  <c r="DT14" i="14"/>
  <c r="DU14" i="14"/>
  <c r="DV14" i="14"/>
  <c r="DW14" i="14"/>
  <c r="DN15" i="14"/>
  <c r="DO15" i="14"/>
  <c r="DP15" i="14"/>
  <c r="DQ15" i="14"/>
  <c r="DR15" i="14"/>
  <c r="DS15" i="14"/>
  <c r="DT15" i="14"/>
  <c r="DU15" i="14"/>
  <c r="DV15" i="14"/>
  <c r="DW15" i="14"/>
  <c r="DN16" i="14"/>
  <c r="DO16" i="14"/>
  <c r="DP16" i="14"/>
  <c r="DQ16" i="14"/>
  <c r="DR16" i="14"/>
  <c r="DS16" i="14"/>
  <c r="DT16" i="14"/>
  <c r="DU16" i="14"/>
  <c r="DV16" i="14"/>
  <c r="DW16" i="14"/>
  <c r="DN17" i="14"/>
  <c r="DO17" i="14"/>
  <c r="DP17" i="14"/>
  <c r="DQ17" i="14"/>
  <c r="DR17" i="14"/>
  <c r="DS17" i="14"/>
  <c r="DT17" i="14"/>
  <c r="DU17" i="14"/>
  <c r="DV17" i="14"/>
  <c r="DW17" i="14"/>
  <c r="DN18" i="14"/>
  <c r="DO18" i="14"/>
  <c r="DP18" i="14"/>
  <c r="DQ18" i="14"/>
  <c r="DR18" i="14"/>
  <c r="DS18" i="14"/>
  <c r="DT18" i="14"/>
  <c r="DU18" i="14"/>
  <c r="DV18" i="14"/>
  <c r="DW18" i="14"/>
  <c r="DN19" i="14"/>
  <c r="DO19" i="14"/>
  <c r="DP19" i="14"/>
  <c r="DQ19" i="14"/>
  <c r="DR19" i="14"/>
  <c r="DS19" i="14"/>
  <c r="DT19" i="14"/>
  <c r="DU19" i="14"/>
  <c r="DV19" i="14"/>
  <c r="DW19" i="14"/>
  <c r="DN20" i="14"/>
  <c r="DO20" i="14"/>
  <c r="DP20" i="14"/>
  <c r="DQ20" i="14"/>
  <c r="DR20" i="14"/>
  <c r="DS20" i="14"/>
  <c r="DT20" i="14"/>
  <c r="DU20" i="14"/>
  <c r="DV20" i="14"/>
  <c r="DW20" i="14"/>
  <c r="DN21" i="14"/>
  <c r="DO21" i="14"/>
  <c r="DP21" i="14"/>
  <c r="DQ21" i="14"/>
  <c r="DR21" i="14"/>
  <c r="DS21" i="14"/>
  <c r="DT21" i="14"/>
  <c r="DU21" i="14"/>
  <c r="DV21" i="14"/>
  <c r="DW21" i="14"/>
  <c r="DN22" i="14"/>
  <c r="DO22" i="14"/>
  <c r="DP22" i="14"/>
  <c r="DQ22" i="14"/>
  <c r="DR22" i="14"/>
  <c r="DS22" i="14"/>
  <c r="DT22" i="14"/>
  <c r="DU22" i="14"/>
  <c r="DV22" i="14"/>
  <c r="DW22" i="14"/>
  <c r="DN23" i="14"/>
  <c r="DO23" i="14"/>
  <c r="DP23" i="14"/>
  <c r="DQ23" i="14"/>
  <c r="DR23" i="14"/>
  <c r="DS23" i="14"/>
  <c r="DT23" i="14"/>
  <c r="DU23" i="14"/>
  <c r="DV23" i="14"/>
  <c r="DW23" i="14"/>
  <c r="DN24" i="14"/>
  <c r="DO24" i="14"/>
  <c r="DP24" i="14"/>
  <c r="DQ24" i="14"/>
  <c r="DR24" i="14"/>
  <c r="DS24" i="14"/>
  <c r="DT24" i="14"/>
  <c r="DU24" i="14"/>
  <c r="DV24" i="14"/>
  <c r="DW24" i="14"/>
  <c r="DN25" i="14"/>
  <c r="DO25" i="14"/>
  <c r="DP25" i="14"/>
  <c r="DQ25" i="14"/>
  <c r="DR25" i="14"/>
  <c r="DS25" i="14"/>
  <c r="DT25" i="14"/>
  <c r="DU25" i="14"/>
  <c r="DV25" i="14"/>
  <c r="DW25" i="14"/>
  <c r="DN26" i="14"/>
  <c r="DO26" i="14"/>
  <c r="DP26" i="14"/>
  <c r="DQ26" i="14"/>
  <c r="DR26" i="14"/>
  <c r="DS26" i="14"/>
  <c r="DT26" i="14"/>
  <c r="DU26" i="14"/>
  <c r="DV26" i="14"/>
  <c r="DW26" i="14"/>
  <c r="DN27" i="14"/>
  <c r="DO27" i="14"/>
  <c r="DP27" i="14"/>
  <c r="DQ27" i="14"/>
  <c r="DR27" i="14"/>
  <c r="DS27" i="14"/>
  <c r="DT27" i="14"/>
  <c r="DU27" i="14"/>
  <c r="DV27" i="14"/>
  <c r="DW27" i="14"/>
  <c r="DN28" i="14"/>
  <c r="DO28" i="14"/>
  <c r="DP28" i="14"/>
  <c r="DQ28" i="14"/>
  <c r="DR28" i="14"/>
  <c r="DS28" i="14"/>
  <c r="DT28" i="14"/>
  <c r="DU28" i="14"/>
  <c r="DV28" i="14"/>
  <c r="DW28" i="14"/>
  <c r="DN29" i="14"/>
  <c r="DO29" i="14"/>
  <c r="DP29" i="14"/>
  <c r="DQ29" i="14"/>
  <c r="DR29" i="14"/>
  <c r="DS29" i="14"/>
  <c r="DT29" i="14"/>
  <c r="DU29" i="14"/>
  <c r="DV29" i="14"/>
  <c r="DW29" i="14"/>
  <c r="DN30" i="14"/>
  <c r="DO30" i="14"/>
  <c r="DP30" i="14"/>
  <c r="DQ30" i="14"/>
  <c r="DR30" i="14"/>
  <c r="DS30" i="14"/>
  <c r="DT30" i="14"/>
  <c r="DU30" i="14"/>
  <c r="DV30" i="14"/>
  <c r="DW30" i="14"/>
  <c r="DN31" i="14"/>
  <c r="DO31" i="14"/>
  <c r="DP31" i="14"/>
  <c r="DQ31" i="14"/>
  <c r="DR31" i="14"/>
  <c r="DS31" i="14"/>
  <c r="DT31" i="14"/>
  <c r="DU31" i="14"/>
  <c r="DV31" i="14"/>
  <c r="DW31" i="14"/>
  <c r="DN32" i="14"/>
  <c r="DO32" i="14"/>
  <c r="DP32" i="14"/>
  <c r="DQ32" i="14"/>
  <c r="DR32" i="14"/>
  <c r="DS32" i="14"/>
  <c r="DT32" i="14"/>
  <c r="DU32" i="14"/>
  <c r="DV32" i="14"/>
  <c r="DW32" i="14"/>
  <c r="DN34" i="14"/>
  <c r="DO34" i="14"/>
  <c r="DP34" i="14"/>
  <c r="DQ34" i="14"/>
  <c r="DR34" i="14"/>
  <c r="DS34" i="14"/>
  <c r="DT34" i="14"/>
  <c r="DU34" i="14"/>
  <c r="DV34" i="14"/>
  <c r="DW34" i="14"/>
  <c r="DN35" i="14"/>
  <c r="DO35" i="14"/>
  <c r="DP35" i="14"/>
  <c r="DQ35" i="14"/>
  <c r="DR35" i="14"/>
  <c r="DS35" i="14"/>
  <c r="DT35" i="14"/>
  <c r="DU35" i="14"/>
  <c r="DV35" i="14"/>
  <c r="DW35" i="14"/>
  <c r="DN36" i="14"/>
  <c r="DO36" i="14"/>
  <c r="DP36" i="14"/>
  <c r="DQ36" i="14"/>
  <c r="DR36" i="14"/>
  <c r="DS36" i="14"/>
  <c r="DT36" i="14"/>
  <c r="DU36" i="14"/>
  <c r="DV36" i="14"/>
  <c r="DW36" i="14"/>
  <c r="DN37" i="14"/>
  <c r="DO37" i="14"/>
  <c r="DP37" i="14"/>
  <c r="DQ37" i="14"/>
  <c r="DR37" i="14"/>
  <c r="DS37" i="14"/>
  <c r="DT37" i="14"/>
  <c r="DU37" i="14"/>
  <c r="DV37" i="14"/>
  <c r="DW37" i="14"/>
  <c r="DN38" i="14"/>
  <c r="DO38" i="14"/>
  <c r="DP38" i="14"/>
  <c r="DQ38" i="14"/>
  <c r="DR38" i="14"/>
  <c r="DS38" i="14"/>
  <c r="DT38" i="14"/>
  <c r="DU38" i="14"/>
  <c r="DV38" i="14"/>
  <c r="DW38" i="14"/>
  <c r="DN39" i="14"/>
  <c r="DO39" i="14"/>
  <c r="DP39" i="14"/>
  <c r="DQ39" i="14"/>
  <c r="DR39" i="14"/>
  <c r="DS39" i="14"/>
  <c r="DT39" i="14"/>
  <c r="DU39" i="14"/>
  <c r="DV39" i="14"/>
  <c r="DW39" i="14"/>
  <c r="DN40" i="14"/>
  <c r="DO40" i="14"/>
  <c r="DP40" i="14"/>
  <c r="DQ40" i="14"/>
  <c r="DR40" i="14"/>
  <c r="DS40" i="14"/>
  <c r="DT40" i="14"/>
  <c r="DU40" i="14"/>
  <c r="DV40" i="14"/>
  <c r="DW40" i="14"/>
  <c r="DN41" i="14"/>
  <c r="DO41" i="14"/>
  <c r="DP41" i="14"/>
  <c r="DQ41" i="14"/>
  <c r="DR41" i="14"/>
  <c r="DS41" i="14"/>
  <c r="DT41" i="14"/>
  <c r="DU41" i="14"/>
  <c r="DV41" i="14"/>
  <c r="DW41" i="14"/>
  <c r="DN42" i="14"/>
  <c r="DO42" i="14"/>
  <c r="DP42" i="14"/>
  <c r="DQ42" i="14"/>
  <c r="DR42" i="14"/>
  <c r="DS42" i="14"/>
  <c r="DT42" i="14"/>
  <c r="DU42" i="14"/>
  <c r="DV42" i="14"/>
  <c r="DW42" i="14"/>
  <c r="DN43" i="14"/>
  <c r="DO43" i="14"/>
  <c r="DP43" i="14"/>
  <c r="DQ43" i="14"/>
  <c r="DR43" i="14"/>
  <c r="DS43" i="14"/>
  <c r="DT43" i="14"/>
  <c r="DU43" i="14"/>
  <c r="DV43" i="14"/>
  <c r="DW43" i="14"/>
  <c r="DN44" i="14"/>
  <c r="DO44" i="14"/>
  <c r="DP44" i="14"/>
  <c r="DQ44" i="14"/>
  <c r="DR44" i="14"/>
  <c r="DS44" i="14"/>
  <c r="DT44" i="14"/>
  <c r="DU44" i="14"/>
  <c r="DV44" i="14"/>
  <c r="DW44" i="14"/>
  <c r="DN45" i="14"/>
  <c r="DO45" i="14"/>
  <c r="DP45" i="14"/>
  <c r="DQ45" i="14"/>
  <c r="DR45" i="14"/>
  <c r="DS45" i="14"/>
  <c r="DT45" i="14"/>
  <c r="DU45" i="14"/>
  <c r="DV45" i="14"/>
  <c r="DW45" i="14"/>
  <c r="DN46" i="14"/>
  <c r="DO46" i="14"/>
  <c r="DP46" i="14"/>
  <c r="DQ46" i="14"/>
  <c r="DR46" i="14"/>
  <c r="DS46" i="14"/>
  <c r="DT46" i="14"/>
  <c r="DU46" i="14"/>
  <c r="DV46" i="14"/>
  <c r="DW46" i="14"/>
  <c r="DN47" i="14"/>
  <c r="DO47" i="14"/>
  <c r="DP47" i="14"/>
  <c r="DQ47" i="14"/>
  <c r="DR47" i="14"/>
  <c r="DS47" i="14"/>
  <c r="DT47" i="14"/>
  <c r="DU47" i="14"/>
  <c r="DV47" i="14"/>
  <c r="DM8" i="14"/>
  <c r="DM9" i="14"/>
  <c r="DM10" i="14"/>
  <c r="DM11" i="14"/>
  <c r="DM12" i="14"/>
  <c r="DM13" i="14"/>
  <c r="DM14" i="14"/>
  <c r="DM15" i="14"/>
  <c r="DM16" i="14"/>
  <c r="DM17" i="14"/>
  <c r="DM18" i="14"/>
  <c r="DM19" i="14"/>
  <c r="DM20" i="14"/>
  <c r="DM21" i="14"/>
  <c r="DM22" i="14"/>
  <c r="DM23" i="14"/>
  <c r="DM24" i="14"/>
  <c r="DM25" i="14"/>
  <c r="DM26" i="14"/>
  <c r="DM27" i="14"/>
  <c r="DM28" i="14"/>
  <c r="DM29" i="14"/>
  <c r="DM30" i="14"/>
  <c r="DM31" i="14"/>
  <c r="DM32" i="14"/>
  <c r="DM34" i="14"/>
  <c r="DM35" i="14"/>
  <c r="DM36" i="14"/>
  <c r="DM37" i="14"/>
  <c r="DM38" i="14"/>
  <c r="DM39" i="14"/>
  <c r="DM40" i="14"/>
  <c r="DM41" i="14"/>
  <c r="DM42" i="14"/>
  <c r="DM43" i="14"/>
  <c r="DM44" i="14"/>
  <c r="DM45" i="14"/>
  <c r="DM46" i="14"/>
  <c r="DM47" i="14"/>
  <c r="DM7" i="14"/>
  <c r="DN7" i="7"/>
  <c r="DO7" i="7"/>
  <c r="DP7" i="7"/>
  <c r="DQ7" i="7"/>
  <c r="DR7" i="7"/>
  <c r="DS7" i="7"/>
  <c r="DT7" i="7"/>
  <c r="DU7" i="7"/>
  <c r="DV7" i="7"/>
  <c r="DN8" i="7"/>
  <c r="DO8" i="7"/>
  <c r="DP8" i="7"/>
  <c r="DQ8" i="7"/>
  <c r="DR8" i="7"/>
  <c r="DS8" i="7"/>
  <c r="DT8" i="7"/>
  <c r="DU8" i="7"/>
  <c r="DV8" i="7"/>
  <c r="DW8" i="7"/>
  <c r="DN9" i="7"/>
  <c r="DO9" i="7"/>
  <c r="DP9" i="7"/>
  <c r="DQ9" i="7"/>
  <c r="DR9" i="7"/>
  <c r="DS9" i="7"/>
  <c r="DT9" i="7"/>
  <c r="DU9" i="7"/>
  <c r="DV9" i="7"/>
  <c r="DW9" i="7"/>
  <c r="DN10" i="7"/>
  <c r="DO10" i="7"/>
  <c r="DP10" i="7"/>
  <c r="DQ10" i="7"/>
  <c r="DR10" i="7"/>
  <c r="DS10" i="7"/>
  <c r="DT10" i="7"/>
  <c r="DU10" i="7"/>
  <c r="DV10" i="7"/>
  <c r="DW10" i="7"/>
  <c r="DN11" i="7"/>
  <c r="DO11" i="7"/>
  <c r="DP11" i="7"/>
  <c r="DQ11" i="7"/>
  <c r="DR11" i="7"/>
  <c r="DS11" i="7"/>
  <c r="DT11" i="7"/>
  <c r="DU11" i="7"/>
  <c r="DV11" i="7"/>
  <c r="DW11" i="7"/>
  <c r="DN12" i="7"/>
  <c r="DO12" i="7"/>
  <c r="DP12" i="7"/>
  <c r="DQ12" i="7"/>
  <c r="DR12" i="7"/>
  <c r="DS12" i="7"/>
  <c r="DT12" i="7"/>
  <c r="DU12" i="7"/>
  <c r="DV12" i="7"/>
  <c r="DW12" i="7"/>
  <c r="DN13" i="7"/>
  <c r="DO13" i="7"/>
  <c r="DP13" i="7"/>
  <c r="DQ13" i="7"/>
  <c r="DR13" i="7"/>
  <c r="DS13" i="7"/>
  <c r="DT13" i="7"/>
  <c r="DU13" i="7"/>
  <c r="DV13" i="7"/>
  <c r="DW13" i="7"/>
  <c r="DN14" i="7"/>
  <c r="DO14" i="7"/>
  <c r="DP14" i="7"/>
  <c r="DQ14" i="7"/>
  <c r="DR14" i="7"/>
  <c r="DS14" i="7"/>
  <c r="DT14" i="7"/>
  <c r="DU14" i="7"/>
  <c r="DV14" i="7"/>
  <c r="DW14" i="7"/>
  <c r="DN15" i="7"/>
  <c r="DO15" i="7"/>
  <c r="DP15" i="7"/>
  <c r="DQ15" i="7"/>
  <c r="DR15" i="7"/>
  <c r="DS15" i="7"/>
  <c r="DT15" i="7"/>
  <c r="DU15" i="7"/>
  <c r="DV15" i="7"/>
  <c r="DW15" i="7"/>
  <c r="DN16" i="7"/>
  <c r="DO16" i="7"/>
  <c r="DP16" i="7"/>
  <c r="DQ16" i="7"/>
  <c r="DR16" i="7"/>
  <c r="DS16" i="7"/>
  <c r="DT16" i="7"/>
  <c r="DU16" i="7"/>
  <c r="DV16" i="7"/>
  <c r="DW16" i="7"/>
  <c r="DN17" i="7"/>
  <c r="DO17" i="7"/>
  <c r="DP17" i="7"/>
  <c r="DQ17" i="7"/>
  <c r="DR17" i="7"/>
  <c r="DS17" i="7"/>
  <c r="DT17" i="7"/>
  <c r="DU17" i="7"/>
  <c r="DV17" i="7"/>
  <c r="DW17" i="7"/>
  <c r="DN18" i="7"/>
  <c r="DO18" i="7"/>
  <c r="DP18" i="7"/>
  <c r="DQ18" i="7"/>
  <c r="DR18" i="7"/>
  <c r="DS18" i="7"/>
  <c r="DT18" i="7"/>
  <c r="DU18" i="7"/>
  <c r="DV18" i="7"/>
  <c r="DW18" i="7"/>
  <c r="DN19" i="7"/>
  <c r="DO19" i="7"/>
  <c r="DP19" i="7"/>
  <c r="DQ19" i="7"/>
  <c r="DR19" i="7"/>
  <c r="DS19" i="7"/>
  <c r="DT19" i="7"/>
  <c r="DU19" i="7"/>
  <c r="DV19" i="7"/>
  <c r="DW19" i="7"/>
  <c r="DN20" i="7"/>
  <c r="DO20" i="7"/>
  <c r="DP20" i="7"/>
  <c r="DQ20" i="7"/>
  <c r="DR20" i="7"/>
  <c r="DS20" i="7"/>
  <c r="DT20" i="7"/>
  <c r="DU20" i="7"/>
  <c r="DV20" i="7"/>
  <c r="DW20" i="7"/>
  <c r="DN21" i="7"/>
  <c r="DO21" i="7"/>
  <c r="DP21" i="7"/>
  <c r="DQ21" i="7"/>
  <c r="DR21" i="7"/>
  <c r="DS21" i="7"/>
  <c r="DT21" i="7"/>
  <c r="DU21" i="7"/>
  <c r="DV21" i="7"/>
  <c r="DW21" i="7"/>
  <c r="DN22" i="7"/>
  <c r="DO22" i="7"/>
  <c r="DP22" i="7"/>
  <c r="DQ22" i="7"/>
  <c r="DR22" i="7"/>
  <c r="DS22" i="7"/>
  <c r="DT22" i="7"/>
  <c r="DU22" i="7"/>
  <c r="DV22" i="7"/>
  <c r="DW22" i="7"/>
  <c r="DN23" i="7"/>
  <c r="DO23" i="7"/>
  <c r="DP23" i="7"/>
  <c r="DQ23" i="7"/>
  <c r="DR23" i="7"/>
  <c r="DS23" i="7"/>
  <c r="DT23" i="7"/>
  <c r="DU23" i="7"/>
  <c r="DV23" i="7"/>
  <c r="DW23" i="7"/>
  <c r="DN24" i="7"/>
  <c r="DO24" i="7"/>
  <c r="DP24" i="7"/>
  <c r="DQ24" i="7"/>
  <c r="DR24" i="7"/>
  <c r="DS24" i="7"/>
  <c r="DT24" i="7"/>
  <c r="DU24" i="7"/>
  <c r="DV24" i="7"/>
  <c r="DW24" i="7"/>
  <c r="DN25" i="7"/>
  <c r="DO25" i="7"/>
  <c r="DP25" i="7"/>
  <c r="DQ25" i="7"/>
  <c r="DR25" i="7"/>
  <c r="DS25" i="7"/>
  <c r="DT25" i="7"/>
  <c r="DU25" i="7"/>
  <c r="DV25" i="7"/>
  <c r="DW25" i="7"/>
  <c r="DN26" i="7"/>
  <c r="DO26" i="7"/>
  <c r="DP26" i="7"/>
  <c r="DQ26" i="7"/>
  <c r="DR26" i="7"/>
  <c r="DS26" i="7"/>
  <c r="DT26" i="7"/>
  <c r="DU26" i="7"/>
  <c r="DV26" i="7"/>
  <c r="DW26" i="7"/>
  <c r="DN27" i="7"/>
  <c r="DO27" i="7"/>
  <c r="DP27" i="7"/>
  <c r="DQ27" i="7"/>
  <c r="DR27" i="7"/>
  <c r="DS27" i="7"/>
  <c r="DT27" i="7"/>
  <c r="DU27" i="7"/>
  <c r="DV27" i="7"/>
  <c r="DW27" i="7"/>
  <c r="DN28" i="7"/>
  <c r="DO28" i="7"/>
  <c r="DP28" i="7"/>
  <c r="DQ28" i="7"/>
  <c r="DR28" i="7"/>
  <c r="DS28" i="7"/>
  <c r="DT28" i="7"/>
  <c r="DU28" i="7"/>
  <c r="DV28" i="7"/>
  <c r="DW28" i="7"/>
  <c r="DN29" i="7"/>
  <c r="DO29" i="7"/>
  <c r="DP29" i="7"/>
  <c r="DQ29" i="7"/>
  <c r="DR29" i="7"/>
  <c r="DS29" i="7"/>
  <c r="DT29" i="7"/>
  <c r="DU29" i="7"/>
  <c r="DV29" i="7"/>
  <c r="DW29" i="7"/>
  <c r="DN30" i="7"/>
  <c r="DO30" i="7"/>
  <c r="DP30" i="7"/>
  <c r="DQ30" i="7"/>
  <c r="DR30" i="7"/>
  <c r="DS30" i="7"/>
  <c r="DT30" i="7"/>
  <c r="DU30" i="7"/>
  <c r="DV30" i="7"/>
  <c r="DW30" i="7"/>
  <c r="DN31" i="7"/>
  <c r="DO31" i="7"/>
  <c r="DP31" i="7"/>
  <c r="DQ31" i="7"/>
  <c r="DR31" i="7"/>
  <c r="DS31" i="7"/>
  <c r="DT31" i="7"/>
  <c r="DU31" i="7"/>
  <c r="DV31" i="7"/>
  <c r="DW31" i="7"/>
  <c r="DN32" i="7"/>
  <c r="DO32" i="7"/>
  <c r="DP32" i="7"/>
  <c r="DQ32" i="7"/>
  <c r="DR32" i="7"/>
  <c r="DS32" i="7"/>
  <c r="DT32" i="7"/>
  <c r="DU32" i="7"/>
  <c r="DV32" i="7"/>
  <c r="DW32" i="7"/>
  <c r="DW33" i="7"/>
  <c r="DN34" i="7"/>
  <c r="DO34" i="7"/>
  <c r="DP34" i="7"/>
  <c r="DQ34" i="7"/>
  <c r="DR34" i="7"/>
  <c r="DS34" i="7"/>
  <c r="DT34" i="7"/>
  <c r="DU34" i="7"/>
  <c r="DV34" i="7"/>
  <c r="DW34" i="7"/>
  <c r="DN35" i="7"/>
  <c r="DO35" i="7"/>
  <c r="DP35" i="7"/>
  <c r="DQ35" i="7"/>
  <c r="DR35" i="7"/>
  <c r="DS35" i="7"/>
  <c r="DT35" i="7"/>
  <c r="DU35" i="7"/>
  <c r="DV35" i="7"/>
  <c r="DW35" i="7"/>
  <c r="DN36" i="7"/>
  <c r="DO36" i="7"/>
  <c r="DP36" i="7"/>
  <c r="DQ36" i="7"/>
  <c r="DR36" i="7"/>
  <c r="DS36" i="7"/>
  <c r="DT36" i="7"/>
  <c r="DU36" i="7"/>
  <c r="DV36" i="7"/>
  <c r="DW36" i="7"/>
  <c r="DN37" i="7"/>
  <c r="DO37" i="7"/>
  <c r="DP37" i="7"/>
  <c r="DQ37" i="7"/>
  <c r="DR37" i="7"/>
  <c r="DS37" i="7"/>
  <c r="DT37" i="7"/>
  <c r="DU37" i="7"/>
  <c r="DV37" i="7"/>
  <c r="DW37" i="7"/>
  <c r="DN38" i="7"/>
  <c r="DO38" i="7"/>
  <c r="DP38" i="7"/>
  <c r="DQ38" i="7"/>
  <c r="DR38" i="7"/>
  <c r="DS38" i="7"/>
  <c r="DT38" i="7"/>
  <c r="DU38" i="7"/>
  <c r="DV38" i="7"/>
  <c r="DW38" i="7"/>
  <c r="DN39" i="7"/>
  <c r="DO39" i="7"/>
  <c r="DP39" i="7"/>
  <c r="DQ39" i="7"/>
  <c r="DR39" i="7"/>
  <c r="DS39" i="7"/>
  <c r="DT39" i="7"/>
  <c r="DU39" i="7"/>
  <c r="DV39" i="7"/>
  <c r="DW39" i="7"/>
  <c r="DN40" i="7"/>
  <c r="DO40" i="7"/>
  <c r="DP40" i="7"/>
  <c r="DQ40" i="7"/>
  <c r="DR40" i="7"/>
  <c r="DS40" i="7"/>
  <c r="DT40" i="7"/>
  <c r="DU40" i="7"/>
  <c r="DV40" i="7"/>
  <c r="DW40" i="7"/>
  <c r="DN41" i="7"/>
  <c r="DO41" i="7"/>
  <c r="DP41" i="7"/>
  <c r="DQ41" i="7"/>
  <c r="DR41" i="7"/>
  <c r="DS41" i="7"/>
  <c r="DT41" i="7"/>
  <c r="DU41" i="7"/>
  <c r="DV41" i="7"/>
  <c r="DW41" i="7"/>
  <c r="DN42" i="7"/>
  <c r="DO42" i="7"/>
  <c r="DP42" i="7"/>
  <c r="DQ42" i="7"/>
  <c r="DR42" i="7"/>
  <c r="DS42" i="7"/>
  <c r="DT42" i="7"/>
  <c r="DU42" i="7"/>
  <c r="DV42" i="7"/>
  <c r="DW42" i="7"/>
  <c r="DN43" i="7"/>
  <c r="DO43" i="7"/>
  <c r="DP43" i="7"/>
  <c r="DQ43" i="7"/>
  <c r="DR43" i="7"/>
  <c r="DS43" i="7"/>
  <c r="DT43" i="7"/>
  <c r="DU43" i="7"/>
  <c r="DV43" i="7"/>
  <c r="DW43" i="7"/>
  <c r="DN44" i="7"/>
  <c r="DO44" i="7"/>
  <c r="DP44" i="7"/>
  <c r="DQ44" i="7"/>
  <c r="DR44" i="7"/>
  <c r="DS44" i="7"/>
  <c r="DT44" i="7"/>
  <c r="DU44" i="7"/>
  <c r="DV44" i="7"/>
  <c r="DW44" i="7"/>
  <c r="DN45" i="7"/>
  <c r="DO45" i="7"/>
  <c r="DP45" i="7"/>
  <c r="DQ45" i="7"/>
  <c r="DR45" i="7"/>
  <c r="DS45" i="7"/>
  <c r="DT45" i="7"/>
  <c r="DU45" i="7"/>
  <c r="DV45" i="7"/>
  <c r="DW45" i="7"/>
  <c r="DN46" i="7"/>
  <c r="DO46" i="7"/>
  <c r="DP46" i="7"/>
  <c r="DQ46" i="7"/>
  <c r="DR46" i="7"/>
  <c r="DS46" i="7"/>
  <c r="DT46" i="7"/>
  <c r="DU46" i="7"/>
  <c r="DV46" i="7"/>
  <c r="DW46" i="7"/>
  <c r="DN47" i="7"/>
  <c r="DO47" i="7"/>
  <c r="DP47" i="7"/>
  <c r="DQ47" i="7"/>
  <c r="DR47" i="7"/>
  <c r="DS47" i="7"/>
  <c r="DT47" i="7"/>
  <c r="DU47" i="7"/>
  <c r="DV47" i="7"/>
  <c r="DW47" i="7"/>
  <c r="DM8" i="7"/>
  <c r="DM9" i="7"/>
  <c r="DM10" i="7"/>
  <c r="DM11" i="7"/>
  <c r="DM12" i="7"/>
  <c r="DM13" i="7"/>
  <c r="DM14" i="7"/>
  <c r="DM15" i="7"/>
  <c r="DM16" i="7"/>
  <c r="DM17" i="7"/>
  <c r="DM18" i="7"/>
  <c r="DM19" i="7"/>
  <c r="DM20" i="7"/>
  <c r="DM21" i="7"/>
  <c r="DM22" i="7"/>
  <c r="DM23" i="7"/>
  <c r="DM24" i="7"/>
  <c r="DM25" i="7"/>
  <c r="DM26" i="7"/>
  <c r="DM27" i="7"/>
  <c r="DM28" i="7"/>
  <c r="DM29" i="7"/>
  <c r="DM30" i="7"/>
  <c r="DM31" i="7"/>
  <c r="DM32" i="7"/>
  <c r="DM34" i="7"/>
  <c r="DM35" i="7"/>
  <c r="DM36" i="7"/>
  <c r="DM37" i="7"/>
  <c r="DM38" i="7"/>
  <c r="DM39" i="7"/>
  <c r="DM40" i="7"/>
  <c r="DM41" i="7"/>
  <c r="DM42" i="7"/>
  <c r="DM43" i="7"/>
  <c r="DM44" i="7"/>
  <c r="DM45" i="7"/>
  <c r="DM46" i="7"/>
  <c r="DM47" i="7"/>
  <c r="DM7" i="7"/>
  <c r="DN7" i="12"/>
  <c r="DO7" i="12"/>
  <c r="DP7" i="12"/>
  <c r="DQ7" i="12"/>
  <c r="DR7" i="12"/>
  <c r="DS7" i="12"/>
  <c r="DT7" i="12"/>
  <c r="DU7" i="12"/>
  <c r="DV7" i="12"/>
  <c r="DW7" i="12"/>
  <c r="DX7" i="12"/>
  <c r="DN8" i="12"/>
  <c r="DO8" i="12"/>
  <c r="DP8" i="12"/>
  <c r="DQ8" i="12"/>
  <c r="DR8" i="12"/>
  <c r="DS8" i="12"/>
  <c r="DT8" i="12"/>
  <c r="DU8" i="12"/>
  <c r="DV8" i="12"/>
  <c r="DW8" i="12"/>
  <c r="DX8" i="12"/>
  <c r="DN9" i="12"/>
  <c r="DO9" i="12"/>
  <c r="DP9" i="12"/>
  <c r="DQ9" i="12"/>
  <c r="DR9" i="12"/>
  <c r="DS9" i="12"/>
  <c r="DT9" i="12"/>
  <c r="DU9" i="12"/>
  <c r="DV9" i="12"/>
  <c r="DW9" i="12"/>
  <c r="DX9" i="12"/>
  <c r="DN10" i="12"/>
  <c r="DO10" i="12"/>
  <c r="DP10" i="12"/>
  <c r="DQ10" i="12"/>
  <c r="DR10" i="12"/>
  <c r="DS10" i="12"/>
  <c r="DT10" i="12"/>
  <c r="DU10" i="12"/>
  <c r="DV10" i="12"/>
  <c r="DW10" i="12"/>
  <c r="DX10" i="12"/>
  <c r="DN11" i="12"/>
  <c r="DO11" i="12"/>
  <c r="DP11" i="12"/>
  <c r="DQ11" i="12"/>
  <c r="DR11" i="12"/>
  <c r="DS11" i="12"/>
  <c r="DT11" i="12"/>
  <c r="DU11" i="12"/>
  <c r="DV11" i="12"/>
  <c r="DW11" i="12"/>
  <c r="DX11" i="12"/>
  <c r="DN12" i="12"/>
  <c r="DO12" i="12"/>
  <c r="DP12" i="12"/>
  <c r="DQ12" i="12"/>
  <c r="DR12" i="12"/>
  <c r="DS12" i="12"/>
  <c r="DT12" i="12"/>
  <c r="DU12" i="12"/>
  <c r="DV12" i="12"/>
  <c r="DW12" i="12"/>
  <c r="DX12" i="12"/>
  <c r="DN13" i="12"/>
  <c r="DO13" i="12"/>
  <c r="DP13" i="12"/>
  <c r="DQ13" i="12"/>
  <c r="DR13" i="12"/>
  <c r="DS13" i="12"/>
  <c r="DT13" i="12"/>
  <c r="DU13" i="12"/>
  <c r="DV13" i="12"/>
  <c r="DW13" i="12"/>
  <c r="DX13" i="12"/>
  <c r="DN14" i="12"/>
  <c r="DO14" i="12"/>
  <c r="DP14" i="12"/>
  <c r="DQ14" i="12"/>
  <c r="DR14" i="12"/>
  <c r="DS14" i="12"/>
  <c r="DT14" i="12"/>
  <c r="DU14" i="12"/>
  <c r="DV14" i="12"/>
  <c r="DW14" i="12"/>
  <c r="DX14" i="12"/>
  <c r="DN15" i="12"/>
  <c r="DO15" i="12"/>
  <c r="DP15" i="12"/>
  <c r="DQ15" i="12"/>
  <c r="DR15" i="12"/>
  <c r="DS15" i="12"/>
  <c r="DT15" i="12"/>
  <c r="DU15" i="12"/>
  <c r="DV15" i="12"/>
  <c r="DW15" i="12"/>
  <c r="DX15" i="12"/>
  <c r="DN16" i="12"/>
  <c r="DO16" i="12"/>
  <c r="DP16" i="12"/>
  <c r="DQ16" i="12"/>
  <c r="DR16" i="12"/>
  <c r="DS16" i="12"/>
  <c r="DT16" i="12"/>
  <c r="DU16" i="12"/>
  <c r="DV16" i="12"/>
  <c r="DW16" i="12"/>
  <c r="DX16" i="12"/>
  <c r="DN17" i="12"/>
  <c r="DO17" i="12"/>
  <c r="DP17" i="12"/>
  <c r="DQ17" i="12"/>
  <c r="DR17" i="12"/>
  <c r="DS17" i="12"/>
  <c r="DT17" i="12"/>
  <c r="DU17" i="12"/>
  <c r="DV17" i="12"/>
  <c r="DW17" i="12"/>
  <c r="DX17" i="12"/>
  <c r="DN18" i="12"/>
  <c r="DO18" i="12"/>
  <c r="DP18" i="12"/>
  <c r="DQ18" i="12"/>
  <c r="DR18" i="12"/>
  <c r="DS18" i="12"/>
  <c r="DT18" i="12"/>
  <c r="DU18" i="12"/>
  <c r="DV18" i="12"/>
  <c r="DW18" i="12"/>
  <c r="DX18" i="12"/>
  <c r="DN19" i="12"/>
  <c r="DO19" i="12"/>
  <c r="DP19" i="12"/>
  <c r="DQ19" i="12"/>
  <c r="DR19" i="12"/>
  <c r="DS19" i="12"/>
  <c r="DT19" i="12"/>
  <c r="DU19" i="12"/>
  <c r="DV19" i="12"/>
  <c r="DW19" i="12"/>
  <c r="DX19" i="12"/>
  <c r="DN20" i="12"/>
  <c r="DO20" i="12"/>
  <c r="DP20" i="12"/>
  <c r="DQ20" i="12"/>
  <c r="DR20" i="12"/>
  <c r="DS20" i="12"/>
  <c r="DT20" i="12"/>
  <c r="DU20" i="12"/>
  <c r="DV20" i="12"/>
  <c r="DW20" i="12"/>
  <c r="DX20" i="12"/>
  <c r="DN21" i="12"/>
  <c r="DO21" i="12"/>
  <c r="DP21" i="12"/>
  <c r="DQ21" i="12"/>
  <c r="DR21" i="12"/>
  <c r="DS21" i="12"/>
  <c r="DT21" i="12"/>
  <c r="DU21" i="12"/>
  <c r="DV21" i="12"/>
  <c r="DW21" i="12"/>
  <c r="DX21" i="12"/>
  <c r="DN22" i="12"/>
  <c r="DO22" i="12"/>
  <c r="DP22" i="12"/>
  <c r="DQ22" i="12"/>
  <c r="DR22" i="12"/>
  <c r="DS22" i="12"/>
  <c r="DT22" i="12"/>
  <c r="DU22" i="12"/>
  <c r="DV22" i="12"/>
  <c r="DW22" i="12"/>
  <c r="DX22" i="12"/>
  <c r="DN23" i="12"/>
  <c r="DO23" i="12"/>
  <c r="DP23" i="12"/>
  <c r="DQ23" i="12"/>
  <c r="DR23" i="12"/>
  <c r="DS23" i="12"/>
  <c r="DT23" i="12"/>
  <c r="DU23" i="12"/>
  <c r="DV23" i="12"/>
  <c r="DW23" i="12"/>
  <c r="DX23" i="12"/>
  <c r="DN24" i="12"/>
  <c r="DO24" i="12"/>
  <c r="DP24" i="12"/>
  <c r="DQ24" i="12"/>
  <c r="DR24" i="12"/>
  <c r="DS24" i="12"/>
  <c r="DT24" i="12"/>
  <c r="DU24" i="12"/>
  <c r="DV24" i="12"/>
  <c r="DW24" i="12"/>
  <c r="DX24" i="12"/>
  <c r="DN25" i="12"/>
  <c r="DO25" i="12"/>
  <c r="DP25" i="12"/>
  <c r="DQ25" i="12"/>
  <c r="DR25" i="12"/>
  <c r="DS25" i="12"/>
  <c r="DT25" i="12"/>
  <c r="DU25" i="12"/>
  <c r="DV25" i="12"/>
  <c r="DW25" i="12"/>
  <c r="DX25" i="12"/>
  <c r="DN26" i="12"/>
  <c r="DO26" i="12"/>
  <c r="DP26" i="12"/>
  <c r="DQ26" i="12"/>
  <c r="DR26" i="12"/>
  <c r="DS26" i="12"/>
  <c r="DT26" i="12"/>
  <c r="DU26" i="12"/>
  <c r="DV26" i="12"/>
  <c r="DW26" i="12"/>
  <c r="DX26" i="12"/>
  <c r="DN27" i="12"/>
  <c r="DO27" i="12"/>
  <c r="DP27" i="12"/>
  <c r="DQ27" i="12"/>
  <c r="DR27" i="12"/>
  <c r="DS27" i="12"/>
  <c r="DT27" i="12"/>
  <c r="DU27" i="12"/>
  <c r="DV27" i="12"/>
  <c r="DW27" i="12"/>
  <c r="DX27" i="12"/>
  <c r="DN28" i="12"/>
  <c r="DO28" i="12"/>
  <c r="DP28" i="12"/>
  <c r="DQ28" i="12"/>
  <c r="DR28" i="12"/>
  <c r="DS28" i="12"/>
  <c r="DT28" i="12"/>
  <c r="DU28" i="12"/>
  <c r="DV28" i="12"/>
  <c r="DW28" i="12"/>
  <c r="DX28" i="12"/>
  <c r="DN29" i="12"/>
  <c r="DO29" i="12"/>
  <c r="DP29" i="12"/>
  <c r="DQ29" i="12"/>
  <c r="DR29" i="12"/>
  <c r="DS29" i="12"/>
  <c r="DT29" i="12"/>
  <c r="DU29" i="12"/>
  <c r="DV29" i="12"/>
  <c r="DW29" i="12"/>
  <c r="DX29" i="12"/>
  <c r="DN30" i="12"/>
  <c r="DO30" i="12"/>
  <c r="DP30" i="12"/>
  <c r="DQ30" i="12"/>
  <c r="DR30" i="12"/>
  <c r="DS30" i="12"/>
  <c r="DT30" i="12"/>
  <c r="DU30" i="12"/>
  <c r="DV30" i="12"/>
  <c r="DW30" i="12"/>
  <c r="DX30" i="12"/>
  <c r="DN31" i="12"/>
  <c r="DO31" i="12"/>
  <c r="DP31" i="12"/>
  <c r="DQ31" i="12"/>
  <c r="DR31" i="12"/>
  <c r="DS31" i="12"/>
  <c r="DT31" i="12"/>
  <c r="DU31" i="12"/>
  <c r="DV31" i="12"/>
  <c r="DW31" i="12"/>
  <c r="DX31" i="12"/>
  <c r="DN32" i="12"/>
  <c r="DO32" i="12"/>
  <c r="DP32" i="12"/>
  <c r="DQ32" i="12"/>
  <c r="DR32" i="12"/>
  <c r="DS32" i="12"/>
  <c r="DT32" i="12"/>
  <c r="DU32" i="12"/>
  <c r="DV32" i="12"/>
  <c r="DW32" i="12"/>
  <c r="DX32" i="12"/>
  <c r="DW33" i="12"/>
  <c r="DX33" i="12"/>
  <c r="DN34" i="12"/>
  <c r="DO34" i="12"/>
  <c r="DP34" i="12"/>
  <c r="DQ34" i="12"/>
  <c r="DR34" i="12"/>
  <c r="DS34" i="12"/>
  <c r="DT34" i="12"/>
  <c r="DU34" i="12"/>
  <c r="DV34" i="12"/>
  <c r="DW34" i="12"/>
  <c r="DX34" i="12"/>
  <c r="DN35" i="12"/>
  <c r="DO35" i="12"/>
  <c r="DP35" i="12"/>
  <c r="DQ35" i="12"/>
  <c r="DR35" i="12"/>
  <c r="DS35" i="12"/>
  <c r="DT35" i="12"/>
  <c r="DU35" i="12"/>
  <c r="DV35" i="12"/>
  <c r="DW35" i="12"/>
  <c r="DX35" i="12"/>
  <c r="DN36" i="12"/>
  <c r="DO36" i="12"/>
  <c r="DP36" i="12"/>
  <c r="DQ36" i="12"/>
  <c r="DR36" i="12"/>
  <c r="DS36" i="12"/>
  <c r="DT36" i="12"/>
  <c r="DU36" i="12"/>
  <c r="DV36" i="12"/>
  <c r="DW36" i="12"/>
  <c r="DX36" i="12"/>
  <c r="DN37" i="12"/>
  <c r="DO37" i="12"/>
  <c r="DP37" i="12"/>
  <c r="DQ37" i="12"/>
  <c r="DR37" i="12"/>
  <c r="DS37" i="12"/>
  <c r="DT37" i="12"/>
  <c r="DU37" i="12"/>
  <c r="DV37" i="12"/>
  <c r="DW37" i="12"/>
  <c r="DX37" i="12"/>
  <c r="DN38" i="12"/>
  <c r="DO38" i="12"/>
  <c r="DP38" i="12"/>
  <c r="DQ38" i="12"/>
  <c r="DR38" i="12"/>
  <c r="DS38" i="12"/>
  <c r="DT38" i="12"/>
  <c r="DU38" i="12"/>
  <c r="DV38" i="12"/>
  <c r="DW38" i="12"/>
  <c r="DX38" i="12"/>
  <c r="DN39" i="12"/>
  <c r="DO39" i="12"/>
  <c r="DP39" i="12"/>
  <c r="DQ39" i="12"/>
  <c r="DR39" i="12"/>
  <c r="DS39" i="12"/>
  <c r="DT39" i="12"/>
  <c r="DU39" i="12"/>
  <c r="DV39" i="12"/>
  <c r="DW39" i="12"/>
  <c r="DX39" i="12"/>
  <c r="DN40" i="12"/>
  <c r="DO40" i="12"/>
  <c r="DP40" i="12"/>
  <c r="DQ40" i="12"/>
  <c r="DR40" i="12"/>
  <c r="DS40" i="12"/>
  <c r="DT40" i="12"/>
  <c r="DU40" i="12"/>
  <c r="DV40" i="12"/>
  <c r="DW40" i="12"/>
  <c r="DX40" i="12"/>
  <c r="DN41" i="12"/>
  <c r="DO41" i="12"/>
  <c r="DP41" i="12"/>
  <c r="DQ41" i="12"/>
  <c r="DR41" i="12"/>
  <c r="DS41" i="12"/>
  <c r="DT41" i="12"/>
  <c r="DU41" i="12"/>
  <c r="DV41" i="12"/>
  <c r="DW41" i="12"/>
  <c r="DX41" i="12"/>
  <c r="DN42" i="12"/>
  <c r="DO42" i="12"/>
  <c r="DP42" i="12"/>
  <c r="DQ42" i="12"/>
  <c r="DR42" i="12"/>
  <c r="DS42" i="12"/>
  <c r="DT42" i="12"/>
  <c r="DU42" i="12"/>
  <c r="DV42" i="12"/>
  <c r="DW42" i="12"/>
  <c r="DX42" i="12"/>
  <c r="DN43" i="12"/>
  <c r="DO43" i="12"/>
  <c r="DP43" i="12"/>
  <c r="DQ43" i="12"/>
  <c r="DR43" i="12"/>
  <c r="DS43" i="12"/>
  <c r="DT43" i="12"/>
  <c r="DU43" i="12"/>
  <c r="DV43" i="12"/>
  <c r="DW43" i="12"/>
  <c r="DX43" i="12"/>
  <c r="DN44" i="12"/>
  <c r="DO44" i="12"/>
  <c r="DP44" i="12"/>
  <c r="DQ44" i="12"/>
  <c r="DR44" i="12"/>
  <c r="DS44" i="12"/>
  <c r="DT44" i="12"/>
  <c r="DU44" i="12"/>
  <c r="DV44" i="12"/>
  <c r="DW44" i="12"/>
  <c r="DX44" i="12"/>
  <c r="DN45" i="12"/>
  <c r="DO45" i="12"/>
  <c r="DP45" i="12"/>
  <c r="DQ45" i="12"/>
  <c r="DR45" i="12"/>
  <c r="DS45" i="12"/>
  <c r="DT45" i="12"/>
  <c r="DU45" i="12"/>
  <c r="DV45" i="12"/>
  <c r="DW45" i="12"/>
  <c r="DX45" i="12"/>
  <c r="DN46" i="12"/>
  <c r="DO46" i="12"/>
  <c r="DP46" i="12"/>
  <c r="DQ46" i="12"/>
  <c r="DR46" i="12"/>
  <c r="DS46" i="12"/>
  <c r="DT46" i="12"/>
  <c r="DU46" i="12"/>
  <c r="DV46" i="12"/>
  <c r="DW46" i="12"/>
  <c r="DX46" i="12"/>
  <c r="DN47" i="12"/>
  <c r="DO47" i="12"/>
  <c r="DP47" i="12"/>
  <c r="DQ47" i="12"/>
  <c r="DR47" i="12"/>
  <c r="DS47" i="12"/>
  <c r="DT47" i="12"/>
  <c r="DU47" i="12"/>
  <c r="DV47" i="12"/>
  <c r="DW47" i="12"/>
  <c r="DX47" i="12"/>
  <c r="DM8" i="12"/>
  <c r="DM9" i="12"/>
  <c r="DM10" i="12"/>
  <c r="DM11" i="12"/>
  <c r="DM12" i="12"/>
  <c r="DM13" i="12"/>
  <c r="DM14" i="12"/>
  <c r="DM15" i="12"/>
  <c r="DM16" i="12"/>
  <c r="DM17" i="12"/>
  <c r="DM18" i="12"/>
  <c r="DM19" i="12"/>
  <c r="DM20" i="12"/>
  <c r="DM21" i="12"/>
  <c r="DM22" i="12"/>
  <c r="DM23" i="12"/>
  <c r="DM24" i="12"/>
  <c r="DM25" i="12"/>
  <c r="DM26" i="12"/>
  <c r="DM27" i="12"/>
  <c r="DM28" i="12"/>
  <c r="DM29" i="12"/>
  <c r="DM30" i="12"/>
  <c r="DM31" i="12"/>
  <c r="DM32" i="12"/>
  <c r="DM34" i="12"/>
  <c r="DM35" i="12"/>
  <c r="DM36" i="12"/>
  <c r="DM37" i="12"/>
  <c r="DM38" i="12"/>
  <c r="DM39" i="12"/>
  <c r="DM40" i="12"/>
  <c r="DM41" i="12"/>
  <c r="DM42" i="12"/>
  <c r="DM43" i="12"/>
  <c r="DM44" i="12"/>
  <c r="DM45" i="12"/>
  <c r="DM46" i="12"/>
  <c r="DM47" i="12"/>
  <c r="DM7" i="12"/>
  <c r="DN8" i="13"/>
  <c r="DO8" i="13"/>
  <c r="DP8" i="13"/>
  <c r="DQ8" i="13"/>
  <c r="DR8" i="13"/>
  <c r="DS8" i="13"/>
  <c r="DT8" i="13"/>
  <c r="DU8" i="13"/>
  <c r="DV8" i="13"/>
  <c r="DW8" i="13"/>
  <c r="DX8" i="13"/>
  <c r="DN9" i="13"/>
  <c r="DO9" i="13"/>
  <c r="DP9" i="13"/>
  <c r="DQ9" i="13"/>
  <c r="DR9" i="13"/>
  <c r="DS9" i="13"/>
  <c r="DT9" i="13"/>
  <c r="DU9" i="13"/>
  <c r="DV9" i="13"/>
  <c r="DW9" i="13"/>
  <c r="DX9" i="13"/>
  <c r="DN10" i="13"/>
  <c r="DO10" i="13"/>
  <c r="DP10" i="13"/>
  <c r="DQ10" i="13"/>
  <c r="DR10" i="13"/>
  <c r="DS10" i="13"/>
  <c r="DT10" i="13"/>
  <c r="DU10" i="13"/>
  <c r="DV10" i="13"/>
  <c r="DW10" i="13"/>
  <c r="DX10" i="13"/>
  <c r="DN11" i="13"/>
  <c r="DO11" i="13"/>
  <c r="DP11" i="13"/>
  <c r="DQ11" i="13"/>
  <c r="DR11" i="13"/>
  <c r="DS11" i="13"/>
  <c r="DT11" i="13"/>
  <c r="DU11" i="13"/>
  <c r="DV11" i="13"/>
  <c r="DW11" i="13"/>
  <c r="DX11" i="13"/>
  <c r="DN12" i="13"/>
  <c r="DO12" i="13"/>
  <c r="DP12" i="13"/>
  <c r="DQ12" i="13"/>
  <c r="DR12" i="13"/>
  <c r="DS12" i="13"/>
  <c r="DT12" i="13"/>
  <c r="DU12" i="13"/>
  <c r="DV12" i="13"/>
  <c r="DW12" i="13"/>
  <c r="DX12" i="13"/>
  <c r="DN13" i="13"/>
  <c r="DO13" i="13"/>
  <c r="DP13" i="13"/>
  <c r="DQ13" i="13"/>
  <c r="DR13" i="13"/>
  <c r="DS13" i="13"/>
  <c r="DT13" i="13"/>
  <c r="DU13" i="13"/>
  <c r="DV13" i="13"/>
  <c r="DW13" i="13"/>
  <c r="DX13" i="13"/>
  <c r="DN14" i="13"/>
  <c r="DO14" i="13"/>
  <c r="DP14" i="13"/>
  <c r="DQ14" i="13"/>
  <c r="DR14" i="13"/>
  <c r="DS14" i="13"/>
  <c r="DT14" i="13"/>
  <c r="DU14" i="13"/>
  <c r="DV14" i="13"/>
  <c r="DW14" i="13"/>
  <c r="DX14" i="13"/>
  <c r="DN15" i="13"/>
  <c r="DO15" i="13"/>
  <c r="DP15" i="13"/>
  <c r="DQ15" i="13"/>
  <c r="DR15" i="13"/>
  <c r="DS15" i="13"/>
  <c r="DT15" i="13"/>
  <c r="DU15" i="13"/>
  <c r="DV15" i="13"/>
  <c r="DW15" i="13"/>
  <c r="DX15" i="13"/>
  <c r="DN16" i="13"/>
  <c r="DO16" i="13"/>
  <c r="DP16" i="13"/>
  <c r="DQ16" i="13"/>
  <c r="DR16" i="13"/>
  <c r="DS16" i="13"/>
  <c r="DT16" i="13"/>
  <c r="DU16" i="13"/>
  <c r="DV16" i="13"/>
  <c r="DW16" i="13"/>
  <c r="DX16" i="13"/>
  <c r="DN17" i="13"/>
  <c r="DO17" i="13"/>
  <c r="DP17" i="13"/>
  <c r="DQ17" i="13"/>
  <c r="DR17" i="13"/>
  <c r="DS17" i="13"/>
  <c r="DT17" i="13"/>
  <c r="DU17" i="13"/>
  <c r="DV17" i="13"/>
  <c r="DW17" i="13"/>
  <c r="DX17" i="13"/>
  <c r="DN18" i="13"/>
  <c r="DO18" i="13"/>
  <c r="DP18" i="13"/>
  <c r="DQ18" i="13"/>
  <c r="DR18" i="13"/>
  <c r="DS18" i="13"/>
  <c r="DT18" i="13"/>
  <c r="DU18" i="13"/>
  <c r="DV18" i="13"/>
  <c r="DW18" i="13"/>
  <c r="DX18" i="13"/>
  <c r="DN19" i="13"/>
  <c r="DO19" i="13"/>
  <c r="DP19" i="13"/>
  <c r="DQ19" i="13"/>
  <c r="DR19" i="13"/>
  <c r="DS19" i="13"/>
  <c r="DT19" i="13"/>
  <c r="DU19" i="13"/>
  <c r="DV19" i="13"/>
  <c r="DW19" i="13"/>
  <c r="DX19" i="13"/>
  <c r="DN20" i="13"/>
  <c r="DO20" i="13"/>
  <c r="DP20" i="13"/>
  <c r="DQ20" i="13"/>
  <c r="DR20" i="13"/>
  <c r="DS20" i="13"/>
  <c r="DT20" i="13"/>
  <c r="DU20" i="13"/>
  <c r="DV20" i="13"/>
  <c r="DW20" i="13"/>
  <c r="DX20" i="13"/>
  <c r="DN21" i="13"/>
  <c r="DO21" i="13"/>
  <c r="DP21" i="13"/>
  <c r="DQ21" i="13"/>
  <c r="DR21" i="13"/>
  <c r="DS21" i="13"/>
  <c r="DT21" i="13"/>
  <c r="DU21" i="13"/>
  <c r="DV21" i="13"/>
  <c r="DW21" i="13"/>
  <c r="DX21" i="13"/>
  <c r="DN22" i="13"/>
  <c r="DO22" i="13"/>
  <c r="DP22" i="13"/>
  <c r="DQ22" i="13"/>
  <c r="DR22" i="13"/>
  <c r="DS22" i="13"/>
  <c r="DT22" i="13"/>
  <c r="DU22" i="13"/>
  <c r="DV22" i="13"/>
  <c r="DW22" i="13"/>
  <c r="DX22" i="13"/>
  <c r="DN23" i="13"/>
  <c r="DO23" i="13"/>
  <c r="DP23" i="13"/>
  <c r="DQ23" i="13"/>
  <c r="DR23" i="13"/>
  <c r="DS23" i="13"/>
  <c r="DT23" i="13"/>
  <c r="DU23" i="13"/>
  <c r="DV23" i="13"/>
  <c r="DW23" i="13"/>
  <c r="DX23" i="13"/>
  <c r="DN24" i="13"/>
  <c r="DO24" i="13"/>
  <c r="DP24" i="13"/>
  <c r="DQ24" i="13"/>
  <c r="DR24" i="13"/>
  <c r="DS24" i="13"/>
  <c r="DT24" i="13"/>
  <c r="DU24" i="13"/>
  <c r="DV24" i="13"/>
  <c r="DW24" i="13"/>
  <c r="DX24" i="13"/>
  <c r="DN25" i="13"/>
  <c r="DO25" i="13"/>
  <c r="DP25" i="13"/>
  <c r="DQ25" i="13"/>
  <c r="DR25" i="13"/>
  <c r="DS25" i="13"/>
  <c r="DT25" i="13"/>
  <c r="DU25" i="13"/>
  <c r="DV25" i="13"/>
  <c r="DW25" i="13"/>
  <c r="DX25" i="13"/>
  <c r="DN26" i="13"/>
  <c r="DO26" i="13"/>
  <c r="DP26" i="13"/>
  <c r="DQ26" i="13"/>
  <c r="DR26" i="13"/>
  <c r="DS26" i="13"/>
  <c r="DT26" i="13"/>
  <c r="DU26" i="13"/>
  <c r="DV26" i="13"/>
  <c r="DW26" i="13"/>
  <c r="DX26" i="13"/>
  <c r="DN27" i="13"/>
  <c r="DO27" i="13"/>
  <c r="DP27" i="13"/>
  <c r="DQ27" i="13"/>
  <c r="DR27" i="13"/>
  <c r="DS27" i="13"/>
  <c r="DT27" i="13"/>
  <c r="DU27" i="13"/>
  <c r="DV27" i="13"/>
  <c r="DW27" i="13"/>
  <c r="DX27" i="13"/>
  <c r="DN28" i="13"/>
  <c r="DO28" i="13"/>
  <c r="DP28" i="13"/>
  <c r="DQ28" i="13"/>
  <c r="DR28" i="13"/>
  <c r="DS28" i="13"/>
  <c r="DT28" i="13"/>
  <c r="DU28" i="13"/>
  <c r="DV28" i="13"/>
  <c r="DW28" i="13"/>
  <c r="DX28" i="13"/>
  <c r="DN29" i="13"/>
  <c r="DO29" i="13"/>
  <c r="DP29" i="13"/>
  <c r="DQ29" i="13"/>
  <c r="DR29" i="13"/>
  <c r="DS29" i="13"/>
  <c r="DT29" i="13"/>
  <c r="DU29" i="13"/>
  <c r="DV29" i="13"/>
  <c r="DW29" i="13"/>
  <c r="DX29" i="13"/>
  <c r="DN30" i="13"/>
  <c r="DO30" i="13"/>
  <c r="DP30" i="13"/>
  <c r="DQ30" i="13"/>
  <c r="DR30" i="13"/>
  <c r="DS30" i="13"/>
  <c r="DT30" i="13"/>
  <c r="DU30" i="13"/>
  <c r="DV30" i="13"/>
  <c r="DW30" i="13"/>
  <c r="DX30" i="13"/>
  <c r="DN31" i="13"/>
  <c r="DO31" i="13"/>
  <c r="DP31" i="13"/>
  <c r="DQ31" i="13"/>
  <c r="DR31" i="13"/>
  <c r="DS31" i="13"/>
  <c r="DT31" i="13"/>
  <c r="DU31" i="13"/>
  <c r="DV31" i="13"/>
  <c r="DW31" i="13"/>
  <c r="DX31" i="13"/>
  <c r="DN32" i="13"/>
  <c r="DO32" i="13"/>
  <c r="DP32" i="13"/>
  <c r="DQ32" i="13"/>
  <c r="DR32" i="13"/>
  <c r="DS32" i="13"/>
  <c r="DT32" i="13"/>
  <c r="DU32" i="13"/>
  <c r="DV32" i="13"/>
  <c r="DW32" i="13"/>
  <c r="DX32" i="13"/>
  <c r="DW33" i="13"/>
  <c r="DX33" i="13"/>
  <c r="DN34" i="13"/>
  <c r="DO34" i="13"/>
  <c r="DP34" i="13"/>
  <c r="DQ34" i="13"/>
  <c r="DR34" i="13"/>
  <c r="DS34" i="13"/>
  <c r="DT34" i="13"/>
  <c r="DU34" i="13"/>
  <c r="DV34" i="13"/>
  <c r="DW34" i="13"/>
  <c r="DX34" i="13"/>
  <c r="DN35" i="13"/>
  <c r="DO35" i="13"/>
  <c r="DP35" i="13"/>
  <c r="DQ35" i="13"/>
  <c r="DR35" i="13"/>
  <c r="DS35" i="13"/>
  <c r="DT35" i="13"/>
  <c r="DU35" i="13"/>
  <c r="DV35" i="13"/>
  <c r="DW35" i="13"/>
  <c r="DX35" i="13"/>
  <c r="DN36" i="13"/>
  <c r="DO36" i="13"/>
  <c r="DP36" i="13"/>
  <c r="DQ36" i="13"/>
  <c r="DR36" i="13"/>
  <c r="DS36" i="13"/>
  <c r="DT36" i="13"/>
  <c r="DU36" i="13"/>
  <c r="DV36" i="13"/>
  <c r="DW36" i="13"/>
  <c r="DX36" i="13"/>
  <c r="DN37" i="13"/>
  <c r="DO37" i="13"/>
  <c r="DP37" i="13"/>
  <c r="DQ37" i="13"/>
  <c r="DR37" i="13"/>
  <c r="DS37" i="13"/>
  <c r="DT37" i="13"/>
  <c r="DU37" i="13"/>
  <c r="DV37" i="13"/>
  <c r="DW37" i="13"/>
  <c r="DX37" i="13"/>
  <c r="DN38" i="13"/>
  <c r="DO38" i="13"/>
  <c r="DP38" i="13"/>
  <c r="DQ38" i="13"/>
  <c r="DR38" i="13"/>
  <c r="DS38" i="13"/>
  <c r="DT38" i="13"/>
  <c r="DU38" i="13"/>
  <c r="DV38" i="13"/>
  <c r="DW38" i="13"/>
  <c r="DX38" i="13"/>
  <c r="DN39" i="13"/>
  <c r="DO39" i="13"/>
  <c r="DP39" i="13"/>
  <c r="DQ39" i="13"/>
  <c r="DR39" i="13"/>
  <c r="DS39" i="13"/>
  <c r="DT39" i="13"/>
  <c r="DU39" i="13"/>
  <c r="DV39" i="13"/>
  <c r="DW39" i="13"/>
  <c r="DX39" i="13"/>
  <c r="DN40" i="13"/>
  <c r="DO40" i="13"/>
  <c r="DP40" i="13"/>
  <c r="DQ40" i="13"/>
  <c r="DR40" i="13"/>
  <c r="DS40" i="13"/>
  <c r="DT40" i="13"/>
  <c r="DU40" i="13"/>
  <c r="DV40" i="13"/>
  <c r="DW40" i="13"/>
  <c r="DX40" i="13"/>
  <c r="DN41" i="13"/>
  <c r="DO41" i="13"/>
  <c r="DP41" i="13"/>
  <c r="DQ41" i="13"/>
  <c r="DR41" i="13"/>
  <c r="DS41" i="13"/>
  <c r="DT41" i="13"/>
  <c r="DU41" i="13"/>
  <c r="DV41" i="13"/>
  <c r="DW41" i="13"/>
  <c r="DX41" i="13"/>
  <c r="DN42" i="13"/>
  <c r="DO42" i="13"/>
  <c r="DP42" i="13"/>
  <c r="DQ42" i="13"/>
  <c r="DR42" i="13"/>
  <c r="DS42" i="13"/>
  <c r="DT42" i="13"/>
  <c r="DU42" i="13"/>
  <c r="DV42" i="13"/>
  <c r="DW42" i="13"/>
  <c r="DX42" i="13"/>
  <c r="DN43" i="13"/>
  <c r="DO43" i="13"/>
  <c r="DP43" i="13"/>
  <c r="DQ43" i="13"/>
  <c r="DR43" i="13"/>
  <c r="DS43" i="13"/>
  <c r="DT43" i="13"/>
  <c r="DU43" i="13"/>
  <c r="DV43" i="13"/>
  <c r="DW43" i="13"/>
  <c r="DX43" i="13"/>
  <c r="DN44" i="13"/>
  <c r="DO44" i="13"/>
  <c r="DP44" i="13"/>
  <c r="DQ44" i="13"/>
  <c r="DR44" i="13"/>
  <c r="DS44" i="13"/>
  <c r="DT44" i="13"/>
  <c r="DU44" i="13"/>
  <c r="DV44" i="13"/>
  <c r="DW44" i="13"/>
  <c r="DX44" i="13"/>
  <c r="DN45" i="13"/>
  <c r="DO45" i="13"/>
  <c r="DP45" i="13"/>
  <c r="DQ45" i="13"/>
  <c r="DR45" i="13"/>
  <c r="DS45" i="13"/>
  <c r="DT45" i="13"/>
  <c r="DU45" i="13"/>
  <c r="DV45" i="13"/>
  <c r="DW45" i="13"/>
  <c r="DX45" i="13"/>
  <c r="DN46" i="13"/>
  <c r="DO46" i="13"/>
  <c r="DP46" i="13"/>
  <c r="DQ46" i="13"/>
  <c r="DR46" i="13"/>
  <c r="DS46" i="13"/>
  <c r="DT46" i="13"/>
  <c r="DU46" i="13"/>
  <c r="DV46" i="13"/>
  <c r="DW46" i="13"/>
  <c r="DX46" i="13"/>
  <c r="DN47" i="13"/>
  <c r="DO47" i="13"/>
  <c r="DP47" i="13"/>
  <c r="DQ47" i="13"/>
  <c r="DR47" i="13"/>
  <c r="DS47" i="13"/>
  <c r="DT47" i="13"/>
  <c r="DU47" i="13"/>
  <c r="DV47" i="13"/>
  <c r="DW47" i="13"/>
  <c r="DX47" i="13"/>
  <c r="DM8" i="13"/>
  <c r="DM9" i="13"/>
  <c r="DM10" i="13"/>
  <c r="DM11" i="13"/>
  <c r="DM12" i="13"/>
  <c r="DM13" i="13"/>
  <c r="DM14" i="13"/>
  <c r="DM15" i="13"/>
  <c r="DM16" i="13"/>
  <c r="DM17" i="13"/>
  <c r="DM18" i="13"/>
  <c r="DM19" i="13"/>
  <c r="DM20" i="13"/>
  <c r="DM21" i="13"/>
  <c r="DM22" i="13"/>
  <c r="DM23" i="13"/>
  <c r="DM24" i="13"/>
  <c r="DM25" i="13"/>
  <c r="DM26" i="13"/>
  <c r="DM27" i="13"/>
  <c r="DM28" i="13"/>
  <c r="DM29" i="13"/>
  <c r="DM30" i="13"/>
  <c r="DM31" i="13"/>
  <c r="DM32" i="13"/>
  <c r="DM34" i="13"/>
  <c r="DM35" i="13"/>
  <c r="DM36" i="13"/>
  <c r="DM37" i="13"/>
  <c r="DM38" i="13"/>
  <c r="DM39" i="13"/>
  <c r="DM40" i="13"/>
  <c r="DM41" i="13"/>
  <c r="DM42" i="13"/>
  <c r="DM43" i="13"/>
  <c r="DM44" i="13"/>
  <c r="DM45" i="13"/>
  <c r="DM46" i="13"/>
  <c r="DM47" i="13"/>
  <c r="DV50" i="10"/>
  <c r="DU50" i="10"/>
  <c r="DT50" i="10"/>
  <c r="DS50" i="10"/>
  <c r="DR50" i="10"/>
  <c r="DQ50" i="10"/>
  <c r="DP50" i="10"/>
  <c r="DO50" i="10"/>
  <c r="DN50" i="10"/>
  <c r="DM50" i="10"/>
  <c r="DV50" i="9"/>
  <c r="DU50" i="9"/>
  <c r="DT50" i="9"/>
  <c r="DS50" i="9"/>
  <c r="DR50" i="9"/>
  <c r="DQ50" i="9"/>
  <c r="DP50" i="9"/>
  <c r="DO50" i="9"/>
  <c r="DN50" i="9"/>
  <c r="DM50" i="9"/>
  <c r="DV50" i="6"/>
  <c r="DU50" i="6"/>
  <c r="DT50" i="6"/>
  <c r="DS50" i="6"/>
  <c r="DR50" i="6"/>
  <c r="DQ50" i="6"/>
  <c r="DP50" i="6"/>
  <c r="DO50" i="6"/>
  <c r="DN50" i="6"/>
  <c r="DM50" i="6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AM32" i="12"/>
  <c r="AN32" i="12"/>
  <c r="AO32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CD44" i="14"/>
  <c r="CE44" i="14"/>
  <c r="CF44" i="14"/>
  <c r="CG44" i="14"/>
  <c r="CH44" i="14"/>
  <c r="CI44" i="14"/>
  <c r="CJ44" i="14"/>
  <c r="CK44" i="14"/>
  <c r="CL44" i="14"/>
  <c r="CM44" i="14"/>
  <c r="CN44" i="14"/>
  <c r="CO44" i="14"/>
  <c r="CP44" i="14"/>
  <c r="CQ44" i="14"/>
  <c r="CR44" i="14"/>
  <c r="CS44" i="14"/>
  <c r="CT44" i="14"/>
  <c r="CU44" i="14"/>
  <c r="CV44" i="14"/>
  <c r="CW44" i="14"/>
  <c r="CX44" i="14"/>
  <c r="CY44" i="14"/>
  <c r="CZ44" i="14"/>
  <c r="DA44" i="14"/>
  <c r="DB44" i="14"/>
  <c r="DC44" i="14"/>
  <c r="DD44" i="14"/>
  <c r="DE44" i="14"/>
  <c r="DF44" i="14"/>
  <c r="DG44" i="14"/>
  <c r="DH44" i="14"/>
  <c r="DI44" i="14"/>
  <c r="DJ44" i="14"/>
  <c r="DK44" i="14"/>
  <c r="DL44" i="14"/>
  <c r="CD45" i="14"/>
  <c r="CE45" i="14"/>
  <c r="CF45" i="14"/>
  <c r="CG45" i="14"/>
  <c r="CH45" i="14"/>
  <c r="CI45" i="14"/>
  <c r="CJ45" i="14"/>
  <c r="CK45" i="14"/>
  <c r="CL45" i="14"/>
  <c r="CM45" i="14"/>
  <c r="CN45" i="14"/>
  <c r="CO45" i="14"/>
  <c r="CP45" i="14"/>
  <c r="CQ45" i="14"/>
  <c r="CR45" i="14"/>
  <c r="CS45" i="14"/>
  <c r="CT45" i="14"/>
  <c r="CU45" i="14"/>
  <c r="CV45" i="14"/>
  <c r="CW45" i="14"/>
  <c r="CX45" i="14"/>
  <c r="CY45" i="14"/>
  <c r="CZ45" i="14"/>
  <c r="DA45" i="14"/>
  <c r="DB45" i="14"/>
  <c r="DC45" i="14"/>
  <c r="DD45" i="14"/>
  <c r="DE45" i="14"/>
  <c r="DF45" i="14"/>
  <c r="DG45" i="14"/>
  <c r="DH45" i="14"/>
  <c r="DI45" i="14"/>
  <c r="DJ45" i="14"/>
  <c r="DK45" i="14"/>
  <c r="DL45" i="14"/>
  <c r="CD46" i="14"/>
  <c r="CE46" i="14"/>
  <c r="CF46" i="14"/>
  <c r="CG46" i="14"/>
  <c r="CH46" i="14"/>
  <c r="CI46" i="14"/>
  <c r="CJ46" i="14"/>
  <c r="CK46" i="14"/>
  <c r="CL46" i="14"/>
  <c r="CM46" i="14"/>
  <c r="CN46" i="14"/>
  <c r="CO46" i="14"/>
  <c r="CP46" i="14"/>
  <c r="CQ46" i="14"/>
  <c r="CR46" i="14"/>
  <c r="CS46" i="14"/>
  <c r="CT46" i="14"/>
  <c r="CU46" i="14"/>
  <c r="CV46" i="14"/>
  <c r="CW46" i="14"/>
  <c r="CX46" i="14"/>
  <c r="CY46" i="14"/>
  <c r="CZ46" i="14"/>
  <c r="DA46" i="14"/>
  <c r="DB46" i="14"/>
  <c r="DC46" i="14"/>
  <c r="DD46" i="14"/>
  <c r="DE46" i="14"/>
  <c r="DF46" i="14"/>
  <c r="DG46" i="14"/>
  <c r="DH46" i="14"/>
  <c r="DI46" i="14"/>
  <c r="DJ46" i="14"/>
  <c r="DK46" i="14"/>
  <c r="DL46" i="14"/>
  <c r="CD47" i="14"/>
  <c r="CE47" i="14"/>
  <c r="CF47" i="14"/>
  <c r="CG47" i="14"/>
  <c r="CH47" i="14"/>
  <c r="CI47" i="14"/>
  <c r="CJ47" i="14"/>
  <c r="CK47" i="14"/>
  <c r="CL47" i="14"/>
  <c r="CM47" i="14"/>
  <c r="CN47" i="14"/>
  <c r="CO47" i="14"/>
  <c r="CP47" i="14"/>
  <c r="CQ47" i="14"/>
  <c r="CR47" i="14"/>
  <c r="CS47" i="14"/>
  <c r="CT47" i="14"/>
  <c r="CU47" i="14"/>
  <c r="CV47" i="14"/>
  <c r="CW47" i="14"/>
  <c r="CX47" i="14"/>
  <c r="CY47" i="14"/>
  <c r="CZ47" i="14"/>
  <c r="DA47" i="14"/>
  <c r="DB47" i="14"/>
  <c r="DC47" i="14"/>
  <c r="DD47" i="14"/>
  <c r="DE47" i="14"/>
  <c r="DF47" i="14"/>
  <c r="DG47" i="14"/>
  <c r="DH47" i="14"/>
  <c r="DI47" i="14"/>
  <c r="DJ47" i="14"/>
  <c r="DK47" i="14"/>
  <c r="DL47" i="14"/>
  <c r="CK7" i="14"/>
  <c r="CL7" i="14"/>
  <c r="CM7" i="14"/>
  <c r="CN7" i="14"/>
  <c r="CO7" i="14"/>
  <c r="CP7" i="14"/>
  <c r="CQ7" i="14"/>
  <c r="CR7" i="14"/>
  <c r="CS7" i="14"/>
  <c r="CT7" i="14"/>
  <c r="CU7" i="14"/>
  <c r="CV7" i="14"/>
  <c r="CW7" i="14"/>
  <c r="CX7" i="14"/>
  <c r="CY7" i="14"/>
  <c r="CZ7" i="14"/>
  <c r="DA7" i="14"/>
  <c r="DB7" i="14"/>
  <c r="DC7" i="14"/>
  <c r="DD7" i="14"/>
  <c r="DE7" i="14"/>
  <c r="DF7" i="14"/>
  <c r="DG7" i="14"/>
  <c r="DH7" i="14"/>
  <c r="DI7" i="14"/>
  <c r="DJ7" i="14"/>
  <c r="DK7" i="14"/>
  <c r="DL7" i="14"/>
  <c r="CK8" i="14"/>
  <c r="CL8" i="14"/>
  <c r="CM8" i="14"/>
  <c r="CN8" i="14"/>
  <c r="CO8" i="14"/>
  <c r="CP8" i="14"/>
  <c r="CQ8" i="14"/>
  <c r="CR8" i="14"/>
  <c r="CS8" i="14"/>
  <c r="CT8" i="14"/>
  <c r="CU8" i="14"/>
  <c r="CV8" i="14"/>
  <c r="CW8" i="14"/>
  <c r="CX8" i="14"/>
  <c r="CY8" i="14"/>
  <c r="CZ8" i="14"/>
  <c r="DA8" i="14"/>
  <c r="DB8" i="14"/>
  <c r="DC8" i="14"/>
  <c r="DD8" i="14"/>
  <c r="DE8" i="14"/>
  <c r="DF8" i="14"/>
  <c r="DG8" i="14"/>
  <c r="DH8" i="14"/>
  <c r="DI8" i="14"/>
  <c r="DJ8" i="14"/>
  <c r="DK8" i="14"/>
  <c r="DL8" i="14"/>
  <c r="CK9" i="14"/>
  <c r="CL9" i="14"/>
  <c r="CM9" i="14"/>
  <c r="CN9" i="14"/>
  <c r="CO9" i="14"/>
  <c r="CP9" i="14"/>
  <c r="CQ9" i="14"/>
  <c r="CR9" i="14"/>
  <c r="CS9" i="14"/>
  <c r="CT9" i="14"/>
  <c r="CU9" i="14"/>
  <c r="CV9" i="14"/>
  <c r="CW9" i="14"/>
  <c r="CX9" i="14"/>
  <c r="CY9" i="14"/>
  <c r="CZ9" i="14"/>
  <c r="DA9" i="14"/>
  <c r="DB9" i="14"/>
  <c r="DC9" i="14"/>
  <c r="DD9" i="14"/>
  <c r="DE9" i="14"/>
  <c r="DF9" i="14"/>
  <c r="DG9" i="14"/>
  <c r="DH9" i="14"/>
  <c r="DI9" i="14"/>
  <c r="DJ9" i="14"/>
  <c r="DK9" i="14"/>
  <c r="DL9" i="14"/>
  <c r="CK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Q11" i="14"/>
  <c r="BR11" i="14"/>
  <c r="BS11" i="14"/>
  <c r="BT11" i="14"/>
  <c r="BU11" i="14"/>
  <c r="BV11" i="14"/>
  <c r="BW11" i="14"/>
  <c r="BX11" i="14"/>
  <c r="BY11" i="14"/>
  <c r="BZ11" i="14"/>
  <c r="CA11" i="14"/>
  <c r="CB11" i="14"/>
  <c r="CC11" i="14"/>
  <c r="CD11" i="14"/>
  <c r="CE11" i="14"/>
  <c r="CF11" i="14"/>
  <c r="CG11" i="14"/>
  <c r="CH11" i="14"/>
  <c r="CI11" i="14"/>
  <c r="CJ11" i="14"/>
  <c r="CK11" i="14"/>
  <c r="CL11" i="14"/>
  <c r="CM11" i="14"/>
  <c r="CN11" i="14"/>
  <c r="CO11" i="14"/>
  <c r="CP11" i="14"/>
  <c r="CQ11" i="14"/>
  <c r="CR11" i="14"/>
  <c r="CS11" i="14"/>
  <c r="CT11" i="14"/>
  <c r="CU11" i="14"/>
  <c r="CV11" i="14"/>
  <c r="CW11" i="14"/>
  <c r="CX11" i="14"/>
  <c r="CY11" i="14"/>
  <c r="CZ11" i="14"/>
  <c r="DA11" i="14"/>
  <c r="DB11" i="14"/>
  <c r="DC11" i="14"/>
  <c r="DD11" i="14"/>
  <c r="DE11" i="14"/>
  <c r="DF11" i="14"/>
  <c r="DG11" i="14"/>
  <c r="DH11" i="14"/>
  <c r="DI11" i="14"/>
  <c r="DJ11" i="14"/>
  <c r="DK11" i="14"/>
  <c r="DL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Q12" i="14"/>
  <c r="BR12" i="14"/>
  <c r="BS12" i="14"/>
  <c r="BT12" i="14"/>
  <c r="BU12" i="14"/>
  <c r="BV12" i="14"/>
  <c r="BW12" i="14"/>
  <c r="BX12" i="14"/>
  <c r="BY12" i="14"/>
  <c r="BZ12" i="14"/>
  <c r="CA12" i="14"/>
  <c r="CB12" i="14"/>
  <c r="CC12" i="14"/>
  <c r="CD12" i="14"/>
  <c r="CE12" i="14"/>
  <c r="CF12" i="14"/>
  <c r="CG12" i="14"/>
  <c r="CH12" i="14"/>
  <c r="CI12" i="14"/>
  <c r="CJ12" i="14"/>
  <c r="CK12" i="14"/>
  <c r="CL12" i="14"/>
  <c r="CM12" i="14"/>
  <c r="CN12" i="14"/>
  <c r="CO12" i="14"/>
  <c r="CP12" i="14"/>
  <c r="CQ12" i="14"/>
  <c r="CR12" i="14"/>
  <c r="CS12" i="14"/>
  <c r="CT12" i="14"/>
  <c r="CU12" i="14"/>
  <c r="CV12" i="14"/>
  <c r="CW12" i="14"/>
  <c r="CX12" i="14"/>
  <c r="CY12" i="14"/>
  <c r="CZ12" i="14"/>
  <c r="DA12" i="14"/>
  <c r="DB12" i="14"/>
  <c r="DC12" i="14"/>
  <c r="DD12" i="14"/>
  <c r="DE12" i="14"/>
  <c r="DF12" i="14"/>
  <c r="DG12" i="14"/>
  <c r="DH12" i="14"/>
  <c r="DI12" i="14"/>
  <c r="DJ12" i="14"/>
  <c r="DK12" i="14"/>
  <c r="DL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BR13" i="14"/>
  <c r="BS13" i="14"/>
  <c r="BT13" i="14"/>
  <c r="BU13" i="14"/>
  <c r="BV13" i="14"/>
  <c r="BW13" i="14"/>
  <c r="BX13" i="14"/>
  <c r="BY13" i="14"/>
  <c r="BZ13" i="14"/>
  <c r="CA13" i="14"/>
  <c r="CB13" i="14"/>
  <c r="CC13" i="14"/>
  <c r="CD13" i="14"/>
  <c r="CE13" i="14"/>
  <c r="CF13" i="14"/>
  <c r="CG13" i="14"/>
  <c r="CH13" i="14"/>
  <c r="CI13" i="14"/>
  <c r="CJ13" i="14"/>
  <c r="CK13" i="14"/>
  <c r="CL13" i="14"/>
  <c r="CM13" i="14"/>
  <c r="CN13" i="14"/>
  <c r="CO13" i="14"/>
  <c r="CP13" i="14"/>
  <c r="CQ13" i="14"/>
  <c r="CR13" i="14"/>
  <c r="CS13" i="14"/>
  <c r="CT13" i="14"/>
  <c r="CU13" i="14"/>
  <c r="CV13" i="14"/>
  <c r="CW13" i="14"/>
  <c r="CX13" i="14"/>
  <c r="CY13" i="14"/>
  <c r="CZ13" i="14"/>
  <c r="DA13" i="14"/>
  <c r="DB13" i="14"/>
  <c r="DC13" i="14"/>
  <c r="DD13" i="14"/>
  <c r="DE13" i="14"/>
  <c r="DF13" i="14"/>
  <c r="DG13" i="14"/>
  <c r="DH13" i="14"/>
  <c r="DI13" i="14"/>
  <c r="DJ13" i="14"/>
  <c r="DK13" i="14"/>
  <c r="DL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BR14" i="14"/>
  <c r="BS14" i="14"/>
  <c r="BT14" i="14"/>
  <c r="BU14" i="14"/>
  <c r="BV14" i="14"/>
  <c r="BW14" i="14"/>
  <c r="BX14" i="14"/>
  <c r="BY14" i="14"/>
  <c r="BZ14" i="14"/>
  <c r="CA14" i="14"/>
  <c r="CB14" i="14"/>
  <c r="CC14" i="14"/>
  <c r="CD14" i="14"/>
  <c r="CE14" i="14"/>
  <c r="CF14" i="14"/>
  <c r="CG14" i="14"/>
  <c r="CH14" i="14"/>
  <c r="CI14" i="14"/>
  <c r="CJ14" i="14"/>
  <c r="CK14" i="14"/>
  <c r="CL14" i="14"/>
  <c r="CM14" i="14"/>
  <c r="CN14" i="14"/>
  <c r="CO14" i="14"/>
  <c r="CP14" i="14"/>
  <c r="CQ14" i="14"/>
  <c r="CR14" i="14"/>
  <c r="CS14" i="14"/>
  <c r="CT14" i="14"/>
  <c r="CU14" i="14"/>
  <c r="CV14" i="14"/>
  <c r="CW14" i="14"/>
  <c r="CX14" i="14"/>
  <c r="CY14" i="14"/>
  <c r="CZ14" i="14"/>
  <c r="DA14" i="14"/>
  <c r="DB14" i="14"/>
  <c r="DC14" i="14"/>
  <c r="DD14" i="14"/>
  <c r="DE14" i="14"/>
  <c r="DF14" i="14"/>
  <c r="DG14" i="14"/>
  <c r="DH14" i="14"/>
  <c r="DI14" i="14"/>
  <c r="DJ14" i="14"/>
  <c r="DK14" i="14"/>
  <c r="DL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Q15" i="14"/>
  <c r="BR15" i="14"/>
  <c r="BS15" i="14"/>
  <c r="BT15" i="14"/>
  <c r="BU15" i="14"/>
  <c r="BV15" i="14"/>
  <c r="BW15" i="14"/>
  <c r="BX15" i="14"/>
  <c r="BY15" i="14"/>
  <c r="BZ15" i="14"/>
  <c r="CA15" i="14"/>
  <c r="CB15" i="14"/>
  <c r="CC15" i="14"/>
  <c r="CD15" i="14"/>
  <c r="CE15" i="14"/>
  <c r="CF15" i="14"/>
  <c r="CG15" i="14"/>
  <c r="CH15" i="14"/>
  <c r="CI15" i="14"/>
  <c r="CJ15" i="14"/>
  <c r="CK15" i="14"/>
  <c r="CL15" i="14"/>
  <c r="CM15" i="14"/>
  <c r="CN15" i="14"/>
  <c r="CO15" i="14"/>
  <c r="CP15" i="14"/>
  <c r="CQ15" i="14"/>
  <c r="CR15" i="14"/>
  <c r="CS15" i="14"/>
  <c r="CT15" i="14"/>
  <c r="CU15" i="14"/>
  <c r="CV15" i="14"/>
  <c r="CW15" i="14"/>
  <c r="CX15" i="14"/>
  <c r="CY15" i="14"/>
  <c r="CZ15" i="14"/>
  <c r="DA15" i="14"/>
  <c r="DB15" i="14"/>
  <c r="DC15" i="14"/>
  <c r="DD15" i="14"/>
  <c r="DE15" i="14"/>
  <c r="DF15" i="14"/>
  <c r="DG15" i="14"/>
  <c r="DH15" i="14"/>
  <c r="DI15" i="14"/>
  <c r="DJ15" i="14"/>
  <c r="DK15" i="14"/>
  <c r="DL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BR16" i="14"/>
  <c r="BS16" i="14"/>
  <c r="BT16" i="14"/>
  <c r="BU16" i="14"/>
  <c r="BV16" i="14"/>
  <c r="BW16" i="14"/>
  <c r="BX16" i="14"/>
  <c r="BY16" i="14"/>
  <c r="BZ16" i="14"/>
  <c r="CA16" i="14"/>
  <c r="CB16" i="14"/>
  <c r="CC16" i="14"/>
  <c r="CD16" i="14"/>
  <c r="CE16" i="14"/>
  <c r="CF16" i="14"/>
  <c r="CG16" i="14"/>
  <c r="CH16" i="14"/>
  <c r="CI16" i="14"/>
  <c r="CJ16" i="14"/>
  <c r="CK16" i="14"/>
  <c r="CL16" i="14"/>
  <c r="CM16" i="14"/>
  <c r="CN16" i="14"/>
  <c r="CO16" i="14"/>
  <c r="CP16" i="14"/>
  <c r="CQ16" i="14"/>
  <c r="CR16" i="14"/>
  <c r="CS16" i="14"/>
  <c r="CT16" i="14"/>
  <c r="CU16" i="14"/>
  <c r="CV16" i="14"/>
  <c r="CW16" i="14"/>
  <c r="CX16" i="14"/>
  <c r="CY16" i="14"/>
  <c r="CZ16" i="14"/>
  <c r="DA16" i="14"/>
  <c r="DB16" i="14"/>
  <c r="DC16" i="14"/>
  <c r="DD16" i="14"/>
  <c r="DE16" i="14"/>
  <c r="DF16" i="14"/>
  <c r="DG16" i="14"/>
  <c r="DH16" i="14"/>
  <c r="DI16" i="14"/>
  <c r="DJ16" i="14"/>
  <c r="DK16" i="14"/>
  <c r="DL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Q17" i="14"/>
  <c r="BR17" i="14"/>
  <c r="BS17" i="14"/>
  <c r="BT17" i="14"/>
  <c r="BU17" i="14"/>
  <c r="BV17" i="14"/>
  <c r="BW17" i="14"/>
  <c r="BX17" i="14"/>
  <c r="BY17" i="14"/>
  <c r="BZ17" i="14"/>
  <c r="CA17" i="14"/>
  <c r="CB17" i="14"/>
  <c r="CC17" i="14"/>
  <c r="CD17" i="14"/>
  <c r="CE17" i="14"/>
  <c r="CF17" i="14"/>
  <c r="CG17" i="14"/>
  <c r="CH17" i="14"/>
  <c r="CI17" i="14"/>
  <c r="CJ17" i="14"/>
  <c r="CK17" i="14"/>
  <c r="CL17" i="14"/>
  <c r="CM17" i="14"/>
  <c r="CN17" i="14"/>
  <c r="CO17" i="14"/>
  <c r="CP17" i="14"/>
  <c r="CQ17" i="14"/>
  <c r="CR17" i="14"/>
  <c r="CS17" i="14"/>
  <c r="CT17" i="14"/>
  <c r="CU17" i="14"/>
  <c r="CV17" i="14"/>
  <c r="CW17" i="14"/>
  <c r="CX17" i="14"/>
  <c r="CY17" i="14"/>
  <c r="CZ17" i="14"/>
  <c r="DA17" i="14"/>
  <c r="DB17" i="14"/>
  <c r="DC17" i="14"/>
  <c r="DD17" i="14"/>
  <c r="DE17" i="14"/>
  <c r="DF17" i="14"/>
  <c r="DG17" i="14"/>
  <c r="DH17" i="14"/>
  <c r="DI17" i="14"/>
  <c r="DJ17" i="14"/>
  <c r="DK17" i="14"/>
  <c r="DL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BQ18" i="14"/>
  <c r="BR18" i="14"/>
  <c r="BS18" i="14"/>
  <c r="BT18" i="14"/>
  <c r="BU18" i="14"/>
  <c r="BV18" i="14"/>
  <c r="BW18" i="14"/>
  <c r="BX18" i="14"/>
  <c r="BY18" i="14"/>
  <c r="BZ18" i="14"/>
  <c r="CA18" i="14"/>
  <c r="CB18" i="14"/>
  <c r="CC18" i="14"/>
  <c r="CD18" i="14"/>
  <c r="CE18" i="14"/>
  <c r="CF18" i="14"/>
  <c r="CG18" i="14"/>
  <c r="CH18" i="14"/>
  <c r="CI18" i="14"/>
  <c r="CJ18" i="14"/>
  <c r="CK18" i="14"/>
  <c r="CL18" i="14"/>
  <c r="CM18" i="14"/>
  <c r="CN18" i="14"/>
  <c r="CO18" i="14"/>
  <c r="CP18" i="14"/>
  <c r="CQ18" i="14"/>
  <c r="CR18" i="14"/>
  <c r="CS18" i="14"/>
  <c r="CT18" i="14"/>
  <c r="CU18" i="14"/>
  <c r="CV18" i="14"/>
  <c r="CW18" i="14"/>
  <c r="CX18" i="14"/>
  <c r="CY18" i="14"/>
  <c r="CZ18" i="14"/>
  <c r="DA18" i="14"/>
  <c r="DB18" i="14"/>
  <c r="DC18" i="14"/>
  <c r="DD18" i="14"/>
  <c r="DE18" i="14"/>
  <c r="DF18" i="14"/>
  <c r="DG18" i="14"/>
  <c r="DH18" i="14"/>
  <c r="DI18" i="14"/>
  <c r="DJ18" i="14"/>
  <c r="DK18" i="14"/>
  <c r="DL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BN19" i="14"/>
  <c r="BO19" i="14"/>
  <c r="BP19" i="14"/>
  <c r="BQ19" i="14"/>
  <c r="BR19" i="14"/>
  <c r="BS19" i="14"/>
  <c r="BT19" i="14"/>
  <c r="BU19" i="14"/>
  <c r="BV19" i="14"/>
  <c r="BW19" i="14"/>
  <c r="BX19" i="14"/>
  <c r="BY19" i="14"/>
  <c r="BZ19" i="14"/>
  <c r="CA19" i="14"/>
  <c r="CB19" i="14"/>
  <c r="CC19" i="14"/>
  <c r="CD19" i="14"/>
  <c r="CE19" i="14"/>
  <c r="CF19" i="14"/>
  <c r="CG19" i="14"/>
  <c r="CH19" i="14"/>
  <c r="CI19" i="14"/>
  <c r="CJ19" i="14"/>
  <c r="CK19" i="14"/>
  <c r="CL19" i="14"/>
  <c r="CM19" i="14"/>
  <c r="CN19" i="14"/>
  <c r="CO19" i="14"/>
  <c r="CP19" i="14"/>
  <c r="CQ19" i="14"/>
  <c r="CR19" i="14"/>
  <c r="CS19" i="14"/>
  <c r="CT19" i="14"/>
  <c r="CU19" i="14"/>
  <c r="CV19" i="14"/>
  <c r="CW19" i="14"/>
  <c r="CX19" i="14"/>
  <c r="CY19" i="14"/>
  <c r="CZ19" i="14"/>
  <c r="DA19" i="14"/>
  <c r="DB19" i="14"/>
  <c r="DC19" i="14"/>
  <c r="DD19" i="14"/>
  <c r="DE19" i="14"/>
  <c r="DF19" i="14"/>
  <c r="DG19" i="14"/>
  <c r="DH19" i="14"/>
  <c r="DI19" i="14"/>
  <c r="DJ19" i="14"/>
  <c r="DK19" i="14"/>
  <c r="DL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BN20" i="14"/>
  <c r="BO20" i="14"/>
  <c r="BP20" i="14"/>
  <c r="BQ20" i="14"/>
  <c r="BR20" i="14"/>
  <c r="BS20" i="14"/>
  <c r="BT20" i="14"/>
  <c r="BU20" i="14"/>
  <c r="BV20" i="14"/>
  <c r="BW20" i="14"/>
  <c r="BX20" i="14"/>
  <c r="BY20" i="14"/>
  <c r="BZ20" i="14"/>
  <c r="CA20" i="14"/>
  <c r="CB20" i="14"/>
  <c r="CC20" i="14"/>
  <c r="CD20" i="14"/>
  <c r="CE20" i="14"/>
  <c r="CF20" i="14"/>
  <c r="CG20" i="14"/>
  <c r="CH20" i="14"/>
  <c r="CI20" i="14"/>
  <c r="CJ20" i="14"/>
  <c r="CK20" i="14"/>
  <c r="CL20" i="14"/>
  <c r="CM20" i="14"/>
  <c r="CN20" i="14"/>
  <c r="CO20" i="14"/>
  <c r="CP20" i="14"/>
  <c r="CQ20" i="14"/>
  <c r="CR20" i="14"/>
  <c r="CS20" i="14"/>
  <c r="CT20" i="14"/>
  <c r="CU20" i="14"/>
  <c r="CV20" i="14"/>
  <c r="CW20" i="14"/>
  <c r="CX20" i="14"/>
  <c r="CY20" i="14"/>
  <c r="CZ20" i="14"/>
  <c r="DA20" i="14"/>
  <c r="DB20" i="14"/>
  <c r="DC20" i="14"/>
  <c r="DD20" i="14"/>
  <c r="DE20" i="14"/>
  <c r="DF20" i="14"/>
  <c r="DG20" i="14"/>
  <c r="DH20" i="14"/>
  <c r="DI20" i="14"/>
  <c r="DJ20" i="14"/>
  <c r="DK20" i="14"/>
  <c r="DL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BR21" i="14"/>
  <c r="BS21" i="14"/>
  <c r="BT21" i="14"/>
  <c r="BU21" i="14"/>
  <c r="BV21" i="14"/>
  <c r="BW21" i="14"/>
  <c r="BX21" i="14"/>
  <c r="BY21" i="14"/>
  <c r="BZ21" i="14"/>
  <c r="CA21" i="14"/>
  <c r="CB21" i="14"/>
  <c r="CC21" i="14"/>
  <c r="CD21" i="14"/>
  <c r="CE21" i="14"/>
  <c r="CF21" i="14"/>
  <c r="CG21" i="14"/>
  <c r="CH21" i="14"/>
  <c r="CI21" i="14"/>
  <c r="CJ21" i="14"/>
  <c r="CK21" i="14"/>
  <c r="CL21" i="14"/>
  <c r="CM21" i="14"/>
  <c r="CN21" i="14"/>
  <c r="CO21" i="14"/>
  <c r="CP21" i="14"/>
  <c r="CQ21" i="14"/>
  <c r="CR21" i="14"/>
  <c r="CS21" i="14"/>
  <c r="CT21" i="14"/>
  <c r="CU21" i="14"/>
  <c r="CV21" i="14"/>
  <c r="CW21" i="14"/>
  <c r="CX21" i="14"/>
  <c r="CY21" i="14"/>
  <c r="CZ21" i="14"/>
  <c r="DA21" i="14"/>
  <c r="DB21" i="14"/>
  <c r="DC21" i="14"/>
  <c r="DD21" i="14"/>
  <c r="DE21" i="14"/>
  <c r="DF21" i="14"/>
  <c r="DG21" i="14"/>
  <c r="DH21" i="14"/>
  <c r="DI21" i="14"/>
  <c r="DJ21" i="14"/>
  <c r="DK21" i="14"/>
  <c r="DL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BQ22" i="14"/>
  <c r="BR22" i="14"/>
  <c r="BS22" i="14"/>
  <c r="BT22" i="14"/>
  <c r="BU22" i="14"/>
  <c r="BV22" i="14"/>
  <c r="BW22" i="14"/>
  <c r="BX22" i="14"/>
  <c r="BY22" i="14"/>
  <c r="BZ22" i="14"/>
  <c r="CA22" i="14"/>
  <c r="CB22" i="14"/>
  <c r="CC22" i="14"/>
  <c r="CD22" i="14"/>
  <c r="CE22" i="14"/>
  <c r="CF22" i="14"/>
  <c r="CG22" i="14"/>
  <c r="CH22" i="14"/>
  <c r="CI22" i="14"/>
  <c r="CJ22" i="14"/>
  <c r="CK22" i="14"/>
  <c r="CL22" i="14"/>
  <c r="CM22" i="14"/>
  <c r="CN22" i="14"/>
  <c r="CO22" i="14"/>
  <c r="CP22" i="14"/>
  <c r="CQ22" i="14"/>
  <c r="CR22" i="14"/>
  <c r="CS22" i="14"/>
  <c r="CT22" i="14"/>
  <c r="CU22" i="14"/>
  <c r="CV22" i="14"/>
  <c r="CW22" i="14"/>
  <c r="CX22" i="14"/>
  <c r="CY22" i="14"/>
  <c r="CZ22" i="14"/>
  <c r="DA22" i="14"/>
  <c r="DB22" i="14"/>
  <c r="DC22" i="14"/>
  <c r="DD22" i="14"/>
  <c r="DE22" i="14"/>
  <c r="DF22" i="14"/>
  <c r="DG22" i="14"/>
  <c r="DH22" i="14"/>
  <c r="DI22" i="14"/>
  <c r="DJ22" i="14"/>
  <c r="DK22" i="14"/>
  <c r="DL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BQ23" i="14"/>
  <c r="BR23" i="14"/>
  <c r="BS23" i="14"/>
  <c r="BT23" i="14"/>
  <c r="BU23" i="14"/>
  <c r="BV23" i="14"/>
  <c r="BW23" i="14"/>
  <c r="BX23" i="14"/>
  <c r="BY23" i="14"/>
  <c r="BZ23" i="14"/>
  <c r="CA23" i="14"/>
  <c r="CB23" i="14"/>
  <c r="CC23" i="14"/>
  <c r="CD23" i="14"/>
  <c r="CE23" i="14"/>
  <c r="CF23" i="14"/>
  <c r="CG23" i="14"/>
  <c r="CH23" i="14"/>
  <c r="CI23" i="14"/>
  <c r="CJ23" i="14"/>
  <c r="CK23" i="14"/>
  <c r="CL23" i="14"/>
  <c r="CM23" i="14"/>
  <c r="CN23" i="14"/>
  <c r="CO23" i="14"/>
  <c r="CP23" i="14"/>
  <c r="CQ23" i="14"/>
  <c r="CR23" i="14"/>
  <c r="CS23" i="14"/>
  <c r="CT23" i="14"/>
  <c r="CU23" i="14"/>
  <c r="CV23" i="14"/>
  <c r="CW23" i="14"/>
  <c r="CX23" i="14"/>
  <c r="CY23" i="14"/>
  <c r="CZ23" i="14"/>
  <c r="DA23" i="14"/>
  <c r="DB23" i="14"/>
  <c r="DC23" i="14"/>
  <c r="DD23" i="14"/>
  <c r="DE23" i="14"/>
  <c r="DF23" i="14"/>
  <c r="DG23" i="14"/>
  <c r="DH23" i="14"/>
  <c r="DI23" i="14"/>
  <c r="DJ23" i="14"/>
  <c r="DK23" i="14"/>
  <c r="DL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O24" i="14"/>
  <c r="CP24" i="14"/>
  <c r="CQ24" i="14"/>
  <c r="CR24" i="14"/>
  <c r="CS24" i="14"/>
  <c r="CT24" i="14"/>
  <c r="CU24" i="14"/>
  <c r="CV24" i="14"/>
  <c r="CW24" i="14"/>
  <c r="CX24" i="14"/>
  <c r="CY24" i="14"/>
  <c r="CZ24" i="14"/>
  <c r="DA24" i="14"/>
  <c r="DB24" i="14"/>
  <c r="DC24" i="14"/>
  <c r="DD24" i="14"/>
  <c r="DE24" i="14"/>
  <c r="DF24" i="14"/>
  <c r="DG24" i="14"/>
  <c r="DH24" i="14"/>
  <c r="DI24" i="14"/>
  <c r="DJ24" i="14"/>
  <c r="DK24" i="14"/>
  <c r="DL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BQ25" i="14"/>
  <c r="BR25" i="14"/>
  <c r="BS25" i="14"/>
  <c r="BT25" i="14"/>
  <c r="BU25" i="14"/>
  <c r="BV25" i="14"/>
  <c r="BW25" i="14"/>
  <c r="BX25" i="14"/>
  <c r="BY25" i="14"/>
  <c r="BZ25" i="14"/>
  <c r="CA25" i="14"/>
  <c r="CB25" i="14"/>
  <c r="CC25" i="14"/>
  <c r="CD25" i="14"/>
  <c r="CE25" i="14"/>
  <c r="CF25" i="14"/>
  <c r="CG25" i="14"/>
  <c r="CH25" i="14"/>
  <c r="CI25" i="14"/>
  <c r="CJ25" i="14"/>
  <c r="CK25" i="14"/>
  <c r="CL25" i="14"/>
  <c r="CM25" i="14"/>
  <c r="CN25" i="14"/>
  <c r="CO25" i="14"/>
  <c r="CP25" i="14"/>
  <c r="CQ25" i="14"/>
  <c r="CR25" i="14"/>
  <c r="CS25" i="14"/>
  <c r="CT25" i="14"/>
  <c r="CU25" i="14"/>
  <c r="CV25" i="14"/>
  <c r="CW25" i="14"/>
  <c r="CX25" i="14"/>
  <c r="CY25" i="14"/>
  <c r="CZ25" i="14"/>
  <c r="DA25" i="14"/>
  <c r="DB25" i="14"/>
  <c r="DC25" i="14"/>
  <c r="DD25" i="14"/>
  <c r="DE25" i="14"/>
  <c r="DF25" i="14"/>
  <c r="DG25" i="14"/>
  <c r="DH25" i="14"/>
  <c r="DI25" i="14"/>
  <c r="DJ25" i="14"/>
  <c r="DK25" i="14"/>
  <c r="DL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BQ26" i="14"/>
  <c r="BR26" i="14"/>
  <c r="BS26" i="14"/>
  <c r="BT26" i="14"/>
  <c r="BU26" i="14"/>
  <c r="BV26" i="14"/>
  <c r="BW26" i="14"/>
  <c r="BX26" i="14"/>
  <c r="BY26" i="14"/>
  <c r="BZ26" i="14"/>
  <c r="CA26" i="14"/>
  <c r="CB26" i="14"/>
  <c r="CC26" i="14"/>
  <c r="CD26" i="14"/>
  <c r="CE26" i="14"/>
  <c r="CF26" i="14"/>
  <c r="CG26" i="14"/>
  <c r="CH26" i="14"/>
  <c r="CI26" i="14"/>
  <c r="CJ26" i="14"/>
  <c r="CK26" i="14"/>
  <c r="CL26" i="14"/>
  <c r="CM26" i="14"/>
  <c r="CN26" i="14"/>
  <c r="CO26" i="14"/>
  <c r="CP26" i="14"/>
  <c r="CQ26" i="14"/>
  <c r="CR26" i="14"/>
  <c r="CS26" i="14"/>
  <c r="CT26" i="14"/>
  <c r="CU26" i="14"/>
  <c r="CV26" i="14"/>
  <c r="CW26" i="14"/>
  <c r="CX26" i="14"/>
  <c r="CY26" i="14"/>
  <c r="CZ26" i="14"/>
  <c r="DA26" i="14"/>
  <c r="DB26" i="14"/>
  <c r="DC26" i="14"/>
  <c r="DD26" i="14"/>
  <c r="DE26" i="14"/>
  <c r="DF26" i="14"/>
  <c r="DG26" i="14"/>
  <c r="DH26" i="14"/>
  <c r="DI26" i="14"/>
  <c r="DJ26" i="14"/>
  <c r="DK26" i="14"/>
  <c r="DL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BS27" i="14"/>
  <c r="BT27" i="14"/>
  <c r="BU27" i="14"/>
  <c r="BV27" i="14"/>
  <c r="BW27" i="14"/>
  <c r="BX27" i="14"/>
  <c r="BY27" i="14"/>
  <c r="BZ27" i="14"/>
  <c r="CA27" i="14"/>
  <c r="CB27" i="14"/>
  <c r="CC27" i="14"/>
  <c r="CD27" i="14"/>
  <c r="CE27" i="14"/>
  <c r="CF27" i="14"/>
  <c r="CG27" i="14"/>
  <c r="CH27" i="14"/>
  <c r="CI27" i="14"/>
  <c r="CJ27" i="14"/>
  <c r="CK27" i="14"/>
  <c r="CL27" i="14"/>
  <c r="CM27" i="14"/>
  <c r="CN27" i="14"/>
  <c r="CO27" i="14"/>
  <c r="CP27" i="14"/>
  <c r="CQ27" i="14"/>
  <c r="CR27" i="14"/>
  <c r="CS27" i="14"/>
  <c r="CT27" i="14"/>
  <c r="CU27" i="14"/>
  <c r="CV27" i="14"/>
  <c r="CW27" i="14"/>
  <c r="CX27" i="14"/>
  <c r="CY27" i="14"/>
  <c r="CZ27" i="14"/>
  <c r="DA27" i="14"/>
  <c r="DB27" i="14"/>
  <c r="DC27" i="14"/>
  <c r="DD27" i="14"/>
  <c r="DE27" i="14"/>
  <c r="DF27" i="14"/>
  <c r="DG27" i="14"/>
  <c r="DH27" i="14"/>
  <c r="DI27" i="14"/>
  <c r="DJ27" i="14"/>
  <c r="DK27" i="14"/>
  <c r="DL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BS28" i="14"/>
  <c r="BT28" i="14"/>
  <c r="BU28" i="14"/>
  <c r="BV28" i="14"/>
  <c r="BW28" i="14"/>
  <c r="BX28" i="14"/>
  <c r="BY28" i="14"/>
  <c r="BZ28" i="14"/>
  <c r="CA28" i="14"/>
  <c r="CB28" i="14"/>
  <c r="CC28" i="14"/>
  <c r="CD28" i="14"/>
  <c r="CE28" i="14"/>
  <c r="CF28" i="14"/>
  <c r="CG28" i="14"/>
  <c r="CH28" i="14"/>
  <c r="CI28" i="14"/>
  <c r="CJ28" i="14"/>
  <c r="CK28" i="14"/>
  <c r="CL28" i="14"/>
  <c r="CM28" i="14"/>
  <c r="CN28" i="14"/>
  <c r="CO28" i="14"/>
  <c r="CP28" i="14"/>
  <c r="CQ28" i="14"/>
  <c r="CR28" i="14"/>
  <c r="CS28" i="14"/>
  <c r="CT28" i="14"/>
  <c r="CU28" i="14"/>
  <c r="CV28" i="14"/>
  <c r="CW28" i="14"/>
  <c r="CX28" i="14"/>
  <c r="CY28" i="14"/>
  <c r="CZ28" i="14"/>
  <c r="DA28" i="14"/>
  <c r="DB28" i="14"/>
  <c r="DC28" i="14"/>
  <c r="DD28" i="14"/>
  <c r="DE28" i="14"/>
  <c r="DF28" i="14"/>
  <c r="DG28" i="14"/>
  <c r="DH28" i="14"/>
  <c r="DI28" i="14"/>
  <c r="DJ28" i="14"/>
  <c r="DK28" i="14"/>
  <c r="DL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BS29" i="14"/>
  <c r="BT29" i="14"/>
  <c r="BU29" i="14"/>
  <c r="BV29" i="14"/>
  <c r="BW29" i="14"/>
  <c r="BX29" i="14"/>
  <c r="BY29" i="14"/>
  <c r="BZ29" i="14"/>
  <c r="CA29" i="14"/>
  <c r="CB29" i="14"/>
  <c r="CC29" i="14"/>
  <c r="CD29" i="14"/>
  <c r="CE29" i="14"/>
  <c r="CF29" i="14"/>
  <c r="CG29" i="14"/>
  <c r="CH29" i="14"/>
  <c r="CI29" i="14"/>
  <c r="CJ29" i="14"/>
  <c r="CK29" i="14"/>
  <c r="CL29" i="14"/>
  <c r="CM29" i="14"/>
  <c r="CN29" i="14"/>
  <c r="CO29" i="14"/>
  <c r="CP29" i="14"/>
  <c r="CQ29" i="14"/>
  <c r="CR29" i="14"/>
  <c r="CS29" i="14"/>
  <c r="CT29" i="14"/>
  <c r="CU29" i="14"/>
  <c r="CV29" i="14"/>
  <c r="CW29" i="14"/>
  <c r="CX29" i="14"/>
  <c r="CY29" i="14"/>
  <c r="CZ29" i="14"/>
  <c r="DA29" i="14"/>
  <c r="DB29" i="14"/>
  <c r="DC29" i="14"/>
  <c r="DD29" i="14"/>
  <c r="DE29" i="14"/>
  <c r="DF29" i="14"/>
  <c r="DG29" i="14"/>
  <c r="DH29" i="14"/>
  <c r="DI29" i="14"/>
  <c r="DJ29" i="14"/>
  <c r="DK29" i="14"/>
  <c r="DL29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BQ30" i="14"/>
  <c r="BR30" i="14"/>
  <c r="BS30" i="14"/>
  <c r="BT30" i="14"/>
  <c r="BU30" i="14"/>
  <c r="BV30" i="14"/>
  <c r="BW30" i="14"/>
  <c r="BX30" i="14"/>
  <c r="BY30" i="14"/>
  <c r="BZ30" i="14"/>
  <c r="CA30" i="14"/>
  <c r="CB30" i="14"/>
  <c r="CC30" i="14"/>
  <c r="CD30" i="14"/>
  <c r="CE30" i="14"/>
  <c r="CF30" i="14"/>
  <c r="CG30" i="14"/>
  <c r="CH30" i="14"/>
  <c r="CI30" i="14"/>
  <c r="CJ30" i="14"/>
  <c r="CK30" i="14"/>
  <c r="CL30" i="14"/>
  <c r="CM30" i="14"/>
  <c r="CN30" i="14"/>
  <c r="CO30" i="14"/>
  <c r="CP30" i="14"/>
  <c r="CQ30" i="14"/>
  <c r="CR30" i="14"/>
  <c r="CS30" i="14"/>
  <c r="CT30" i="14"/>
  <c r="CU30" i="14"/>
  <c r="CV30" i="14"/>
  <c r="CW30" i="14"/>
  <c r="CX30" i="14"/>
  <c r="CY30" i="14"/>
  <c r="CZ30" i="14"/>
  <c r="DA30" i="14"/>
  <c r="DB30" i="14"/>
  <c r="DC30" i="14"/>
  <c r="DD30" i="14"/>
  <c r="DE30" i="14"/>
  <c r="DF30" i="14"/>
  <c r="DG30" i="14"/>
  <c r="DH30" i="14"/>
  <c r="DI30" i="14"/>
  <c r="DJ30" i="14"/>
  <c r="DK30" i="14"/>
  <c r="DL30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BQ31" i="14"/>
  <c r="BR31" i="14"/>
  <c r="BS31" i="14"/>
  <c r="BT31" i="14"/>
  <c r="BU31" i="14"/>
  <c r="BV31" i="14"/>
  <c r="BW31" i="14"/>
  <c r="BX31" i="14"/>
  <c r="BY31" i="14"/>
  <c r="BZ31" i="14"/>
  <c r="CA31" i="14"/>
  <c r="CB31" i="14"/>
  <c r="CC31" i="14"/>
  <c r="CD31" i="14"/>
  <c r="CE31" i="14"/>
  <c r="CF31" i="14"/>
  <c r="CG31" i="14"/>
  <c r="CH31" i="14"/>
  <c r="CI31" i="14"/>
  <c r="CJ31" i="14"/>
  <c r="CK31" i="14"/>
  <c r="CL31" i="14"/>
  <c r="CM31" i="14"/>
  <c r="CN31" i="14"/>
  <c r="CO31" i="14"/>
  <c r="CP31" i="14"/>
  <c r="CQ31" i="14"/>
  <c r="CR31" i="14"/>
  <c r="CS31" i="14"/>
  <c r="CT31" i="14"/>
  <c r="CU31" i="14"/>
  <c r="CV31" i="14"/>
  <c r="CW31" i="14"/>
  <c r="CX31" i="14"/>
  <c r="CY31" i="14"/>
  <c r="CZ31" i="14"/>
  <c r="DA31" i="14"/>
  <c r="DB31" i="14"/>
  <c r="DC31" i="14"/>
  <c r="DD31" i="14"/>
  <c r="DE31" i="14"/>
  <c r="DF31" i="14"/>
  <c r="DG31" i="14"/>
  <c r="DH31" i="14"/>
  <c r="DI31" i="14"/>
  <c r="DJ31" i="14"/>
  <c r="DK31" i="14"/>
  <c r="DL31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BQ32" i="14"/>
  <c r="BR32" i="14"/>
  <c r="BS32" i="14"/>
  <c r="BT32" i="14"/>
  <c r="BU32" i="14"/>
  <c r="BV32" i="14"/>
  <c r="BW32" i="14"/>
  <c r="BX32" i="14"/>
  <c r="BY32" i="14"/>
  <c r="BZ32" i="14"/>
  <c r="CA32" i="14"/>
  <c r="CB32" i="14"/>
  <c r="CC32" i="14"/>
  <c r="CD32" i="14"/>
  <c r="CE32" i="14"/>
  <c r="CF32" i="14"/>
  <c r="CG32" i="14"/>
  <c r="CH32" i="14"/>
  <c r="CI32" i="14"/>
  <c r="CJ32" i="14"/>
  <c r="CK32" i="14"/>
  <c r="CL32" i="14"/>
  <c r="CM32" i="14"/>
  <c r="CN32" i="14"/>
  <c r="CO32" i="14"/>
  <c r="CP32" i="14"/>
  <c r="CQ32" i="14"/>
  <c r="CR32" i="14"/>
  <c r="CS32" i="14"/>
  <c r="CT32" i="14"/>
  <c r="CU32" i="14"/>
  <c r="CV32" i="14"/>
  <c r="CW32" i="14"/>
  <c r="CX32" i="14"/>
  <c r="CY32" i="14"/>
  <c r="CZ32" i="14"/>
  <c r="DA32" i="14"/>
  <c r="DB32" i="14"/>
  <c r="DC32" i="14"/>
  <c r="DD32" i="14"/>
  <c r="DE32" i="14"/>
  <c r="DF32" i="14"/>
  <c r="DG32" i="14"/>
  <c r="DH32" i="14"/>
  <c r="DI32" i="14"/>
  <c r="DJ32" i="14"/>
  <c r="DK32" i="14"/>
  <c r="DL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BQ34" i="14"/>
  <c r="BR34" i="14"/>
  <c r="BS34" i="14"/>
  <c r="BT34" i="14"/>
  <c r="BU34" i="14"/>
  <c r="BV34" i="14"/>
  <c r="BW34" i="14"/>
  <c r="BX34" i="14"/>
  <c r="BY34" i="14"/>
  <c r="BZ34" i="14"/>
  <c r="CA34" i="14"/>
  <c r="CB34" i="14"/>
  <c r="CC34" i="14"/>
  <c r="CD34" i="14"/>
  <c r="CE34" i="14"/>
  <c r="CF34" i="14"/>
  <c r="CG34" i="14"/>
  <c r="CH34" i="14"/>
  <c r="CI34" i="14"/>
  <c r="CJ34" i="14"/>
  <c r="CK34" i="14"/>
  <c r="CL34" i="14"/>
  <c r="CM34" i="14"/>
  <c r="CN34" i="14"/>
  <c r="CO34" i="14"/>
  <c r="CP34" i="14"/>
  <c r="CQ34" i="14"/>
  <c r="CR34" i="14"/>
  <c r="CS34" i="14"/>
  <c r="CT34" i="14"/>
  <c r="CU34" i="14"/>
  <c r="CV34" i="14"/>
  <c r="CW34" i="14"/>
  <c r="CX34" i="14"/>
  <c r="CY34" i="14"/>
  <c r="CZ34" i="14"/>
  <c r="DA34" i="14"/>
  <c r="DB34" i="14"/>
  <c r="DC34" i="14"/>
  <c r="DD34" i="14"/>
  <c r="DE34" i="14"/>
  <c r="DF34" i="14"/>
  <c r="DG34" i="14"/>
  <c r="DH34" i="14"/>
  <c r="DI34" i="14"/>
  <c r="DJ34" i="14"/>
  <c r="DK34" i="14"/>
  <c r="DL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BQ35" i="14"/>
  <c r="BR35" i="14"/>
  <c r="BS35" i="14"/>
  <c r="BT35" i="14"/>
  <c r="BU35" i="14"/>
  <c r="BV35" i="14"/>
  <c r="BW35" i="14"/>
  <c r="BX35" i="14"/>
  <c r="BY35" i="14"/>
  <c r="BZ35" i="14"/>
  <c r="CA35" i="14"/>
  <c r="CB35" i="14"/>
  <c r="CC35" i="14"/>
  <c r="CD35" i="14"/>
  <c r="CE35" i="14"/>
  <c r="CF35" i="14"/>
  <c r="CG35" i="14"/>
  <c r="CH35" i="14"/>
  <c r="CI35" i="14"/>
  <c r="CJ35" i="14"/>
  <c r="CK35" i="14"/>
  <c r="CL35" i="14"/>
  <c r="CM35" i="14"/>
  <c r="CN35" i="14"/>
  <c r="CO35" i="14"/>
  <c r="CP35" i="14"/>
  <c r="CQ35" i="14"/>
  <c r="CR35" i="14"/>
  <c r="CS35" i="14"/>
  <c r="CT35" i="14"/>
  <c r="CU35" i="14"/>
  <c r="CV35" i="14"/>
  <c r="CW35" i="14"/>
  <c r="CX35" i="14"/>
  <c r="CY35" i="14"/>
  <c r="CZ35" i="14"/>
  <c r="DA35" i="14"/>
  <c r="DB35" i="14"/>
  <c r="DC35" i="14"/>
  <c r="DD35" i="14"/>
  <c r="DE35" i="14"/>
  <c r="DF35" i="14"/>
  <c r="DG35" i="14"/>
  <c r="DH35" i="14"/>
  <c r="DI35" i="14"/>
  <c r="DJ35" i="14"/>
  <c r="DK35" i="14"/>
  <c r="DL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BQ36" i="14"/>
  <c r="BR36" i="14"/>
  <c r="BS36" i="14"/>
  <c r="BT36" i="14"/>
  <c r="BU36" i="14"/>
  <c r="BV36" i="14"/>
  <c r="BW36" i="14"/>
  <c r="BX36" i="14"/>
  <c r="BY36" i="14"/>
  <c r="BZ36" i="14"/>
  <c r="CA36" i="14"/>
  <c r="CB36" i="14"/>
  <c r="CC36" i="14"/>
  <c r="CD36" i="14"/>
  <c r="CE36" i="14"/>
  <c r="CF36" i="14"/>
  <c r="CG36" i="14"/>
  <c r="CH36" i="14"/>
  <c r="CI36" i="14"/>
  <c r="CJ36" i="14"/>
  <c r="CK36" i="14"/>
  <c r="CL36" i="14"/>
  <c r="CM36" i="14"/>
  <c r="CN36" i="14"/>
  <c r="CO36" i="14"/>
  <c r="CP36" i="14"/>
  <c r="CQ36" i="14"/>
  <c r="CR36" i="14"/>
  <c r="CS36" i="14"/>
  <c r="CT36" i="14"/>
  <c r="CU36" i="14"/>
  <c r="CV36" i="14"/>
  <c r="CW36" i="14"/>
  <c r="CX36" i="14"/>
  <c r="CY36" i="14"/>
  <c r="CZ36" i="14"/>
  <c r="DA36" i="14"/>
  <c r="DB36" i="14"/>
  <c r="DC36" i="14"/>
  <c r="DD36" i="14"/>
  <c r="DE36" i="14"/>
  <c r="DF36" i="14"/>
  <c r="DG36" i="14"/>
  <c r="DH36" i="14"/>
  <c r="DI36" i="14"/>
  <c r="DJ36" i="14"/>
  <c r="DK36" i="14"/>
  <c r="DL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BQ37" i="14"/>
  <c r="BR37" i="14"/>
  <c r="BS37" i="14"/>
  <c r="BT37" i="14"/>
  <c r="BU37" i="14"/>
  <c r="BV37" i="14"/>
  <c r="BW37" i="14"/>
  <c r="BX37" i="14"/>
  <c r="BY37" i="14"/>
  <c r="BZ37" i="14"/>
  <c r="CA37" i="14"/>
  <c r="CB37" i="14"/>
  <c r="CC37" i="14"/>
  <c r="CD37" i="14"/>
  <c r="CE37" i="14"/>
  <c r="CF37" i="14"/>
  <c r="CG37" i="14"/>
  <c r="CH37" i="14"/>
  <c r="CI37" i="14"/>
  <c r="CJ37" i="14"/>
  <c r="CK37" i="14"/>
  <c r="CL37" i="14"/>
  <c r="CM37" i="14"/>
  <c r="CN37" i="14"/>
  <c r="CO37" i="14"/>
  <c r="CP37" i="14"/>
  <c r="CQ37" i="14"/>
  <c r="CR37" i="14"/>
  <c r="CS37" i="14"/>
  <c r="CT37" i="14"/>
  <c r="CU37" i="14"/>
  <c r="CV37" i="14"/>
  <c r="CW37" i="14"/>
  <c r="CX37" i="14"/>
  <c r="CY37" i="14"/>
  <c r="CZ37" i="14"/>
  <c r="DA37" i="14"/>
  <c r="DB37" i="14"/>
  <c r="DC37" i="14"/>
  <c r="DD37" i="14"/>
  <c r="DE37" i="14"/>
  <c r="DF37" i="14"/>
  <c r="DG37" i="14"/>
  <c r="DH37" i="14"/>
  <c r="DI37" i="14"/>
  <c r="DJ37" i="14"/>
  <c r="DK37" i="14"/>
  <c r="DL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O38" i="14"/>
  <c r="BP38" i="14"/>
  <c r="BQ38" i="14"/>
  <c r="BR38" i="14"/>
  <c r="BS38" i="14"/>
  <c r="BT38" i="14"/>
  <c r="BU38" i="14"/>
  <c r="BV38" i="14"/>
  <c r="BW38" i="14"/>
  <c r="BX38" i="14"/>
  <c r="BY38" i="14"/>
  <c r="BZ38" i="14"/>
  <c r="CA38" i="14"/>
  <c r="CB38" i="14"/>
  <c r="CC38" i="14"/>
  <c r="CD38" i="14"/>
  <c r="CE38" i="14"/>
  <c r="CF38" i="14"/>
  <c r="CG38" i="14"/>
  <c r="CH38" i="14"/>
  <c r="CI38" i="14"/>
  <c r="CJ38" i="14"/>
  <c r="CK38" i="14"/>
  <c r="CL38" i="14"/>
  <c r="CM38" i="14"/>
  <c r="CN38" i="14"/>
  <c r="CO38" i="14"/>
  <c r="CP38" i="14"/>
  <c r="CQ38" i="14"/>
  <c r="CR38" i="14"/>
  <c r="CS38" i="14"/>
  <c r="CT38" i="14"/>
  <c r="CU38" i="14"/>
  <c r="CV38" i="14"/>
  <c r="CW38" i="14"/>
  <c r="CX38" i="14"/>
  <c r="CY38" i="14"/>
  <c r="CZ38" i="14"/>
  <c r="DA38" i="14"/>
  <c r="DB38" i="14"/>
  <c r="DC38" i="14"/>
  <c r="DD38" i="14"/>
  <c r="DE38" i="14"/>
  <c r="DF38" i="14"/>
  <c r="DG38" i="14"/>
  <c r="DH38" i="14"/>
  <c r="DI38" i="14"/>
  <c r="DJ38" i="14"/>
  <c r="DK38" i="14"/>
  <c r="DL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BQ39" i="14"/>
  <c r="BR39" i="14"/>
  <c r="BS39" i="14"/>
  <c r="BT39" i="14"/>
  <c r="BU39" i="14"/>
  <c r="BV39" i="14"/>
  <c r="BW39" i="14"/>
  <c r="BX39" i="14"/>
  <c r="BY39" i="14"/>
  <c r="BZ39" i="14"/>
  <c r="CA39" i="14"/>
  <c r="CB39" i="14"/>
  <c r="CC39" i="14"/>
  <c r="CD39" i="14"/>
  <c r="CE39" i="14"/>
  <c r="CF39" i="14"/>
  <c r="CG39" i="14"/>
  <c r="CH39" i="14"/>
  <c r="CI39" i="14"/>
  <c r="CJ39" i="14"/>
  <c r="CK39" i="14"/>
  <c r="CL39" i="14"/>
  <c r="CM39" i="14"/>
  <c r="CN39" i="14"/>
  <c r="CO39" i="14"/>
  <c r="CP39" i="14"/>
  <c r="CQ39" i="14"/>
  <c r="CR39" i="14"/>
  <c r="CS39" i="14"/>
  <c r="CT39" i="14"/>
  <c r="CU39" i="14"/>
  <c r="CV39" i="14"/>
  <c r="CW39" i="14"/>
  <c r="CX39" i="14"/>
  <c r="CY39" i="14"/>
  <c r="CZ39" i="14"/>
  <c r="DA39" i="14"/>
  <c r="DB39" i="14"/>
  <c r="DC39" i="14"/>
  <c r="DD39" i="14"/>
  <c r="DE39" i="14"/>
  <c r="DF39" i="14"/>
  <c r="DG39" i="14"/>
  <c r="DH39" i="14"/>
  <c r="DI39" i="14"/>
  <c r="DJ39" i="14"/>
  <c r="DK39" i="14"/>
  <c r="DL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O40" i="14"/>
  <c r="BP40" i="14"/>
  <c r="BQ40" i="14"/>
  <c r="BR40" i="14"/>
  <c r="BS40" i="14"/>
  <c r="BT40" i="14"/>
  <c r="BU40" i="14"/>
  <c r="BV40" i="14"/>
  <c r="BW40" i="14"/>
  <c r="BX40" i="14"/>
  <c r="BY40" i="14"/>
  <c r="BZ40" i="14"/>
  <c r="CA40" i="14"/>
  <c r="CB40" i="14"/>
  <c r="CC40" i="14"/>
  <c r="CD40" i="14"/>
  <c r="CE40" i="14"/>
  <c r="CF40" i="14"/>
  <c r="CG40" i="14"/>
  <c r="CH40" i="14"/>
  <c r="CI40" i="14"/>
  <c r="CJ40" i="14"/>
  <c r="CK40" i="14"/>
  <c r="CL40" i="14"/>
  <c r="CM40" i="14"/>
  <c r="CN40" i="14"/>
  <c r="CO40" i="14"/>
  <c r="CP40" i="14"/>
  <c r="CQ40" i="14"/>
  <c r="CR40" i="14"/>
  <c r="CS40" i="14"/>
  <c r="CT40" i="14"/>
  <c r="CU40" i="14"/>
  <c r="CV40" i="14"/>
  <c r="CW40" i="14"/>
  <c r="CX40" i="14"/>
  <c r="CY40" i="14"/>
  <c r="CZ40" i="14"/>
  <c r="DA40" i="14"/>
  <c r="DB40" i="14"/>
  <c r="DC40" i="14"/>
  <c r="DD40" i="14"/>
  <c r="DE40" i="14"/>
  <c r="DF40" i="14"/>
  <c r="DG40" i="14"/>
  <c r="DH40" i="14"/>
  <c r="DI40" i="14"/>
  <c r="DJ40" i="14"/>
  <c r="DK40" i="14"/>
  <c r="DL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BO41" i="14"/>
  <c r="BP41" i="14"/>
  <c r="BQ41" i="14"/>
  <c r="BR41" i="14"/>
  <c r="BS41" i="14"/>
  <c r="BT41" i="14"/>
  <c r="BU41" i="14"/>
  <c r="BV41" i="14"/>
  <c r="BW41" i="14"/>
  <c r="BX41" i="14"/>
  <c r="BY41" i="14"/>
  <c r="BZ41" i="14"/>
  <c r="CA41" i="14"/>
  <c r="CB41" i="14"/>
  <c r="CC41" i="14"/>
  <c r="CD41" i="14"/>
  <c r="CE41" i="14"/>
  <c r="CF41" i="14"/>
  <c r="CG41" i="14"/>
  <c r="CH41" i="14"/>
  <c r="CI41" i="14"/>
  <c r="CJ41" i="14"/>
  <c r="CK41" i="14"/>
  <c r="CL41" i="14"/>
  <c r="CM41" i="14"/>
  <c r="CN41" i="14"/>
  <c r="CO41" i="14"/>
  <c r="CP41" i="14"/>
  <c r="CQ41" i="14"/>
  <c r="CR41" i="14"/>
  <c r="CS41" i="14"/>
  <c r="CT41" i="14"/>
  <c r="CU41" i="14"/>
  <c r="CV41" i="14"/>
  <c r="CW41" i="14"/>
  <c r="CX41" i="14"/>
  <c r="CY41" i="14"/>
  <c r="CZ41" i="14"/>
  <c r="DA41" i="14"/>
  <c r="DB41" i="14"/>
  <c r="DC41" i="14"/>
  <c r="DD41" i="14"/>
  <c r="DE41" i="14"/>
  <c r="DF41" i="14"/>
  <c r="DG41" i="14"/>
  <c r="DH41" i="14"/>
  <c r="DI41" i="14"/>
  <c r="DJ41" i="14"/>
  <c r="DK41" i="14"/>
  <c r="DL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BQ42" i="14"/>
  <c r="BR42" i="14"/>
  <c r="BS42" i="14"/>
  <c r="BT42" i="14"/>
  <c r="BU42" i="14"/>
  <c r="BV42" i="14"/>
  <c r="BW42" i="14"/>
  <c r="BX42" i="14"/>
  <c r="BY42" i="14"/>
  <c r="BZ42" i="14"/>
  <c r="CA42" i="14"/>
  <c r="CB42" i="14"/>
  <c r="CC42" i="14"/>
  <c r="CD42" i="14"/>
  <c r="CE42" i="14"/>
  <c r="CF42" i="14"/>
  <c r="CG42" i="14"/>
  <c r="CH42" i="14"/>
  <c r="CI42" i="14"/>
  <c r="CJ42" i="14"/>
  <c r="CK42" i="14"/>
  <c r="CL42" i="14"/>
  <c r="CM42" i="14"/>
  <c r="CN42" i="14"/>
  <c r="CO42" i="14"/>
  <c r="CP42" i="14"/>
  <c r="CQ42" i="14"/>
  <c r="CR42" i="14"/>
  <c r="CS42" i="14"/>
  <c r="CT42" i="14"/>
  <c r="CU42" i="14"/>
  <c r="CV42" i="14"/>
  <c r="CW42" i="14"/>
  <c r="CX42" i="14"/>
  <c r="CY42" i="14"/>
  <c r="CZ42" i="14"/>
  <c r="DA42" i="14"/>
  <c r="DB42" i="14"/>
  <c r="DC42" i="14"/>
  <c r="DD42" i="14"/>
  <c r="DE42" i="14"/>
  <c r="DF42" i="14"/>
  <c r="DG42" i="14"/>
  <c r="DH42" i="14"/>
  <c r="DI42" i="14"/>
  <c r="DJ42" i="14"/>
  <c r="DK42" i="14"/>
  <c r="DL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BN43" i="14"/>
  <c r="BO43" i="14"/>
  <c r="BP43" i="14"/>
  <c r="BQ43" i="14"/>
  <c r="BR43" i="14"/>
  <c r="BS43" i="14"/>
  <c r="BT43" i="14"/>
  <c r="BU43" i="14"/>
  <c r="BV43" i="14"/>
  <c r="BW43" i="14"/>
  <c r="BX43" i="14"/>
  <c r="BY43" i="14"/>
  <c r="BZ43" i="14"/>
  <c r="CA43" i="14"/>
  <c r="CB43" i="14"/>
  <c r="CC43" i="14"/>
  <c r="CD43" i="14"/>
  <c r="CE43" i="14"/>
  <c r="CF43" i="14"/>
  <c r="CG43" i="14"/>
  <c r="CH43" i="14"/>
  <c r="CI43" i="14"/>
  <c r="CJ43" i="14"/>
  <c r="CK43" i="14"/>
  <c r="CL43" i="14"/>
  <c r="CM43" i="14"/>
  <c r="CN43" i="14"/>
  <c r="CO43" i="14"/>
  <c r="CP43" i="14"/>
  <c r="CQ43" i="14"/>
  <c r="CR43" i="14"/>
  <c r="CS43" i="14"/>
  <c r="CT43" i="14"/>
  <c r="CU43" i="14"/>
  <c r="CV43" i="14"/>
  <c r="CW43" i="14"/>
  <c r="CX43" i="14"/>
  <c r="CY43" i="14"/>
  <c r="CZ43" i="14"/>
  <c r="DA43" i="14"/>
  <c r="DB43" i="14"/>
  <c r="DC43" i="14"/>
  <c r="DD43" i="14"/>
  <c r="DE43" i="14"/>
  <c r="DF43" i="14"/>
  <c r="DG43" i="14"/>
  <c r="DH43" i="14"/>
  <c r="DI43" i="14"/>
  <c r="DJ43" i="14"/>
  <c r="DK43" i="14"/>
  <c r="DL43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BS10" i="14"/>
  <c r="BT10" i="14"/>
  <c r="BU10" i="14"/>
  <c r="BV10" i="14"/>
  <c r="BW10" i="14"/>
  <c r="BX10" i="14"/>
  <c r="BY10" i="14"/>
  <c r="BZ10" i="14"/>
  <c r="CA10" i="14"/>
  <c r="CB10" i="14"/>
  <c r="CC10" i="14"/>
  <c r="CD10" i="14"/>
  <c r="CE10" i="14"/>
  <c r="CF10" i="14"/>
  <c r="CG10" i="14"/>
  <c r="CH10" i="14"/>
  <c r="CI10" i="14"/>
  <c r="CJ10" i="14"/>
  <c r="CL10" i="14"/>
  <c r="CM10" i="14"/>
  <c r="CN10" i="14"/>
  <c r="CO10" i="14"/>
  <c r="CP10" i="14"/>
  <c r="CQ10" i="14"/>
  <c r="CR10" i="14"/>
  <c r="CS10" i="14"/>
  <c r="CT10" i="14"/>
  <c r="CU10" i="14"/>
  <c r="CV10" i="14"/>
  <c r="CW10" i="14"/>
  <c r="CX10" i="14"/>
  <c r="CY10" i="14"/>
  <c r="CZ10" i="14"/>
  <c r="DA10" i="14"/>
  <c r="DB10" i="14"/>
  <c r="DC10" i="14"/>
  <c r="DD10" i="14"/>
  <c r="DE10" i="14"/>
  <c r="DF10" i="14"/>
  <c r="DG10" i="14"/>
  <c r="DH10" i="14"/>
  <c r="DI10" i="14"/>
  <c r="DJ10" i="14"/>
  <c r="DK10" i="14"/>
  <c r="DL10" i="14"/>
  <c r="C10" i="14"/>
  <c r="CW50" i="10"/>
  <c r="DA7" i="7"/>
  <c r="DB7" i="7"/>
  <c r="DC7" i="7"/>
  <c r="DD7" i="7"/>
  <c r="DE7" i="7"/>
  <c r="DF7" i="7"/>
  <c r="DG7" i="7"/>
  <c r="DH7" i="7"/>
  <c r="DI7" i="7"/>
  <c r="DJ7" i="7"/>
  <c r="DK7" i="7"/>
  <c r="DL7" i="7"/>
  <c r="DA8" i="7"/>
  <c r="DB8" i="7"/>
  <c r="DC8" i="7"/>
  <c r="DD8" i="7"/>
  <c r="DE8" i="7"/>
  <c r="DF8" i="7"/>
  <c r="DG8" i="7"/>
  <c r="DH8" i="7"/>
  <c r="DI8" i="7"/>
  <c r="DJ8" i="7"/>
  <c r="DK8" i="7"/>
  <c r="DL8" i="7"/>
  <c r="DA9" i="7"/>
  <c r="DB9" i="7"/>
  <c r="DC9" i="7"/>
  <c r="DD9" i="7"/>
  <c r="DE9" i="7"/>
  <c r="DF9" i="7"/>
  <c r="DG9" i="7"/>
  <c r="DH9" i="7"/>
  <c r="DI9" i="7"/>
  <c r="DJ9" i="7"/>
  <c r="DK9" i="7"/>
  <c r="DL9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A12" i="7"/>
  <c r="DB12" i="7"/>
  <c r="DC12" i="7"/>
  <c r="DD12" i="7"/>
  <c r="DE12" i="7"/>
  <c r="DF12" i="7"/>
  <c r="DG12" i="7"/>
  <c r="DH12" i="7"/>
  <c r="DI12" i="7"/>
  <c r="DJ12" i="7"/>
  <c r="DK12" i="7"/>
  <c r="DL12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A17" i="7"/>
  <c r="DB17" i="7"/>
  <c r="DC17" i="7"/>
  <c r="DD17" i="7"/>
  <c r="DE17" i="7"/>
  <c r="DF17" i="7"/>
  <c r="DG17" i="7"/>
  <c r="DH17" i="7"/>
  <c r="DI17" i="7"/>
  <c r="DJ17" i="7"/>
  <c r="DK17" i="7"/>
  <c r="DL17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A22" i="7"/>
  <c r="DB22" i="7"/>
  <c r="DC22" i="7"/>
  <c r="DD22" i="7"/>
  <c r="DE22" i="7"/>
  <c r="DF22" i="7"/>
  <c r="DG22" i="7"/>
  <c r="DH22" i="7"/>
  <c r="DI22" i="7"/>
  <c r="DJ22" i="7"/>
  <c r="DK22" i="7"/>
  <c r="DL22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A27" i="7"/>
  <c r="DB27" i="7"/>
  <c r="DC27" i="7"/>
  <c r="DD27" i="7"/>
  <c r="DE27" i="7"/>
  <c r="DF27" i="7"/>
  <c r="DG27" i="7"/>
  <c r="DH27" i="7"/>
  <c r="DI27" i="7"/>
  <c r="DJ27" i="7"/>
  <c r="DK27" i="7"/>
  <c r="DL27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A32" i="7"/>
  <c r="DB32" i="7"/>
  <c r="DC32" i="7"/>
  <c r="DD32" i="7"/>
  <c r="DE32" i="7"/>
  <c r="DF32" i="7"/>
  <c r="DG32" i="7"/>
  <c r="DH32" i="7"/>
  <c r="DI32" i="7"/>
  <c r="DJ32" i="7"/>
  <c r="DK32" i="7"/>
  <c r="DL32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A37" i="7"/>
  <c r="DB37" i="7"/>
  <c r="DC37" i="7"/>
  <c r="DD37" i="7"/>
  <c r="DE37" i="7"/>
  <c r="DF37" i="7"/>
  <c r="DG37" i="7"/>
  <c r="DH37" i="7"/>
  <c r="DI37" i="7"/>
  <c r="DJ37" i="7"/>
  <c r="DK37" i="7"/>
  <c r="DL37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A42" i="7"/>
  <c r="DB42" i="7"/>
  <c r="DC42" i="7"/>
  <c r="DD42" i="7"/>
  <c r="DE42" i="7"/>
  <c r="DF42" i="7"/>
  <c r="DG42" i="7"/>
  <c r="DH42" i="7"/>
  <c r="DI42" i="7"/>
  <c r="DJ42" i="7"/>
  <c r="DK42" i="7"/>
  <c r="DL42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A47" i="7"/>
  <c r="DB47" i="7"/>
  <c r="DC47" i="7"/>
  <c r="DD47" i="7"/>
  <c r="DE47" i="7"/>
  <c r="DF47" i="7"/>
  <c r="DG47" i="7"/>
  <c r="DH47" i="7"/>
  <c r="DI47" i="7"/>
  <c r="DJ47" i="7"/>
  <c r="DK47" i="7"/>
  <c r="DL47" i="7"/>
  <c r="DA7" i="12"/>
  <c r="DB7" i="12"/>
  <c r="DC7" i="12"/>
  <c r="DD7" i="12"/>
  <c r="DE7" i="12"/>
  <c r="DF7" i="12"/>
  <c r="DG7" i="12"/>
  <c r="DH7" i="12"/>
  <c r="DI7" i="12"/>
  <c r="DJ7" i="12"/>
  <c r="DK7" i="12"/>
  <c r="DL7" i="12"/>
  <c r="DA8" i="12"/>
  <c r="DB8" i="12"/>
  <c r="DC8" i="12"/>
  <c r="DD8" i="12"/>
  <c r="DE8" i="12"/>
  <c r="DF8" i="12"/>
  <c r="DG8" i="12"/>
  <c r="DH8" i="12"/>
  <c r="DI8" i="12"/>
  <c r="DJ8" i="12"/>
  <c r="DK8" i="12"/>
  <c r="DL8" i="12"/>
  <c r="DA9" i="12"/>
  <c r="DB9" i="12"/>
  <c r="DC9" i="12"/>
  <c r="DD9" i="12"/>
  <c r="DE9" i="12"/>
  <c r="DF9" i="12"/>
  <c r="DG9" i="12"/>
  <c r="DH9" i="12"/>
  <c r="DI9" i="12"/>
  <c r="DJ9" i="12"/>
  <c r="DK9" i="12"/>
  <c r="DL9" i="12"/>
  <c r="DA10" i="12"/>
  <c r="DB10" i="12"/>
  <c r="DC10" i="12"/>
  <c r="DD10" i="12"/>
  <c r="DE10" i="12"/>
  <c r="DF10" i="12"/>
  <c r="DG10" i="12"/>
  <c r="DH10" i="12"/>
  <c r="DI10" i="12"/>
  <c r="DJ10" i="12"/>
  <c r="DK10" i="12"/>
  <c r="DL10" i="12"/>
  <c r="DA11" i="12"/>
  <c r="DB11" i="12"/>
  <c r="DC11" i="12"/>
  <c r="DD11" i="12"/>
  <c r="DE11" i="12"/>
  <c r="DF11" i="12"/>
  <c r="DG11" i="12"/>
  <c r="DH11" i="12"/>
  <c r="DI11" i="12"/>
  <c r="DJ11" i="12"/>
  <c r="DK11" i="12"/>
  <c r="DL11" i="12"/>
  <c r="DA12" i="12"/>
  <c r="DB12" i="12"/>
  <c r="DC12" i="12"/>
  <c r="DD12" i="12"/>
  <c r="DE12" i="12"/>
  <c r="DF12" i="12"/>
  <c r="DG12" i="12"/>
  <c r="DH12" i="12"/>
  <c r="DI12" i="12"/>
  <c r="DJ12" i="12"/>
  <c r="DK12" i="12"/>
  <c r="DL12" i="12"/>
  <c r="DA13" i="12"/>
  <c r="DB13" i="12"/>
  <c r="DC13" i="12"/>
  <c r="DD13" i="12"/>
  <c r="DE13" i="12"/>
  <c r="DF13" i="12"/>
  <c r="DG13" i="12"/>
  <c r="DH13" i="12"/>
  <c r="DI13" i="12"/>
  <c r="DJ13" i="12"/>
  <c r="DK13" i="12"/>
  <c r="DL13" i="12"/>
  <c r="DA14" i="12"/>
  <c r="DB14" i="12"/>
  <c r="DC14" i="12"/>
  <c r="DD14" i="12"/>
  <c r="DE14" i="12"/>
  <c r="DF14" i="12"/>
  <c r="DG14" i="12"/>
  <c r="DH14" i="12"/>
  <c r="DI14" i="12"/>
  <c r="DJ14" i="12"/>
  <c r="DK14" i="12"/>
  <c r="DL14" i="12"/>
  <c r="DA15" i="12"/>
  <c r="DB15" i="12"/>
  <c r="DC15" i="12"/>
  <c r="DD15" i="12"/>
  <c r="DE15" i="12"/>
  <c r="DF15" i="12"/>
  <c r="DG15" i="12"/>
  <c r="DH15" i="12"/>
  <c r="DI15" i="12"/>
  <c r="DJ15" i="12"/>
  <c r="DK15" i="12"/>
  <c r="DL15" i="12"/>
  <c r="DA16" i="12"/>
  <c r="DB16" i="12"/>
  <c r="DC16" i="12"/>
  <c r="DD16" i="12"/>
  <c r="DE16" i="12"/>
  <c r="DF16" i="12"/>
  <c r="DG16" i="12"/>
  <c r="DH16" i="12"/>
  <c r="DI16" i="12"/>
  <c r="DJ16" i="12"/>
  <c r="DK16" i="12"/>
  <c r="DL16" i="12"/>
  <c r="DA17" i="12"/>
  <c r="DB17" i="12"/>
  <c r="DC17" i="12"/>
  <c r="DD17" i="12"/>
  <c r="DE17" i="12"/>
  <c r="DF17" i="12"/>
  <c r="DG17" i="12"/>
  <c r="DH17" i="12"/>
  <c r="DI17" i="12"/>
  <c r="DJ17" i="12"/>
  <c r="DK17" i="12"/>
  <c r="DL17" i="12"/>
  <c r="DA18" i="12"/>
  <c r="DB18" i="12"/>
  <c r="DC18" i="12"/>
  <c r="DD18" i="12"/>
  <c r="DE18" i="12"/>
  <c r="DF18" i="12"/>
  <c r="DG18" i="12"/>
  <c r="DH18" i="12"/>
  <c r="DI18" i="12"/>
  <c r="DJ18" i="12"/>
  <c r="DK18" i="12"/>
  <c r="DL18" i="12"/>
  <c r="DA19" i="12"/>
  <c r="DB19" i="12"/>
  <c r="DC19" i="12"/>
  <c r="DD19" i="12"/>
  <c r="DE19" i="12"/>
  <c r="DF19" i="12"/>
  <c r="DG19" i="12"/>
  <c r="DH19" i="12"/>
  <c r="DI19" i="12"/>
  <c r="DJ19" i="12"/>
  <c r="DK19" i="12"/>
  <c r="DL19" i="12"/>
  <c r="DA20" i="12"/>
  <c r="DB20" i="12"/>
  <c r="DC20" i="12"/>
  <c r="DD20" i="12"/>
  <c r="DE20" i="12"/>
  <c r="DF20" i="12"/>
  <c r="DG20" i="12"/>
  <c r="DH20" i="12"/>
  <c r="DI20" i="12"/>
  <c r="DJ20" i="12"/>
  <c r="DK20" i="12"/>
  <c r="DL20" i="12"/>
  <c r="DA21" i="12"/>
  <c r="DB21" i="12"/>
  <c r="DC21" i="12"/>
  <c r="DD21" i="12"/>
  <c r="DE21" i="12"/>
  <c r="DF21" i="12"/>
  <c r="DG21" i="12"/>
  <c r="DH21" i="12"/>
  <c r="DI21" i="12"/>
  <c r="DJ21" i="12"/>
  <c r="DK21" i="12"/>
  <c r="DL21" i="12"/>
  <c r="DA22" i="12"/>
  <c r="DB22" i="12"/>
  <c r="DC22" i="12"/>
  <c r="DD22" i="12"/>
  <c r="DE22" i="12"/>
  <c r="DF22" i="12"/>
  <c r="DG22" i="12"/>
  <c r="DH22" i="12"/>
  <c r="DI22" i="12"/>
  <c r="DJ22" i="12"/>
  <c r="DK22" i="12"/>
  <c r="DL22" i="12"/>
  <c r="DA23" i="12"/>
  <c r="DB23" i="12"/>
  <c r="DC23" i="12"/>
  <c r="DD23" i="12"/>
  <c r="DE23" i="12"/>
  <c r="DF23" i="12"/>
  <c r="DG23" i="12"/>
  <c r="DH23" i="12"/>
  <c r="DI23" i="12"/>
  <c r="DJ23" i="12"/>
  <c r="DK23" i="12"/>
  <c r="DL23" i="12"/>
  <c r="DA24" i="12"/>
  <c r="DB24" i="12"/>
  <c r="DC24" i="12"/>
  <c r="DD24" i="12"/>
  <c r="DE24" i="12"/>
  <c r="DF24" i="12"/>
  <c r="DG24" i="12"/>
  <c r="DH24" i="12"/>
  <c r="DI24" i="12"/>
  <c r="DJ24" i="12"/>
  <c r="DK24" i="12"/>
  <c r="DL24" i="12"/>
  <c r="DA25" i="12"/>
  <c r="DB25" i="12"/>
  <c r="DC25" i="12"/>
  <c r="DD25" i="12"/>
  <c r="DE25" i="12"/>
  <c r="DF25" i="12"/>
  <c r="DG25" i="12"/>
  <c r="DH25" i="12"/>
  <c r="DI25" i="12"/>
  <c r="DJ25" i="12"/>
  <c r="DK25" i="12"/>
  <c r="DL25" i="12"/>
  <c r="DA26" i="12"/>
  <c r="DB26" i="12"/>
  <c r="DC26" i="12"/>
  <c r="DD26" i="12"/>
  <c r="DE26" i="12"/>
  <c r="DF26" i="12"/>
  <c r="DG26" i="12"/>
  <c r="DH26" i="12"/>
  <c r="DI26" i="12"/>
  <c r="DJ26" i="12"/>
  <c r="DK26" i="12"/>
  <c r="DL26" i="12"/>
  <c r="DA27" i="12"/>
  <c r="DB27" i="12"/>
  <c r="DC27" i="12"/>
  <c r="DD27" i="12"/>
  <c r="DE27" i="12"/>
  <c r="DF27" i="12"/>
  <c r="DG27" i="12"/>
  <c r="DH27" i="12"/>
  <c r="DI27" i="12"/>
  <c r="DJ27" i="12"/>
  <c r="DK27" i="12"/>
  <c r="DL27" i="12"/>
  <c r="DA28" i="12"/>
  <c r="DB28" i="12"/>
  <c r="DC28" i="12"/>
  <c r="DD28" i="12"/>
  <c r="DE28" i="12"/>
  <c r="DF28" i="12"/>
  <c r="DG28" i="12"/>
  <c r="DH28" i="12"/>
  <c r="DI28" i="12"/>
  <c r="DJ28" i="12"/>
  <c r="DK28" i="12"/>
  <c r="DL28" i="12"/>
  <c r="DA29" i="12"/>
  <c r="DB29" i="12"/>
  <c r="DC29" i="12"/>
  <c r="DD29" i="12"/>
  <c r="DE29" i="12"/>
  <c r="DF29" i="12"/>
  <c r="DG29" i="12"/>
  <c r="DH29" i="12"/>
  <c r="DI29" i="12"/>
  <c r="DJ29" i="12"/>
  <c r="DK29" i="12"/>
  <c r="DL29" i="12"/>
  <c r="DA30" i="12"/>
  <c r="DB30" i="12"/>
  <c r="DC30" i="12"/>
  <c r="DD30" i="12"/>
  <c r="DE30" i="12"/>
  <c r="DF30" i="12"/>
  <c r="DG30" i="12"/>
  <c r="DH30" i="12"/>
  <c r="DI30" i="12"/>
  <c r="DJ30" i="12"/>
  <c r="DK30" i="12"/>
  <c r="DL30" i="12"/>
  <c r="DA31" i="12"/>
  <c r="DB31" i="12"/>
  <c r="DC31" i="12"/>
  <c r="DD31" i="12"/>
  <c r="DE31" i="12"/>
  <c r="DF31" i="12"/>
  <c r="DG31" i="12"/>
  <c r="DH31" i="12"/>
  <c r="DI31" i="12"/>
  <c r="DJ31" i="12"/>
  <c r="DK31" i="12"/>
  <c r="DL31" i="12"/>
  <c r="DA32" i="12"/>
  <c r="DB32" i="12"/>
  <c r="DC32" i="12"/>
  <c r="DD32" i="12"/>
  <c r="DE32" i="12"/>
  <c r="DF32" i="12"/>
  <c r="DG32" i="12"/>
  <c r="DH32" i="12"/>
  <c r="DI32" i="12"/>
  <c r="DJ32" i="12"/>
  <c r="DK32" i="12"/>
  <c r="DL32" i="12"/>
  <c r="DA34" i="12"/>
  <c r="DB34" i="12"/>
  <c r="DC34" i="12"/>
  <c r="DD34" i="12"/>
  <c r="DE34" i="12"/>
  <c r="DF34" i="12"/>
  <c r="DG34" i="12"/>
  <c r="DH34" i="12"/>
  <c r="DI34" i="12"/>
  <c r="DJ34" i="12"/>
  <c r="DK34" i="12"/>
  <c r="DL34" i="12"/>
  <c r="DA35" i="12"/>
  <c r="DB35" i="12"/>
  <c r="DC35" i="12"/>
  <c r="DD35" i="12"/>
  <c r="DE35" i="12"/>
  <c r="DF35" i="12"/>
  <c r="DG35" i="12"/>
  <c r="DH35" i="12"/>
  <c r="DI35" i="12"/>
  <c r="DJ35" i="12"/>
  <c r="DK35" i="12"/>
  <c r="DL35" i="12"/>
  <c r="DA36" i="12"/>
  <c r="DB36" i="12"/>
  <c r="DC36" i="12"/>
  <c r="DD36" i="12"/>
  <c r="DE36" i="12"/>
  <c r="DF36" i="12"/>
  <c r="DG36" i="12"/>
  <c r="DH36" i="12"/>
  <c r="DI36" i="12"/>
  <c r="DJ36" i="12"/>
  <c r="DK36" i="12"/>
  <c r="DL36" i="12"/>
  <c r="DA37" i="12"/>
  <c r="DB37" i="12"/>
  <c r="DC37" i="12"/>
  <c r="DD37" i="12"/>
  <c r="DE37" i="12"/>
  <c r="DF37" i="12"/>
  <c r="DG37" i="12"/>
  <c r="DH37" i="12"/>
  <c r="DI37" i="12"/>
  <c r="DJ37" i="12"/>
  <c r="DK37" i="12"/>
  <c r="DL37" i="12"/>
  <c r="DA38" i="12"/>
  <c r="DB38" i="12"/>
  <c r="DC38" i="12"/>
  <c r="DD38" i="12"/>
  <c r="DE38" i="12"/>
  <c r="DF38" i="12"/>
  <c r="DG38" i="12"/>
  <c r="DH38" i="12"/>
  <c r="DI38" i="12"/>
  <c r="DJ38" i="12"/>
  <c r="DK38" i="12"/>
  <c r="DL38" i="12"/>
  <c r="DA39" i="12"/>
  <c r="DB39" i="12"/>
  <c r="DC39" i="12"/>
  <c r="DD39" i="12"/>
  <c r="DE39" i="12"/>
  <c r="DF39" i="12"/>
  <c r="DG39" i="12"/>
  <c r="DH39" i="12"/>
  <c r="DI39" i="12"/>
  <c r="DJ39" i="12"/>
  <c r="DK39" i="12"/>
  <c r="DL39" i="12"/>
  <c r="DA40" i="12"/>
  <c r="DB40" i="12"/>
  <c r="DC40" i="12"/>
  <c r="DD40" i="12"/>
  <c r="DE40" i="12"/>
  <c r="DF40" i="12"/>
  <c r="DG40" i="12"/>
  <c r="DH40" i="12"/>
  <c r="DI40" i="12"/>
  <c r="DJ40" i="12"/>
  <c r="DK40" i="12"/>
  <c r="DL40" i="12"/>
  <c r="DA41" i="12"/>
  <c r="DB41" i="12"/>
  <c r="DC41" i="12"/>
  <c r="DD41" i="12"/>
  <c r="DE41" i="12"/>
  <c r="DF41" i="12"/>
  <c r="DG41" i="12"/>
  <c r="DH41" i="12"/>
  <c r="DI41" i="12"/>
  <c r="DJ41" i="12"/>
  <c r="DK41" i="12"/>
  <c r="DL41" i="12"/>
  <c r="DA42" i="12"/>
  <c r="DB42" i="12"/>
  <c r="DC42" i="12"/>
  <c r="DD42" i="12"/>
  <c r="DE42" i="12"/>
  <c r="DF42" i="12"/>
  <c r="DG42" i="12"/>
  <c r="DH42" i="12"/>
  <c r="DI42" i="12"/>
  <c r="DJ42" i="12"/>
  <c r="DK42" i="12"/>
  <c r="DL42" i="12"/>
  <c r="DA43" i="12"/>
  <c r="DB43" i="12"/>
  <c r="DC43" i="12"/>
  <c r="DD43" i="12"/>
  <c r="DE43" i="12"/>
  <c r="DF43" i="12"/>
  <c r="DG43" i="12"/>
  <c r="DH43" i="12"/>
  <c r="DI43" i="12"/>
  <c r="DJ43" i="12"/>
  <c r="DK43" i="12"/>
  <c r="DL43" i="12"/>
  <c r="DA44" i="12"/>
  <c r="DB44" i="12"/>
  <c r="DC44" i="12"/>
  <c r="DD44" i="12"/>
  <c r="DE44" i="12"/>
  <c r="DF44" i="12"/>
  <c r="DG44" i="12"/>
  <c r="DH44" i="12"/>
  <c r="DI44" i="12"/>
  <c r="DJ44" i="12"/>
  <c r="DK44" i="12"/>
  <c r="DL44" i="12"/>
  <c r="DA45" i="12"/>
  <c r="DB45" i="12"/>
  <c r="DC45" i="12"/>
  <c r="DD45" i="12"/>
  <c r="DE45" i="12"/>
  <c r="DF45" i="12"/>
  <c r="DG45" i="12"/>
  <c r="DH45" i="12"/>
  <c r="DI45" i="12"/>
  <c r="DJ45" i="12"/>
  <c r="DK45" i="12"/>
  <c r="DL45" i="12"/>
  <c r="DA46" i="12"/>
  <c r="DB46" i="12"/>
  <c r="DC46" i="12"/>
  <c r="DD46" i="12"/>
  <c r="DE46" i="12"/>
  <c r="DF46" i="12"/>
  <c r="DG46" i="12"/>
  <c r="DH46" i="12"/>
  <c r="DI46" i="12"/>
  <c r="DJ46" i="12"/>
  <c r="DK46" i="12"/>
  <c r="DL46" i="12"/>
  <c r="DA47" i="12"/>
  <c r="DB47" i="12"/>
  <c r="DC47" i="12"/>
  <c r="DD47" i="12"/>
  <c r="DE47" i="12"/>
  <c r="DF47" i="12"/>
  <c r="DG47" i="12"/>
  <c r="DH47" i="12"/>
  <c r="DI47" i="12"/>
  <c r="DJ47" i="12"/>
  <c r="DK47" i="12"/>
  <c r="DL47" i="12"/>
  <c r="DA8" i="13"/>
  <c r="DB8" i="13"/>
  <c r="DC8" i="13"/>
  <c r="DD8" i="13"/>
  <c r="DE8" i="13"/>
  <c r="DF8" i="13"/>
  <c r="DG8" i="13"/>
  <c r="DH8" i="13"/>
  <c r="DI8" i="13"/>
  <c r="DJ8" i="13"/>
  <c r="DK8" i="13"/>
  <c r="DL8" i="13"/>
  <c r="DA9" i="13"/>
  <c r="DB9" i="13"/>
  <c r="DC9" i="13"/>
  <c r="DD9" i="13"/>
  <c r="DE9" i="13"/>
  <c r="DF9" i="13"/>
  <c r="DG9" i="13"/>
  <c r="DH9" i="13"/>
  <c r="DI9" i="13"/>
  <c r="DJ9" i="13"/>
  <c r="DK9" i="13"/>
  <c r="DL9" i="13"/>
  <c r="DA10" i="13"/>
  <c r="DB10" i="13"/>
  <c r="DC10" i="13"/>
  <c r="DD10" i="13"/>
  <c r="DE10" i="13"/>
  <c r="DF10" i="13"/>
  <c r="DG10" i="13"/>
  <c r="DH10" i="13"/>
  <c r="DI10" i="13"/>
  <c r="DJ10" i="13"/>
  <c r="DK10" i="13"/>
  <c r="DL10" i="13"/>
  <c r="DA11" i="13"/>
  <c r="DB11" i="13"/>
  <c r="DC11" i="13"/>
  <c r="DD11" i="13"/>
  <c r="DE11" i="13"/>
  <c r="DF11" i="13"/>
  <c r="DG11" i="13"/>
  <c r="DH11" i="13"/>
  <c r="DI11" i="13"/>
  <c r="DJ11" i="13"/>
  <c r="DK11" i="13"/>
  <c r="DL11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A13" i="13"/>
  <c r="DB13" i="13"/>
  <c r="DC13" i="13"/>
  <c r="DD13" i="13"/>
  <c r="DE13" i="13"/>
  <c r="DF13" i="13"/>
  <c r="DG13" i="13"/>
  <c r="DH13" i="13"/>
  <c r="DI13" i="13"/>
  <c r="DJ13" i="13"/>
  <c r="DK13" i="13"/>
  <c r="DL13" i="13"/>
  <c r="DA14" i="13"/>
  <c r="DB14" i="13"/>
  <c r="DC14" i="13"/>
  <c r="DD14" i="13"/>
  <c r="DE14" i="13"/>
  <c r="DF14" i="13"/>
  <c r="DG14" i="13"/>
  <c r="DH14" i="13"/>
  <c r="DI14" i="13"/>
  <c r="DJ14" i="13"/>
  <c r="DK14" i="13"/>
  <c r="DL14" i="13"/>
  <c r="DA15" i="13"/>
  <c r="DB15" i="13"/>
  <c r="DC15" i="13"/>
  <c r="DD15" i="13"/>
  <c r="DE15" i="13"/>
  <c r="DF15" i="13"/>
  <c r="DG15" i="13"/>
  <c r="DH15" i="13"/>
  <c r="DI15" i="13"/>
  <c r="DJ15" i="13"/>
  <c r="DK15" i="13"/>
  <c r="DL15" i="13"/>
  <c r="DA16" i="13"/>
  <c r="DB16" i="13"/>
  <c r="DC16" i="13"/>
  <c r="DD16" i="13"/>
  <c r="DE16" i="13"/>
  <c r="DF16" i="13"/>
  <c r="DG16" i="13"/>
  <c r="DH16" i="13"/>
  <c r="DI16" i="13"/>
  <c r="DJ16" i="13"/>
  <c r="DK16" i="13"/>
  <c r="DL16" i="13"/>
  <c r="DA17" i="13"/>
  <c r="DB17" i="13"/>
  <c r="DC17" i="13"/>
  <c r="DD17" i="13"/>
  <c r="DE17" i="13"/>
  <c r="DF17" i="13"/>
  <c r="DG17" i="13"/>
  <c r="DH17" i="13"/>
  <c r="DI17" i="13"/>
  <c r="DJ17" i="13"/>
  <c r="DK17" i="13"/>
  <c r="DL17" i="13"/>
  <c r="DA18" i="13"/>
  <c r="DB18" i="13"/>
  <c r="DC18" i="13"/>
  <c r="DD18" i="13"/>
  <c r="DE18" i="13"/>
  <c r="DF18" i="13"/>
  <c r="DG18" i="13"/>
  <c r="DH18" i="13"/>
  <c r="DI18" i="13"/>
  <c r="DJ18" i="13"/>
  <c r="DK18" i="13"/>
  <c r="DL18" i="13"/>
  <c r="DA19" i="13"/>
  <c r="DB19" i="13"/>
  <c r="DC19" i="13"/>
  <c r="DD19" i="13"/>
  <c r="DE19" i="13"/>
  <c r="DF19" i="13"/>
  <c r="DG19" i="13"/>
  <c r="DH19" i="13"/>
  <c r="DI19" i="13"/>
  <c r="DJ19" i="13"/>
  <c r="DK19" i="13"/>
  <c r="DL19" i="13"/>
  <c r="DA20" i="13"/>
  <c r="DB20" i="13"/>
  <c r="DC20" i="13"/>
  <c r="DD20" i="13"/>
  <c r="DE20" i="13"/>
  <c r="DF20" i="13"/>
  <c r="DG20" i="13"/>
  <c r="DH20" i="13"/>
  <c r="DI20" i="13"/>
  <c r="DJ20" i="13"/>
  <c r="DK20" i="13"/>
  <c r="DL20" i="13"/>
  <c r="DA21" i="13"/>
  <c r="DB21" i="13"/>
  <c r="DC21" i="13"/>
  <c r="DD21" i="13"/>
  <c r="DE21" i="13"/>
  <c r="DF21" i="13"/>
  <c r="DG21" i="13"/>
  <c r="DH21" i="13"/>
  <c r="DI21" i="13"/>
  <c r="DJ21" i="13"/>
  <c r="DK21" i="13"/>
  <c r="DL21" i="13"/>
  <c r="DA22" i="13"/>
  <c r="DB22" i="13"/>
  <c r="DC22" i="13"/>
  <c r="DD22" i="13"/>
  <c r="DE22" i="13"/>
  <c r="DF22" i="13"/>
  <c r="DG22" i="13"/>
  <c r="DH22" i="13"/>
  <c r="DI22" i="13"/>
  <c r="DJ22" i="13"/>
  <c r="DK22" i="13"/>
  <c r="DL22" i="13"/>
  <c r="DA23" i="13"/>
  <c r="DB23" i="13"/>
  <c r="DC23" i="13"/>
  <c r="DD23" i="13"/>
  <c r="DE23" i="13"/>
  <c r="DF23" i="13"/>
  <c r="DG23" i="13"/>
  <c r="DH23" i="13"/>
  <c r="DI23" i="13"/>
  <c r="DJ23" i="13"/>
  <c r="DK23" i="13"/>
  <c r="DL23" i="13"/>
  <c r="DA24" i="13"/>
  <c r="DB24" i="13"/>
  <c r="DC24" i="13"/>
  <c r="DD24" i="13"/>
  <c r="DE24" i="13"/>
  <c r="DF24" i="13"/>
  <c r="DG24" i="13"/>
  <c r="DH24" i="13"/>
  <c r="DI24" i="13"/>
  <c r="DJ24" i="13"/>
  <c r="DK24" i="13"/>
  <c r="DL24" i="13"/>
  <c r="DA25" i="13"/>
  <c r="DB25" i="13"/>
  <c r="DC25" i="13"/>
  <c r="DD25" i="13"/>
  <c r="DE25" i="13"/>
  <c r="DF25" i="13"/>
  <c r="DG25" i="13"/>
  <c r="DH25" i="13"/>
  <c r="DI25" i="13"/>
  <c r="DJ25" i="13"/>
  <c r="DK25" i="13"/>
  <c r="DL25" i="13"/>
  <c r="DA26" i="13"/>
  <c r="DB26" i="13"/>
  <c r="DC26" i="13"/>
  <c r="DD26" i="13"/>
  <c r="DE26" i="13"/>
  <c r="DF26" i="13"/>
  <c r="DG26" i="13"/>
  <c r="DH26" i="13"/>
  <c r="DI26" i="13"/>
  <c r="DJ26" i="13"/>
  <c r="DK26" i="13"/>
  <c r="DL26" i="13"/>
  <c r="DA27" i="13"/>
  <c r="DB27" i="13"/>
  <c r="DC27" i="13"/>
  <c r="DD27" i="13"/>
  <c r="DE27" i="13"/>
  <c r="DF27" i="13"/>
  <c r="DG27" i="13"/>
  <c r="DH27" i="13"/>
  <c r="DI27" i="13"/>
  <c r="DJ27" i="13"/>
  <c r="DK27" i="13"/>
  <c r="DL27" i="13"/>
  <c r="DA28" i="13"/>
  <c r="DB28" i="13"/>
  <c r="DC28" i="13"/>
  <c r="DD28" i="13"/>
  <c r="DE28" i="13"/>
  <c r="DF28" i="13"/>
  <c r="DG28" i="13"/>
  <c r="DH28" i="13"/>
  <c r="DI28" i="13"/>
  <c r="DJ28" i="13"/>
  <c r="DK28" i="13"/>
  <c r="DL28" i="13"/>
  <c r="DA29" i="13"/>
  <c r="DB29" i="13"/>
  <c r="DC29" i="13"/>
  <c r="DD29" i="13"/>
  <c r="DE29" i="13"/>
  <c r="DF29" i="13"/>
  <c r="DG29" i="13"/>
  <c r="DH29" i="13"/>
  <c r="DI29" i="13"/>
  <c r="DJ29" i="13"/>
  <c r="DK29" i="13"/>
  <c r="DL29" i="13"/>
  <c r="DA30" i="13"/>
  <c r="DB30" i="13"/>
  <c r="DC30" i="13"/>
  <c r="DD30" i="13"/>
  <c r="DE30" i="13"/>
  <c r="DF30" i="13"/>
  <c r="DG30" i="13"/>
  <c r="DH30" i="13"/>
  <c r="DI30" i="13"/>
  <c r="DJ30" i="13"/>
  <c r="DK30" i="13"/>
  <c r="DL30" i="13"/>
  <c r="DA31" i="13"/>
  <c r="DB31" i="13"/>
  <c r="DC31" i="13"/>
  <c r="DD31" i="13"/>
  <c r="DE31" i="13"/>
  <c r="DF31" i="13"/>
  <c r="DG31" i="13"/>
  <c r="DH31" i="13"/>
  <c r="DI31" i="13"/>
  <c r="DJ31" i="13"/>
  <c r="DK31" i="13"/>
  <c r="DL31" i="13"/>
  <c r="DA32" i="13"/>
  <c r="DB32" i="13"/>
  <c r="DC32" i="13"/>
  <c r="DD32" i="13"/>
  <c r="DE32" i="13"/>
  <c r="DF32" i="13"/>
  <c r="DG32" i="13"/>
  <c r="DH32" i="13"/>
  <c r="DI32" i="13"/>
  <c r="DJ32" i="13"/>
  <c r="DK32" i="13"/>
  <c r="DL32" i="13"/>
  <c r="DA34" i="13"/>
  <c r="DB34" i="13"/>
  <c r="DC34" i="13"/>
  <c r="DD34" i="13"/>
  <c r="DE34" i="13"/>
  <c r="DF34" i="13"/>
  <c r="DG34" i="13"/>
  <c r="DH34" i="13"/>
  <c r="DI34" i="13"/>
  <c r="DJ34" i="13"/>
  <c r="DK34" i="13"/>
  <c r="DL34" i="13"/>
  <c r="DA35" i="13"/>
  <c r="DB35" i="13"/>
  <c r="DC35" i="13"/>
  <c r="DD35" i="13"/>
  <c r="DE35" i="13"/>
  <c r="DF35" i="13"/>
  <c r="DG35" i="13"/>
  <c r="DH35" i="13"/>
  <c r="DI35" i="13"/>
  <c r="DJ35" i="13"/>
  <c r="DK35" i="13"/>
  <c r="DL35" i="13"/>
  <c r="DA36" i="13"/>
  <c r="DB36" i="13"/>
  <c r="DC36" i="13"/>
  <c r="DD36" i="13"/>
  <c r="DE36" i="13"/>
  <c r="DF36" i="13"/>
  <c r="DG36" i="13"/>
  <c r="DH36" i="13"/>
  <c r="DI36" i="13"/>
  <c r="DJ36" i="13"/>
  <c r="DK36" i="13"/>
  <c r="DL36" i="13"/>
  <c r="DA37" i="13"/>
  <c r="DB37" i="13"/>
  <c r="DC37" i="13"/>
  <c r="DD37" i="13"/>
  <c r="DE37" i="13"/>
  <c r="DF37" i="13"/>
  <c r="DG37" i="13"/>
  <c r="DH37" i="13"/>
  <c r="DI37" i="13"/>
  <c r="DJ37" i="13"/>
  <c r="DK37" i="13"/>
  <c r="DL37" i="13"/>
  <c r="DA38" i="13"/>
  <c r="DB38" i="13"/>
  <c r="DC38" i="13"/>
  <c r="DD38" i="13"/>
  <c r="DE38" i="13"/>
  <c r="DF38" i="13"/>
  <c r="DG38" i="13"/>
  <c r="DH38" i="13"/>
  <c r="DI38" i="13"/>
  <c r="DJ38" i="13"/>
  <c r="DK38" i="13"/>
  <c r="DL38" i="13"/>
  <c r="DA39" i="13"/>
  <c r="DB39" i="13"/>
  <c r="DC39" i="13"/>
  <c r="DD39" i="13"/>
  <c r="DE39" i="13"/>
  <c r="DF39" i="13"/>
  <c r="DG39" i="13"/>
  <c r="DH39" i="13"/>
  <c r="DI39" i="13"/>
  <c r="DJ39" i="13"/>
  <c r="DK39" i="13"/>
  <c r="DL39" i="13"/>
  <c r="DA40" i="13"/>
  <c r="DB40" i="13"/>
  <c r="DC40" i="13"/>
  <c r="DD40" i="13"/>
  <c r="DE40" i="13"/>
  <c r="DF40" i="13"/>
  <c r="DG40" i="13"/>
  <c r="DH40" i="13"/>
  <c r="DI40" i="13"/>
  <c r="DJ40" i="13"/>
  <c r="DK40" i="13"/>
  <c r="DL40" i="13"/>
  <c r="DA41" i="13"/>
  <c r="DB41" i="13"/>
  <c r="DC41" i="13"/>
  <c r="DD41" i="13"/>
  <c r="DE41" i="13"/>
  <c r="DF41" i="13"/>
  <c r="DG41" i="13"/>
  <c r="DH41" i="13"/>
  <c r="DI41" i="13"/>
  <c r="DJ41" i="13"/>
  <c r="DK41" i="13"/>
  <c r="DL41" i="13"/>
  <c r="DA42" i="13"/>
  <c r="DB42" i="13"/>
  <c r="DC42" i="13"/>
  <c r="DD42" i="13"/>
  <c r="DE42" i="13"/>
  <c r="DF42" i="13"/>
  <c r="DG42" i="13"/>
  <c r="DH42" i="13"/>
  <c r="DI42" i="13"/>
  <c r="DJ42" i="13"/>
  <c r="DK42" i="13"/>
  <c r="DL42" i="13"/>
  <c r="DA43" i="13"/>
  <c r="DB43" i="13"/>
  <c r="DC43" i="13"/>
  <c r="DD43" i="13"/>
  <c r="DE43" i="13"/>
  <c r="DF43" i="13"/>
  <c r="DG43" i="13"/>
  <c r="DH43" i="13"/>
  <c r="DI43" i="13"/>
  <c r="DJ43" i="13"/>
  <c r="DK43" i="13"/>
  <c r="DL43" i="13"/>
  <c r="DA44" i="13"/>
  <c r="DB44" i="13"/>
  <c r="DC44" i="13"/>
  <c r="DD44" i="13"/>
  <c r="DE44" i="13"/>
  <c r="DF44" i="13"/>
  <c r="DG44" i="13"/>
  <c r="DH44" i="13"/>
  <c r="DI44" i="13"/>
  <c r="DJ44" i="13"/>
  <c r="DK44" i="13"/>
  <c r="DL44" i="13"/>
  <c r="DA45" i="13"/>
  <c r="DB45" i="13"/>
  <c r="DC45" i="13"/>
  <c r="DD45" i="13"/>
  <c r="DE45" i="13"/>
  <c r="DF45" i="13"/>
  <c r="DG45" i="13"/>
  <c r="DH45" i="13"/>
  <c r="DI45" i="13"/>
  <c r="DJ45" i="13"/>
  <c r="DK45" i="13"/>
  <c r="DL45" i="13"/>
  <c r="DA46" i="13"/>
  <c r="DB46" i="13"/>
  <c r="DC46" i="13"/>
  <c r="DD46" i="13"/>
  <c r="DE46" i="13"/>
  <c r="DF46" i="13"/>
  <c r="DG46" i="13"/>
  <c r="DH46" i="13"/>
  <c r="DI46" i="13"/>
  <c r="DJ46" i="13"/>
  <c r="DK46" i="13"/>
  <c r="DL46" i="13"/>
  <c r="DA47" i="13"/>
  <c r="DB47" i="13"/>
  <c r="DC47" i="13"/>
  <c r="DD47" i="13"/>
  <c r="DE47" i="13"/>
  <c r="DF47" i="13"/>
  <c r="DG47" i="13"/>
  <c r="DH47" i="13"/>
  <c r="DI47" i="13"/>
  <c r="DJ47" i="13"/>
  <c r="DK47" i="13"/>
  <c r="DL47" i="13"/>
  <c r="DL50" i="10"/>
  <c r="DK50" i="10"/>
  <c r="DJ50" i="10"/>
  <c r="DI50" i="10"/>
  <c r="DH50" i="10"/>
  <c r="DG50" i="10"/>
  <c r="DF50" i="10"/>
  <c r="DE50" i="10"/>
  <c r="DD50" i="10"/>
  <c r="DC50" i="10"/>
  <c r="DB50" i="10"/>
  <c r="DA50" i="10"/>
  <c r="DL50" i="9"/>
  <c r="DK50" i="9"/>
  <c r="DJ50" i="9"/>
  <c r="DI50" i="9"/>
  <c r="DH50" i="9"/>
  <c r="DG50" i="9"/>
  <c r="DF50" i="9"/>
  <c r="DE50" i="9"/>
  <c r="DD50" i="9"/>
  <c r="DC50" i="9"/>
  <c r="DB50" i="9"/>
  <c r="DA50" i="9"/>
  <c r="DL50" i="6"/>
  <c r="DK50" i="6"/>
  <c r="DJ50" i="6"/>
  <c r="DI50" i="6"/>
  <c r="DH50" i="6"/>
  <c r="DG50" i="6"/>
  <c r="DF50" i="6"/>
  <c r="DE50" i="6"/>
  <c r="DD50" i="6"/>
  <c r="DC50" i="6"/>
  <c r="DB50" i="6"/>
  <c r="DA50" i="6"/>
  <c r="CZ50" i="6"/>
  <c r="CZ50" i="10"/>
  <c r="CZ50" i="9"/>
  <c r="CW25" i="7"/>
  <c r="CY50" i="10"/>
  <c r="CY50" i="9"/>
  <c r="CY50" i="6"/>
  <c r="CX50" i="10"/>
  <c r="CX50" i="9"/>
  <c r="CX50" i="6"/>
  <c r="CW50" i="6"/>
  <c r="CW50" i="9"/>
  <c r="CC37" i="7"/>
  <c r="CW7" i="7"/>
  <c r="CX7" i="7"/>
  <c r="CY7" i="7"/>
  <c r="CZ7" i="7"/>
  <c r="CW8" i="7"/>
  <c r="CX8" i="7"/>
  <c r="CY8" i="7"/>
  <c r="CZ8" i="7"/>
  <c r="CW9" i="7"/>
  <c r="CX9" i="7"/>
  <c r="CY9" i="7"/>
  <c r="CZ9" i="7"/>
  <c r="CW10" i="7"/>
  <c r="CX10" i="7"/>
  <c r="CY10" i="7"/>
  <c r="CZ10" i="7"/>
  <c r="CW11" i="7"/>
  <c r="CX11" i="7"/>
  <c r="CY11" i="7"/>
  <c r="CZ11" i="7"/>
  <c r="CW12" i="7"/>
  <c r="CX12" i="7"/>
  <c r="CY12" i="7"/>
  <c r="CZ12" i="7"/>
  <c r="CW13" i="7"/>
  <c r="CX13" i="7"/>
  <c r="CY13" i="7"/>
  <c r="CZ13" i="7"/>
  <c r="CW14" i="7"/>
  <c r="CX14" i="7"/>
  <c r="CY14" i="7"/>
  <c r="CZ14" i="7"/>
  <c r="CW15" i="7"/>
  <c r="CX15" i="7"/>
  <c r="CY15" i="7"/>
  <c r="CZ15" i="7"/>
  <c r="CW16" i="7"/>
  <c r="CX16" i="7"/>
  <c r="CY16" i="7"/>
  <c r="CZ16" i="7"/>
  <c r="CW17" i="7"/>
  <c r="CX17" i="7"/>
  <c r="CY17" i="7"/>
  <c r="CZ17" i="7"/>
  <c r="CW18" i="7"/>
  <c r="CX18" i="7"/>
  <c r="CY18" i="7"/>
  <c r="CZ18" i="7"/>
  <c r="CW19" i="7"/>
  <c r="CX19" i="7"/>
  <c r="CY19" i="7"/>
  <c r="CZ19" i="7"/>
  <c r="CW20" i="7"/>
  <c r="CX20" i="7"/>
  <c r="CY20" i="7"/>
  <c r="CZ20" i="7"/>
  <c r="CW21" i="7"/>
  <c r="CX21" i="7"/>
  <c r="CY21" i="7"/>
  <c r="CZ21" i="7"/>
  <c r="CW22" i="7"/>
  <c r="CX22" i="7"/>
  <c r="CY22" i="7"/>
  <c r="CZ22" i="7"/>
  <c r="CW23" i="7"/>
  <c r="CX23" i="7"/>
  <c r="CY23" i="7"/>
  <c r="CZ23" i="7"/>
  <c r="CW24" i="7"/>
  <c r="CX24" i="7"/>
  <c r="CY24" i="7"/>
  <c r="CZ24" i="7"/>
  <c r="CX25" i="7"/>
  <c r="CY25" i="7"/>
  <c r="CZ25" i="7"/>
  <c r="CW26" i="7"/>
  <c r="CX26" i="7"/>
  <c r="CY26" i="7"/>
  <c r="CZ26" i="7"/>
  <c r="CW27" i="7"/>
  <c r="CX27" i="7"/>
  <c r="CY27" i="7"/>
  <c r="CZ27" i="7"/>
  <c r="CW28" i="7"/>
  <c r="CX28" i="7"/>
  <c r="CY28" i="7"/>
  <c r="CZ28" i="7"/>
  <c r="CW29" i="7"/>
  <c r="CX29" i="7"/>
  <c r="CY29" i="7"/>
  <c r="CZ29" i="7"/>
  <c r="CW30" i="7"/>
  <c r="CX30" i="7"/>
  <c r="CY30" i="7"/>
  <c r="CZ30" i="7"/>
  <c r="CW31" i="7"/>
  <c r="CX31" i="7"/>
  <c r="CY31" i="7"/>
  <c r="CZ31" i="7"/>
  <c r="CW32" i="7"/>
  <c r="CX32" i="7"/>
  <c r="CY32" i="7"/>
  <c r="CZ32" i="7"/>
  <c r="CW34" i="7"/>
  <c r="CX34" i="7"/>
  <c r="CY34" i="7"/>
  <c r="CZ34" i="7"/>
  <c r="CW35" i="7"/>
  <c r="CX35" i="7"/>
  <c r="CY35" i="7"/>
  <c r="CZ35" i="7"/>
  <c r="CW36" i="7"/>
  <c r="CX36" i="7"/>
  <c r="CY36" i="7"/>
  <c r="CZ36" i="7"/>
  <c r="CW37" i="7"/>
  <c r="CX37" i="7"/>
  <c r="CY37" i="7"/>
  <c r="CZ37" i="7"/>
  <c r="CW38" i="7"/>
  <c r="CX38" i="7"/>
  <c r="CY38" i="7"/>
  <c r="CZ38" i="7"/>
  <c r="CW39" i="7"/>
  <c r="CX39" i="7"/>
  <c r="CY39" i="7"/>
  <c r="CZ39" i="7"/>
  <c r="CW40" i="7"/>
  <c r="CX40" i="7"/>
  <c r="CY40" i="7"/>
  <c r="CZ40" i="7"/>
  <c r="CW41" i="7"/>
  <c r="CX41" i="7"/>
  <c r="CY41" i="7"/>
  <c r="CZ41" i="7"/>
  <c r="CW42" i="7"/>
  <c r="CX42" i="7"/>
  <c r="CY42" i="7"/>
  <c r="CZ42" i="7"/>
  <c r="CW43" i="7"/>
  <c r="CX43" i="7"/>
  <c r="CY43" i="7"/>
  <c r="CZ43" i="7"/>
  <c r="CW44" i="7"/>
  <c r="CX44" i="7"/>
  <c r="CY44" i="7"/>
  <c r="CZ44" i="7"/>
  <c r="CW45" i="7"/>
  <c r="CX45" i="7"/>
  <c r="CY45" i="7"/>
  <c r="CZ45" i="7"/>
  <c r="CW46" i="7"/>
  <c r="CX46" i="7"/>
  <c r="CY46" i="7"/>
  <c r="CZ46" i="7"/>
  <c r="CW47" i="7"/>
  <c r="CX47" i="7"/>
  <c r="CY47" i="7"/>
  <c r="CZ47" i="7"/>
  <c r="CW7" i="12"/>
  <c r="CX7" i="12"/>
  <c r="CY7" i="12"/>
  <c r="CZ7" i="12"/>
  <c r="CW8" i="12"/>
  <c r="CX8" i="12"/>
  <c r="CY8" i="12"/>
  <c r="CZ8" i="12"/>
  <c r="CW9" i="12"/>
  <c r="CX9" i="12"/>
  <c r="CY9" i="12"/>
  <c r="CZ9" i="12"/>
  <c r="CW10" i="12"/>
  <c r="CX10" i="12"/>
  <c r="CY10" i="12"/>
  <c r="CZ10" i="12"/>
  <c r="CW11" i="12"/>
  <c r="CX11" i="12"/>
  <c r="CY11" i="12"/>
  <c r="CZ11" i="12"/>
  <c r="CW12" i="12"/>
  <c r="CX12" i="12"/>
  <c r="CY12" i="12"/>
  <c r="CZ12" i="12"/>
  <c r="CW13" i="12"/>
  <c r="CX13" i="12"/>
  <c r="CY13" i="12"/>
  <c r="CZ13" i="12"/>
  <c r="CW14" i="12"/>
  <c r="CX14" i="12"/>
  <c r="CY14" i="12"/>
  <c r="CZ14" i="12"/>
  <c r="CW15" i="12"/>
  <c r="CX15" i="12"/>
  <c r="CY15" i="12"/>
  <c r="CZ15" i="12"/>
  <c r="CW16" i="12"/>
  <c r="CX16" i="12"/>
  <c r="CY16" i="12"/>
  <c r="CZ16" i="12"/>
  <c r="CW17" i="12"/>
  <c r="CX17" i="12"/>
  <c r="CY17" i="12"/>
  <c r="CZ17" i="12"/>
  <c r="CW18" i="12"/>
  <c r="CX18" i="12"/>
  <c r="CY18" i="12"/>
  <c r="CZ18" i="12"/>
  <c r="CW19" i="12"/>
  <c r="CX19" i="12"/>
  <c r="CY19" i="12"/>
  <c r="CZ19" i="12"/>
  <c r="CW20" i="12"/>
  <c r="CX20" i="12"/>
  <c r="CY20" i="12"/>
  <c r="CZ20" i="12"/>
  <c r="CW21" i="12"/>
  <c r="CX21" i="12"/>
  <c r="CY21" i="12"/>
  <c r="CZ21" i="12"/>
  <c r="CW22" i="12"/>
  <c r="CX22" i="12"/>
  <c r="CY22" i="12"/>
  <c r="CZ22" i="12"/>
  <c r="CW23" i="12"/>
  <c r="CX23" i="12"/>
  <c r="CY23" i="12"/>
  <c r="CZ23" i="12"/>
  <c r="CW24" i="12"/>
  <c r="CX24" i="12"/>
  <c r="CY24" i="12"/>
  <c r="CZ24" i="12"/>
  <c r="CW25" i="12"/>
  <c r="CX25" i="12"/>
  <c r="CY25" i="12"/>
  <c r="CZ25" i="12"/>
  <c r="CW26" i="12"/>
  <c r="CX26" i="12"/>
  <c r="CY26" i="12"/>
  <c r="CZ26" i="12"/>
  <c r="CW27" i="12"/>
  <c r="CX27" i="12"/>
  <c r="CY27" i="12"/>
  <c r="CZ27" i="12"/>
  <c r="CW28" i="12"/>
  <c r="CX28" i="12"/>
  <c r="CY28" i="12"/>
  <c r="CZ28" i="12"/>
  <c r="CW29" i="12"/>
  <c r="CX29" i="12"/>
  <c r="CY29" i="12"/>
  <c r="CZ29" i="12"/>
  <c r="CW30" i="12"/>
  <c r="CX30" i="12"/>
  <c r="CY30" i="12"/>
  <c r="CZ30" i="12"/>
  <c r="CW31" i="12"/>
  <c r="CX31" i="12"/>
  <c r="CY31" i="12"/>
  <c r="CZ31" i="12"/>
  <c r="CW32" i="12"/>
  <c r="CX32" i="12"/>
  <c r="CY32" i="12"/>
  <c r="CZ32" i="12"/>
  <c r="CW34" i="12"/>
  <c r="CX34" i="12"/>
  <c r="CY34" i="12"/>
  <c r="CZ34" i="12"/>
  <c r="CW35" i="12"/>
  <c r="CX35" i="12"/>
  <c r="CY35" i="12"/>
  <c r="CZ35" i="12"/>
  <c r="CW36" i="12"/>
  <c r="CX36" i="12"/>
  <c r="CY36" i="12"/>
  <c r="CZ36" i="12"/>
  <c r="CW37" i="12"/>
  <c r="CX37" i="12"/>
  <c r="CY37" i="12"/>
  <c r="CZ37" i="12"/>
  <c r="CW38" i="12"/>
  <c r="CX38" i="12"/>
  <c r="CY38" i="12"/>
  <c r="CZ38" i="12"/>
  <c r="CW39" i="12"/>
  <c r="CX39" i="12"/>
  <c r="CY39" i="12"/>
  <c r="CZ39" i="12"/>
  <c r="CW40" i="12"/>
  <c r="CX40" i="12"/>
  <c r="CY40" i="12"/>
  <c r="CZ40" i="12"/>
  <c r="CW41" i="12"/>
  <c r="CX41" i="12"/>
  <c r="CY41" i="12"/>
  <c r="CZ41" i="12"/>
  <c r="CW42" i="12"/>
  <c r="CX42" i="12"/>
  <c r="CY42" i="12"/>
  <c r="CZ42" i="12"/>
  <c r="CW43" i="12"/>
  <c r="CX43" i="12"/>
  <c r="CY43" i="12"/>
  <c r="CZ43" i="12"/>
  <c r="CW44" i="12"/>
  <c r="CX44" i="12"/>
  <c r="CY44" i="12"/>
  <c r="CZ44" i="12"/>
  <c r="CW45" i="12"/>
  <c r="CX45" i="12"/>
  <c r="CY45" i="12"/>
  <c r="CZ45" i="12"/>
  <c r="CW46" i="12"/>
  <c r="CX46" i="12"/>
  <c r="CY46" i="12"/>
  <c r="CZ46" i="12"/>
  <c r="CW47" i="12"/>
  <c r="CX47" i="12"/>
  <c r="CY47" i="12"/>
  <c r="CZ47" i="12"/>
  <c r="CD45" i="13"/>
  <c r="CD46" i="13"/>
  <c r="CD47" i="13"/>
  <c r="CD44" i="13"/>
  <c r="CK8" i="13"/>
  <c r="CK9" i="13"/>
  <c r="CV8" i="13"/>
  <c r="CW8" i="13"/>
  <c r="CX8" i="13"/>
  <c r="CY8" i="13"/>
  <c r="CZ8" i="13"/>
  <c r="CV9" i="13"/>
  <c r="CW9" i="13"/>
  <c r="CX9" i="13"/>
  <c r="CY9" i="13"/>
  <c r="CZ9" i="13"/>
  <c r="CV10" i="13"/>
  <c r="CW10" i="13"/>
  <c r="CX10" i="13"/>
  <c r="CY10" i="13"/>
  <c r="CZ10" i="13"/>
  <c r="CV11" i="13"/>
  <c r="CW11" i="13"/>
  <c r="CX11" i="13"/>
  <c r="CY11" i="13"/>
  <c r="CZ11" i="13"/>
  <c r="CV12" i="13"/>
  <c r="CW12" i="13"/>
  <c r="CX12" i="13"/>
  <c r="CY12" i="13"/>
  <c r="CZ12" i="13"/>
  <c r="CV13" i="13"/>
  <c r="CW13" i="13"/>
  <c r="CX13" i="13"/>
  <c r="CY13" i="13"/>
  <c r="CZ13" i="13"/>
  <c r="CV14" i="13"/>
  <c r="CW14" i="13"/>
  <c r="CX14" i="13"/>
  <c r="CY14" i="13"/>
  <c r="CZ14" i="13"/>
  <c r="CV15" i="13"/>
  <c r="CW15" i="13"/>
  <c r="CX15" i="13"/>
  <c r="CY15" i="13"/>
  <c r="CZ15" i="13"/>
  <c r="CV16" i="13"/>
  <c r="CW16" i="13"/>
  <c r="CX16" i="13"/>
  <c r="CY16" i="13"/>
  <c r="CZ16" i="13"/>
  <c r="CV17" i="13"/>
  <c r="CW17" i="13"/>
  <c r="CX17" i="13"/>
  <c r="CY17" i="13"/>
  <c r="CZ17" i="13"/>
  <c r="CV18" i="13"/>
  <c r="CW18" i="13"/>
  <c r="CX18" i="13"/>
  <c r="CY18" i="13"/>
  <c r="CZ18" i="13"/>
  <c r="CV19" i="13"/>
  <c r="CW19" i="13"/>
  <c r="CX19" i="13"/>
  <c r="CY19" i="13"/>
  <c r="CZ19" i="13"/>
  <c r="CV20" i="13"/>
  <c r="CW20" i="13"/>
  <c r="CX20" i="13"/>
  <c r="CY20" i="13"/>
  <c r="CZ20" i="13"/>
  <c r="CV21" i="13"/>
  <c r="CW21" i="13"/>
  <c r="CX21" i="13"/>
  <c r="CY21" i="13"/>
  <c r="CZ21" i="13"/>
  <c r="CV22" i="13"/>
  <c r="CW22" i="13"/>
  <c r="CX22" i="13"/>
  <c r="CY22" i="13"/>
  <c r="CZ22" i="13"/>
  <c r="CV23" i="13"/>
  <c r="CW23" i="13"/>
  <c r="CX23" i="13"/>
  <c r="CY23" i="13"/>
  <c r="CZ23" i="13"/>
  <c r="CV24" i="13"/>
  <c r="CW24" i="13"/>
  <c r="CX24" i="13"/>
  <c r="CY24" i="13"/>
  <c r="CZ24" i="13"/>
  <c r="CV25" i="13"/>
  <c r="CW25" i="13"/>
  <c r="CX25" i="13"/>
  <c r="CY25" i="13"/>
  <c r="CZ25" i="13"/>
  <c r="CV26" i="13"/>
  <c r="CW26" i="13"/>
  <c r="CX26" i="13"/>
  <c r="CY26" i="13"/>
  <c r="CZ26" i="13"/>
  <c r="CV27" i="13"/>
  <c r="CW27" i="13"/>
  <c r="CX27" i="13"/>
  <c r="CY27" i="13"/>
  <c r="CZ27" i="13"/>
  <c r="CV28" i="13"/>
  <c r="CW28" i="13"/>
  <c r="CX28" i="13"/>
  <c r="CY28" i="13"/>
  <c r="CZ28" i="13"/>
  <c r="CV29" i="13"/>
  <c r="CW29" i="13"/>
  <c r="CX29" i="13"/>
  <c r="CY29" i="13"/>
  <c r="CZ29" i="13"/>
  <c r="CV30" i="13"/>
  <c r="CW30" i="13"/>
  <c r="CX30" i="13"/>
  <c r="CY30" i="13"/>
  <c r="CZ30" i="13"/>
  <c r="CV31" i="13"/>
  <c r="CW31" i="13"/>
  <c r="CX31" i="13"/>
  <c r="CY31" i="13"/>
  <c r="CZ31" i="13"/>
  <c r="CV32" i="13"/>
  <c r="CW32" i="13"/>
  <c r="CX32" i="13"/>
  <c r="CY32" i="13"/>
  <c r="CZ32" i="13"/>
  <c r="CV34" i="13"/>
  <c r="CW34" i="13"/>
  <c r="CX34" i="13"/>
  <c r="CY34" i="13"/>
  <c r="CZ34" i="13"/>
  <c r="CV35" i="13"/>
  <c r="CW35" i="13"/>
  <c r="CX35" i="13"/>
  <c r="CY35" i="13"/>
  <c r="CZ35" i="13"/>
  <c r="CV36" i="13"/>
  <c r="CW36" i="13"/>
  <c r="CX36" i="13"/>
  <c r="CY36" i="13"/>
  <c r="CZ36" i="13"/>
  <c r="CV37" i="13"/>
  <c r="CW37" i="13"/>
  <c r="CX37" i="13"/>
  <c r="CY37" i="13"/>
  <c r="CZ37" i="13"/>
  <c r="CV38" i="13"/>
  <c r="CW38" i="13"/>
  <c r="CX38" i="13"/>
  <c r="CY38" i="13"/>
  <c r="CZ38" i="13"/>
  <c r="CV39" i="13"/>
  <c r="CW39" i="13"/>
  <c r="CX39" i="13"/>
  <c r="CY39" i="13"/>
  <c r="CZ39" i="13"/>
  <c r="CV40" i="13"/>
  <c r="CW40" i="13"/>
  <c r="CX40" i="13"/>
  <c r="CY40" i="13"/>
  <c r="CZ40" i="13"/>
  <c r="CV41" i="13"/>
  <c r="CW41" i="13"/>
  <c r="CX41" i="13"/>
  <c r="CY41" i="13"/>
  <c r="CZ41" i="13"/>
  <c r="CV42" i="13"/>
  <c r="CW42" i="13"/>
  <c r="CX42" i="13"/>
  <c r="CY42" i="13"/>
  <c r="CZ42" i="13"/>
  <c r="CV43" i="13"/>
  <c r="CW43" i="13"/>
  <c r="CX43" i="13"/>
  <c r="CY43" i="13"/>
  <c r="CZ43" i="13"/>
  <c r="CV44" i="13"/>
  <c r="CW44" i="13"/>
  <c r="CX44" i="13"/>
  <c r="CY44" i="13"/>
  <c r="CZ44" i="13"/>
  <c r="CV45" i="13"/>
  <c r="CW45" i="13"/>
  <c r="CX45" i="13"/>
  <c r="CY45" i="13"/>
  <c r="CZ45" i="13"/>
  <c r="CV46" i="13"/>
  <c r="CW46" i="13"/>
  <c r="CX46" i="13"/>
  <c r="CY46" i="13"/>
  <c r="CZ46" i="13"/>
  <c r="CV47" i="13"/>
  <c r="CW47" i="13"/>
  <c r="CX47" i="13"/>
  <c r="CY47" i="13"/>
  <c r="CZ47" i="13"/>
  <c r="CL8" i="13"/>
  <c r="CM8" i="13"/>
  <c r="CN8" i="13"/>
  <c r="CO8" i="13"/>
  <c r="CP8" i="13"/>
  <c r="CQ8" i="13"/>
  <c r="CR8" i="13"/>
  <c r="CS8" i="13"/>
  <c r="CT8" i="13"/>
  <c r="CU8" i="13"/>
  <c r="CL9" i="13"/>
  <c r="CM9" i="13"/>
  <c r="CN9" i="13"/>
  <c r="CO9" i="13"/>
  <c r="CP9" i="13"/>
  <c r="CQ9" i="13"/>
  <c r="CR9" i="13"/>
  <c r="CS9" i="13"/>
  <c r="CT9" i="13"/>
  <c r="CU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CP11" i="13"/>
  <c r="CQ11" i="13"/>
  <c r="CR11" i="13"/>
  <c r="CS11" i="13"/>
  <c r="CT11" i="13"/>
  <c r="CU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BN12" i="13"/>
  <c r="BO12" i="13"/>
  <c r="BP12" i="13"/>
  <c r="BQ12" i="13"/>
  <c r="BR12" i="13"/>
  <c r="BS12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CP12" i="13"/>
  <c r="CQ12" i="13"/>
  <c r="CR12" i="13"/>
  <c r="CS12" i="13"/>
  <c r="CT12" i="13"/>
  <c r="CU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BN13" i="13"/>
  <c r="BO13" i="13"/>
  <c r="BP13" i="13"/>
  <c r="BQ13" i="13"/>
  <c r="BR13" i="13"/>
  <c r="BS13" i="13"/>
  <c r="BT13" i="13"/>
  <c r="BU13" i="13"/>
  <c r="BV13" i="13"/>
  <c r="BW13" i="13"/>
  <c r="BX13" i="13"/>
  <c r="BY13" i="13"/>
  <c r="BZ13" i="13"/>
  <c r="CA13" i="13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CP13" i="13"/>
  <c r="CQ13" i="13"/>
  <c r="CR13" i="13"/>
  <c r="CS13" i="13"/>
  <c r="CT13" i="13"/>
  <c r="CU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BN15" i="13"/>
  <c r="BO15" i="13"/>
  <c r="BP15" i="13"/>
  <c r="BQ15" i="13"/>
  <c r="BR15" i="13"/>
  <c r="BS15" i="13"/>
  <c r="BT15" i="13"/>
  <c r="BU15" i="13"/>
  <c r="BV15" i="13"/>
  <c r="BW15" i="13"/>
  <c r="BX15" i="13"/>
  <c r="BY15" i="13"/>
  <c r="BZ15" i="13"/>
  <c r="CA15" i="13"/>
  <c r="CB15" i="13"/>
  <c r="CC15" i="13"/>
  <c r="CD15" i="13"/>
  <c r="CE15" i="13"/>
  <c r="CF15" i="13"/>
  <c r="CG15" i="13"/>
  <c r="CH15" i="13"/>
  <c r="CI15" i="13"/>
  <c r="CJ15" i="13"/>
  <c r="CK15" i="13"/>
  <c r="CL15" i="13"/>
  <c r="CM15" i="13"/>
  <c r="CN15" i="13"/>
  <c r="CO15" i="13"/>
  <c r="CP15" i="13"/>
  <c r="CQ15" i="13"/>
  <c r="CR15" i="13"/>
  <c r="CS15" i="13"/>
  <c r="CT15" i="13"/>
  <c r="CU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BO17" i="13"/>
  <c r="BP17" i="13"/>
  <c r="BQ17" i="13"/>
  <c r="BR17" i="13"/>
  <c r="BS17" i="13"/>
  <c r="BT17" i="13"/>
  <c r="BU17" i="13"/>
  <c r="BV17" i="13"/>
  <c r="BW17" i="13"/>
  <c r="BX17" i="13"/>
  <c r="BY17" i="13"/>
  <c r="BZ17" i="13"/>
  <c r="CA17" i="13"/>
  <c r="CB17" i="13"/>
  <c r="CC17" i="13"/>
  <c r="CD17" i="13"/>
  <c r="CE17" i="13"/>
  <c r="CF17" i="13"/>
  <c r="CG17" i="13"/>
  <c r="CH17" i="13"/>
  <c r="CI17" i="13"/>
  <c r="CJ17" i="13"/>
  <c r="CK17" i="13"/>
  <c r="CL17" i="13"/>
  <c r="CM17" i="13"/>
  <c r="CN17" i="13"/>
  <c r="CO17" i="13"/>
  <c r="CP17" i="13"/>
  <c r="CQ17" i="13"/>
  <c r="CR17" i="13"/>
  <c r="CS17" i="13"/>
  <c r="CT17" i="13"/>
  <c r="CU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R18" i="13"/>
  <c r="BS18" i="13"/>
  <c r="BT18" i="13"/>
  <c r="BU18" i="13"/>
  <c r="BV18" i="13"/>
  <c r="BW18" i="13"/>
  <c r="BX18" i="13"/>
  <c r="BY18" i="13"/>
  <c r="BZ18" i="13"/>
  <c r="CA18" i="13"/>
  <c r="CB18" i="13"/>
  <c r="CC18" i="13"/>
  <c r="CD18" i="13"/>
  <c r="CE18" i="13"/>
  <c r="CF18" i="13"/>
  <c r="CG18" i="13"/>
  <c r="CH18" i="13"/>
  <c r="CI18" i="13"/>
  <c r="CJ18" i="13"/>
  <c r="CK18" i="13"/>
  <c r="CL18" i="13"/>
  <c r="CM18" i="13"/>
  <c r="CN18" i="13"/>
  <c r="CO18" i="13"/>
  <c r="CP18" i="13"/>
  <c r="CQ18" i="13"/>
  <c r="CR18" i="13"/>
  <c r="CS18" i="13"/>
  <c r="CT18" i="13"/>
  <c r="CU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G19" i="13"/>
  <c r="BH19" i="13"/>
  <c r="BI19" i="13"/>
  <c r="BJ19" i="13"/>
  <c r="BK19" i="13"/>
  <c r="BL19" i="13"/>
  <c r="BM19" i="13"/>
  <c r="BN19" i="13"/>
  <c r="BO19" i="13"/>
  <c r="BP19" i="13"/>
  <c r="BQ19" i="13"/>
  <c r="BR19" i="13"/>
  <c r="BS19" i="13"/>
  <c r="BT19" i="13"/>
  <c r="BU19" i="13"/>
  <c r="BV19" i="13"/>
  <c r="BW19" i="13"/>
  <c r="BX19" i="13"/>
  <c r="BY19" i="13"/>
  <c r="BZ19" i="13"/>
  <c r="CA19" i="13"/>
  <c r="CB19" i="13"/>
  <c r="CC19" i="13"/>
  <c r="CD19" i="13"/>
  <c r="CE19" i="13"/>
  <c r="CF19" i="13"/>
  <c r="CG19" i="13"/>
  <c r="CH19" i="13"/>
  <c r="CI19" i="13"/>
  <c r="CJ19" i="13"/>
  <c r="CK19" i="13"/>
  <c r="CL19" i="13"/>
  <c r="CM19" i="13"/>
  <c r="CN19" i="13"/>
  <c r="CO19" i="13"/>
  <c r="CP19" i="13"/>
  <c r="CQ19" i="13"/>
  <c r="CR19" i="13"/>
  <c r="CS19" i="13"/>
  <c r="CT19" i="13"/>
  <c r="CU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AY20" i="13"/>
  <c r="AZ20" i="13"/>
  <c r="BA20" i="13"/>
  <c r="BB20" i="13"/>
  <c r="BC20" i="13"/>
  <c r="BD20" i="13"/>
  <c r="BE20" i="13"/>
  <c r="BF20" i="13"/>
  <c r="BG20" i="13"/>
  <c r="BH20" i="13"/>
  <c r="BI20" i="13"/>
  <c r="BJ20" i="13"/>
  <c r="BK20" i="13"/>
  <c r="BL20" i="13"/>
  <c r="BM20" i="13"/>
  <c r="BN20" i="13"/>
  <c r="BO20" i="13"/>
  <c r="BP20" i="13"/>
  <c r="BQ20" i="13"/>
  <c r="BR20" i="13"/>
  <c r="BS20" i="13"/>
  <c r="BT20" i="13"/>
  <c r="BU20" i="13"/>
  <c r="BV20" i="13"/>
  <c r="BW20" i="13"/>
  <c r="BX20" i="13"/>
  <c r="BY20" i="13"/>
  <c r="BZ20" i="13"/>
  <c r="CA20" i="13"/>
  <c r="CB20" i="13"/>
  <c r="CC20" i="13"/>
  <c r="CD20" i="13"/>
  <c r="CE20" i="13"/>
  <c r="CF20" i="13"/>
  <c r="CG20" i="13"/>
  <c r="CH20" i="13"/>
  <c r="CI20" i="13"/>
  <c r="CJ20" i="13"/>
  <c r="CK20" i="13"/>
  <c r="CL20" i="13"/>
  <c r="CM20" i="13"/>
  <c r="CN20" i="13"/>
  <c r="CO20" i="13"/>
  <c r="CP20" i="13"/>
  <c r="CQ20" i="13"/>
  <c r="CR20" i="13"/>
  <c r="CS20" i="13"/>
  <c r="CT20" i="13"/>
  <c r="CU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O21" i="13"/>
  <c r="BP21" i="13"/>
  <c r="BQ21" i="13"/>
  <c r="BR21" i="13"/>
  <c r="BS21" i="13"/>
  <c r="BT21" i="13"/>
  <c r="BU21" i="13"/>
  <c r="BV21" i="13"/>
  <c r="BW21" i="13"/>
  <c r="BX21" i="13"/>
  <c r="BY21" i="13"/>
  <c r="BZ21" i="13"/>
  <c r="CA21" i="13"/>
  <c r="CB21" i="13"/>
  <c r="CC21" i="13"/>
  <c r="CD21" i="13"/>
  <c r="CE21" i="13"/>
  <c r="CF21" i="13"/>
  <c r="CG21" i="13"/>
  <c r="CH21" i="13"/>
  <c r="CI21" i="13"/>
  <c r="CJ21" i="13"/>
  <c r="CK21" i="13"/>
  <c r="CL21" i="13"/>
  <c r="CM21" i="13"/>
  <c r="CN21" i="13"/>
  <c r="CO21" i="13"/>
  <c r="CP21" i="13"/>
  <c r="CQ21" i="13"/>
  <c r="CR21" i="13"/>
  <c r="CS21" i="13"/>
  <c r="CT21" i="13"/>
  <c r="CU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AY22" i="13"/>
  <c r="AZ22" i="13"/>
  <c r="BA22" i="13"/>
  <c r="BB22" i="13"/>
  <c r="BC22" i="13"/>
  <c r="BD22" i="13"/>
  <c r="BE22" i="13"/>
  <c r="BF22" i="13"/>
  <c r="BG22" i="13"/>
  <c r="BH22" i="13"/>
  <c r="BI22" i="13"/>
  <c r="BJ22" i="13"/>
  <c r="BK22" i="13"/>
  <c r="BL22" i="13"/>
  <c r="BM22" i="13"/>
  <c r="BN22" i="13"/>
  <c r="BO22" i="13"/>
  <c r="BP22" i="13"/>
  <c r="BQ22" i="13"/>
  <c r="BR22" i="13"/>
  <c r="BS22" i="13"/>
  <c r="BT22" i="13"/>
  <c r="BU22" i="13"/>
  <c r="BV22" i="13"/>
  <c r="BW22" i="13"/>
  <c r="BX22" i="13"/>
  <c r="BY22" i="13"/>
  <c r="BZ22" i="13"/>
  <c r="CA22" i="13"/>
  <c r="CB22" i="13"/>
  <c r="CC22" i="13"/>
  <c r="CD22" i="13"/>
  <c r="CE22" i="13"/>
  <c r="CF22" i="13"/>
  <c r="CG22" i="13"/>
  <c r="CH22" i="13"/>
  <c r="CI22" i="13"/>
  <c r="CJ22" i="13"/>
  <c r="CK22" i="13"/>
  <c r="CL22" i="13"/>
  <c r="CM22" i="13"/>
  <c r="CN22" i="13"/>
  <c r="CO22" i="13"/>
  <c r="CP22" i="13"/>
  <c r="CQ22" i="13"/>
  <c r="CR22" i="13"/>
  <c r="CS22" i="13"/>
  <c r="CT22" i="13"/>
  <c r="CU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AY23" i="13"/>
  <c r="AZ23" i="13"/>
  <c r="BA23" i="13"/>
  <c r="BB23" i="13"/>
  <c r="BC23" i="13"/>
  <c r="BD23" i="13"/>
  <c r="BE23" i="13"/>
  <c r="BF23" i="13"/>
  <c r="BG23" i="13"/>
  <c r="BH23" i="13"/>
  <c r="BI23" i="13"/>
  <c r="BJ23" i="13"/>
  <c r="BK23" i="13"/>
  <c r="BL23" i="13"/>
  <c r="BM23" i="13"/>
  <c r="BN23" i="13"/>
  <c r="BO23" i="13"/>
  <c r="BP23" i="13"/>
  <c r="BQ23" i="13"/>
  <c r="BR23" i="13"/>
  <c r="BS23" i="13"/>
  <c r="BT23" i="13"/>
  <c r="BU23" i="13"/>
  <c r="BV23" i="13"/>
  <c r="BW23" i="13"/>
  <c r="BX23" i="13"/>
  <c r="BY23" i="13"/>
  <c r="BZ23" i="13"/>
  <c r="CA23" i="13"/>
  <c r="CB23" i="13"/>
  <c r="CC23" i="13"/>
  <c r="CD23" i="13"/>
  <c r="CE23" i="13"/>
  <c r="CF23" i="13"/>
  <c r="CG23" i="13"/>
  <c r="CH23" i="13"/>
  <c r="CI23" i="13"/>
  <c r="CJ23" i="13"/>
  <c r="CK23" i="13"/>
  <c r="CL23" i="13"/>
  <c r="CM23" i="13"/>
  <c r="CN23" i="13"/>
  <c r="CO23" i="13"/>
  <c r="CP23" i="13"/>
  <c r="CQ23" i="13"/>
  <c r="CR23" i="13"/>
  <c r="CS23" i="13"/>
  <c r="CT23" i="13"/>
  <c r="CU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O24" i="13"/>
  <c r="BP24" i="13"/>
  <c r="BQ24" i="13"/>
  <c r="BR24" i="13"/>
  <c r="BS24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M24" i="13"/>
  <c r="CN24" i="13"/>
  <c r="CO24" i="13"/>
  <c r="CP24" i="13"/>
  <c r="CQ24" i="13"/>
  <c r="CR24" i="13"/>
  <c r="CS24" i="13"/>
  <c r="CT24" i="13"/>
  <c r="CU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BJ25" i="13"/>
  <c r="BK25" i="13"/>
  <c r="BL25" i="13"/>
  <c r="BM25" i="13"/>
  <c r="BN25" i="13"/>
  <c r="BO25" i="13"/>
  <c r="BP25" i="13"/>
  <c r="BQ25" i="13"/>
  <c r="BR25" i="13"/>
  <c r="BS25" i="13"/>
  <c r="BT25" i="13"/>
  <c r="BU25" i="13"/>
  <c r="BV25" i="13"/>
  <c r="BW25" i="13"/>
  <c r="BX25" i="13"/>
  <c r="BY25" i="13"/>
  <c r="BZ25" i="13"/>
  <c r="CA25" i="13"/>
  <c r="CB25" i="13"/>
  <c r="CC25" i="13"/>
  <c r="CD25" i="13"/>
  <c r="CE25" i="13"/>
  <c r="CF25" i="13"/>
  <c r="CG25" i="13"/>
  <c r="CH25" i="13"/>
  <c r="CI25" i="13"/>
  <c r="CJ25" i="13"/>
  <c r="CK25" i="13"/>
  <c r="CL25" i="13"/>
  <c r="CM25" i="13"/>
  <c r="CN25" i="13"/>
  <c r="CO25" i="13"/>
  <c r="CP25" i="13"/>
  <c r="CQ25" i="13"/>
  <c r="CR25" i="13"/>
  <c r="CS25" i="13"/>
  <c r="CT25" i="13"/>
  <c r="CU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BD26" i="13"/>
  <c r="BE26" i="13"/>
  <c r="BF26" i="13"/>
  <c r="BG26" i="13"/>
  <c r="BH26" i="13"/>
  <c r="BI26" i="13"/>
  <c r="BJ26" i="13"/>
  <c r="BK26" i="13"/>
  <c r="BL26" i="13"/>
  <c r="BM26" i="13"/>
  <c r="BN26" i="13"/>
  <c r="BO26" i="13"/>
  <c r="BP26" i="13"/>
  <c r="BQ26" i="13"/>
  <c r="BR26" i="13"/>
  <c r="BS26" i="13"/>
  <c r="BT26" i="13"/>
  <c r="BU26" i="13"/>
  <c r="BV26" i="13"/>
  <c r="BW26" i="13"/>
  <c r="BX26" i="13"/>
  <c r="BY26" i="13"/>
  <c r="BZ26" i="13"/>
  <c r="CA26" i="13"/>
  <c r="CB26" i="13"/>
  <c r="CC26" i="13"/>
  <c r="CD26" i="13"/>
  <c r="CE26" i="13"/>
  <c r="CF26" i="13"/>
  <c r="CG26" i="13"/>
  <c r="CH26" i="13"/>
  <c r="CI26" i="13"/>
  <c r="CJ26" i="13"/>
  <c r="CK26" i="13"/>
  <c r="CL26" i="13"/>
  <c r="CM26" i="13"/>
  <c r="CN26" i="13"/>
  <c r="CO26" i="13"/>
  <c r="CP26" i="13"/>
  <c r="CQ26" i="13"/>
  <c r="CR26" i="13"/>
  <c r="CS26" i="13"/>
  <c r="CT26" i="13"/>
  <c r="CU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N27" i="13"/>
  <c r="BO27" i="13"/>
  <c r="BP27" i="13"/>
  <c r="BQ27" i="13"/>
  <c r="BR27" i="13"/>
  <c r="BS27" i="13"/>
  <c r="BT27" i="13"/>
  <c r="BU27" i="13"/>
  <c r="BV27" i="13"/>
  <c r="BW27" i="13"/>
  <c r="BX27" i="13"/>
  <c r="BY27" i="13"/>
  <c r="BZ27" i="13"/>
  <c r="CA27" i="13"/>
  <c r="CB27" i="13"/>
  <c r="CC27" i="13"/>
  <c r="CD27" i="13"/>
  <c r="CE27" i="13"/>
  <c r="CF27" i="13"/>
  <c r="CG27" i="13"/>
  <c r="CH27" i="13"/>
  <c r="CI27" i="13"/>
  <c r="CJ27" i="13"/>
  <c r="CK27" i="13"/>
  <c r="CL27" i="13"/>
  <c r="CM27" i="13"/>
  <c r="CN27" i="13"/>
  <c r="CO27" i="13"/>
  <c r="CP27" i="13"/>
  <c r="CQ27" i="13"/>
  <c r="CR27" i="13"/>
  <c r="CS27" i="13"/>
  <c r="CT27" i="13"/>
  <c r="CU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AY28" i="13"/>
  <c r="AZ28" i="13"/>
  <c r="BA28" i="13"/>
  <c r="BB28" i="13"/>
  <c r="BC28" i="13"/>
  <c r="BD28" i="13"/>
  <c r="BE28" i="13"/>
  <c r="BF28" i="13"/>
  <c r="BG28" i="13"/>
  <c r="BH28" i="13"/>
  <c r="BI28" i="13"/>
  <c r="BJ28" i="13"/>
  <c r="BK28" i="13"/>
  <c r="BL28" i="13"/>
  <c r="BM28" i="13"/>
  <c r="BN28" i="13"/>
  <c r="BO28" i="13"/>
  <c r="BP28" i="13"/>
  <c r="BQ28" i="13"/>
  <c r="BR28" i="13"/>
  <c r="BS28" i="13"/>
  <c r="BT28" i="13"/>
  <c r="BU28" i="13"/>
  <c r="BV28" i="13"/>
  <c r="BW28" i="13"/>
  <c r="BX28" i="13"/>
  <c r="BY28" i="13"/>
  <c r="BZ28" i="13"/>
  <c r="CA28" i="13"/>
  <c r="CB28" i="13"/>
  <c r="CC28" i="13"/>
  <c r="CD28" i="13"/>
  <c r="CE28" i="13"/>
  <c r="CF28" i="13"/>
  <c r="CG28" i="13"/>
  <c r="CH28" i="13"/>
  <c r="CI28" i="13"/>
  <c r="CJ28" i="13"/>
  <c r="CK28" i="13"/>
  <c r="CL28" i="13"/>
  <c r="CM28" i="13"/>
  <c r="CN28" i="13"/>
  <c r="CO28" i="13"/>
  <c r="CP28" i="13"/>
  <c r="CQ28" i="13"/>
  <c r="CR28" i="13"/>
  <c r="CS28" i="13"/>
  <c r="CT28" i="13"/>
  <c r="CU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AY29" i="13"/>
  <c r="AZ29" i="13"/>
  <c r="BA29" i="13"/>
  <c r="BB29" i="13"/>
  <c r="BC29" i="13"/>
  <c r="BD29" i="13"/>
  <c r="BE29" i="13"/>
  <c r="BF29" i="13"/>
  <c r="BG29" i="13"/>
  <c r="BH29" i="13"/>
  <c r="BI29" i="13"/>
  <c r="BJ29" i="13"/>
  <c r="BK29" i="13"/>
  <c r="BL29" i="13"/>
  <c r="BM29" i="13"/>
  <c r="BN29" i="13"/>
  <c r="BO29" i="13"/>
  <c r="BP29" i="13"/>
  <c r="BQ29" i="13"/>
  <c r="BR29" i="13"/>
  <c r="BS29" i="13"/>
  <c r="BT29" i="13"/>
  <c r="BU29" i="13"/>
  <c r="BV29" i="13"/>
  <c r="BW29" i="13"/>
  <c r="BX29" i="13"/>
  <c r="BY29" i="13"/>
  <c r="BZ29" i="13"/>
  <c r="CA29" i="13"/>
  <c r="CB29" i="13"/>
  <c r="CC29" i="13"/>
  <c r="CD29" i="13"/>
  <c r="CE29" i="13"/>
  <c r="CF29" i="13"/>
  <c r="CG29" i="13"/>
  <c r="CH29" i="13"/>
  <c r="CI29" i="13"/>
  <c r="CJ29" i="13"/>
  <c r="CK29" i="13"/>
  <c r="CL29" i="13"/>
  <c r="CM29" i="13"/>
  <c r="CN29" i="13"/>
  <c r="CO29" i="13"/>
  <c r="CP29" i="13"/>
  <c r="CQ29" i="13"/>
  <c r="CR29" i="13"/>
  <c r="CS29" i="13"/>
  <c r="CT29" i="13"/>
  <c r="CU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AU30" i="13"/>
  <c r="AV30" i="13"/>
  <c r="AW30" i="13"/>
  <c r="AX30" i="13"/>
  <c r="AY30" i="13"/>
  <c r="AZ30" i="13"/>
  <c r="BA30" i="13"/>
  <c r="BB30" i="13"/>
  <c r="BC30" i="13"/>
  <c r="BD30" i="13"/>
  <c r="BE30" i="13"/>
  <c r="BF30" i="13"/>
  <c r="BG30" i="13"/>
  <c r="BH30" i="13"/>
  <c r="BI30" i="13"/>
  <c r="BJ30" i="13"/>
  <c r="BK30" i="13"/>
  <c r="BL30" i="13"/>
  <c r="BM30" i="13"/>
  <c r="BN30" i="13"/>
  <c r="BO30" i="13"/>
  <c r="BP30" i="13"/>
  <c r="BQ30" i="13"/>
  <c r="BR30" i="13"/>
  <c r="BS30" i="13"/>
  <c r="BT30" i="13"/>
  <c r="BU30" i="13"/>
  <c r="BV30" i="13"/>
  <c r="BW30" i="13"/>
  <c r="BX30" i="13"/>
  <c r="BY30" i="13"/>
  <c r="BZ30" i="13"/>
  <c r="CA30" i="13"/>
  <c r="CB30" i="13"/>
  <c r="CC30" i="13"/>
  <c r="CD30" i="13"/>
  <c r="CE30" i="13"/>
  <c r="CF30" i="13"/>
  <c r="CG30" i="13"/>
  <c r="CH30" i="13"/>
  <c r="CI30" i="13"/>
  <c r="CJ30" i="13"/>
  <c r="CK30" i="13"/>
  <c r="CL30" i="13"/>
  <c r="CM30" i="13"/>
  <c r="CN30" i="13"/>
  <c r="CO30" i="13"/>
  <c r="CP30" i="13"/>
  <c r="CQ30" i="13"/>
  <c r="CR30" i="13"/>
  <c r="CS30" i="13"/>
  <c r="CT30" i="13"/>
  <c r="CU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AU31" i="13"/>
  <c r="AV31" i="13"/>
  <c r="AW31" i="13"/>
  <c r="AX31" i="13"/>
  <c r="AY31" i="13"/>
  <c r="AZ31" i="13"/>
  <c r="BA31" i="13"/>
  <c r="BB31" i="13"/>
  <c r="BC31" i="13"/>
  <c r="BD31" i="13"/>
  <c r="BE31" i="13"/>
  <c r="BF31" i="13"/>
  <c r="BG31" i="13"/>
  <c r="BH31" i="13"/>
  <c r="BI31" i="13"/>
  <c r="BJ31" i="13"/>
  <c r="BK31" i="13"/>
  <c r="BL31" i="13"/>
  <c r="BM31" i="13"/>
  <c r="BN31" i="13"/>
  <c r="BO31" i="13"/>
  <c r="BP31" i="13"/>
  <c r="BQ31" i="13"/>
  <c r="BR31" i="13"/>
  <c r="BS31" i="13"/>
  <c r="BT31" i="13"/>
  <c r="BU31" i="13"/>
  <c r="BV31" i="13"/>
  <c r="BW31" i="13"/>
  <c r="BX31" i="13"/>
  <c r="BY31" i="13"/>
  <c r="BZ31" i="13"/>
  <c r="CA31" i="13"/>
  <c r="CB31" i="13"/>
  <c r="CC31" i="13"/>
  <c r="CD31" i="13"/>
  <c r="CE31" i="13"/>
  <c r="CF31" i="13"/>
  <c r="CG31" i="13"/>
  <c r="CH31" i="13"/>
  <c r="CI31" i="13"/>
  <c r="CJ31" i="13"/>
  <c r="CK31" i="13"/>
  <c r="CL31" i="13"/>
  <c r="CM31" i="13"/>
  <c r="CN31" i="13"/>
  <c r="CO31" i="13"/>
  <c r="CP31" i="13"/>
  <c r="CQ31" i="13"/>
  <c r="CR31" i="13"/>
  <c r="CS31" i="13"/>
  <c r="CT31" i="13"/>
  <c r="CU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AU32" i="13"/>
  <c r="AV32" i="13"/>
  <c r="AW32" i="13"/>
  <c r="AX32" i="13"/>
  <c r="AY32" i="13"/>
  <c r="AZ32" i="13"/>
  <c r="BA32" i="13"/>
  <c r="BB32" i="13"/>
  <c r="BC32" i="13"/>
  <c r="BD32" i="13"/>
  <c r="BE32" i="13"/>
  <c r="BF32" i="13"/>
  <c r="BG32" i="13"/>
  <c r="BH32" i="13"/>
  <c r="BI32" i="13"/>
  <c r="BJ32" i="13"/>
  <c r="BK32" i="13"/>
  <c r="BL32" i="13"/>
  <c r="BM32" i="13"/>
  <c r="BN32" i="13"/>
  <c r="BO32" i="13"/>
  <c r="BP32" i="13"/>
  <c r="BQ32" i="13"/>
  <c r="BR32" i="13"/>
  <c r="BS32" i="13"/>
  <c r="BT32" i="13"/>
  <c r="BU32" i="13"/>
  <c r="BV32" i="13"/>
  <c r="BW32" i="13"/>
  <c r="BX32" i="13"/>
  <c r="BY32" i="13"/>
  <c r="BZ32" i="13"/>
  <c r="CA32" i="13"/>
  <c r="CB32" i="13"/>
  <c r="CC32" i="13"/>
  <c r="CD32" i="13"/>
  <c r="CE32" i="13"/>
  <c r="CF32" i="13"/>
  <c r="CG32" i="13"/>
  <c r="CH32" i="13"/>
  <c r="CI32" i="13"/>
  <c r="CJ32" i="13"/>
  <c r="CK32" i="13"/>
  <c r="CL32" i="13"/>
  <c r="CM32" i="13"/>
  <c r="CN32" i="13"/>
  <c r="CO32" i="13"/>
  <c r="CP32" i="13"/>
  <c r="CQ32" i="13"/>
  <c r="CR32" i="13"/>
  <c r="CS32" i="13"/>
  <c r="CT32" i="13"/>
  <c r="CU32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AY34" i="13"/>
  <c r="AZ34" i="13"/>
  <c r="BA34" i="13"/>
  <c r="BB34" i="13"/>
  <c r="BC34" i="13"/>
  <c r="BD34" i="13"/>
  <c r="BE34" i="13"/>
  <c r="BF34" i="13"/>
  <c r="BG34" i="13"/>
  <c r="BH34" i="13"/>
  <c r="BI34" i="13"/>
  <c r="BJ34" i="13"/>
  <c r="BK34" i="13"/>
  <c r="BL34" i="13"/>
  <c r="BM34" i="13"/>
  <c r="BN34" i="13"/>
  <c r="BO34" i="13"/>
  <c r="BP34" i="13"/>
  <c r="BQ34" i="13"/>
  <c r="BR34" i="13"/>
  <c r="BS34" i="13"/>
  <c r="BT34" i="13"/>
  <c r="BU34" i="13"/>
  <c r="BV34" i="13"/>
  <c r="BW34" i="13"/>
  <c r="BX34" i="13"/>
  <c r="BY34" i="13"/>
  <c r="BZ34" i="13"/>
  <c r="CA34" i="13"/>
  <c r="CB34" i="13"/>
  <c r="CC34" i="13"/>
  <c r="CD34" i="13"/>
  <c r="CE34" i="13"/>
  <c r="CF34" i="13"/>
  <c r="CG34" i="13"/>
  <c r="CH34" i="13"/>
  <c r="CI34" i="13"/>
  <c r="CJ34" i="13"/>
  <c r="CK34" i="13"/>
  <c r="CL34" i="13"/>
  <c r="CM34" i="13"/>
  <c r="CN34" i="13"/>
  <c r="CO34" i="13"/>
  <c r="CP34" i="13"/>
  <c r="CQ34" i="13"/>
  <c r="CR34" i="13"/>
  <c r="CS34" i="13"/>
  <c r="CT34" i="13"/>
  <c r="CU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AY35" i="13"/>
  <c r="AZ35" i="13"/>
  <c r="BA35" i="13"/>
  <c r="BB35" i="13"/>
  <c r="BC35" i="13"/>
  <c r="BD35" i="13"/>
  <c r="BE35" i="13"/>
  <c r="BF35" i="13"/>
  <c r="BG35" i="13"/>
  <c r="BH35" i="13"/>
  <c r="BI35" i="13"/>
  <c r="BJ35" i="13"/>
  <c r="BK35" i="13"/>
  <c r="BL35" i="13"/>
  <c r="BM35" i="13"/>
  <c r="BN35" i="13"/>
  <c r="BO35" i="13"/>
  <c r="BP35" i="13"/>
  <c r="BQ35" i="13"/>
  <c r="BR35" i="13"/>
  <c r="BS35" i="13"/>
  <c r="BT35" i="13"/>
  <c r="BU35" i="13"/>
  <c r="BV35" i="13"/>
  <c r="BW35" i="13"/>
  <c r="BX35" i="13"/>
  <c r="BY35" i="13"/>
  <c r="BZ35" i="13"/>
  <c r="CA35" i="13"/>
  <c r="CB35" i="13"/>
  <c r="CC35" i="13"/>
  <c r="CD35" i="13"/>
  <c r="CE35" i="13"/>
  <c r="CF35" i="13"/>
  <c r="CG35" i="13"/>
  <c r="CH35" i="13"/>
  <c r="CI35" i="13"/>
  <c r="CJ35" i="13"/>
  <c r="CK35" i="13"/>
  <c r="CL35" i="13"/>
  <c r="CM35" i="13"/>
  <c r="CN35" i="13"/>
  <c r="CO35" i="13"/>
  <c r="CP35" i="13"/>
  <c r="CQ35" i="13"/>
  <c r="CR35" i="13"/>
  <c r="CS35" i="13"/>
  <c r="CT35" i="13"/>
  <c r="CU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V36" i="13"/>
  <c r="BW36" i="13"/>
  <c r="BX36" i="13"/>
  <c r="BY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Q36" i="13"/>
  <c r="CR36" i="13"/>
  <c r="CS36" i="13"/>
  <c r="CT36" i="13"/>
  <c r="CU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Z37" i="13"/>
  <c r="BA37" i="13"/>
  <c r="BB37" i="13"/>
  <c r="BC37" i="13"/>
  <c r="BD37" i="13"/>
  <c r="BE37" i="13"/>
  <c r="BF37" i="13"/>
  <c r="BG37" i="13"/>
  <c r="BH37" i="13"/>
  <c r="BI37" i="13"/>
  <c r="BJ37" i="13"/>
  <c r="BK37" i="13"/>
  <c r="BL37" i="13"/>
  <c r="BM37" i="13"/>
  <c r="BN37" i="13"/>
  <c r="BO37" i="13"/>
  <c r="BP37" i="13"/>
  <c r="BQ37" i="13"/>
  <c r="BR37" i="13"/>
  <c r="BS37" i="13"/>
  <c r="BT37" i="13"/>
  <c r="BU37" i="13"/>
  <c r="BV37" i="13"/>
  <c r="BW37" i="13"/>
  <c r="BX37" i="13"/>
  <c r="BY37" i="13"/>
  <c r="BZ37" i="13"/>
  <c r="CA37" i="13"/>
  <c r="CB37" i="13"/>
  <c r="CC37" i="13"/>
  <c r="CD37" i="13"/>
  <c r="CE37" i="13"/>
  <c r="CF37" i="13"/>
  <c r="CG37" i="13"/>
  <c r="CH37" i="13"/>
  <c r="CI37" i="13"/>
  <c r="CJ37" i="13"/>
  <c r="CK37" i="13"/>
  <c r="CL37" i="13"/>
  <c r="CM37" i="13"/>
  <c r="CN37" i="13"/>
  <c r="CO37" i="13"/>
  <c r="CP37" i="13"/>
  <c r="CQ37" i="13"/>
  <c r="CR37" i="13"/>
  <c r="CS37" i="13"/>
  <c r="CT37" i="13"/>
  <c r="CU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AY38" i="13"/>
  <c r="AZ38" i="13"/>
  <c r="BA38" i="13"/>
  <c r="BB38" i="13"/>
  <c r="BC38" i="13"/>
  <c r="BD38" i="13"/>
  <c r="BE38" i="13"/>
  <c r="BF38" i="13"/>
  <c r="BG38" i="13"/>
  <c r="BH38" i="13"/>
  <c r="BI38" i="13"/>
  <c r="BJ38" i="13"/>
  <c r="BK38" i="13"/>
  <c r="BL38" i="13"/>
  <c r="BM38" i="13"/>
  <c r="BN38" i="13"/>
  <c r="BO38" i="13"/>
  <c r="BP38" i="13"/>
  <c r="BQ38" i="13"/>
  <c r="BR38" i="13"/>
  <c r="BS38" i="13"/>
  <c r="BT38" i="13"/>
  <c r="BU38" i="13"/>
  <c r="BV38" i="13"/>
  <c r="BW38" i="13"/>
  <c r="BX38" i="13"/>
  <c r="BY38" i="13"/>
  <c r="BZ38" i="13"/>
  <c r="CA38" i="13"/>
  <c r="CB38" i="13"/>
  <c r="CC38" i="13"/>
  <c r="CD38" i="13"/>
  <c r="CE38" i="13"/>
  <c r="CF38" i="13"/>
  <c r="CG38" i="13"/>
  <c r="CH38" i="13"/>
  <c r="CI38" i="13"/>
  <c r="CJ38" i="13"/>
  <c r="CK38" i="13"/>
  <c r="CL38" i="13"/>
  <c r="CM38" i="13"/>
  <c r="CN38" i="13"/>
  <c r="CO38" i="13"/>
  <c r="CP38" i="13"/>
  <c r="CQ38" i="13"/>
  <c r="CR38" i="13"/>
  <c r="CS38" i="13"/>
  <c r="CT38" i="13"/>
  <c r="CU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AY40" i="13"/>
  <c r="AZ40" i="13"/>
  <c r="BA40" i="13"/>
  <c r="BB40" i="13"/>
  <c r="BC40" i="13"/>
  <c r="BD40" i="13"/>
  <c r="BE40" i="13"/>
  <c r="BF40" i="13"/>
  <c r="BG40" i="13"/>
  <c r="BH40" i="13"/>
  <c r="BI40" i="13"/>
  <c r="BJ40" i="13"/>
  <c r="BK40" i="13"/>
  <c r="BL40" i="13"/>
  <c r="BM40" i="13"/>
  <c r="BN40" i="13"/>
  <c r="BO40" i="13"/>
  <c r="BP40" i="13"/>
  <c r="BQ40" i="13"/>
  <c r="BR40" i="13"/>
  <c r="BS40" i="13"/>
  <c r="BT40" i="13"/>
  <c r="BU40" i="13"/>
  <c r="BV40" i="13"/>
  <c r="BW40" i="13"/>
  <c r="BX40" i="13"/>
  <c r="BY40" i="13"/>
  <c r="BZ40" i="13"/>
  <c r="CA40" i="13"/>
  <c r="CB40" i="13"/>
  <c r="CC40" i="13"/>
  <c r="CD40" i="13"/>
  <c r="CE40" i="13"/>
  <c r="CF40" i="13"/>
  <c r="CG40" i="13"/>
  <c r="CH40" i="13"/>
  <c r="CI40" i="13"/>
  <c r="CJ40" i="13"/>
  <c r="CK40" i="13"/>
  <c r="CL40" i="13"/>
  <c r="CM40" i="13"/>
  <c r="CN40" i="13"/>
  <c r="CO40" i="13"/>
  <c r="CP40" i="13"/>
  <c r="CQ40" i="13"/>
  <c r="CR40" i="13"/>
  <c r="CS40" i="13"/>
  <c r="CT40" i="13"/>
  <c r="CU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AY41" i="13"/>
  <c r="AZ41" i="13"/>
  <c r="BA41" i="13"/>
  <c r="BB41" i="13"/>
  <c r="BC41" i="13"/>
  <c r="BD41" i="13"/>
  <c r="BE41" i="13"/>
  <c r="BF41" i="13"/>
  <c r="BG41" i="13"/>
  <c r="BH41" i="13"/>
  <c r="BI41" i="13"/>
  <c r="BJ41" i="13"/>
  <c r="BK41" i="13"/>
  <c r="BL41" i="13"/>
  <c r="BM41" i="13"/>
  <c r="BN41" i="13"/>
  <c r="BO41" i="13"/>
  <c r="BP41" i="13"/>
  <c r="BQ41" i="13"/>
  <c r="BR41" i="13"/>
  <c r="BS41" i="13"/>
  <c r="BT41" i="13"/>
  <c r="BU41" i="13"/>
  <c r="BV41" i="13"/>
  <c r="BW41" i="13"/>
  <c r="BX41" i="13"/>
  <c r="BY41" i="13"/>
  <c r="BZ41" i="13"/>
  <c r="CA41" i="13"/>
  <c r="CB41" i="13"/>
  <c r="CC41" i="13"/>
  <c r="CD41" i="13"/>
  <c r="CE41" i="13"/>
  <c r="CF41" i="13"/>
  <c r="CG41" i="13"/>
  <c r="CH41" i="13"/>
  <c r="CI41" i="13"/>
  <c r="CJ41" i="13"/>
  <c r="CK41" i="13"/>
  <c r="CL41" i="13"/>
  <c r="CM41" i="13"/>
  <c r="CN41" i="13"/>
  <c r="CO41" i="13"/>
  <c r="CP41" i="13"/>
  <c r="CQ41" i="13"/>
  <c r="CR41" i="13"/>
  <c r="CS41" i="13"/>
  <c r="CT41" i="13"/>
  <c r="CU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Z42" i="13"/>
  <c r="BA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AX43" i="13"/>
  <c r="AY43" i="13"/>
  <c r="AZ43" i="13"/>
  <c r="BA43" i="13"/>
  <c r="BB43" i="13"/>
  <c r="BC43" i="13"/>
  <c r="BD43" i="13"/>
  <c r="BE43" i="13"/>
  <c r="BF43" i="13"/>
  <c r="BG43" i="13"/>
  <c r="BH43" i="13"/>
  <c r="BI43" i="13"/>
  <c r="BJ43" i="13"/>
  <c r="BK43" i="13"/>
  <c r="BL43" i="13"/>
  <c r="BM43" i="13"/>
  <c r="BN43" i="13"/>
  <c r="BO43" i="13"/>
  <c r="BP43" i="13"/>
  <c r="BQ43" i="13"/>
  <c r="BR43" i="13"/>
  <c r="BS43" i="13"/>
  <c r="BT43" i="13"/>
  <c r="BU43" i="13"/>
  <c r="BV43" i="13"/>
  <c r="BW43" i="13"/>
  <c r="BX43" i="13"/>
  <c r="BY43" i="13"/>
  <c r="BZ43" i="13"/>
  <c r="CA43" i="13"/>
  <c r="CB43" i="13"/>
  <c r="CC43" i="13"/>
  <c r="CD43" i="13"/>
  <c r="CE43" i="13"/>
  <c r="CF43" i="13"/>
  <c r="CG43" i="13"/>
  <c r="CH43" i="13"/>
  <c r="CI43" i="13"/>
  <c r="CJ43" i="13"/>
  <c r="CK43" i="13"/>
  <c r="CL43" i="13"/>
  <c r="CM43" i="13"/>
  <c r="CN43" i="13"/>
  <c r="CO43" i="13"/>
  <c r="CP43" i="13"/>
  <c r="CQ43" i="13"/>
  <c r="CR43" i="13"/>
  <c r="CS43" i="13"/>
  <c r="CT43" i="13"/>
  <c r="CU43" i="13"/>
  <c r="CE44" i="13"/>
  <c r="CF44" i="13"/>
  <c r="CG44" i="13"/>
  <c r="CH44" i="13"/>
  <c r="CI44" i="13"/>
  <c r="CJ44" i="13"/>
  <c r="CK44" i="13"/>
  <c r="CL44" i="13"/>
  <c r="CM44" i="13"/>
  <c r="CN44" i="13"/>
  <c r="CO44" i="13"/>
  <c r="CP44" i="13"/>
  <c r="CQ44" i="13"/>
  <c r="CR44" i="13"/>
  <c r="CS44" i="13"/>
  <c r="CT44" i="13"/>
  <c r="CU44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S45" i="13"/>
  <c r="CT45" i="13"/>
  <c r="CU45" i="13"/>
  <c r="CE46" i="13"/>
  <c r="CF46" i="13"/>
  <c r="CG46" i="13"/>
  <c r="CH46" i="13"/>
  <c r="CI46" i="13"/>
  <c r="CJ46" i="13"/>
  <c r="CK46" i="13"/>
  <c r="CL46" i="13"/>
  <c r="CM46" i="13"/>
  <c r="CN46" i="13"/>
  <c r="CO46" i="13"/>
  <c r="CP46" i="13"/>
  <c r="CQ46" i="13"/>
  <c r="CR46" i="13"/>
  <c r="CS46" i="13"/>
  <c r="CT46" i="13"/>
  <c r="CU46" i="13"/>
  <c r="CE47" i="13"/>
  <c r="CF47" i="13"/>
  <c r="CG47" i="13"/>
  <c r="CH47" i="13"/>
  <c r="CI47" i="13"/>
  <c r="CJ47" i="13"/>
  <c r="CK47" i="13"/>
  <c r="CL47" i="13"/>
  <c r="CM47" i="13"/>
  <c r="CN47" i="13"/>
  <c r="CO47" i="13"/>
  <c r="CP47" i="13"/>
  <c r="CQ47" i="13"/>
  <c r="CR47" i="13"/>
  <c r="CS47" i="13"/>
  <c r="CT47" i="13"/>
  <c r="CU47" i="13"/>
  <c r="CV50" i="10"/>
  <c r="CD45" i="12"/>
  <c r="CD46" i="12"/>
  <c r="CD47" i="12"/>
  <c r="CD44" i="12"/>
  <c r="CK8" i="12"/>
  <c r="CK9" i="12"/>
  <c r="CK7" i="12"/>
  <c r="CL7" i="12"/>
  <c r="CM7" i="12"/>
  <c r="CN7" i="12"/>
  <c r="CL8" i="12"/>
  <c r="CM8" i="12"/>
  <c r="CN8" i="12"/>
  <c r="CL9" i="12"/>
  <c r="CM9" i="12"/>
  <c r="CN9" i="12"/>
  <c r="CK10" i="12"/>
  <c r="CL10" i="12"/>
  <c r="CM10" i="12"/>
  <c r="CN10" i="12"/>
  <c r="CK11" i="12"/>
  <c r="CL11" i="12"/>
  <c r="CM11" i="12"/>
  <c r="CN11" i="12"/>
  <c r="CK12" i="12"/>
  <c r="CL12" i="12"/>
  <c r="CM12" i="12"/>
  <c r="CN12" i="12"/>
  <c r="CK13" i="12"/>
  <c r="CL13" i="12"/>
  <c r="CM13" i="12"/>
  <c r="CN13" i="12"/>
  <c r="CK14" i="12"/>
  <c r="CL14" i="12"/>
  <c r="CM14" i="12"/>
  <c r="CN14" i="12"/>
  <c r="CK15" i="12"/>
  <c r="CL15" i="12"/>
  <c r="CM15" i="12"/>
  <c r="CN15" i="12"/>
  <c r="CK16" i="12"/>
  <c r="CL16" i="12"/>
  <c r="CM16" i="12"/>
  <c r="CN16" i="12"/>
  <c r="CK17" i="12"/>
  <c r="CL17" i="12"/>
  <c r="CM17" i="12"/>
  <c r="CN17" i="12"/>
  <c r="CK18" i="12"/>
  <c r="CL18" i="12"/>
  <c r="CM18" i="12"/>
  <c r="CN18" i="12"/>
  <c r="CK19" i="12"/>
  <c r="CL19" i="12"/>
  <c r="CM19" i="12"/>
  <c r="CN19" i="12"/>
  <c r="CK20" i="12"/>
  <c r="CL20" i="12"/>
  <c r="CM20" i="12"/>
  <c r="CN20" i="12"/>
  <c r="CK21" i="12"/>
  <c r="CL21" i="12"/>
  <c r="CM21" i="12"/>
  <c r="CN21" i="12"/>
  <c r="CK22" i="12"/>
  <c r="CL22" i="12"/>
  <c r="CM22" i="12"/>
  <c r="CN22" i="12"/>
  <c r="CK23" i="12"/>
  <c r="CL23" i="12"/>
  <c r="CM23" i="12"/>
  <c r="CN23" i="12"/>
  <c r="CK24" i="12"/>
  <c r="CL24" i="12"/>
  <c r="CM24" i="12"/>
  <c r="CN24" i="12"/>
  <c r="CK25" i="12"/>
  <c r="CL25" i="12"/>
  <c r="CM25" i="12"/>
  <c r="CN25" i="12"/>
  <c r="CK26" i="12"/>
  <c r="CL26" i="12"/>
  <c r="CM26" i="12"/>
  <c r="CN26" i="12"/>
  <c r="CK27" i="12"/>
  <c r="CL27" i="12"/>
  <c r="CM27" i="12"/>
  <c r="CN27" i="12"/>
  <c r="CK28" i="12"/>
  <c r="CL28" i="12"/>
  <c r="CM28" i="12"/>
  <c r="CN28" i="12"/>
  <c r="CK29" i="12"/>
  <c r="CL29" i="12"/>
  <c r="CM29" i="12"/>
  <c r="CN29" i="12"/>
  <c r="CK30" i="12"/>
  <c r="CL30" i="12"/>
  <c r="CM30" i="12"/>
  <c r="CN30" i="12"/>
  <c r="CK31" i="12"/>
  <c r="CL31" i="12"/>
  <c r="CM31" i="12"/>
  <c r="CN31" i="12"/>
  <c r="CK32" i="12"/>
  <c r="CL32" i="12"/>
  <c r="CM32" i="12"/>
  <c r="CN32" i="12"/>
  <c r="CK34" i="12"/>
  <c r="CL34" i="12"/>
  <c r="CM34" i="12"/>
  <c r="CN34" i="12"/>
  <c r="CK35" i="12"/>
  <c r="CL35" i="12"/>
  <c r="CM35" i="12"/>
  <c r="CN35" i="12"/>
  <c r="CK36" i="12"/>
  <c r="CL36" i="12"/>
  <c r="CM36" i="12"/>
  <c r="CN36" i="12"/>
  <c r="CK37" i="12"/>
  <c r="CL37" i="12"/>
  <c r="CM37" i="12"/>
  <c r="CN37" i="12"/>
  <c r="CK38" i="12"/>
  <c r="CL38" i="12"/>
  <c r="CM38" i="12"/>
  <c r="CN38" i="12"/>
  <c r="CK39" i="12"/>
  <c r="CL39" i="12"/>
  <c r="CM39" i="12"/>
  <c r="CN39" i="12"/>
  <c r="CK40" i="12"/>
  <c r="CL40" i="12"/>
  <c r="CM40" i="12"/>
  <c r="CN40" i="12"/>
  <c r="CK41" i="12"/>
  <c r="CL41" i="12"/>
  <c r="CM41" i="12"/>
  <c r="CN41" i="12"/>
  <c r="CK42" i="12"/>
  <c r="CL42" i="12"/>
  <c r="CM42" i="12"/>
  <c r="CN42" i="12"/>
  <c r="CK43" i="12"/>
  <c r="CL43" i="12"/>
  <c r="CM43" i="12"/>
  <c r="CN43" i="12"/>
  <c r="CK44" i="12"/>
  <c r="CL44" i="12"/>
  <c r="CM44" i="12"/>
  <c r="CN44" i="12"/>
  <c r="CK45" i="12"/>
  <c r="CL45" i="12"/>
  <c r="CM45" i="12"/>
  <c r="CN45" i="12"/>
  <c r="CK46" i="12"/>
  <c r="CL46" i="12"/>
  <c r="CM46" i="12"/>
  <c r="CN46" i="12"/>
  <c r="CK47" i="12"/>
  <c r="CL47" i="12"/>
  <c r="CM47" i="12"/>
  <c r="CN47" i="12"/>
  <c r="CO7" i="12"/>
  <c r="CP7" i="12"/>
  <c r="CQ7" i="12"/>
  <c r="CR7" i="12"/>
  <c r="CS7" i="12"/>
  <c r="CT7" i="12"/>
  <c r="CO8" i="12"/>
  <c r="CP8" i="12"/>
  <c r="CQ8" i="12"/>
  <c r="CR8" i="12"/>
  <c r="CS8" i="12"/>
  <c r="CT8" i="12"/>
  <c r="CO9" i="12"/>
  <c r="CP9" i="12"/>
  <c r="CQ9" i="12"/>
  <c r="CR9" i="12"/>
  <c r="CS9" i="12"/>
  <c r="CT9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O10" i="12"/>
  <c r="CP10" i="12"/>
  <c r="CQ10" i="12"/>
  <c r="CR10" i="12"/>
  <c r="CS10" i="12"/>
  <c r="CT10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O11" i="12"/>
  <c r="CP11" i="12"/>
  <c r="CQ11" i="12"/>
  <c r="CR11" i="12"/>
  <c r="CS11" i="12"/>
  <c r="CT11" i="12"/>
  <c r="AP12" i="12"/>
  <c r="AQ12" i="12"/>
  <c r="AR12" i="12"/>
  <c r="AS12" i="12"/>
  <c r="AT12" i="12"/>
  <c r="AU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O12" i="12"/>
  <c r="CP12" i="12"/>
  <c r="CQ12" i="12"/>
  <c r="CR12" i="12"/>
  <c r="CS12" i="12"/>
  <c r="CT12" i="12"/>
  <c r="AP13" i="12"/>
  <c r="AQ13" i="12"/>
  <c r="AR13" i="12"/>
  <c r="AS13" i="12"/>
  <c r="AT13" i="12"/>
  <c r="AU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O13" i="12"/>
  <c r="CP13" i="12"/>
  <c r="CQ13" i="12"/>
  <c r="CR13" i="12"/>
  <c r="CS13" i="12"/>
  <c r="CT13" i="12"/>
  <c r="AP14" i="12"/>
  <c r="AQ14" i="12"/>
  <c r="AR14" i="12"/>
  <c r="AS14" i="12"/>
  <c r="AT14" i="12"/>
  <c r="AU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O14" i="12"/>
  <c r="CP14" i="12"/>
  <c r="CQ14" i="12"/>
  <c r="CR14" i="12"/>
  <c r="CS14" i="12"/>
  <c r="CT14" i="12"/>
  <c r="AP15" i="12"/>
  <c r="AQ15" i="12"/>
  <c r="AR15" i="12"/>
  <c r="AS15" i="12"/>
  <c r="AT15" i="12"/>
  <c r="AU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O15" i="12"/>
  <c r="CP15" i="12"/>
  <c r="CQ15" i="12"/>
  <c r="CR15" i="12"/>
  <c r="CS15" i="12"/>
  <c r="CT15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O16" i="12"/>
  <c r="CP16" i="12"/>
  <c r="CQ16" i="12"/>
  <c r="CR16" i="12"/>
  <c r="CS16" i="12"/>
  <c r="CT16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O17" i="12"/>
  <c r="CP17" i="12"/>
  <c r="CQ17" i="12"/>
  <c r="CR17" i="12"/>
  <c r="CS17" i="12"/>
  <c r="CT17" i="12"/>
  <c r="AP18" i="12"/>
  <c r="AQ18" i="12"/>
  <c r="AR18" i="12"/>
  <c r="AS18" i="12"/>
  <c r="AT18" i="12"/>
  <c r="AU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O18" i="12"/>
  <c r="CP18" i="12"/>
  <c r="CQ18" i="12"/>
  <c r="CR18" i="12"/>
  <c r="CS18" i="12"/>
  <c r="CT18" i="12"/>
  <c r="AP19" i="12"/>
  <c r="AQ19" i="12"/>
  <c r="AR19" i="12"/>
  <c r="AS19" i="12"/>
  <c r="AT19" i="12"/>
  <c r="AU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O19" i="12"/>
  <c r="CP19" i="12"/>
  <c r="CQ19" i="12"/>
  <c r="CR19" i="12"/>
  <c r="CS19" i="12"/>
  <c r="CT19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O20" i="12"/>
  <c r="CP20" i="12"/>
  <c r="CQ20" i="12"/>
  <c r="CR20" i="12"/>
  <c r="CS20" i="12"/>
  <c r="CT20" i="12"/>
  <c r="AP21" i="12"/>
  <c r="AQ21" i="12"/>
  <c r="AR21" i="12"/>
  <c r="AS21" i="12"/>
  <c r="AT21" i="12"/>
  <c r="AU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O21" i="12"/>
  <c r="CP21" i="12"/>
  <c r="CQ21" i="12"/>
  <c r="CR21" i="12"/>
  <c r="CS21" i="12"/>
  <c r="CT21" i="12"/>
  <c r="AP22" i="12"/>
  <c r="AQ22" i="12"/>
  <c r="AR22" i="12"/>
  <c r="AS22" i="12"/>
  <c r="AT22" i="12"/>
  <c r="AU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O22" i="12"/>
  <c r="CP22" i="12"/>
  <c r="CQ22" i="12"/>
  <c r="CR22" i="12"/>
  <c r="CS22" i="12"/>
  <c r="CT22" i="12"/>
  <c r="AP23" i="12"/>
  <c r="AQ23" i="12"/>
  <c r="AR23" i="12"/>
  <c r="AS23" i="12"/>
  <c r="AT23" i="12"/>
  <c r="AU23" i="12"/>
  <c r="AV23" i="12"/>
  <c r="AW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O23" i="12"/>
  <c r="CP23" i="12"/>
  <c r="CQ23" i="12"/>
  <c r="CR23" i="12"/>
  <c r="CS23" i="12"/>
  <c r="CT23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O24" i="12"/>
  <c r="CP24" i="12"/>
  <c r="CQ24" i="12"/>
  <c r="CR24" i="12"/>
  <c r="CS24" i="12"/>
  <c r="CT24" i="12"/>
  <c r="AP25" i="12"/>
  <c r="AQ25" i="12"/>
  <c r="AR25" i="12"/>
  <c r="AS25" i="12"/>
  <c r="AT25" i="12"/>
  <c r="AU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O25" i="12"/>
  <c r="CP25" i="12"/>
  <c r="CQ25" i="12"/>
  <c r="CR25" i="12"/>
  <c r="CS25" i="12"/>
  <c r="CT25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O26" i="12"/>
  <c r="CP26" i="12"/>
  <c r="CQ26" i="12"/>
  <c r="CR26" i="12"/>
  <c r="CS26" i="12"/>
  <c r="CT26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O27" i="12"/>
  <c r="CP27" i="12"/>
  <c r="CQ27" i="12"/>
  <c r="CR27" i="12"/>
  <c r="CS27" i="12"/>
  <c r="CT27" i="12"/>
  <c r="AP28" i="12"/>
  <c r="AQ28" i="12"/>
  <c r="AR28" i="12"/>
  <c r="AS28" i="12"/>
  <c r="AT28" i="12"/>
  <c r="AU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O28" i="12"/>
  <c r="CP28" i="12"/>
  <c r="CQ28" i="12"/>
  <c r="CR28" i="12"/>
  <c r="CS28" i="12"/>
  <c r="CT28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O29" i="12"/>
  <c r="CP29" i="12"/>
  <c r="CQ29" i="12"/>
  <c r="CR29" i="12"/>
  <c r="CS29" i="12"/>
  <c r="CT29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O30" i="12"/>
  <c r="CP30" i="12"/>
  <c r="CQ30" i="12"/>
  <c r="CR30" i="12"/>
  <c r="CS30" i="12"/>
  <c r="CT30" i="12"/>
  <c r="AP31" i="12"/>
  <c r="AQ31" i="12"/>
  <c r="AR31" i="12"/>
  <c r="AS31" i="12"/>
  <c r="AT31" i="12"/>
  <c r="AU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O31" i="12"/>
  <c r="CP31" i="12"/>
  <c r="CQ31" i="12"/>
  <c r="CR31" i="12"/>
  <c r="CS31" i="12"/>
  <c r="CT31" i="12"/>
  <c r="AP32" i="12"/>
  <c r="AQ32" i="12"/>
  <c r="AR32" i="12"/>
  <c r="AS32" i="12"/>
  <c r="AT32" i="12"/>
  <c r="AU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O32" i="12"/>
  <c r="CP32" i="12"/>
  <c r="CQ32" i="12"/>
  <c r="CR32" i="12"/>
  <c r="CS32" i="12"/>
  <c r="CT32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O34" i="12"/>
  <c r="CP34" i="12"/>
  <c r="CQ34" i="12"/>
  <c r="CR34" i="12"/>
  <c r="CS34" i="12"/>
  <c r="CT34" i="12"/>
  <c r="AP35" i="12"/>
  <c r="AQ35" i="12"/>
  <c r="AR35" i="12"/>
  <c r="AS35" i="12"/>
  <c r="AT35" i="12"/>
  <c r="AU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O35" i="12"/>
  <c r="CP35" i="12"/>
  <c r="CQ35" i="12"/>
  <c r="CR35" i="12"/>
  <c r="CS35" i="12"/>
  <c r="CT35" i="12"/>
  <c r="AP36" i="12"/>
  <c r="AQ36" i="12"/>
  <c r="AR36" i="12"/>
  <c r="AS36" i="12"/>
  <c r="AT36" i="12"/>
  <c r="AU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O36" i="12"/>
  <c r="CP36" i="12"/>
  <c r="CQ36" i="12"/>
  <c r="CR36" i="12"/>
  <c r="CS36" i="12"/>
  <c r="CT36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O37" i="12"/>
  <c r="CP37" i="12"/>
  <c r="CQ37" i="12"/>
  <c r="CR37" i="12"/>
  <c r="CS37" i="12"/>
  <c r="CT37" i="12"/>
  <c r="AP38" i="12"/>
  <c r="AQ38" i="12"/>
  <c r="AR38" i="12"/>
  <c r="AS38" i="12"/>
  <c r="AT38" i="12"/>
  <c r="AU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O38" i="12"/>
  <c r="CP38" i="12"/>
  <c r="CQ38" i="12"/>
  <c r="CR38" i="12"/>
  <c r="CS38" i="12"/>
  <c r="CT38" i="12"/>
  <c r="AP39" i="12"/>
  <c r="AQ39" i="12"/>
  <c r="AR39" i="12"/>
  <c r="AS39" i="12"/>
  <c r="AT39" i="12"/>
  <c r="AU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O39" i="12"/>
  <c r="CP39" i="12"/>
  <c r="CQ39" i="12"/>
  <c r="CR39" i="12"/>
  <c r="CS39" i="12"/>
  <c r="CT39" i="12"/>
  <c r="AP40" i="12"/>
  <c r="AQ40" i="12"/>
  <c r="AR40" i="12"/>
  <c r="AS40" i="12"/>
  <c r="AT40" i="12"/>
  <c r="AU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O40" i="12"/>
  <c r="CP40" i="12"/>
  <c r="CQ40" i="12"/>
  <c r="CR40" i="12"/>
  <c r="CS40" i="12"/>
  <c r="CT40" i="12"/>
  <c r="AP41" i="12"/>
  <c r="AQ41" i="12"/>
  <c r="AR41" i="12"/>
  <c r="AS41" i="12"/>
  <c r="AT41" i="12"/>
  <c r="AU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O41" i="12"/>
  <c r="CP41" i="12"/>
  <c r="CQ41" i="12"/>
  <c r="CR41" i="12"/>
  <c r="CS41" i="12"/>
  <c r="CT41" i="12"/>
  <c r="AP42" i="12"/>
  <c r="AQ42" i="12"/>
  <c r="AR42" i="12"/>
  <c r="AS42" i="12"/>
  <c r="AT42" i="12"/>
  <c r="AU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O42" i="12"/>
  <c r="CP42" i="12"/>
  <c r="CQ42" i="12"/>
  <c r="CR42" i="12"/>
  <c r="CS42" i="12"/>
  <c r="CT42" i="12"/>
  <c r="AP43" i="12"/>
  <c r="AQ43" i="12"/>
  <c r="AR43" i="12"/>
  <c r="AS43" i="12"/>
  <c r="AT43" i="12"/>
  <c r="AU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O43" i="12"/>
  <c r="CP43" i="12"/>
  <c r="CQ43" i="12"/>
  <c r="CR43" i="12"/>
  <c r="CS43" i="12"/>
  <c r="CT43" i="12"/>
  <c r="CE44" i="12"/>
  <c r="CF44" i="12"/>
  <c r="CG44" i="12"/>
  <c r="CH44" i="12"/>
  <c r="CI44" i="12"/>
  <c r="CJ44" i="12"/>
  <c r="CO44" i="12"/>
  <c r="CP44" i="12"/>
  <c r="CQ44" i="12"/>
  <c r="CR44" i="12"/>
  <c r="CS44" i="12"/>
  <c r="CT44" i="12"/>
  <c r="CE45" i="12"/>
  <c r="CF45" i="12"/>
  <c r="CG45" i="12"/>
  <c r="CH45" i="12"/>
  <c r="CI45" i="12"/>
  <c r="CJ45" i="12"/>
  <c r="CO45" i="12"/>
  <c r="CP45" i="12"/>
  <c r="CQ45" i="12"/>
  <c r="CR45" i="12"/>
  <c r="CS45" i="12"/>
  <c r="CT45" i="12"/>
  <c r="CE46" i="12"/>
  <c r="CF46" i="12"/>
  <c r="CG46" i="12"/>
  <c r="CH46" i="12"/>
  <c r="CI46" i="12"/>
  <c r="CJ46" i="12"/>
  <c r="CO46" i="12"/>
  <c r="CP46" i="12"/>
  <c r="CQ46" i="12"/>
  <c r="CR46" i="12"/>
  <c r="CS46" i="12"/>
  <c r="CT46" i="12"/>
  <c r="CE47" i="12"/>
  <c r="CF47" i="12"/>
  <c r="CG47" i="12"/>
  <c r="CH47" i="12"/>
  <c r="CI47" i="12"/>
  <c r="CJ47" i="12"/>
  <c r="CO47" i="12"/>
  <c r="CP47" i="12"/>
  <c r="CQ47" i="12"/>
  <c r="CR47" i="12"/>
  <c r="CS47" i="12"/>
  <c r="CT47" i="12"/>
  <c r="CU7" i="12"/>
  <c r="CU8" i="12"/>
  <c r="CU9" i="12"/>
  <c r="CU10" i="12"/>
  <c r="CU11" i="12"/>
  <c r="CU12" i="12"/>
  <c r="CU13" i="12"/>
  <c r="CU14" i="12"/>
  <c r="CU15" i="12"/>
  <c r="CU16" i="12"/>
  <c r="CU17" i="12"/>
  <c r="CU18" i="12"/>
  <c r="CU19" i="12"/>
  <c r="CU20" i="12"/>
  <c r="CU21" i="12"/>
  <c r="CU22" i="12"/>
  <c r="CU23" i="12"/>
  <c r="CU24" i="12"/>
  <c r="CU25" i="12"/>
  <c r="CU26" i="12"/>
  <c r="CU27" i="12"/>
  <c r="CU28" i="12"/>
  <c r="CU29" i="12"/>
  <c r="CU30" i="12"/>
  <c r="CU31" i="12"/>
  <c r="CU32" i="12"/>
  <c r="CU34" i="12"/>
  <c r="CU35" i="12"/>
  <c r="CU36" i="12"/>
  <c r="CU37" i="12"/>
  <c r="CU38" i="12"/>
  <c r="CU39" i="12"/>
  <c r="CU40" i="12"/>
  <c r="CU41" i="12"/>
  <c r="CU42" i="12"/>
  <c r="CU43" i="12"/>
  <c r="CU44" i="12"/>
  <c r="CU45" i="12"/>
  <c r="CU46" i="12"/>
  <c r="CU47" i="12"/>
  <c r="CV8" i="12"/>
  <c r="CV9" i="12"/>
  <c r="CV10" i="12"/>
  <c r="CV11" i="12"/>
  <c r="CV12" i="12"/>
  <c r="CV13" i="12"/>
  <c r="CV14" i="12"/>
  <c r="CV15" i="12"/>
  <c r="CV16" i="12"/>
  <c r="CV17" i="12"/>
  <c r="CV18" i="12"/>
  <c r="CV19" i="12"/>
  <c r="CV20" i="12"/>
  <c r="CV21" i="12"/>
  <c r="CV22" i="12"/>
  <c r="CV23" i="12"/>
  <c r="CV24" i="12"/>
  <c r="CV25" i="12"/>
  <c r="CV26" i="12"/>
  <c r="CV27" i="12"/>
  <c r="CV28" i="12"/>
  <c r="CV29" i="12"/>
  <c r="CV30" i="12"/>
  <c r="CV31" i="12"/>
  <c r="CV32" i="12"/>
  <c r="CV34" i="12"/>
  <c r="CV35" i="12"/>
  <c r="CV36" i="12"/>
  <c r="CV37" i="12"/>
  <c r="CV38" i="12"/>
  <c r="CV39" i="12"/>
  <c r="CV40" i="12"/>
  <c r="CV41" i="12"/>
  <c r="CV42" i="12"/>
  <c r="CV43" i="12"/>
  <c r="CV44" i="12"/>
  <c r="CV45" i="12"/>
  <c r="CV46" i="12"/>
  <c r="CV47" i="12"/>
  <c r="CV7" i="12"/>
  <c r="CV50" i="9"/>
  <c r="CV7" i="7"/>
  <c r="CV8" i="7"/>
  <c r="CV9" i="7"/>
  <c r="CV10" i="7"/>
  <c r="CV11" i="7"/>
  <c r="CV12" i="7"/>
  <c r="CV13" i="7"/>
  <c r="CV14" i="7"/>
  <c r="CV15" i="7"/>
  <c r="CV16" i="7"/>
  <c r="CV17" i="7"/>
  <c r="CV18" i="7"/>
  <c r="CV19" i="7"/>
  <c r="CV20" i="7"/>
  <c r="CV21" i="7"/>
  <c r="CV22" i="7"/>
  <c r="CV23" i="7"/>
  <c r="CV24" i="7"/>
  <c r="CV25" i="7"/>
  <c r="CV26" i="7"/>
  <c r="CV27" i="7"/>
  <c r="CV28" i="7"/>
  <c r="CV29" i="7"/>
  <c r="CV30" i="7"/>
  <c r="CV31" i="7"/>
  <c r="CV32" i="7"/>
  <c r="CV34" i="7"/>
  <c r="CV35" i="7"/>
  <c r="CV36" i="7"/>
  <c r="CV37" i="7"/>
  <c r="CV38" i="7"/>
  <c r="CV39" i="7"/>
  <c r="CV40" i="7"/>
  <c r="CV41" i="7"/>
  <c r="CV42" i="7"/>
  <c r="CV43" i="7"/>
  <c r="CV44" i="7"/>
  <c r="CV45" i="7"/>
  <c r="CV46" i="7"/>
  <c r="CV47" i="7"/>
  <c r="CV50" i="6"/>
  <c r="CD45" i="7"/>
  <c r="CD46" i="7"/>
  <c r="CD47" i="7"/>
  <c r="CD44" i="7"/>
  <c r="CK8" i="7"/>
  <c r="CK9" i="7"/>
  <c r="CK7" i="7"/>
  <c r="CL7" i="7"/>
  <c r="CM7" i="7"/>
  <c r="CN7" i="7"/>
  <c r="CO7" i="7"/>
  <c r="CP7" i="7"/>
  <c r="CQ7" i="7"/>
  <c r="CR7" i="7"/>
  <c r="CS7" i="7"/>
  <c r="CT7" i="7"/>
  <c r="CL8" i="7"/>
  <c r="CM8" i="7"/>
  <c r="CN8" i="7"/>
  <c r="CO8" i="7"/>
  <c r="CP8" i="7"/>
  <c r="CQ8" i="7"/>
  <c r="CR8" i="7"/>
  <c r="CS8" i="7"/>
  <c r="CT8" i="7"/>
  <c r="CL9" i="7"/>
  <c r="CM9" i="7"/>
  <c r="CN9" i="7"/>
  <c r="CO9" i="7"/>
  <c r="CP9" i="7"/>
  <c r="CQ9" i="7"/>
  <c r="CR9" i="7"/>
  <c r="CS9" i="7"/>
  <c r="CT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H22" i="7"/>
  <c r="CI22" i="7"/>
  <c r="CJ22" i="7"/>
  <c r="CK22" i="7"/>
  <c r="CL22" i="7"/>
  <c r="CM22" i="7"/>
  <c r="CN22" i="7"/>
  <c r="CO22" i="7"/>
  <c r="CP22" i="7"/>
  <c r="CQ22" i="7"/>
  <c r="CR22" i="7"/>
  <c r="CS22" i="7"/>
  <c r="CT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BV42" i="7"/>
  <c r="BW42" i="7"/>
  <c r="BX42" i="7"/>
  <c r="BY42" i="7"/>
  <c r="BZ42" i="7"/>
  <c r="CA42" i="7"/>
  <c r="CB42" i="7"/>
  <c r="CC42" i="7"/>
  <c r="CD42" i="7"/>
  <c r="CE42" i="7"/>
  <c r="CF42" i="7"/>
  <c r="CG42" i="7"/>
  <c r="CH42" i="7"/>
  <c r="CI42" i="7"/>
  <c r="CJ42" i="7"/>
  <c r="CK42" i="7"/>
  <c r="CL42" i="7"/>
  <c r="CM42" i="7"/>
  <c r="CN42" i="7"/>
  <c r="CO42" i="7"/>
  <c r="CP42" i="7"/>
  <c r="CQ42" i="7"/>
  <c r="CR42" i="7"/>
  <c r="CS42" i="7"/>
  <c r="CT42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E47" i="7"/>
  <c r="CF47" i="7"/>
  <c r="CG47" i="7"/>
  <c r="CH47" i="7"/>
  <c r="CI47" i="7"/>
  <c r="CJ47" i="7"/>
  <c r="CK47" i="7"/>
  <c r="CL47" i="7"/>
  <c r="CM47" i="7"/>
  <c r="CN47" i="7"/>
  <c r="CO47" i="7"/>
  <c r="CP47" i="7"/>
  <c r="CQ47" i="7"/>
  <c r="CR47" i="7"/>
  <c r="CS47" i="7"/>
  <c r="CT4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4" i="7"/>
  <c r="CU35" i="7"/>
  <c r="CU36" i="7"/>
  <c r="CU37" i="7"/>
  <c r="CU38" i="7"/>
  <c r="CU39" i="7"/>
  <c r="CU40" i="7"/>
  <c r="CU41" i="7"/>
  <c r="CU42" i="7"/>
  <c r="CU43" i="7"/>
  <c r="CU44" i="7"/>
  <c r="CU45" i="7"/>
  <c r="CU46" i="7"/>
  <c r="CU47" i="7"/>
  <c r="CU7" i="7"/>
  <c r="C50" i="6"/>
  <c r="H50" i="9"/>
  <c r="G50" i="9"/>
  <c r="F50" i="9"/>
  <c r="E50" i="9"/>
  <c r="D50" i="9"/>
  <c r="C50" i="9"/>
  <c r="H50" i="10"/>
  <c r="G50" i="10"/>
  <c r="F50" i="10"/>
  <c r="E50" i="10"/>
  <c r="D50" i="10"/>
  <c r="C50" i="10"/>
  <c r="CU50" i="10"/>
  <c r="CT50" i="10"/>
  <c r="CS50" i="10"/>
  <c r="CR50" i="10"/>
  <c r="CQ50" i="10"/>
  <c r="CP50" i="10"/>
  <c r="CO50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B50" i="10"/>
  <c r="CA50" i="10"/>
  <c r="BZ50" i="10"/>
  <c r="BY50" i="10"/>
  <c r="BX50" i="10"/>
  <c r="BW50" i="10"/>
  <c r="BV50" i="10"/>
  <c r="BU50" i="10"/>
  <c r="BT50" i="10"/>
  <c r="BS50" i="10"/>
  <c r="BR50" i="10"/>
  <c r="BQ50" i="10"/>
  <c r="BP50" i="10"/>
  <c r="BO50" i="10"/>
  <c r="BN50" i="10"/>
  <c r="BM50" i="10"/>
  <c r="BL50" i="10"/>
  <c r="BK50" i="10"/>
  <c r="BJ50" i="10"/>
  <c r="BI50" i="10"/>
  <c r="BH50" i="10"/>
  <c r="BG50" i="10"/>
  <c r="BF50" i="10"/>
  <c r="BE50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CU50" i="9"/>
  <c r="CT50" i="9"/>
  <c r="CS50" i="9"/>
  <c r="CR50" i="9"/>
  <c r="CQ50" i="9"/>
  <c r="CP50" i="9"/>
  <c r="CO50" i="9"/>
  <c r="CN50" i="9"/>
  <c r="CM50" i="9"/>
  <c r="CL50" i="9"/>
  <c r="CK50" i="9"/>
  <c r="CJ50" i="9"/>
  <c r="CI50" i="9"/>
  <c r="CH50" i="9"/>
  <c r="CG50" i="9"/>
  <c r="CF50" i="9"/>
  <c r="CE50" i="9"/>
  <c r="CD50" i="9"/>
  <c r="CC50" i="9"/>
  <c r="CB50" i="9"/>
  <c r="CA50" i="9"/>
  <c r="BZ50" i="9"/>
  <c r="BY50" i="9"/>
  <c r="BX50" i="9"/>
  <c r="BW50" i="9"/>
  <c r="BV50" i="9"/>
  <c r="BU50" i="9"/>
  <c r="BT50" i="9"/>
  <c r="BS50" i="9"/>
  <c r="BR50" i="9"/>
  <c r="BQ50" i="9"/>
  <c r="BP50" i="9"/>
  <c r="BO50" i="9"/>
  <c r="BN50" i="9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O50" i="6"/>
  <c r="S50" i="6"/>
  <c r="D50" i="6"/>
  <c r="E50" i="6"/>
  <c r="F50" i="6"/>
  <c r="G50" i="6"/>
  <c r="H50" i="6"/>
  <c r="I50" i="6"/>
  <c r="J50" i="6"/>
  <c r="K50" i="6"/>
  <c r="L50" i="6"/>
  <c r="M50" i="6"/>
  <c r="N50" i="6"/>
  <c r="P50" i="6"/>
  <c r="Q50" i="6"/>
  <c r="R50" i="6"/>
  <c r="T50" i="6"/>
  <c r="U50" i="6"/>
  <c r="V50" i="6"/>
  <c r="W50" i="6"/>
  <c r="X50" i="6"/>
  <c r="Y50" i="6"/>
  <c r="Z50" i="6"/>
  <c r="CU50" i="6"/>
  <c r="CT50" i="6"/>
  <c r="CS50" i="6"/>
  <c r="CR50" i="6"/>
  <c r="CQ50" i="6"/>
  <c r="CP50" i="6"/>
  <c r="CO50" i="6"/>
  <c r="CN50" i="6"/>
  <c r="CM50" i="6"/>
  <c r="CL50" i="6"/>
  <c r="CK50" i="6"/>
  <c r="CJ50" i="6"/>
  <c r="CI50" i="6"/>
  <c r="CH50" i="6"/>
  <c r="CG50" i="6"/>
  <c r="CF50" i="6"/>
  <c r="CE50" i="6"/>
  <c r="CD50" i="6"/>
  <c r="CC50" i="6"/>
  <c r="CB50" i="6"/>
  <c r="CA50" i="6"/>
  <c r="BZ50" i="6"/>
  <c r="BY50" i="6"/>
  <c r="BX50" i="6"/>
  <c r="BW50" i="6"/>
  <c r="BV50" i="6"/>
  <c r="BU50" i="6"/>
  <c r="BT50" i="6"/>
  <c r="BS50" i="6"/>
  <c r="BR50" i="6"/>
  <c r="BQ50" i="6"/>
  <c r="BP50" i="6"/>
  <c r="BO50" i="6"/>
  <c r="BN50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DB50" i="7" l="1"/>
  <c r="BI50" i="7"/>
  <c r="AK50" i="7"/>
  <c r="DD50" i="7"/>
  <c r="B51" i="10"/>
  <c r="U51" i="10"/>
  <c r="CW50" i="12"/>
  <c r="CZ50" i="12"/>
  <c r="AS50" i="7"/>
  <c r="CZ50" i="7"/>
  <c r="M50" i="7"/>
  <c r="I51" i="10"/>
  <c r="DY51" i="12"/>
  <c r="DD50" i="12"/>
  <c r="DJ50" i="7"/>
  <c r="DF50" i="7"/>
  <c r="DA51" i="6"/>
  <c r="C50" i="7"/>
  <c r="CH50" i="7"/>
  <c r="U50" i="7"/>
  <c r="BA50" i="7"/>
  <c r="AS51" i="6"/>
  <c r="BQ51" i="6"/>
  <c r="CO51" i="6"/>
  <c r="CF50" i="7"/>
  <c r="D50" i="7"/>
  <c r="CY50" i="7"/>
  <c r="CC50" i="7"/>
  <c r="BU50" i="7"/>
  <c r="I50" i="7"/>
  <c r="BL50" i="7"/>
  <c r="BD50" i="7"/>
  <c r="BH50" i="7"/>
  <c r="AJ50" i="7"/>
  <c r="AB50" i="7"/>
  <c r="BO50" i="7"/>
  <c r="AP50" i="7"/>
  <c r="AL50" i="13"/>
  <c r="CX50" i="13"/>
  <c r="CZ50" i="14"/>
  <c r="CR50" i="14"/>
  <c r="BS50" i="14"/>
  <c r="AU50" i="14"/>
  <c r="AM50" i="14"/>
  <c r="AE50" i="14"/>
  <c r="W50" i="14"/>
  <c r="O50" i="14"/>
  <c r="G50" i="14"/>
  <c r="DB50" i="13"/>
  <c r="DF50" i="13"/>
  <c r="AQ50" i="14"/>
  <c r="U51" i="6"/>
  <c r="AM50" i="7"/>
  <c r="DA51" i="10"/>
  <c r="DM50" i="14"/>
  <c r="AG51" i="10"/>
  <c r="BU50" i="12"/>
  <c r="BZ50" i="13"/>
  <c r="BR50" i="13"/>
  <c r="AT50" i="13"/>
  <c r="N50" i="13"/>
  <c r="F50" i="13"/>
  <c r="I51" i="6"/>
  <c r="AS51" i="10"/>
  <c r="BE51" i="10"/>
  <c r="CC51" i="10"/>
  <c r="CO51" i="10"/>
  <c r="B51" i="6"/>
  <c r="AG51" i="6"/>
  <c r="BE51" i="6"/>
  <c r="CC51" i="6"/>
  <c r="BQ51" i="10"/>
  <c r="BP50" i="7"/>
  <c r="T50" i="7"/>
  <c r="AI50" i="7"/>
  <c r="CP50" i="13"/>
  <c r="CH50" i="13"/>
  <c r="BJ50" i="13"/>
  <c r="BB50" i="13"/>
  <c r="AD50" i="13"/>
  <c r="V50" i="13"/>
  <c r="CG50" i="7"/>
  <c r="BY50" i="7"/>
  <c r="BQ50" i="7"/>
  <c r="AC50" i="7"/>
  <c r="E50" i="7"/>
  <c r="CO50" i="7"/>
  <c r="CQ50" i="7"/>
  <c r="CU50" i="7"/>
  <c r="BY50" i="14"/>
  <c r="BX50" i="7"/>
  <c r="AZ50" i="7"/>
  <c r="AR50" i="7"/>
  <c r="L50" i="7"/>
  <c r="AY50" i="7"/>
  <c r="AA50" i="7"/>
  <c r="S50" i="7"/>
  <c r="CE50" i="7"/>
  <c r="CD50" i="14"/>
  <c r="BP50" i="14"/>
  <c r="BW50" i="7"/>
  <c r="BG50" i="7"/>
  <c r="AQ50" i="7"/>
  <c r="K50" i="7"/>
  <c r="AX50" i="7"/>
  <c r="BN50" i="7"/>
  <c r="BF50" i="7"/>
  <c r="CN50" i="7"/>
  <c r="AG50" i="7"/>
  <c r="Y50" i="7"/>
  <c r="Q50" i="7"/>
  <c r="CT50" i="7"/>
  <c r="CL50" i="7"/>
  <c r="CM50" i="7"/>
  <c r="AD50" i="7"/>
  <c r="CR50" i="7"/>
  <c r="CK50" i="7"/>
  <c r="R50" i="7"/>
  <c r="CD50" i="7"/>
  <c r="BV50" i="7"/>
  <c r="CB50" i="7"/>
  <c r="BT50" i="7"/>
  <c r="AV50" i="7"/>
  <c r="AN50" i="7"/>
  <c r="AF50" i="7"/>
  <c r="X50" i="7"/>
  <c r="P50" i="7"/>
  <c r="H50" i="7"/>
  <c r="CJ50" i="7"/>
  <c r="W50" i="7"/>
  <c r="O50" i="7"/>
  <c r="CI50" i="7"/>
  <c r="CA50" i="7"/>
  <c r="G50" i="7"/>
  <c r="BS50" i="7"/>
  <c r="BK50" i="7"/>
  <c r="BC50" i="7"/>
  <c r="AU50" i="7"/>
  <c r="AT50" i="12"/>
  <c r="BL50" i="12"/>
  <c r="CD50" i="12"/>
  <c r="BC50" i="12"/>
  <c r="CM50" i="12"/>
  <c r="BR50" i="7"/>
  <c r="V50" i="7"/>
  <c r="CJ50" i="13"/>
  <c r="CB50" i="13"/>
  <c r="BT50" i="13"/>
  <c r="BL50" i="13"/>
  <c r="BD50" i="13"/>
  <c r="AV50" i="13"/>
  <c r="AN50" i="13"/>
  <c r="AF50" i="13"/>
  <c r="AE50" i="7"/>
  <c r="BJ50" i="7"/>
  <c r="BB50" i="7"/>
  <c r="AL50" i="7"/>
  <c r="F50" i="7"/>
  <c r="CP50" i="7"/>
  <c r="DR50" i="13"/>
  <c r="DN50" i="7"/>
  <c r="BZ50" i="7"/>
  <c r="AT50" i="7"/>
  <c r="N50" i="7"/>
  <c r="DM50" i="7"/>
  <c r="DU50" i="7"/>
  <c r="DK50" i="13"/>
  <c r="DC50" i="13"/>
  <c r="DG50" i="13"/>
  <c r="DK50" i="12"/>
  <c r="DC50" i="12"/>
  <c r="DG50" i="12"/>
  <c r="DK50" i="7"/>
  <c r="DC50" i="7"/>
  <c r="DG50" i="7"/>
  <c r="AH50" i="7"/>
  <c r="Z50" i="7"/>
  <c r="J50" i="7"/>
  <c r="BM50" i="7"/>
  <c r="BE50" i="7"/>
  <c r="AW50" i="7"/>
  <c r="AO50" i="7"/>
  <c r="CS50" i="7"/>
  <c r="CV50" i="7"/>
  <c r="DH50" i="13"/>
  <c r="AK50" i="12"/>
  <c r="AC50" i="12"/>
  <c r="U50" i="12"/>
  <c r="M50" i="12"/>
  <c r="DJ50" i="13"/>
  <c r="DS50" i="13"/>
  <c r="DV50" i="7"/>
  <c r="DI50" i="13"/>
  <c r="DA50" i="13"/>
  <c r="DE50" i="13"/>
  <c r="DI50" i="12"/>
  <c r="DI50" i="7"/>
  <c r="DA50" i="7"/>
  <c r="DE50" i="7"/>
  <c r="DW50" i="13"/>
  <c r="DW50" i="7"/>
  <c r="DL50" i="13"/>
  <c r="DD50" i="13"/>
  <c r="DL50" i="12"/>
  <c r="DH50" i="7"/>
  <c r="DL50" i="7"/>
  <c r="X50" i="13"/>
  <c r="P50" i="13"/>
  <c r="H50" i="13"/>
  <c r="CS50" i="13"/>
  <c r="CK50" i="13"/>
  <c r="CC50" i="13"/>
  <c r="BU50" i="13"/>
  <c r="BM50" i="13"/>
  <c r="BE50" i="13"/>
  <c r="AW50" i="13"/>
  <c r="AO50" i="13"/>
  <c r="AG50" i="13"/>
  <c r="Y50" i="13"/>
  <c r="Q50" i="13"/>
  <c r="I50" i="13"/>
  <c r="CD50" i="13"/>
  <c r="BV50" i="13"/>
  <c r="BN50" i="13"/>
  <c r="BF50" i="13"/>
  <c r="AX50" i="13"/>
  <c r="AP50" i="13"/>
  <c r="AH50" i="13"/>
  <c r="Z50" i="13"/>
  <c r="R50" i="13"/>
  <c r="J50" i="13"/>
  <c r="CU50" i="13"/>
  <c r="CM50" i="13"/>
  <c r="CE50" i="13"/>
  <c r="BW50" i="13"/>
  <c r="BO50" i="13"/>
  <c r="BG50" i="13"/>
  <c r="AY50" i="13"/>
  <c r="AQ50" i="13"/>
  <c r="AI50" i="13"/>
  <c r="AA50" i="13"/>
  <c r="S50" i="13"/>
  <c r="K50" i="13"/>
  <c r="C50" i="13"/>
  <c r="CF50" i="13"/>
  <c r="BX50" i="13"/>
  <c r="BP50" i="13"/>
  <c r="BH50" i="13"/>
  <c r="AZ50" i="13"/>
  <c r="AR50" i="13"/>
  <c r="AJ50" i="13"/>
  <c r="AB50" i="13"/>
  <c r="T50" i="13"/>
  <c r="L50" i="13"/>
  <c r="D50" i="13"/>
  <c r="CO50" i="13"/>
  <c r="CG50" i="13"/>
  <c r="BY50" i="13"/>
  <c r="BQ50" i="13"/>
  <c r="BI50" i="13"/>
  <c r="BA50" i="13"/>
  <c r="AS50" i="13"/>
  <c r="AK50" i="13"/>
  <c r="AC50" i="13"/>
  <c r="U50" i="13"/>
  <c r="M50" i="13"/>
  <c r="E50" i="13"/>
  <c r="CQ50" i="13"/>
  <c r="CI50" i="13"/>
  <c r="CA50" i="13"/>
  <c r="BS50" i="13"/>
  <c r="BK50" i="13"/>
  <c r="BC50" i="13"/>
  <c r="AU50" i="13"/>
  <c r="AM50" i="13"/>
  <c r="AE50" i="13"/>
  <c r="W50" i="13"/>
  <c r="O50" i="13"/>
  <c r="G50" i="13"/>
  <c r="CR50" i="13"/>
  <c r="CT50" i="13"/>
  <c r="CL50" i="13"/>
  <c r="CN50" i="13"/>
  <c r="CZ50" i="13"/>
  <c r="CW50" i="13"/>
  <c r="CY50" i="13"/>
  <c r="CV50" i="13"/>
  <c r="CX50" i="7"/>
  <c r="CW50" i="7"/>
  <c r="DY51" i="7"/>
  <c r="BZ50" i="12"/>
  <c r="BJ50" i="12"/>
  <c r="N50" i="14"/>
  <c r="DH50" i="12"/>
  <c r="CY50" i="12"/>
  <c r="T50" i="14"/>
  <c r="DM51" i="6"/>
  <c r="DV50" i="13"/>
  <c r="DN50" i="13"/>
  <c r="DT50" i="13"/>
  <c r="R50" i="14"/>
  <c r="CV50" i="12"/>
  <c r="BD50" i="12"/>
  <c r="BV50" i="12"/>
  <c r="AU50" i="12"/>
  <c r="CF50" i="12"/>
  <c r="CO50" i="12"/>
  <c r="BM50" i="12"/>
  <c r="BE50" i="12"/>
  <c r="CH50" i="12"/>
  <c r="BR50" i="12"/>
  <c r="BB50" i="12"/>
  <c r="CE50" i="12"/>
  <c r="BW50" i="12"/>
  <c r="BO50" i="12"/>
  <c r="BG50" i="12"/>
  <c r="AY50" i="12"/>
  <c r="AQ50" i="12"/>
  <c r="CR50" i="12"/>
  <c r="CN50" i="12"/>
  <c r="CL50" i="12"/>
  <c r="BG50" i="14"/>
  <c r="DU50" i="13"/>
  <c r="DP50" i="13"/>
  <c r="DP50" i="7"/>
  <c r="DR50" i="7"/>
  <c r="CC51" i="9"/>
  <c r="CJ50" i="12"/>
  <c r="CB50" i="12"/>
  <c r="BT50" i="12"/>
  <c r="AV50" i="12"/>
  <c r="BN50" i="12"/>
  <c r="BF50" i="12"/>
  <c r="AX50" i="12"/>
  <c r="AP50" i="12"/>
  <c r="CS50" i="12"/>
  <c r="CQ50" i="12"/>
  <c r="CK50" i="12"/>
  <c r="DM50" i="13"/>
  <c r="DQ50" i="13"/>
  <c r="DO50" i="13"/>
  <c r="DQ50" i="12"/>
  <c r="DO50" i="7"/>
  <c r="DQ50" i="7"/>
  <c r="DS50" i="7"/>
  <c r="DT50" i="7"/>
  <c r="DX50" i="7"/>
  <c r="BJ50" i="14"/>
  <c r="CU50" i="12"/>
  <c r="CI50" i="12"/>
  <c r="CA50" i="12"/>
  <c r="BS50" i="12"/>
  <c r="BK50" i="12"/>
  <c r="BX50" i="12"/>
  <c r="BP50" i="12"/>
  <c r="BH50" i="12"/>
  <c r="AZ50" i="12"/>
  <c r="AR50" i="12"/>
  <c r="CC50" i="12"/>
  <c r="AW50" i="12"/>
  <c r="CP50" i="12"/>
  <c r="DA51" i="9"/>
  <c r="DJ50" i="12"/>
  <c r="DB50" i="12"/>
  <c r="CL50" i="14"/>
  <c r="DM51" i="10"/>
  <c r="DA50" i="12"/>
  <c r="DE50" i="12"/>
  <c r="DI50" i="14"/>
  <c r="DA50" i="14"/>
  <c r="CS50" i="14"/>
  <c r="CB50" i="14"/>
  <c r="BT50" i="14"/>
  <c r="BL50" i="14"/>
  <c r="BD50" i="14"/>
  <c r="AV50" i="14"/>
  <c r="AN50" i="14"/>
  <c r="AF50" i="14"/>
  <c r="P50" i="14"/>
  <c r="BK50" i="14"/>
  <c r="CK50" i="14"/>
  <c r="BO50" i="14"/>
  <c r="AI50" i="14"/>
  <c r="AA50" i="14"/>
  <c r="S50" i="14"/>
  <c r="K50" i="14"/>
  <c r="C50" i="14"/>
  <c r="DE50" i="14"/>
  <c r="CW50" i="14"/>
  <c r="CO50" i="14"/>
  <c r="CI50" i="14"/>
  <c r="CA50" i="14"/>
  <c r="BC50" i="14"/>
  <c r="DF50" i="14"/>
  <c r="CX50" i="14"/>
  <c r="CP50" i="14"/>
  <c r="DJ50" i="14"/>
  <c r="DB50" i="14"/>
  <c r="CT50" i="14"/>
  <c r="G50" i="12"/>
  <c r="DX50" i="13"/>
  <c r="DW50" i="14"/>
  <c r="DM51" i="9"/>
  <c r="DR50" i="12"/>
  <c r="DU50" i="12"/>
  <c r="DO50" i="14"/>
  <c r="DP50" i="14"/>
  <c r="DX50" i="14"/>
  <c r="DM50" i="12"/>
  <c r="DS50" i="12"/>
  <c r="DT50" i="12"/>
  <c r="DO50" i="12"/>
  <c r="DQ50" i="14"/>
  <c r="DS50" i="14"/>
  <c r="DU50" i="14"/>
  <c r="CC50" i="14"/>
  <c r="BU50" i="14"/>
  <c r="BM50" i="14"/>
  <c r="BE50" i="14"/>
  <c r="AW50" i="14"/>
  <c r="AO50" i="14"/>
  <c r="AG50" i="14"/>
  <c r="Y50" i="14"/>
  <c r="Q50" i="14"/>
  <c r="I50" i="14"/>
  <c r="BV50" i="14"/>
  <c r="BN50" i="14"/>
  <c r="BF50" i="14"/>
  <c r="AX50" i="14"/>
  <c r="AP50" i="14"/>
  <c r="AH50" i="14"/>
  <c r="Z50" i="14"/>
  <c r="J50" i="14"/>
  <c r="DL50" i="14"/>
  <c r="DD50" i="14"/>
  <c r="CV50" i="14"/>
  <c r="CN50" i="14"/>
  <c r="CF50" i="14"/>
  <c r="BX50" i="14"/>
  <c r="BH50" i="14"/>
  <c r="AZ50" i="14"/>
  <c r="AR50" i="14"/>
  <c r="AJ50" i="14"/>
  <c r="AB50" i="14"/>
  <c r="L50" i="14"/>
  <c r="D50" i="14"/>
  <c r="CH50" i="14"/>
  <c r="BR50" i="14"/>
  <c r="BB50" i="14"/>
  <c r="AL50" i="14"/>
  <c r="V50" i="14"/>
  <c r="DH50" i="14"/>
  <c r="CJ50" i="14"/>
  <c r="X50" i="14"/>
  <c r="H50" i="14"/>
  <c r="DK50" i="14"/>
  <c r="DC50" i="14"/>
  <c r="CU50" i="14"/>
  <c r="CM50" i="14"/>
  <c r="AM50" i="12"/>
  <c r="AE50" i="12"/>
  <c r="W50" i="12"/>
  <c r="O50" i="12"/>
  <c r="AL50" i="12"/>
  <c r="AD50" i="12"/>
  <c r="V50" i="12"/>
  <c r="N50" i="12"/>
  <c r="F50" i="12"/>
  <c r="E50" i="12"/>
  <c r="AJ50" i="12"/>
  <c r="AB50" i="12"/>
  <c r="T50" i="12"/>
  <c r="L50" i="12"/>
  <c r="AI50" i="12"/>
  <c r="AA50" i="12"/>
  <c r="S50" i="12"/>
  <c r="K50" i="12"/>
  <c r="C50" i="12"/>
  <c r="AH50" i="12"/>
  <c r="Z50" i="12"/>
  <c r="R50" i="12"/>
  <c r="J50" i="12"/>
  <c r="AO50" i="12"/>
  <c r="AG50" i="12"/>
  <c r="Y50" i="12"/>
  <c r="Q50" i="12"/>
  <c r="I50" i="12"/>
  <c r="AN50" i="12"/>
  <c r="AF50" i="12"/>
  <c r="X50" i="12"/>
  <c r="P50" i="12"/>
  <c r="H50" i="12"/>
  <c r="DV50" i="12"/>
  <c r="DN50" i="12"/>
  <c r="DR50" i="14"/>
  <c r="DT50" i="14"/>
  <c r="DP50" i="12"/>
  <c r="DV50" i="14"/>
  <c r="DW50" i="12"/>
  <c r="DF50" i="12"/>
  <c r="BZ50" i="14"/>
  <c r="AT50" i="14"/>
  <c r="AD50" i="14"/>
  <c r="F50" i="14"/>
  <c r="DN50" i="14"/>
  <c r="CG50" i="14"/>
  <c r="BQ50" i="14"/>
  <c r="BI50" i="14"/>
  <c r="BA50" i="14"/>
  <c r="AS50" i="14"/>
  <c r="AK50" i="14"/>
  <c r="AC50" i="14"/>
  <c r="U50" i="14"/>
  <c r="M50" i="14"/>
  <c r="E50" i="14"/>
  <c r="DG50" i="14"/>
  <c r="CY50" i="14"/>
  <c r="CQ50" i="14"/>
  <c r="D50" i="12"/>
  <c r="CX50" i="12"/>
  <c r="DX50" i="12"/>
  <c r="CG50" i="12"/>
  <c r="BY50" i="12"/>
  <c r="BQ50" i="12"/>
  <c r="BI50" i="12"/>
  <c r="BA50" i="12"/>
  <c r="AS50" i="12"/>
  <c r="CT50" i="12"/>
  <c r="CE50" i="14"/>
  <c r="BW50" i="14"/>
  <c r="AY50" i="14"/>
  <c r="I51" i="9"/>
  <c r="U51" i="9"/>
  <c r="AG51" i="9"/>
  <c r="AS51" i="9"/>
  <c r="BE51" i="9"/>
  <c r="BQ51" i="9"/>
  <c r="CO51" i="9"/>
  <c r="B51" i="9"/>
  <c r="B51" i="7" l="1"/>
  <c r="BQ51" i="7"/>
  <c r="U51" i="7"/>
  <c r="DA51" i="7"/>
  <c r="AS51" i="12"/>
  <c r="BE51" i="7"/>
  <c r="AS51" i="13"/>
  <c r="U51" i="13"/>
  <c r="BQ51" i="13"/>
  <c r="I51" i="13"/>
  <c r="CC51" i="13"/>
  <c r="AG51" i="13"/>
  <c r="DA51" i="13"/>
  <c r="AG51" i="7"/>
  <c r="BE51" i="13"/>
  <c r="AG51" i="14"/>
  <c r="BE51" i="12"/>
  <c r="CO51" i="13"/>
  <c r="B51" i="13"/>
  <c r="CC51" i="7"/>
  <c r="CC51" i="14"/>
  <c r="DM51" i="14"/>
  <c r="CO51" i="7"/>
  <c r="BE51" i="14"/>
  <c r="AS51" i="7"/>
  <c r="I51" i="7"/>
  <c r="U51" i="12"/>
  <c r="DM51" i="7"/>
  <c r="AG51" i="12"/>
  <c r="I51" i="12"/>
  <c r="B51" i="12"/>
  <c r="CO51" i="14"/>
  <c r="BQ51" i="12"/>
  <c r="DA51" i="14"/>
  <c r="DA51" i="12"/>
  <c r="DM51" i="12"/>
  <c r="DM51" i="13"/>
  <c r="CC51" i="12"/>
  <c r="I51" i="14"/>
  <c r="AS51" i="14"/>
  <c r="CO51" i="12"/>
  <c r="B51" i="14"/>
  <c r="BQ51" i="14"/>
  <c r="U5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Matthews, Joshua</author>
  </authors>
  <commentList>
    <comment ref="CK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NWE I Opened March 19, 2016.</t>
        </r>
      </text>
    </comment>
    <comment ref="CD4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CME opened August 22, 2015.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Matthews, Joshua</author>
  </authors>
  <commentList>
    <comment ref="CK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NWE I Opened March 19, 2016.</t>
        </r>
      </text>
    </comment>
    <comment ref="CD4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CME opened August 22, 2015.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Matthews, Joshua</author>
  </authors>
  <commentList>
    <comment ref="CK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NWE I Opened March 19, 2016.</t>
        </r>
      </text>
    </comment>
    <comment ref="BW10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Super Bowl in Glendale occurred in January 2015.</t>
        </r>
      </text>
    </comment>
    <comment ref="CD44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CME opened August 22, 2015.</t>
        </r>
      </text>
    </comment>
    <comment ref="BW5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Super Bowl in Glendale occurred in January 2015.</t>
        </r>
      </text>
    </comment>
    <comment ref="CI50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The NCAA College Football Championship was in Glendale in January 2016.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Matthews, Joshua</author>
  </authors>
  <commentList>
    <comment ref="CK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NWE I Opened March 19, 2016.</t>
        </r>
      </text>
    </comment>
    <comment ref="CD4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CME opened August 22, 2015.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Matthews, Joshua</author>
  </authors>
  <commentList>
    <comment ref="CD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CME Opening August 22, 2015.</t>
        </r>
      </text>
    </comment>
    <comment ref="CK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Matthews, Joshua:</t>
        </r>
        <r>
          <rPr>
            <sz val="9"/>
            <color indexed="81"/>
            <rFont val="Tahoma"/>
            <family val="2"/>
          </rPr>
          <t xml:space="preserve">
NWE I Opening March 19, 2016. </t>
        </r>
      </text>
    </comment>
  </commentList>
</comments>
</file>

<file path=xl/sharedStrings.xml><?xml version="1.0" encoding="utf-8"?>
<sst xmlns="http://schemas.openxmlformats.org/spreadsheetml/2006/main" count="611" uniqueCount="103">
  <si>
    <t>Fiscal Year 2017</t>
  </si>
  <si>
    <t>Fiscal Year 2016</t>
  </si>
  <si>
    <t>Fiscal Year 2015</t>
  </si>
  <si>
    <t>19th Ave/Montebello</t>
  </si>
  <si>
    <t>19th Ave/Camelback</t>
  </si>
  <si>
    <t xml:space="preserve">7th Ave/Camelback </t>
  </si>
  <si>
    <t>Central Ave/Camelback</t>
  </si>
  <si>
    <t xml:space="preserve">Campbell/Central Ave </t>
  </si>
  <si>
    <t xml:space="preserve">Indian School/Central Ave </t>
  </si>
  <si>
    <t>Osborn/Central Ave</t>
  </si>
  <si>
    <t>Thomas/Central Ave</t>
  </si>
  <si>
    <t xml:space="preserve">Encanto/Central Ave </t>
  </si>
  <si>
    <t xml:space="preserve">McDowell/Central Ave </t>
  </si>
  <si>
    <t>Roosevelt/Central Ave</t>
  </si>
  <si>
    <t>38th St/Washington</t>
  </si>
  <si>
    <t>44th St/Washington</t>
  </si>
  <si>
    <t xml:space="preserve">Priest Dr/Washington St </t>
  </si>
  <si>
    <t xml:space="preserve">Center Pkwy/Washington St </t>
  </si>
  <si>
    <t xml:space="preserve">Mill Ave/Third St </t>
  </si>
  <si>
    <t>Veterans Way/College Ave</t>
  </si>
  <si>
    <t>University Dr/Rural</t>
  </si>
  <si>
    <t>Dorsey/Apache Blvd</t>
  </si>
  <si>
    <t xml:space="preserve">McClintock/Apache Blvd </t>
  </si>
  <si>
    <t>Smith-Martin/Apache Blvd</t>
  </si>
  <si>
    <t>Price-101 Fwy/Apache Blvd</t>
  </si>
  <si>
    <t xml:space="preserve">Sycamore/Main St </t>
  </si>
  <si>
    <t>Alma School/Main St</t>
  </si>
  <si>
    <t>Country Club/Main St</t>
  </si>
  <si>
    <t>Center/Main St</t>
  </si>
  <si>
    <t>Mesa Dr/Main St</t>
  </si>
  <si>
    <t>Northern/19th Ave</t>
  </si>
  <si>
    <t>Glendale/19th Ave</t>
  </si>
  <si>
    <t>19th Ave/Dunlap</t>
  </si>
  <si>
    <t xml:space="preserve"> </t>
  </si>
  <si>
    <t>WB Van Buren/Central Ave</t>
  </si>
  <si>
    <t>EB Van Buren/1st Ave</t>
  </si>
  <si>
    <t xml:space="preserve">EB Jefferson/1st Ave </t>
  </si>
  <si>
    <t xml:space="preserve">WB Washington/Central Ave </t>
  </si>
  <si>
    <t xml:space="preserve">EB 3rd St/Jefferson </t>
  </si>
  <si>
    <t xml:space="preserve">WB 3rd St/Washington </t>
  </si>
  <si>
    <t>WB 12th St/Washington</t>
  </si>
  <si>
    <t xml:space="preserve">EB 12th St/Jefferson </t>
  </si>
  <si>
    <t xml:space="preserve">EB 24th St/Jefferson </t>
  </si>
  <si>
    <t>WB 24th St/Washington</t>
  </si>
  <si>
    <t>Fiscal Year 2014</t>
  </si>
  <si>
    <t>Fiscal Year 2013</t>
  </si>
  <si>
    <t>Fiscal Year 2012</t>
  </si>
  <si>
    <t>Fiscal Year 2011</t>
  </si>
  <si>
    <t>Fiscal Year 2010</t>
  </si>
  <si>
    <t>Fiscal Year 2009</t>
  </si>
  <si>
    <t>Fiscal Year 2018</t>
  </si>
  <si>
    <t>Average Weekday Boardings (System):</t>
  </si>
  <si>
    <t>Average Weekday Boardings by Station</t>
  </si>
  <si>
    <t>Total Weekday Boardings (System):</t>
  </si>
  <si>
    <t>Total Weekdays:</t>
  </si>
  <si>
    <t>Total Weekday Boardings by Station</t>
  </si>
  <si>
    <t>Fiscal Year Monthly Average (System):</t>
  </si>
  <si>
    <t>Total Saturdays:</t>
  </si>
  <si>
    <t>Total Sundays:</t>
  </si>
  <si>
    <t>Total Holidays</t>
  </si>
  <si>
    <t>Service Days per Month</t>
  </si>
  <si>
    <t>Total Saturday Boardings by Station</t>
  </si>
  <si>
    <t>Average Saturday Boardings by Station</t>
  </si>
  <si>
    <t>Total Weekdays (Extension Opening):</t>
  </si>
  <si>
    <t>Total Saturdays (Extension Opening):</t>
  </si>
  <si>
    <t>Total Sundays (Extension Opening):</t>
  </si>
  <si>
    <t>Total Holidays (Extension Opening):</t>
  </si>
  <si>
    <t>Average Sunday &amp; Holiday Boardings by Station</t>
  </si>
  <si>
    <t>Total Sunday &amp; Holiday Boardings by Station</t>
  </si>
  <si>
    <t>Stapley/Main St</t>
  </si>
  <si>
    <t>Gilbert Rd/Main St</t>
  </si>
  <si>
    <t>50th St/Washington</t>
  </si>
  <si>
    <t>Fiscal Year 2019</t>
  </si>
  <si>
    <t>Note: As of October 22, 2018, Valley Metro runs weekday service on Veteran's Day, the Day After Thanksgiving, Christmas Eve, MLK Day, and President's Day</t>
  </si>
  <si>
    <t>Total All Days Boardings by Station</t>
  </si>
  <si>
    <t>Fiscal Year 2020</t>
  </si>
  <si>
    <t>Fiscal Year 2021</t>
  </si>
  <si>
    <t>Fiscal Year 2022</t>
  </si>
  <si>
    <t>*Data errors Dec20/Jan21</t>
  </si>
  <si>
    <t>Fiscal Year 2023</t>
  </si>
  <si>
    <t>Marina Heights / Rio Salado</t>
  </si>
  <si>
    <t>Hayden Ferry / Rio Salado</t>
  </si>
  <si>
    <t>Tempe Beach Park / Rio Salado Pkwy</t>
  </si>
  <si>
    <t>Third St / Ash</t>
  </si>
  <si>
    <t>Fifth St / Ash</t>
  </si>
  <si>
    <t>University Dr / Ash</t>
  </si>
  <si>
    <t>Ninth St / Mill</t>
  </si>
  <si>
    <t>Eleventh St / Mill</t>
  </si>
  <si>
    <t>College Ave / Apache</t>
  </si>
  <si>
    <t>Paseo Del Saber / Apache</t>
  </si>
  <si>
    <t>Rural / Apache</t>
  </si>
  <si>
    <t>Dorsey Ln / Apache</t>
  </si>
  <si>
    <t>Sixth St / Mill</t>
  </si>
  <si>
    <t>Third St / Mill</t>
  </si>
  <si>
    <t>Streetcar</t>
  </si>
  <si>
    <t>Average</t>
  </si>
  <si>
    <t>Metro Parkway</t>
  </si>
  <si>
    <t>Mountain View/ 25th Ave</t>
  </si>
  <si>
    <t>25th Ave/ Dunlap</t>
  </si>
  <si>
    <t>Fiscal Year 2024</t>
  </si>
  <si>
    <t>Fiscal Year 2204</t>
  </si>
  <si>
    <t>Fiscal Years 2024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</si>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</sst>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mmm\-yy;@"/>
    <numFmt numFmtId="165" formatCode="0.0%"/>
    <numFmt numFmtId="166" formatCode="[$-10409]#,###,##0"/>
    <numFmt numFmtId="167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0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E6CD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0" fontId="2" fillId="0" borderId="0"/>
    <xf numFmtId="0" fontId="3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8" borderId="0" applyNumberFormat="0" applyBorder="0" applyAlignment="0" applyProtection="0"/>
    <xf numFmtId="3" fontId="6" fillId="0" borderId="34"/>
    <xf numFmtId="0" fontId="13" fillId="0" borderId="0">
      <alignment wrapText="1"/>
    </xf>
    <xf numFmtId="43" fontId="2" fillId="0" borderId="0" applyFont="0" applyFill="0" applyBorder="0" applyAlignment="0" applyProtection="0"/>
  </cellStyleXfs>
  <cellXfs count="246">
    <xf numFmtId="0" fontId="0" fillId="0" borderId="0" xfId="0"/>
    <xf numFmtId="0" fontId="0" fillId="0" borderId="0" xfId="0" applyAlignment="1">
      <alignment horizontal="center"/>
    </xf>
    <xf numFmtId="0" fontId="0" fillId="4" borderId="3" xfId="0" applyFill="1" applyBorder="1"/>
    <xf numFmtId="0" fontId="0" fillId="2" borderId="3" xfId="0" applyFill="1" applyBorder="1"/>
    <xf numFmtId="0" fontId="0" fillId="3" borderId="3" xfId="0" applyFill="1" applyBorder="1"/>
    <xf numFmtId="0" fontId="1" fillId="0" borderId="0" xfId="0" applyFont="1"/>
    <xf numFmtId="0" fontId="0" fillId="4" borderId="18" xfId="0" applyFill="1" applyBorder="1"/>
    <xf numFmtId="0" fontId="0" fillId="4" borderId="11" xfId="0" applyFill="1" applyBorder="1"/>
    <xf numFmtId="0" fontId="0" fillId="2" borderId="18" xfId="0" applyFill="1" applyBorder="1"/>
    <xf numFmtId="0" fontId="0" fillId="2" borderId="11" xfId="0" applyFill="1" applyBorder="1"/>
    <xf numFmtId="0" fontId="0" fillId="3" borderId="18" xfId="0" applyFill="1" applyBorder="1"/>
    <xf numFmtId="0" fontId="0" fillId="3" borderId="24" xfId="0" applyFill="1" applyBorder="1"/>
    <xf numFmtId="3" fontId="0" fillId="0" borderId="19" xfId="0" applyNumberFormat="1" applyBorder="1"/>
    <xf numFmtId="3" fontId="0" fillId="0" borderId="20" xfId="0" applyNumberFormat="1" applyBorder="1"/>
    <xf numFmtId="3" fontId="0" fillId="0" borderId="13" xfId="0" applyNumberFormat="1" applyBorder="1"/>
    <xf numFmtId="3" fontId="0" fillId="0" borderId="21" xfId="0" applyNumberFormat="1" applyBorder="1"/>
    <xf numFmtId="3" fontId="0" fillId="0" borderId="18" xfId="0" applyNumberFormat="1" applyBorder="1"/>
    <xf numFmtId="3" fontId="0" fillId="0" borderId="5" xfId="0" applyNumberFormat="1" applyBorder="1"/>
    <xf numFmtId="3" fontId="0" fillId="0" borderId="1" xfId="0" applyNumberFormat="1" applyBorder="1"/>
    <xf numFmtId="3" fontId="0" fillId="0" borderId="6" xfId="0" applyNumberFormat="1" applyBorder="1"/>
    <xf numFmtId="3" fontId="0" fillId="0" borderId="4" xfId="0" applyNumberFormat="1" applyBorder="1"/>
    <xf numFmtId="3" fontId="0" fillId="0" borderId="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11" xfId="0" applyNumberFormat="1" applyBorder="1"/>
    <xf numFmtId="3" fontId="0" fillId="0" borderId="25" xfId="0" applyNumberFormat="1" applyBorder="1"/>
    <xf numFmtId="3" fontId="0" fillId="0" borderId="26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3" fontId="0" fillId="0" borderId="24" xfId="0" applyNumberFormat="1" applyBorder="1"/>
    <xf numFmtId="3" fontId="0" fillId="0" borderId="22" xfId="0" applyNumberFormat="1" applyBorder="1"/>
    <xf numFmtId="3" fontId="0" fillId="0" borderId="7" xfId="0" applyNumberFormat="1" applyBorder="1"/>
    <xf numFmtId="3" fontId="0" fillId="0" borderId="23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164" fontId="0" fillId="0" borderId="26" xfId="0" applyNumberFormat="1" applyBorder="1" applyAlignment="1">
      <alignment horizontal="center"/>
    </xf>
    <xf numFmtId="17" fontId="0" fillId="0" borderId="26" xfId="0" applyNumberFormat="1" applyBorder="1" applyAlignment="1">
      <alignment horizontal="center"/>
    </xf>
    <xf numFmtId="17" fontId="0" fillId="0" borderId="24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7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1" fillId="0" borderId="1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horizontal="right"/>
    </xf>
    <xf numFmtId="17" fontId="0" fillId="0" borderId="25" xfId="0" applyNumberFormat="1" applyBorder="1" applyAlignment="1">
      <alignment horizontal="center"/>
    </xf>
    <xf numFmtId="3" fontId="1" fillId="0" borderId="22" xfId="0" applyNumberFormat="1" applyFont="1" applyBorder="1"/>
    <xf numFmtId="3" fontId="1" fillId="0" borderId="7" xfId="0" applyNumberFormat="1" applyFont="1" applyBorder="1"/>
    <xf numFmtId="3" fontId="1" fillId="0" borderId="23" xfId="0" applyNumberFormat="1" applyFont="1" applyBorder="1"/>
    <xf numFmtId="3" fontId="1" fillId="0" borderId="9" xfId="0" applyNumberFormat="1" applyFont="1" applyBorder="1"/>
    <xf numFmtId="3" fontId="1" fillId="0" borderId="10" xfId="0" applyNumberFormat="1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7" fontId="0" fillId="0" borderId="28" xfId="0" applyNumberFormat="1" applyBorder="1" applyAlignment="1">
      <alignment horizontal="center"/>
    </xf>
    <xf numFmtId="3" fontId="1" fillId="0" borderId="19" xfId="0" applyNumberFormat="1" applyFont="1" applyBorder="1"/>
    <xf numFmtId="3" fontId="1" fillId="0" borderId="20" xfId="0" applyNumberFormat="1" applyFont="1" applyBorder="1"/>
    <xf numFmtId="3" fontId="1" fillId="0" borderId="13" xfId="0" applyNumberFormat="1" applyFont="1" applyBorder="1"/>
    <xf numFmtId="0" fontId="1" fillId="0" borderId="3" xfId="0" applyFont="1" applyBorder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5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20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3" fontId="0" fillId="0" borderId="19" xfId="0" applyNumberFormat="1" applyBorder="1" applyAlignment="1">
      <alignment horizontal="right" vertical="center"/>
    </xf>
    <xf numFmtId="0" fontId="1" fillId="0" borderId="6" xfId="0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1" fontId="0" fillId="0" borderId="20" xfId="0" applyNumberFormat="1" applyBorder="1" applyAlignment="1">
      <alignment horizontal="right" vertical="center"/>
    </xf>
    <xf numFmtId="1" fontId="0" fillId="0" borderId="13" xfId="0" applyNumberFormat="1" applyBorder="1" applyAlignment="1">
      <alignment horizontal="right" vertical="center"/>
    </xf>
    <xf numFmtId="1" fontId="0" fillId="0" borderId="19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" fontId="0" fillId="0" borderId="6" xfId="0" applyNumberFormat="1" applyBorder="1" applyAlignment="1">
      <alignment horizontal="right" vertical="center"/>
    </xf>
    <xf numFmtId="1" fontId="0" fillId="0" borderId="5" xfId="0" applyNumberFormat="1" applyBorder="1" applyAlignment="1">
      <alignment horizontal="right" vertical="center"/>
    </xf>
    <xf numFmtId="1" fontId="0" fillId="0" borderId="15" xfId="0" applyNumberFormat="1" applyBorder="1" applyAlignment="1">
      <alignment horizontal="right" vertical="center"/>
    </xf>
    <xf numFmtId="1" fontId="0" fillId="0" borderId="16" xfId="0" applyNumberFormat="1" applyBorder="1" applyAlignment="1">
      <alignment horizontal="right" vertical="center"/>
    </xf>
    <xf numFmtId="1" fontId="0" fillId="0" borderId="14" xfId="0" applyNumberFormat="1" applyBorder="1" applyAlignment="1">
      <alignment horizontal="right" vertical="center"/>
    </xf>
    <xf numFmtId="3" fontId="0" fillId="5" borderId="1" xfId="0" applyNumberFormat="1" applyFill="1" applyBorder="1"/>
    <xf numFmtId="3" fontId="0" fillId="5" borderId="6" xfId="0" applyNumberFormat="1" applyFill="1" applyBorder="1"/>
    <xf numFmtId="3" fontId="0" fillId="5" borderId="5" xfId="0" applyNumberFormat="1" applyFill="1" applyBorder="1"/>
    <xf numFmtId="3" fontId="0" fillId="5" borderId="1" xfId="0" applyNumberFormat="1" applyFill="1" applyBorder="1" applyAlignment="1">
      <alignment horizontal="right" vertical="center"/>
    </xf>
    <xf numFmtId="3" fontId="0" fillId="0" borderId="0" xfId="0" applyNumberFormat="1"/>
    <xf numFmtId="3" fontId="0" fillId="0" borderId="0" xfId="3" applyNumberFormat="1" applyFont="1"/>
    <xf numFmtId="165" fontId="0" fillId="0" borderId="0" xfId="4" applyNumberFormat="1" applyFont="1"/>
    <xf numFmtId="0" fontId="0" fillId="6" borderId="3" xfId="0" applyFill="1" applyBorder="1"/>
    <xf numFmtId="0" fontId="0" fillId="7" borderId="42" xfId="0" applyFill="1" applyBorder="1"/>
    <xf numFmtId="0" fontId="0" fillId="7" borderId="43" xfId="0" applyFill="1" applyBorder="1"/>
    <xf numFmtId="0" fontId="0" fillId="0" borderId="0" xfId="0" applyAlignment="1">
      <alignment wrapText="1"/>
    </xf>
    <xf numFmtId="0" fontId="0" fillId="0" borderId="11" xfId="0" applyBorder="1"/>
    <xf numFmtId="0" fontId="0" fillId="0" borderId="17" xfId="0" applyBorder="1"/>
    <xf numFmtId="0" fontId="0" fillId="0" borderId="0" xfId="0" quotePrefix="1"/>
    <xf numFmtId="0" fontId="7" fillId="8" borderId="0" xfId="5"/>
    <xf numFmtId="166" fontId="8" fillId="0" borderId="49" xfId="0" applyNumberFormat="1" applyFont="1" applyBorder="1" applyAlignment="1">
      <alignment horizontal="right" vertical="top" wrapText="1" readingOrder="1"/>
    </xf>
    <xf numFmtId="166" fontId="8" fillId="0" borderId="25" xfId="0" applyNumberFormat="1" applyFont="1" applyBorder="1" applyAlignment="1">
      <alignment horizontal="right" vertical="top" wrapText="1" readingOrder="1"/>
    </xf>
    <xf numFmtId="3" fontId="1" fillId="0" borderId="7" xfId="0" applyNumberFormat="1" applyFont="1" applyBorder="1" applyAlignment="1">
      <alignment horizontal="right"/>
    </xf>
    <xf numFmtId="166" fontId="2" fillId="0" borderId="49" xfId="0" applyNumberFormat="1" applyFont="1" applyBorder="1" applyAlignment="1">
      <alignment horizontal="right" vertical="top" wrapText="1" readingOrder="1"/>
    </xf>
    <xf numFmtId="166" fontId="2" fillId="0" borderId="50" xfId="0" applyNumberFormat="1" applyFont="1" applyBorder="1" applyAlignment="1">
      <alignment horizontal="right" vertical="top" wrapText="1" readingOrder="1"/>
    </xf>
    <xf numFmtId="166" fontId="2" fillId="0" borderId="26" xfId="0" applyNumberFormat="1" applyFont="1" applyBorder="1" applyAlignment="1">
      <alignment horizontal="right" vertical="top" wrapText="1" readingOrder="1"/>
    </xf>
    <xf numFmtId="166" fontId="2" fillId="0" borderId="51" xfId="0" applyNumberFormat="1" applyFont="1" applyBorder="1" applyAlignment="1">
      <alignment horizontal="right" vertical="top" wrapText="1" readingOrder="1"/>
    </xf>
    <xf numFmtId="166" fontId="2" fillId="0" borderId="52" xfId="0" applyNumberFormat="1" applyFont="1" applyBorder="1" applyAlignment="1">
      <alignment horizontal="right" vertical="top" wrapText="1" readingOrder="1"/>
    </xf>
    <xf numFmtId="166" fontId="2" fillId="0" borderId="25" xfId="0" applyNumberFormat="1" applyFont="1" applyBorder="1" applyAlignment="1">
      <alignment horizontal="right" vertical="top" wrapText="1" readingOrder="1"/>
    </xf>
    <xf numFmtId="167" fontId="2" fillId="0" borderId="49" xfId="0" applyNumberFormat="1" applyFont="1" applyBorder="1" applyAlignment="1">
      <alignment horizontal="right" wrapText="1" readingOrder="1"/>
    </xf>
    <xf numFmtId="167" fontId="2" fillId="0" borderId="53" xfId="0" applyNumberFormat="1" applyFont="1" applyBorder="1" applyAlignment="1">
      <alignment horizontal="right" wrapText="1" readingOrder="1"/>
    </xf>
    <xf numFmtId="167" fontId="2" fillId="0" borderId="51" xfId="0" applyNumberFormat="1" applyFont="1" applyBorder="1" applyAlignment="1">
      <alignment horizontal="right" wrapText="1" readingOrder="1"/>
    </xf>
    <xf numFmtId="167" fontId="2" fillId="0" borderId="50" xfId="0" applyNumberFormat="1" applyFont="1" applyBorder="1" applyAlignment="1">
      <alignment horizontal="right" wrapText="1" readingOrder="1"/>
    </xf>
    <xf numFmtId="167" fontId="2" fillId="0" borderId="55" xfId="0" applyNumberFormat="1" applyFont="1" applyBorder="1" applyAlignment="1">
      <alignment horizontal="right" wrapText="1" readingOrder="1"/>
    </xf>
    <xf numFmtId="167" fontId="2" fillId="0" borderId="54" xfId="0" applyNumberFormat="1" applyFont="1" applyBorder="1" applyAlignment="1">
      <alignment horizontal="right" wrapText="1" readingOrder="1"/>
    </xf>
    <xf numFmtId="167" fontId="2" fillId="0" borderId="56" xfId="0" applyNumberFormat="1" applyFont="1" applyBorder="1" applyAlignment="1">
      <alignment horizontal="right" wrapText="1" readingOrder="1"/>
    </xf>
    <xf numFmtId="167" fontId="10" fillId="0" borderId="20" xfId="0" applyNumberFormat="1" applyFont="1" applyBorder="1" applyAlignment="1">
      <alignment horizontal="right" wrapText="1" readingOrder="1"/>
    </xf>
    <xf numFmtId="0" fontId="1" fillId="0" borderId="10" xfId="0" applyFont="1" applyBorder="1"/>
    <xf numFmtId="0" fontId="1" fillId="0" borderId="8" xfId="0" applyFont="1" applyBorder="1"/>
    <xf numFmtId="166" fontId="2" fillId="0" borderId="49" xfId="0" applyNumberFormat="1" applyFont="1" applyBorder="1" applyAlignment="1">
      <alignment horizontal="right" wrapText="1" readingOrder="1"/>
    </xf>
    <xf numFmtId="166" fontId="2" fillId="0" borderId="49" xfId="0" applyNumberFormat="1" applyFont="1" applyBorder="1" applyAlignment="1">
      <alignment horizontal="center" wrapText="1" readingOrder="1"/>
    </xf>
    <xf numFmtId="166" fontId="2" fillId="0" borderId="50" xfId="0" applyNumberFormat="1" applyFont="1" applyBorder="1" applyAlignment="1">
      <alignment horizontal="right" wrapText="1" readingOrder="1"/>
    </xf>
    <xf numFmtId="166" fontId="2" fillId="0" borderId="26" xfId="0" applyNumberFormat="1" applyFont="1" applyBorder="1" applyAlignment="1">
      <alignment horizontal="right" wrapText="1" readingOrder="1"/>
    </xf>
    <xf numFmtId="3" fontId="0" fillId="0" borderId="20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0" fillId="0" borderId="19" xfId="0" applyNumberFormat="1" applyBorder="1" applyAlignment="1">
      <alignment horizontal="right"/>
    </xf>
    <xf numFmtId="166" fontId="2" fillId="0" borderId="51" xfId="0" applyNumberFormat="1" applyFont="1" applyBorder="1" applyAlignment="1">
      <alignment horizontal="right" wrapText="1" readingOrder="1"/>
    </xf>
    <xf numFmtId="3" fontId="0" fillId="0" borderId="1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0" fillId="0" borderId="15" xfId="0" applyNumberFormat="1" applyBorder="1" applyAlignment="1">
      <alignment horizontal="right"/>
    </xf>
    <xf numFmtId="3" fontId="0" fillId="0" borderId="16" xfId="0" applyNumberFormat="1" applyBorder="1" applyAlignment="1">
      <alignment horizontal="right"/>
    </xf>
    <xf numFmtId="3" fontId="0" fillId="0" borderId="14" xfId="0" applyNumberFormat="1" applyBorder="1" applyAlignment="1">
      <alignment horizontal="right"/>
    </xf>
    <xf numFmtId="166" fontId="2" fillId="0" borderId="52" xfId="0" applyNumberFormat="1" applyFont="1" applyBorder="1" applyAlignment="1">
      <alignment horizontal="right" wrapText="1" readingOrder="1"/>
    </xf>
    <xf numFmtId="166" fontId="2" fillId="0" borderId="25" xfId="0" applyNumberFormat="1" applyFont="1" applyBorder="1" applyAlignment="1">
      <alignment horizontal="right" wrapText="1" readingOrder="1"/>
    </xf>
    <xf numFmtId="0" fontId="7" fillId="0" borderId="0" xfId="5" applyFill="1"/>
    <xf numFmtId="3" fontId="0" fillId="0" borderId="57" xfId="0" applyNumberFormat="1" applyBorder="1"/>
    <xf numFmtId="166" fontId="9" fillId="0" borderId="49" xfId="0" applyNumberFormat="1" applyFont="1" applyBorder="1" applyAlignment="1">
      <alignment horizontal="right" vertical="top" wrapText="1" readingOrder="1"/>
    </xf>
    <xf numFmtId="3" fontId="11" fillId="0" borderId="20" xfId="0" applyNumberFormat="1" applyFont="1" applyBorder="1" applyAlignment="1">
      <alignment horizontal="right"/>
    </xf>
    <xf numFmtId="3" fontId="11" fillId="0" borderId="26" xfId="0" applyNumberFormat="1" applyFont="1" applyBorder="1" applyAlignment="1">
      <alignment horizontal="right"/>
    </xf>
    <xf numFmtId="3" fontId="11" fillId="0" borderId="7" xfId="0" applyNumberFormat="1" applyFont="1" applyBorder="1" applyAlignment="1">
      <alignment horizontal="right"/>
    </xf>
    <xf numFmtId="166" fontId="9" fillId="0" borderId="25" xfId="0" applyNumberFormat="1" applyFont="1" applyBorder="1" applyAlignment="1">
      <alignment horizontal="right" vertical="top" wrapText="1" readingOrder="1"/>
    </xf>
    <xf numFmtId="3" fontId="12" fillId="0" borderId="22" xfId="0" applyNumberFormat="1" applyFont="1" applyBorder="1" applyAlignment="1">
      <alignment horizontal="right"/>
    </xf>
    <xf numFmtId="167" fontId="8" fillId="0" borderId="49" xfId="0" applyNumberFormat="1" applyFont="1" applyBorder="1" applyAlignment="1">
      <alignment horizontal="center" vertical="top" wrapText="1" readingOrder="1"/>
    </xf>
    <xf numFmtId="167" fontId="0" fillId="0" borderId="20" xfId="0" applyNumberFormat="1" applyBorder="1"/>
    <xf numFmtId="167" fontId="0" fillId="0" borderId="1" xfId="0" applyNumberFormat="1" applyBorder="1"/>
    <xf numFmtId="167" fontId="0" fillId="0" borderId="15" xfId="0" applyNumberFormat="1" applyBorder="1"/>
    <xf numFmtId="167" fontId="0" fillId="0" borderId="26" xfId="0" applyNumberFormat="1" applyBorder="1"/>
    <xf numFmtId="167" fontId="1" fillId="0" borderId="7" xfId="0" applyNumberFormat="1" applyFont="1" applyBorder="1"/>
    <xf numFmtId="167" fontId="2" fillId="0" borderId="49" xfId="0" applyNumberFormat="1" applyFont="1" applyBorder="1" applyAlignment="1">
      <alignment horizontal="center" vertical="top" wrapText="1" readingOrder="1"/>
    </xf>
    <xf numFmtId="0" fontId="1" fillId="0" borderId="58" xfId="0" applyFont="1" applyBorder="1" applyAlignment="1">
      <alignment horizontal="left"/>
    </xf>
    <xf numFmtId="16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  <xf numFmtId="1" fontId="0" fillId="0" borderId="0" xfId="0" applyNumberFormat="1"/>
    <xf numFmtId="167" fontId="2" fillId="0" borderId="59" xfId="0" applyNumberFormat="1" applyFont="1" applyBorder="1" applyAlignment="1">
      <alignment horizontal="center" vertical="top" wrapText="1" readingOrder="1"/>
    </xf>
    <xf numFmtId="0" fontId="1" fillId="9" borderId="20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164" fontId="0" fillId="0" borderId="0" xfId="0" applyNumberFormat="1" applyAlignment="1">
      <alignment horizontal="center"/>
    </xf>
    <xf numFmtId="17" fontId="0" fillId="0" borderId="41" xfId="0" applyNumberFormat="1" applyBorder="1" applyAlignment="1">
      <alignment horizontal="center"/>
    </xf>
    <xf numFmtId="17" fontId="0" fillId="0" borderId="60" xfId="0" applyNumberFormat="1" applyBorder="1" applyAlignment="1">
      <alignment horizontal="center"/>
    </xf>
    <xf numFmtId="164" fontId="0" fillId="0" borderId="60" xfId="0" applyNumberFormat="1" applyBorder="1" applyAlignment="1">
      <alignment horizontal="center"/>
    </xf>
    <xf numFmtId="17" fontId="0" fillId="0" borderId="47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0" fontId="1" fillId="10" borderId="58" xfId="0" applyFont="1" applyFill="1" applyBorder="1"/>
    <xf numFmtId="167" fontId="0" fillId="0" borderId="1" xfId="3" applyNumberFormat="1" applyFont="1" applyBorder="1"/>
    <xf numFmtId="17" fontId="0" fillId="0" borderId="39" xfId="0" applyNumberFormat="1" applyBorder="1" applyAlignment="1">
      <alignment horizontal="center"/>
    </xf>
    <xf numFmtId="167" fontId="0" fillId="0" borderId="1" xfId="3" applyNumberFormat="1" applyFont="1" applyFill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7" fontId="11" fillId="0" borderId="1" xfId="3" applyNumberFormat="1" applyFont="1" applyBorder="1"/>
    <xf numFmtId="167" fontId="8" fillId="0" borderId="59" xfId="0" applyNumberFormat="1" applyFont="1" applyBorder="1" applyAlignment="1">
      <alignment horizontal="center" vertical="top" wrapText="1" readingOrder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67" fontId="0" fillId="0" borderId="1" xfId="3" applyNumberFormat="1" applyFont="1" applyBorder="1" applyAlignment="1">
      <alignment horizontal="center"/>
    </xf>
    <xf numFmtId="167" fontId="1" fillId="0" borderId="1" xfId="0" applyNumberFormat="1" applyFont="1" applyBorder="1"/>
    <xf numFmtId="3" fontId="1" fillId="0" borderId="1" xfId="0" applyNumberFormat="1" applyFont="1" applyBorder="1"/>
    <xf numFmtId="167" fontId="0" fillId="0" borderId="1" xfId="3" applyNumberFormat="1" applyFont="1" applyFill="1" applyBorder="1" applyAlignment="1">
      <alignment horizontal="center"/>
    </xf>
    <xf numFmtId="3" fontId="0" fillId="11" borderId="1" xfId="0" applyNumberFormat="1" applyFill="1" applyBorder="1"/>
    <xf numFmtId="3" fontId="1" fillId="0" borderId="18" xfId="0" applyNumberFormat="1" applyFont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3" fontId="0" fillId="0" borderId="61" xfId="0" applyNumberFormat="1" applyBorder="1"/>
    <xf numFmtId="0" fontId="1" fillId="0" borderId="0" xfId="0" applyFont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167" fontId="0" fillId="0" borderId="1" xfId="3" applyNumberFormat="1" applyFont="1" applyFill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3" fontId="1" fillId="0" borderId="29" xfId="0" applyNumberFormat="1" applyFont="1" applyBorder="1" applyAlignment="1">
      <alignment horizontal="center"/>
    </xf>
    <xf numFmtId="3" fontId="1" fillId="0" borderId="30" xfId="0" applyNumberFormat="1" applyFont="1" applyBorder="1" applyAlignment="1">
      <alignment horizontal="center"/>
    </xf>
    <xf numFmtId="3" fontId="1" fillId="0" borderId="3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167" fontId="1" fillId="0" borderId="30" xfId="0" applyNumberFormat="1" applyFont="1" applyBorder="1" applyAlignment="1">
      <alignment horizontal="center"/>
    </xf>
    <xf numFmtId="167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Fill="1" applyAlignment="1">
      <alignment horizontal="right"/>
    </xf>
    <xf numFmtId="16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 applyFill="1"/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/>
    <xf numFmtId="0" fontId="0" fillId="0" borderId="0" xfId="0" applyFill="1"/>
    <xf numFmtId="167" fontId="0" fillId="0" borderId="1" xfId="0" applyNumberFormat="1" applyFill="1" applyBorder="1"/>
  </cellXfs>
  <cellStyles count="9">
    <cellStyle name="Comma" xfId="3" builtinId="3"/>
    <cellStyle name="Comma 2" xfId="8" xr:uid="{4B887167-016D-4334-B1F1-9BB0AD51EAEB}"/>
    <cellStyle name="Neutral" xfId="5" builtinId="28"/>
    <cellStyle name="Normal" xfId="0" builtinId="0"/>
    <cellStyle name="Normal 2" xfId="2" xr:uid="{00000000-0005-0000-0000-000003000000}"/>
    <cellStyle name="Normal 2 2" xfId="7" xr:uid="{292FC46D-2426-4183-8A97-32384B10DC5C}"/>
    <cellStyle name="Normal 5" xfId="1" xr:uid="{00000000-0005-0000-0000-000004000000}"/>
    <cellStyle name="Percent" xfId="4" builtinId="5"/>
    <cellStyle name="Style 1" xfId="6" xr:uid="{00000000-0005-0000-0000-000006000000}"/>
  </cellStyles>
  <dxfs count="0"/>
  <tableStyles count="0" defaultTableStyle="TableStyleMedium2" defaultPivotStyle="PivotStyleLight16"/>
  <colors>
    <mruColors>
      <color rgb="FFE6CDFF"/>
      <color rgb="FFD7AFFF"/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GL71"/>
  <sheetViews>
    <sheetView zoomScaleNormal="100" workbookViewId="0">
      <pane xSplit="1" ySplit="3" topLeftCell="FX4" activePane="bottomRight" state="frozen"/>
      <selection activeCell="FJ74" sqref="FJ74"/>
      <selection pane="topRight" activeCell="FJ74" sqref="FJ74"/>
      <selection pane="bottomLeft" activeCell="FJ74" sqref="FJ74"/>
      <selection pane="bottomRight" activeCell="GI4" sqref="GI4"/>
    </sheetView>
  </sheetViews>
  <sheetFormatPr defaultRowHeight="14.4" x14ac:dyDescent="0.3"/>
  <cols>
    <col min="1" max="1" width="40.33203125" bestFit="1" customWidth="1"/>
    <col min="2" max="164" width="10.109375" customWidth="1"/>
    <col min="177" max="179" width="10.5546875" bestFit="1" customWidth="1"/>
    <col min="180" max="182" width="11.5546875" bestFit="1" customWidth="1"/>
    <col min="183" max="183" width="10.5546875" bestFit="1" customWidth="1"/>
    <col min="191" max="191" width="9.109375" bestFit="1" customWidth="1"/>
    <col min="192" max="192" width="8.88671875" style="238"/>
  </cols>
  <sheetData>
    <row r="1" spans="1:194" s="5" customFormat="1" x14ac:dyDescent="0.3">
      <c r="A1" s="43" t="s">
        <v>74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GJ1" s="234"/>
    </row>
    <row r="2" spans="1:194" s="5" customFormat="1" x14ac:dyDescent="0.3">
      <c r="A2" s="193"/>
      <c r="B2" s="195"/>
      <c r="C2" s="196"/>
      <c r="D2" s="196"/>
      <c r="E2" s="196"/>
      <c r="F2" s="196"/>
      <c r="G2" s="196"/>
      <c r="H2" s="197"/>
      <c r="I2" s="195" t="s">
        <v>48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95" t="s">
        <v>47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7"/>
      <c r="AG2" s="192" t="s">
        <v>46</v>
      </c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 t="s">
        <v>45</v>
      </c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 t="s">
        <v>44</v>
      </c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 t="s">
        <v>2</v>
      </c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 t="s">
        <v>1</v>
      </c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 t="s">
        <v>0</v>
      </c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 t="s">
        <v>50</v>
      </c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 t="s">
        <v>72</v>
      </c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 t="s">
        <v>75</v>
      </c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 t="s">
        <v>76</v>
      </c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 t="s">
        <v>77</v>
      </c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 t="s">
        <v>79</v>
      </c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5"/>
      <c r="FU2" s="201" t="s">
        <v>99</v>
      </c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202"/>
      <c r="GJ2" s="234"/>
    </row>
    <row r="3" spans="1:194" s="1" customFormat="1" ht="15" thickBot="1" x14ac:dyDescent="0.35">
      <c r="A3" s="194"/>
      <c r="B3" s="46">
        <v>39783</v>
      </c>
      <c r="C3" s="38">
        <v>39814</v>
      </c>
      <c r="D3" s="38">
        <v>39845</v>
      </c>
      <c r="E3" s="37">
        <v>39873</v>
      </c>
      <c r="F3" s="38">
        <v>39904</v>
      </c>
      <c r="G3" s="38">
        <v>39934</v>
      </c>
      <c r="H3" s="41">
        <v>39965</v>
      </c>
      <c r="I3" s="40">
        <v>39995</v>
      </c>
      <c r="J3" s="38">
        <v>40026</v>
      </c>
      <c r="K3" s="38">
        <v>40057</v>
      </c>
      <c r="L3" s="38">
        <v>40087</v>
      </c>
      <c r="M3" s="37">
        <v>40118</v>
      </c>
      <c r="N3" s="38">
        <v>40148</v>
      </c>
      <c r="O3" s="38">
        <v>40179</v>
      </c>
      <c r="P3" s="38">
        <v>40210</v>
      </c>
      <c r="Q3" s="37">
        <v>40238</v>
      </c>
      <c r="R3" s="38">
        <v>40269</v>
      </c>
      <c r="S3" s="38">
        <v>40299</v>
      </c>
      <c r="T3" s="41">
        <v>40330</v>
      </c>
      <c r="U3" s="40">
        <v>40360</v>
      </c>
      <c r="V3" s="38">
        <v>40391</v>
      </c>
      <c r="W3" s="38">
        <v>40422</v>
      </c>
      <c r="X3" s="38">
        <v>40452</v>
      </c>
      <c r="Y3" s="37">
        <v>40483</v>
      </c>
      <c r="Z3" s="38">
        <v>40513</v>
      </c>
      <c r="AA3" s="38">
        <v>40544</v>
      </c>
      <c r="AB3" s="38">
        <v>40575</v>
      </c>
      <c r="AC3" s="37">
        <v>40603</v>
      </c>
      <c r="AD3" s="38">
        <v>40634</v>
      </c>
      <c r="AE3" s="38">
        <v>40664</v>
      </c>
      <c r="AF3" s="41">
        <v>40695</v>
      </c>
      <c r="AG3" s="40">
        <v>40725</v>
      </c>
      <c r="AH3" s="38">
        <v>40756</v>
      </c>
      <c r="AI3" s="38">
        <v>40787</v>
      </c>
      <c r="AJ3" s="38">
        <v>40817</v>
      </c>
      <c r="AK3" s="37">
        <v>40848</v>
      </c>
      <c r="AL3" s="38">
        <v>40878</v>
      </c>
      <c r="AM3" s="38">
        <v>40909</v>
      </c>
      <c r="AN3" s="38">
        <v>40940</v>
      </c>
      <c r="AO3" s="37">
        <v>40969</v>
      </c>
      <c r="AP3" s="38">
        <v>41000</v>
      </c>
      <c r="AQ3" s="38">
        <v>41030</v>
      </c>
      <c r="AR3" s="41">
        <v>41061</v>
      </c>
      <c r="AS3" s="40">
        <v>41091</v>
      </c>
      <c r="AT3" s="38">
        <v>41122</v>
      </c>
      <c r="AU3" s="38">
        <v>41153</v>
      </c>
      <c r="AV3" s="38">
        <v>41183</v>
      </c>
      <c r="AW3" s="37">
        <v>41214</v>
      </c>
      <c r="AX3" s="38">
        <v>41244</v>
      </c>
      <c r="AY3" s="38">
        <v>41275</v>
      </c>
      <c r="AZ3" s="38">
        <v>41306</v>
      </c>
      <c r="BA3" s="37">
        <v>41334</v>
      </c>
      <c r="BB3" s="38">
        <v>41365</v>
      </c>
      <c r="BC3" s="38">
        <v>41395</v>
      </c>
      <c r="BD3" s="41">
        <v>41426</v>
      </c>
      <c r="BE3" s="40">
        <v>41456</v>
      </c>
      <c r="BF3" s="38">
        <v>41487</v>
      </c>
      <c r="BG3" s="38">
        <v>41518</v>
      </c>
      <c r="BH3" s="38">
        <v>41548</v>
      </c>
      <c r="BI3" s="37">
        <v>41579</v>
      </c>
      <c r="BJ3" s="38">
        <v>41609</v>
      </c>
      <c r="BK3" s="38">
        <v>41640</v>
      </c>
      <c r="BL3" s="38">
        <v>41671</v>
      </c>
      <c r="BM3" s="37">
        <v>41699</v>
      </c>
      <c r="BN3" s="38">
        <v>41730</v>
      </c>
      <c r="BO3" s="38">
        <v>41760</v>
      </c>
      <c r="BP3" s="41">
        <v>41791</v>
      </c>
      <c r="BQ3" s="40">
        <v>41821</v>
      </c>
      <c r="BR3" s="38">
        <v>41852</v>
      </c>
      <c r="BS3" s="38">
        <v>41883</v>
      </c>
      <c r="BT3" s="38">
        <v>41913</v>
      </c>
      <c r="BU3" s="37">
        <v>41944</v>
      </c>
      <c r="BV3" s="38">
        <v>41974</v>
      </c>
      <c r="BW3" s="38">
        <v>42005</v>
      </c>
      <c r="BX3" s="38">
        <v>42036</v>
      </c>
      <c r="BY3" s="37">
        <v>42064</v>
      </c>
      <c r="BZ3" s="38">
        <v>42095</v>
      </c>
      <c r="CA3" s="38">
        <v>42125</v>
      </c>
      <c r="CB3" s="41">
        <v>42156</v>
      </c>
      <c r="CC3" s="42">
        <v>42186</v>
      </c>
      <c r="CD3" s="38">
        <v>42217</v>
      </c>
      <c r="CE3" s="38">
        <v>42248</v>
      </c>
      <c r="CF3" s="38">
        <v>42278</v>
      </c>
      <c r="CG3" s="37">
        <v>42309</v>
      </c>
      <c r="CH3" s="38">
        <v>42339</v>
      </c>
      <c r="CI3" s="38">
        <v>42370</v>
      </c>
      <c r="CJ3" s="38">
        <v>42401</v>
      </c>
      <c r="CK3" s="37">
        <v>42430</v>
      </c>
      <c r="CL3" s="38">
        <v>42461</v>
      </c>
      <c r="CM3" s="38">
        <v>42491</v>
      </c>
      <c r="CN3" s="39">
        <v>42522</v>
      </c>
      <c r="CO3" s="40">
        <v>42552</v>
      </c>
      <c r="CP3" s="38">
        <v>42583</v>
      </c>
      <c r="CQ3" s="38">
        <v>42614</v>
      </c>
      <c r="CR3" s="38">
        <v>42644</v>
      </c>
      <c r="CS3" s="37">
        <v>42675</v>
      </c>
      <c r="CT3" s="38">
        <v>42705</v>
      </c>
      <c r="CU3" s="38">
        <v>42736</v>
      </c>
      <c r="CV3" s="38">
        <v>42767</v>
      </c>
      <c r="CW3" s="37">
        <v>42795</v>
      </c>
      <c r="CX3" s="38">
        <v>42826</v>
      </c>
      <c r="CY3" s="38">
        <v>42856</v>
      </c>
      <c r="CZ3" s="41">
        <v>42887</v>
      </c>
      <c r="DA3" s="40">
        <v>42917</v>
      </c>
      <c r="DB3" s="38">
        <v>42948</v>
      </c>
      <c r="DC3" s="38">
        <v>42979</v>
      </c>
      <c r="DD3" s="38">
        <v>43009</v>
      </c>
      <c r="DE3" s="37">
        <v>43040</v>
      </c>
      <c r="DF3" s="38">
        <v>43070</v>
      </c>
      <c r="DG3" s="38">
        <v>43101</v>
      </c>
      <c r="DH3" s="38">
        <v>43132</v>
      </c>
      <c r="DI3" s="37">
        <v>43160</v>
      </c>
      <c r="DJ3" s="38">
        <v>43191</v>
      </c>
      <c r="DK3" s="38">
        <v>43221</v>
      </c>
      <c r="DL3" s="41">
        <v>43252</v>
      </c>
      <c r="DM3" s="40">
        <v>43282</v>
      </c>
      <c r="DN3" s="38">
        <v>43313</v>
      </c>
      <c r="DO3" s="38">
        <v>43344</v>
      </c>
      <c r="DP3" s="38">
        <v>43374</v>
      </c>
      <c r="DQ3" s="37">
        <v>43405</v>
      </c>
      <c r="DR3" s="38">
        <v>43435</v>
      </c>
      <c r="DS3" s="38">
        <v>43466</v>
      </c>
      <c r="DT3" s="38">
        <v>43497</v>
      </c>
      <c r="DU3" s="37">
        <v>43525</v>
      </c>
      <c r="DV3" s="38">
        <v>43556</v>
      </c>
      <c r="DW3" s="38">
        <v>43586</v>
      </c>
      <c r="DX3" s="41">
        <v>43617</v>
      </c>
      <c r="DY3" s="40">
        <v>43647</v>
      </c>
      <c r="DZ3" s="38">
        <v>43678</v>
      </c>
      <c r="EA3" s="38">
        <v>43709</v>
      </c>
      <c r="EB3" s="38">
        <v>43739</v>
      </c>
      <c r="EC3" s="37">
        <v>43770</v>
      </c>
      <c r="ED3" s="38">
        <v>43800</v>
      </c>
      <c r="EE3" s="38">
        <v>43831</v>
      </c>
      <c r="EF3" s="38">
        <v>43862</v>
      </c>
      <c r="EG3" s="37">
        <v>43891</v>
      </c>
      <c r="EH3" s="38">
        <v>43922</v>
      </c>
      <c r="EI3" s="38">
        <v>43952</v>
      </c>
      <c r="EJ3" s="41">
        <v>43983</v>
      </c>
      <c r="EK3" s="40">
        <v>44013</v>
      </c>
      <c r="EL3" s="38">
        <v>44044</v>
      </c>
      <c r="EM3" s="38">
        <v>44075</v>
      </c>
      <c r="EN3" s="38">
        <v>44105</v>
      </c>
      <c r="EO3" s="37">
        <v>44136</v>
      </c>
      <c r="EP3" s="38">
        <v>44166</v>
      </c>
      <c r="EQ3" s="38">
        <v>44197</v>
      </c>
      <c r="ER3" s="38">
        <v>44228</v>
      </c>
      <c r="ES3" s="37">
        <v>44256</v>
      </c>
      <c r="ET3" s="38">
        <v>44287</v>
      </c>
      <c r="EU3" s="38">
        <v>44317</v>
      </c>
      <c r="EV3" s="41">
        <v>44348</v>
      </c>
      <c r="EW3" s="40">
        <v>44378</v>
      </c>
      <c r="EX3" s="38">
        <v>44409</v>
      </c>
      <c r="EY3" s="38">
        <v>44440</v>
      </c>
      <c r="EZ3" s="38">
        <v>44470</v>
      </c>
      <c r="FA3" s="37">
        <v>44501</v>
      </c>
      <c r="FB3" s="38">
        <v>44531</v>
      </c>
      <c r="FC3" s="38">
        <v>44562</v>
      </c>
      <c r="FD3" s="38">
        <v>44593</v>
      </c>
      <c r="FE3" s="37">
        <v>44621</v>
      </c>
      <c r="FF3" s="38">
        <v>44652</v>
      </c>
      <c r="FG3" s="38">
        <v>44682</v>
      </c>
      <c r="FH3" s="41">
        <v>44713</v>
      </c>
      <c r="FI3" s="40">
        <v>45130</v>
      </c>
      <c r="FJ3" s="38">
        <v>45161</v>
      </c>
      <c r="FK3" s="38">
        <v>45192</v>
      </c>
      <c r="FL3" s="38">
        <v>45222</v>
      </c>
      <c r="FM3" s="37">
        <v>45253</v>
      </c>
      <c r="FN3" s="38">
        <v>45283</v>
      </c>
      <c r="FO3" s="38">
        <v>44949</v>
      </c>
      <c r="FP3" s="38">
        <v>44980</v>
      </c>
      <c r="FQ3" s="37">
        <v>45008</v>
      </c>
      <c r="FR3" s="38">
        <v>45039</v>
      </c>
      <c r="FS3" s="38">
        <v>45069</v>
      </c>
      <c r="FT3" s="39">
        <v>45100</v>
      </c>
      <c r="FU3" s="173">
        <v>45130</v>
      </c>
      <c r="FV3" s="173">
        <v>45161</v>
      </c>
      <c r="FW3" s="173">
        <v>45192</v>
      </c>
      <c r="FX3" s="173">
        <v>45222</v>
      </c>
      <c r="FY3" s="173">
        <v>45253</v>
      </c>
      <c r="FZ3" s="173">
        <v>45283</v>
      </c>
      <c r="GA3" s="173">
        <v>45315</v>
      </c>
      <c r="GB3" s="173">
        <v>45345</v>
      </c>
      <c r="GC3" s="173">
        <v>45374</v>
      </c>
      <c r="GD3" s="173">
        <v>45405</v>
      </c>
      <c r="GE3" s="173">
        <v>45435</v>
      </c>
      <c r="GF3" s="173">
        <v>45466</v>
      </c>
      <c r="GG3" s="173">
        <v>45496</v>
      </c>
      <c r="GH3" s="173">
        <v>45527</v>
      </c>
      <c r="GI3" s="173">
        <v>45558</v>
      </c>
      <c r="GJ3" s="235">
        <v>45589</v>
      </c>
      <c r="GK3" s="188">
        <v>45621</v>
      </c>
      <c r="GL3" s="188">
        <v>45652</v>
      </c>
    </row>
    <row r="4" spans="1:194" s="1" customFormat="1" x14ac:dyDescent="0.3">
      <c r="A4" s="168" t="s">
        <v>96</v>
      </c>
      <c r="B4" s="160"/>
      <c r="C4" s="161"/>
      <c r="D4" s="161"/>
      <c r="E4" s="162"/>
      <c r="F4" s="161"/>
      <c r="G4" s="161"/>
      <c r="H4" s="163"/>
      <c r="I4" s="164"/>
      <c r="J4" s="161"/>
      <c r="K4" s="161"/>
      <c r="L4" s="161"/>
      <c r="M4" s="162"/>
      <c r="N4" s="161"/>
      <c r="O4" s="161"/>
      <c r="P4" s="161"/>
      <c r="Q4" s="162"/>
      <c r="R4" s="161"/>
      <c r="S4" s="161"/>
      <c r="T4" s="163"/>
      <c r="U4" s="164"/>
      <c r="V4" s="161"/>
      <c r="W4" s="161"/>
      <c r="X4" s="161"/>
      <c r="Y4" s="162"/>
      <c r="Z4" s="161"/>
      <c r="AA4" s="161"/>
      <c r="AB4" s="161"/>
      <c r="AC4" s="162"/>
      <c r="AD4" s="161"/>
      <c r="AE4" s="161"/>
      <c r="AF4" s="163"/>
      <c r="AG4" s="164"/>
      <c r="AH4" s="161"/>
      <c r="AI4" s="161"/>
      <c r="AJ4" s="161"/>
      <c r="AK4" s="162"/>
      <c r="AL4" s="161"/>
      <c r="AM4" s="161"/>
      <c r="AN4" s="161"/>
      <c r="AO4" s="162"/>
      <c r="AP4" s="161"/>
      <c r="AQ4" s="161"/>
      <c r="AR4" s="163"/>
      <c r="AS4" s="164"/>
      <c r="AT4" s="161"/>
      <c r="AU4" s="161"/>
      <c r="AV4" s="161"/>
      <c r="AW4" s="162"/>
      <c r="AX4" s="161"/>
      <c r="AY4" s="161"/>
      <c r="AZ4" s="161"/>
      <c r="BA4" s="162"/>
      <c r="BB4" s="161"/>
      <c r="BC4" s="161"/>
      <c r="BD4" s="163"/>
      <c r="BE4" s="164"/>
      <c r="BF4" s="161"/>
      <c r="BG4" s="161"/>
      <c r="BH4" s="161"/>
      <c r="BI4" s="162"/>
      <c r="BJ4" s="161"/>
      <c r="BK4" s="161"/>
      <c r="BL4" s="161"/>
      <c r="BM4" s="162"/>
      <c r="BN4" s="161"/>
      <c r="BO4" s="161"/>
      <c r="BP4" s="163"/>
      <c r="BQ4" s="164"/>
      <c r="BR4" s="161"/>
      <c r="BS4" s="161"/>
      <c r="BT4" s="161"/>
      <c r="BU4" s="162"/>
      <c r="BV4" s="161"/>
      <c r="BW4" s="161"/>
      <c r="BX4" s="161"/>
      <c r="BY4" s="162"/>
      <c r="BZ4" s="161"/>
      <c r="CA4" s="161"/>
      <c r="CB4" s="163"/>
      <c r="CC4" s="165"/>
      <c r="CD4" s="161"/>
      <c r="CE4" s="161"/>
      <c r="CF4" s="161"/>
      <c r="CG4" s="162"/>
      <c r="CH4" s="161"/>
      <c r="CI4" s="161"/>
      <c r="CJ4" s="161"/>
      <c r="CK4" s="162"/>
      <c r="CL4" s="161"/>
      <c r="CM4" s="161"/>
      <c r="CN4" s="166"/>
      <c r="CO4" s="164"/>
      <c r="CP4" s="161"/>
      <c r="CQ4" s="161"/>
      <c r="CR4" s="161"/>
      <c r="CS4" s="162"/>
      <c r="CT4" s="161"/>
      <c r="CU4" s="161"/>
      <c r="CV4" s="161"/>
      <c r="CW4" s="162"/>
      <c r="CX4" s="161"/>
      <c r="CY4" s="161"/>
      <c r="CZ4" s="163"/>
      <c r="DA4" s="164"/>
      <c r="DB4" s="161"/>
      <c r="DC4" s="161"/>
      <c r="DD4" s="161"/>
      <c r="DE4" s="162"/>
      <c r="DF4" s="161"/>
      <c r="DG4" s="161"/>
      <c r="DH4" s="161"/>
      <c r="DI4" s="162"/>
      <c r="DJ4" s="161"/>
      <c r="DK4" s="161"/>
      <c r="DL4" s="163"/>
      <c r="DM4" s="164"/>
      <c r="DN4" s="161"/>
      <c r="DO4" s="161"/>
      <c r="DP4" s="161"/>
      <c r="DQ4" s="162"/>
      <c r="DR4" s="161"/>
      <c r="DS4" s="161"/>
      <c r="DT4" s="161"/>
      <c r="DU4" s="162"/>
      <c r="DV4" s="161"/>
      <c r="DW4" s="161"/>
      <c r="DX4" s="163"/>
      <c r="DY4" s="159"/>
      <c r="DZ4" s="161"/>
      <c r="EA4" s="161"/>
      <c r="EB4" s="161"/>
      <c r="EC4" s="162"/>
      <c r="ED4" s="161"/>
      <c r="EE4" s="161"/>
      <c r="EF4" s="161"/>
      <c r="EG4" s="162"/>
      <c r="EH4" s="161"/>
      <c r="EI4" s="161"/>
      <c r="EJ4" s="163"/>
      <c r="EK4" s="159"/>
      <c r="EL4" s="161"/>
      <c r="EM4" s="161"/>
      <c r="EN4" s="167"/>
      <c r="EO4" s="162"/>
      <c r="EP4" s="161"/>
      <c r="EQ4" s="161"/>
      <c r="ER4" s="161"/>
      <c r="ES4" s="162"/>
      <c r="ET4" s="161"/>
      <c r="EU4" s="161"/>
      <c r="EV4" s="163"/>
      <c r="EW4" s="159"/>
      <c r="EX4" s="161"/>
      <c r="EY4" s="161"/>
      <c r="EZ4" s="167"/>
      <c r="FA4" s="162"/>
      <c r="FB4" s="161"/>
      <c r="FC4" s="161"/>
      <c r="FD4" s="161"/>
      <c r="FE4" s="162"/>
      <c r="FF4" s="161"/>
      <c r="FG4" s="161"/>
      <c r="FH4" s="166"/>
      <c r="FI4" s="165"/>
      <c r="FJ4" s="161"/>
      <c r="FK4" s="161"/>
      <c r="FL4" s="161"/>
      <c r="FM4" s="162"/>
      <c r="FN4" s="161"/>
      <c r="FO4" s="161"/>
      <c r="FP4" s="161"/>
      <c r="FQ4" s="162"/>
      <c r="FR4" s="161"/>
      <c r="FS4" s="161"/>
      <c r="FT4" s="166"/>
      <c r="FU4" s="181"/>
      <c r="FV4" s="181"/>
      <c r="FW4" s="181"/>
      <c r="FX4" s="181"/>
      <c r="FY4" s="181"/>
      <c r="FZ4" s="181"/>
      <c r="GA4" s="181">
        <v>11083</v>
      </c>
      <c r="GB4" s="182">
        <v>44308</v>
      </c>
      <c r="GC4" s="177">
        <v>42866</v>
      </c>
      <c r="GD4" s="177">
        <v>43111</v>
      </c>
      <c r="GE4" s="18">
        <v>44473</v>
      </c>
      <c r="GF4" s="177">
        <v>39597</v>
      </c>
      <c r="GG4" s="184">
        <v>47415</v>
      </c>
      <c r="GH4" s="177">
        <v>48788</v>
      </c>
      <c r="GI4" s="18">
        <v>14386</v>
      </c>
      <c r="GJ4" s="236">
        <v>50614</v>
      </c>
      <c r="GK4" s="184">
        <v>41214</v>
      </c>
      <c r="GL4" s="184">
        <v>45889</v>
      </c>
    </row>
    <row r="5" spans="1:194" s="1" customFormat="1" x14ac:dyDescent="0.3">
      <c r="A5" s="168" t="s">
        <v>97</v>
      </c>
      <c r="B5" s="160"/>
      <c r="C5" s="161"/>
      <c r="D5" s="161"/>
      <c r="E5" s="162"/>
      <c r="F5" s="161"/>
      <c r="G5" s="161"/>
      <c r="H5" s="163"/>
      <c r="I5" s="164"/>
      <c r="J5" s="161"/>
      <c r="K5" s="161"/>
      <c r="L5" s="161"/>
      <c r="M5" s="162"/>
      <c r="N5" s="161"/>
      <c r="O5" s="161"/>
      <c r="P5" s="161"/>
      <c r="Q5" s="162"/>
      <c r="R5" s="161"/>
      <c r="S5" s="161"/>
      <c r="T5" s="163"/>
      <c r="U5" s="164"/>
      <c r="V5" s="161"/>
      <c r="W5" s="161"/>
      <c r="X5" s="161"/>
      <c r="Y5" s="162"/>
      <c r="Z5" s="161"/>
      <c r="AA5" s="161"/>
      <c r="AB5" s="161"/>
      <c r="AC5" s="162"/>
      <c r="AD5" s="161"/>
      <c r="AE5" s="161"/>
      <c r="AF5" s="163"/>
      <c r="AG5" s="164"/>
      <c r="AH5" s="161"/>
      <c r="AI5" s="161"/>
      <c r="AJ5" s="161"/>
      <c r="AK5" s="162"/>
      <c r="AL5" s="161"/>
      <c r="AM5" s="161"/>
      <c r="AN5" s="161"/>
      <c r="AO5" s="162"/>
      <c r="AP5" s="161"/>
      <c r="AQ5" s="161"/>
      <c r="AR5" s="163"/>
      <c r="AS5" s="164"/>
      <c r="AT5" s="161"/>
      <c r="AU5" s="161"/>
      <c r="AV5" s="161"/>
      <c r="AW5" s="162"/>
      <c r="AX5" s="161"/>
      <c r="AY5" s="161"/>
      <c r="AZ5" s="161"/>
      <c r="BA5" s="162"/>
      <c r="BB5" s="161"/>
      <c r="BC5" s="161"/>
      <c r="BD5" s="163"/>
      <c r="BE5" s="164"/>
      <c r="BF5" s="161"/>
      <c r="BG5" s="161"/>
      <c r="BH5" s="161"/>
      <c r="BI5" s="162"/>
      <c r="BJ5" s="161"/>
      <c r="BK5" s="161"/>
      <c r="BL5" s="161"/>
      <c r="BM5" s="162"/>
      <c r="BN5" s="161"/>
      <c r="BO5" s="161"/>
      <c r="BP5" s="163"/>
      <c r="BQ5" s="164"/>
      <c r="BR5" s="161"/>
      <c r="BS5" s="161"/>
      <c r="BT5" s="161"/>
      <c r="BU5" s="162"/>
      <c r="BV5" s="161"/>
      <c r="BW5" s="161"/>
      <c r="BX5" s="161"/>
      <c r="BY5" s="162"/>
      <c r="BZ5" s="161"/>
      <c r="CA5" s="161"/>
      <c r="CB5" s="163"/>
      <c r="CC5" s="165"/>
      <c r="CD5" s="161"/>
      <c r="CE5" s="161"/>
      <c r="CF5" s="161"/>
      <c r="CG5" s="162"/>
      <c r="CH5" s="161"/>
      <c r="CI5" s="161"/>
      <c r="CJ5" s="161"/>
      <c r="CK5" s="162"/>
      <c r="CL5" s="161"/>
      <c r="CM5" s="161"/>
      <c r="CN5" s="166"/>
      <c r="CO5" s="164"/>
      <c r="CP5" s="161"/>
      <c r="CQ5" s="161"/>
      <c r="CR5" s="161"/>
      <c r="CS5" s="162"/>
      <c r="CT5" s="161"/>
      <c r="CU5" s="161"/>
      <c r="CV5" s="161"/>
      <c r="CW5" s="162"/>
      <c r="CX5" s="161"/>
      <c r="CY5" s="161"/>
      <c r="CZ5" s="163"/>
      <c r="DA5" s="164"/>
      <c r="DB5" s="161"/>
      <c r="DC5" s="161"/>
      <c r="DD5" s="161"/>
      <c r="DE5" s="162"/>
      <c r="DF5" s="161"/>
      <c r="DG5" s="161"/>
      <c r="DH5" s="161"/>
      <c r="DI5" s="162"/>
      <c r="DJ5" s="161"/>
      <c r="DK5" s="161"/>
      <c r="DL5" s="163"/>
      <c r="DM5" s="164"/>
      <c r="DN5" s="161"/>
      <c r="DO5" s="161"/>
      <c r="DP5" s="161"/>
      <c r="DQ5" s="162"/>
      <c r="DR5" s="161"/>
      <c r="DS5" s="161"/>
      <c r="DT5" s="161"/>
      <c r="DU5" s="162"/>
      <c r="DV5" s="161"/>
      <c r="DW5" s="161"/>
      <c r="DX5" s="163"/>
      <c r="DY5" s="159"/>
      <c r="DZ5" s="161"/>
      <c r="EA5" s="161"/>
      <c r="EB5" s="161"/>
      <c r="EC5" s="162"/>
      <c r="ED5" s="161"/>
      <c r="EE5" s="161"/>
      <c r="EF5" s="161"/>
      <c r="EG5" s="162"/>
      <c r="EH5" s="161"/>
      <c r="EI5" s="161"/>
      <c r="EJ5" s="163"/>
      <c r="EK5" s="159"/>
      <c r="EL5" s="161"/>
      <c r="EM5" s="161"/>
      <c r="EN5" s="167"/>
      <c r="EO5" s="162"/>
      <c r="EP5" s="161"/>
      <c r="EQ5" s="161"/>
      <c r="ER5" s="161"/>
      <c r="ES5" s="162"/>
      <c r="ET5" s="161"/>
      <c r="EU5" s="161"/>
      <c r="EV5" s="163"/>
      <c r="EW5" s="159"/>
      <c r="EX5" s="161"/>
      <c r="EY5" s="161"/>
      <c r="EZ5" s="167"/>
      <c r="FA5" s="162"/>
      <c r="FB5" s="161"/>
      <c r="FC5" s="161"/>
      <c r="FD5" s="161"/>
      <c r="FE5" s="162"/>
      <c r="FF5" s="161"/>
      <c r="FG5" s="161"/>
      <c r="FH5" s="166"/>
      <c r="FI5" s="165"/>
      <c r="FJ5" s="161"/>
      <c r="FK5" s="161"/>
      <c r="FL5" s="161"/>
      <c r="FM5" s="162"/>
      <c r="FN5" s="161"/>
      <c r="FO5" s="161"/>
      <c r="FP5" s="161"/>
      <c r="FQ5" s="162"/>
      <c r="FR5" s="161"/>
      <c r="FS5" s="161"/>
      <c r="FT5" s="166"/>
      <c r="FU5" s="181"/>
      <c r="FV5" s="181"/>
      <c r="FW5" s="181"/>
      <c r="FX5" s="181"/>
      <c r="FY5" s="181"/>
      <c r="FZ5" s="181"/>
      <c r="GA5" s="181">
        <v>723</v>
      </c>
      <c r="GB5" s="177">
        <v>3314</v>
      </c>
      <c r="GC5" s="177">
        <v>3567</v>
      </c>
      <c r="GD5" s="177">
        <v>3671</v>
      </c>
      <c r="GE5" s="18">
        <v>3053</v>
      </c>
      <c r="GF5" s="177">
        <v>3123</v>
      </c>
      <c r="GG5" s="184">
        <v>3590</v>
      </c>
      <c r="GH5" s="177">
        <v>4215</v>
      </c>
      <c r="GI5" s="18">
        <v>817</v>
      </c>
      <c r="GJ5" s="236">
        <v>4779</v>
      </c>
      <c r="GK5" s="184">
        <v>4450</v>
      </c>
      <c r="GL5" s="184">
        <v>4062</v>
      </c>
    </row>
    <row r="6" spans="1:194" s="1" customFormat="1" ht="15" thickBot="1" x14ac:dyDescent="0.35">
      <c r="A6" s="168" t="s">
        <v>98</v>
      </c>
      <c r="B6" s="160"/>
      <c r="C6" s="161"/>
      <c r="D6" s="161"/>
      <c r="E6" s="162"/>
      <c r="F6" s="161"/>
      <c r="G6" s="161"/>
      <c r="H6" s="163"/>
      <c r="I6" s="164"/>
      <c r="J6" s="161"/>
      <c r="K6" s="161"/>
      <c r="L6" s="161"/>
      <c r="M6" s="162"/>
      <c r="N6" s="161"/>
      <c r="O6" s="161"/>
      <c r="P6" s="161"/>
      <c r="Q6" s="162"/>
      <c r="R6" s="161"/>
      <c r="S6" s="161"/>
      <c r="T6" s="163"/>
      <c r="U6" s="164"/>
      <c r="V6" s="161"/>
      <c r="W6" s="161"/>
      <c r="X6" s="161"/>
      <c r="Y6" s="162"/>
      <c r="Z6" s="161"/>
      <c r="AA6" s="161"/>
      <c r="AB6" s="161"/>
      <c r="AC6" s="162"/>
      <c r="AD6" s="161"/>
      <c r="AE6" s="161"/>
      <c r="AF6" s="163"/>
      <c r="AG6" s="164"/>
      <c r="AH6" s="161"/>
      <c r="AI6" s="161"/>
      <c r="AJ6" s="161"/>
      <c r="AK6" s="162"/>
      <c r="AL6" s="161"/>
      <c r="AM6" s="161"/>
      <c r="AN6" s="161"/>
      <c r="AO6" s="162"/>
      <c r="AP6" s="161"/>
      <c r="AQ6" s="161"/>
      <c r="AR6" s="163"/>
      <c r="AS6" s="164"/>
      <c r="AT6" s="161"/>
      <c r="AU6" s="161"/>
      <c r="AV6" s="161"/>
      <c r="AW6" s="162"/>
      <c r="AX6" s="161"/>
      <c r="AY6" s="161"/>
      <c r="AZ6" s="161"/>
      <c r="BA6" s="162"/>
      <c r="BB6" s="161"/>
      <c r="BC6" s="161"/>
      <c r="BD6" s="163"/>
      <c r="BE6" s="164"/>
      <c r="BF6" s="161"/>
      <c r="BG6" s="161"/>
      <c r="BH6" s="161"/>
      <c r="BI6" s="162"/>
      <c r="BJ6" s="161"/>
      <c r="BK6" s="161"/>
      <c r="BL6" s="161"/>
      <c r="BM6" s="162"/>
      <c r="BN6" s="161"/>
      <c r="BO6" s="161"/>
      <c r="BP6" s="163"/>
      <c r="BQ6" s="164"/>
      <c r="BR6" s="161"/>
      <c r="BS6" s="161"/>
      <c r="BT6" s="161"/>
      <c r="BU6" s="162"/>
      <c r="BV6" s="161"/>
      <c r="BW6" s="161"/>
      <c r="BX6" s="161"/>
      <c r="BY6" s="162"/>
      <c r="BZ6" s="161"/>
      <c r="CA6" s="161"/>
      <c r="CB6" s="163"/>
      <c r="CC6" s="165"/>
      <c r="CD6" s="161"/>
      <c r="CE6" s="161"/>
      <c r="CF6" s="161"/>
      <c r="CG6" s="162"/>
      <c r="CH6" s="161"/>
      <c r="CI6" s="161"/>
      <c r="CJ6" s="161"/>
      <c r="CK6" s="162"/>
      <c r="CL6" s="161"/>
      <c r="CM6" s="161"/>
      <c r="CN6" s="166"/>
      <c r="CO6" s="164"/>
      <c r="CP6" s="161"/>
      <c r="CQ6" s="161"/>
      <c r="CR6" s="161"/>
      <c r="CS6" s="162"/>
      <c r="CT6" s="161"/>
      <c r="CU6" s="161"/>
      <c r="CV6" s="161"/>
      <c r="CW6" s="162"/>
      <c r="CX6" s="161"/>
      <c r="CY6" s="161"/>
      <c r="CZ6" s="163"/>
      <c r="DA6" s="164"/>
      <c r="DB6" s="161"/>
      <c r="DC6" s="161"/>
      <c r="DD6" s="161"/>
      <c r="DE6" s="162"/>
      <c r="DF6" s="161"/>
      <c r="DG6" s="161"/>
      <c r="DH6" s="161"/>
      <c r="DI6" s="162"/>
      <c r="DJ6" s="161"/>
      <c r="DK6" s="161"/>
      <c r="DL6" s="163"/>
      <c r="DM6" s="164"/>
      <c r="DN6" s="161"/>
      <c r="DO6" s="161"/>
      <c r="DP6" s="161"/>
      <c r="DQ6" s="162"/>
      <c r="DR6" s="161"/>
      <c r="DS6" s="161"/>
      <c r="DT6" s="161"/>
      <c r="DU6" s="162"/>
      <c r="DV6" s="161"/>
      <c r="DW6" s="161"/>
      <c r="DX6" s="163"/>
      <c r="DY6" s="159"/>
      <c r="DZ6" s="161"/>
      <c r="EA6" s="161"/>
      <c r="EB6" s="161"/>
      <c r="EC6" s="162"/>
      <c r="ED6" s="161"/>
      <c r="EE6" s="161"/>
      <c r="EF6" s="161"/>
      <c r="EG6" s="162"/>
      <c r="EH6" s="161"/>
      <c r="EI6" s="161"/>
      <c r="EJ6" s="163"/>
      <c r="EK6" s="159"/>
      <c r="EL6" s="161"/>
      <c r="EM6" s="161"/>
      <c r="EN6" s="167"/>
      <c r="EO6" s="162"/>
      <c r="EP6" s="161"/>
      <c r="EQ6" s="161"/>
      <c r="ER6" s="161"/>
      <c r="ES6" s="162"/>
      <c r="ET6" s="161"/>
      <c r="EU6" s="161"/>
      <c r="EV6" s="163"/>
      <c r="EW6" s="159"/>
      <c r="EX6" s="161"/>
      <c r="EY6" s="161"/>
      <c r="EZ6" s="167"/>
      <c r="FA6" s="162"/>
      <c r="FB6" s="161"/>
      <c r="FC6" s="161"/>
      <c r="FD6" s="161"/>
      <c r="FE6" s="162"/>
      <c r="FF6" s="161"/>
      <c r="FG6" s="161"/>
      <c r="FH6" s="166"/>
      <c r="FI6" s="165"/>
      <c r="FJ6" s="161"/>
      <c r="FK6" s="161"/>
      <c r="FL6" s="161"/>
      <c r="FM6" s="162"/>
      <c r="FN6" s="161"/>
      <c r="FO6" s="161"/>
      <c r="FP6" s="161"/>
      <c r="FQ6" s="162"/>
      <c r="FR6" s="161"/>
      <c r="FS6" s="161"/>
      <c r="FT6" s="166"/>
      <c r="FU6" s="181"/>
      <c r="FV6" s="181"/>
      <c r="FW6" s="181"/>
      <c r="FX6" s="181"/>
      <c r="FY6" s="181"/>
      <c r="FZ6" s="181"/>
      <c r="GA6" s="181">
        <v>853</v>
      </c>
      <c r="GB6" s="177">
        <v>5212</v>
      </c>
      <c r="GC6" s="177">
        <v>5345</v>
      </c>
      <c r="GD6" s="177">
        <v>4747</v>
      </c>
      <c r="GE6" s="18">
        <v>4758</v>
      </c>
      <c r="GF6" s="177">
        <v>4921</v>
      </c>
      <c r="GG6" s="184">
        <v>5436</v>
      </c>
      <c r="GH6" s="177">
        <v>5803</v>
      </c>
      <c r="GI6" s="18">
        <v>1285</v>
      </c>
      <c r="GJ6" s="236">
        <v>6103</v>
      </c>
      <c r="GK6" s="184">
        <v>5663</v>
      </c>
      <c r="GL6" s="184">
        <v>5333</v>
      </c>
    </row>
    <row r="7" spans="1:194" ht="15" thickBot="1" x14ac:dyDescent="0.35">
      <c r="A7" s="6" t="s">
        <v>32</v>
      </c>
      <c r="B7" s="12"/>
      <c r="C7" s="13"/>
      <c r="D7" s="13"/>
      <c r="E7" s="13"/>
      <c r="F7" s="13"/>
      <c r="G7" s="13"/>
      <c r="H7" s="14"/>
      <c r="I7" s="12" t="s">
        <v>33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  <c r="U7" s="12" t="s">
        <v>33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2" t="s">
        <v>33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2" t="s">
        <v>33</v>
      </c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4"/>
      <c r="BE7" s="12" t="s">
        <v>33</v>
      </c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4"/>
      <c r="BQ7" s="12" t="s">
        <v>33</v>
      </c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4"/>
      <c r="CC7" s="15"/>
      <c r="CD7" s="13"/>
      <c r="CE7" s="13"/>
      <c r="CF7" s="13"/>
      <c r="CG7" s="13"/>
      <c r="CH7" s="13"/>
      <c r="CI7" s="13"/>
      <c r="CJ7" s="13"/>
      <c r="CK7" s="13">
        <f>'Total Weekday Boardings'!CK7+'Total Saturday Boardings'!CK7+'Total Sunday-Holiday Boardings'!CK7</f>
        <v>27298</v>
      </c>
      <c r="CL7" s="13">
        <f>'Total Weekday Boardings'!CL7+'Total Saturday Boardings'!CL7+'Total Sunday-Holiday Boardings'!CL7</f>
        <v>67999</v>
      </c>
      <c r="CM7" s="13">
        <f>'Total Weekday Boardings'!CM7+'Total Saturday Boardings'!CM7+'Total Sunday-Holiday Boardings'!CM7</f>
        <v>68443</v>
      </c>
      <c r="CN7" s="16">
        <f>'Total Weekday Boardings'!CN7+'Total Saturday Boardings'!CN7+'Total Sunday-Holiday Boardings'!CN7</f>
        <v>72729</v>
      </c>
      <c r="CO7" s="12">
        <f>'Total Weekday Boardings'!CO7+'Total Saturday Boardings'!CO7+'Total Sunday-Holiday Boardings'!CO7</f>
        <v>73104</v>
      </c>
      <c r="CP7" s="13">
        <f>'Total Weekday Boardings'!CP7+'Total Saturday Boardings'!CP7+'Total Sunday-Holiday Boardings'!CP7</f>
        <v>76486</v>
      </c>
      <c r="CQ7" s="13">
        <f>'Total Weekday Boardings'!CQ7+'Total Saturday Boardings'!CQ7+'Total Sunday-Holiday Boardings'!CQ7</f>
        <v>71411</v>
      </c>
      <c r="CR7" s="13">
        <f>'Total Weekday Boardings'!CR7+'Total Saturday Boardings'!CR7+'Total Sunday-Holiday Boardings'!CR7</f>
        <v>73609</v>
      </c>
      <c r="CS7" s="13">
        <f>'Total Weekday Boardings'!CS7+'Total Saturday Boardings'!CS7+'Total Sunday-Holiday Boardings'!CS7</f>
        <v>72180</v>
      </c>
      <c r="CT7" s="13">
        <f>'Total Weekday Boardings'!CT7+'Total Saturday Boardings'!CT7+'Total Sunday-Holiday Boardings'!CT7</f>
        <v>75934</v>
      </c>
      <c r="CU7" s="13">
        <f>'Total Weekday Boardings'!CU7+'Total Saturday Boardings'!CU7+'Total Sunday-Holiday Boardings'!CU7</f>
        <v>74894</v>
      </c>
      <c r="CV7" s="13">
        <f>'Total Weekday Boardings'!CV7+'Total Saturday Boardings'!CV7+'Total Sunday-Holiday Boardings'!CV7</f>
        <v>72609</v>
      </c>
      <c r="CW7" s="13">
        <f>'Total Weekday Boardings'!CW7+'Total Saturday Boardings'!CW7+'Total Sunday-Holiday Boardings'!CW7</f>
        <v>79620</v>
      </c>
      <c r="CX7" s="13">
        <f>'Total Weekday Boardings'!CX7+'Total Saturday Boardings'!CX7+'Total Sunday-Holiday Boardings'!CX7</f>
        <v>79348</v>
      </c>
      <c r="CY7" s="13">
        <f>'Total Weekday Boardings'!CY7+'Total Saturday Boardings'!CY7+'Total Sunday-Holiday Boardings'!CY7</f>
        <v>82695</v>
      </c>
      <c r="CZ7" s="14">
        <f>'Total Weekday Boardings'!CZ7+'Total Saturday Boardings'!CZ7+'Total Sunday-Holiday Boardings'!CZ7</f>
        <v>77794</v>
      </c>
      <c r="DA7" s="12">
        <f>'Total Weekday Boardings'!DA7+'Total Saturday Boardings'!DA7+'Total Sunday-Holiday Boardings'!DA7</f>
        <v>82233</v>
      </c>
      <c r="DB7" s="13">
        <f>'Total Weekday Boardings'!DB7+'Total Saturday Boardings'!DB7+'Total Sunday-Holiday Boardings'!DB7</f>
        <v>90585</v>
      </c>
      <c r="DC7" s="13">
        <f>'Total Weekday Boardings'!DC7+'Total Saturday Boardings'!DC7+'Total Sunday-Holiday Boardings'!DC7</f>
        <v>85533</v>
      </c>
      <c r="DD7" s="13">
        <f>'Total Weekday Boardings'!DD7+'Total Saturday Boardings'!DD7+'Total Sunday-Holiday Boardings'!DD7</f>
        <v>89088</v>
      </c>
      <c r="DE7" s="13">
        <f>'Total Weekday Boardings'!DE7+'Total Saturday Boardings'!DE7+'Total Sunday-Holiday Boardings'!DE7</f>
        <v>78958</v>
      </c>
      <c r="DF7" s="13">
        <f>'Total Weekday Boardings'!DF7+'Total Saturday Boardings'!DF7+'Total Sunday-Holiday Boardings'!DF7</f>
        <v>85366</v>
      </c>
      <c r="DG7" s="13">
        <f>'Total Weekday Boardings'!DG7+'Total Saturday Boardings'!DG7+'Total Sunday-Holiday Boardings'!DG7</f>
        <v>84465</v>
      </c>
      <c r="DH7" s="13">
        <f>'Total Weekday Boardings'!DH7+'Total Saturday Boardings'!DH7+'Total Sunday-Holiday Boardings'!DH7</f>
        <v>80417</v>
      </c>
      <c r="DI7" s="13">
        <f>'Total Weekday Boardings'!DI7+'Total Saturday Boardings'!DI7+'Total Sunday-Holiday Boardings'!DI7</f>
        <v>89404</v>
      </c>
      <c r="DJ7" s="13">
        <f>'Total Weekday Boardings'!DJ7+'Total Saturday Boardings'!DJ7+'Total Sunday-Holiday Boardings'!DJ7</f>
        <v>84975</v>
      </c>
      <c r="DK7" s="13">
        <f>'Total Weekday Boardings'!DK7+'Total Saturday Boardings'!DK7+'Total Sunday-Holiday Boardings'!DK7</f>
        <v>84483</v>
      </c>
      <c r="DL7" s="14">
        <f>'Total Weekday Boardings'!DL7+'Total Saturday Boardings'!DL7+'Total Sunday-Holiday Boardings'!DL7</f>
        <v>79987</v>
      </c>
      <c r="DM7" s="12">
        <f>'Total Weekday Boardings'!DM7+'Total Saturday Boardings'!DM7+'Total Sunday-Holiday Boardings'!DM7</f>
        <v>82617</v>
      </c>
      <c r="DN7" s="13">
        <f>'Total Weekday Boardings'!DN7+'Total Saturday Boardings'!DN7+'Total Sunday-Holiday Boardings'!DN7</f>
        <v>87635</v>
      </c>
      <c r="DO7" s="13">
        <f>'Total Weekday Boardings'!DO7+'Total Saturday Boardings'!DO7+'Total Sunday-Holiday Boardings'!DO7</f>
        <v>85486</v>
      </c>
      <c r="DP7" s="13">
        <f>'Total Weekday Boardings'!DP7+'Total Saturday Boardings'!DP7+'Total Sunday-Holiday Boardings'!DP7</f>
        <v>85024</v>
      </c>
      <c r="DQ7" s="13">
        <f>'Total Weekday Boardings'!DQ7+'Total Saturday Boardings'!DQ7+'Total Sunday-Holiday Boardings'!DQ7</f>
        <v>80696</v>
      </c>
      <c r="DR7" s="13">
        <f>'Total Weekday Boardings'!DR7+'Total Saturday Boardings'!DR7+'Total Sunday-Holiday Boardings'!DR7</f>
        <v>82738</v>
      </c>
      <c r="DS7" s="13">
        <f>'Total Weekday Boardings'!DS7+'Total Saturday Boardings'!DS7+'Total Sunday-Holiday Boardings'!DS7</f>
        <v>82251</v>
      </c>
      <c r="DT7" s="13">
        <f>'Total Weekday Boardings'!DT7+'Total Saturday Boardings'!DT7+'Total Sunday-Holiday Boardings'!DT7</f>
        <v>74588</v>
      </c>
      <c r="DU7" s="13">
        <f>'Total Weekday Boardings'!DU7+'Total Saturday Boardings'!DU7+'Total Sunday-Holiday Boardings'!DU7</f>
        <v>82372</v>
      </c>
      <c r="DV7" s="13">
        <f>'Total Weekday Boardings'!DV7+'Total Saturday Boardings'!DV7+'Total Sunday-Holiday Boardings'!DV7</f>
        <v>80817</v>
      </c>
      <c r="DW7" s="13">
        <f>'Total Weekday Boardings'!DW7+'Total Saturday Boardings'!DW7+'Total Sunday-Holiday Boardings'!DW7</f>
        <v>84571</v>
      </c>
      <c r="DX7" s="14">
        <f>'Total Weekday Boardings'!DX7+'Total Saturday Boardings'!DX7+'Total Sunday-Holiday Boardings'!DX7</f>
        <v>77369</v>
      </c>
      <c r="DY7" s="137">
        <v>80910</v>
      </c>
      <c r="DZ7" s="13">
        <v>83989</v>
      </c>
      <c r="EA7" s="13">
        <v>80707</v>
      </c>
      <c r="EB7" s="13">
        <v>83567</v>
      </c>
      <c r="EC7" s="13">
        <v>79743</v>
      </c>
      <c r="ED7" s="13">
        <v>82625</v>
      </c>
      <c r="EE7" s="13">
        <v>87424</v>
      </c>
      <c r="EF7" s="13">
        <v>84653</v>
      </c>
      <c r="EG7" s="13">
        <v>75943</v>
      </c>
      <c r="EH7" s="13">
        <v>53796</v>
      </c>
      <c r="EI7" s="13">
        <v>51399</v>
      </c>
      <c r="EJ7" s="14">
        <v>46702</v>
      </c>
      <c r="EK7" s="100">
        <v>46630</v>
      </c>
      <c r="EL7" s="13">
        <v>49579</v>
      </c>
      <c r="EM7" s="13">
        <v>46407</v>
      </c>
      <c r="EN7" s="103">
        <v>46740</v>
      </c>
      <c r="EO7" s="13">
        <v>44020</v>
      </c>
      <c r="EP7" s="13">
        <v>38128</v>
      </c>
      <c r="EQ7" s="13">
        <v>20398</v>
      </c>
      <c r="ER7" s="13">
        <v>40369</v>
      </c>
      <c r="ES7" s="13">
        <v>43711</v>
      </c>
      <c r="ET7" s="13">
        <v>43106</v>
      </c>
      <c r="EU7" s="13">
        <v>41041</v>
      </c>
      <c r="EV7" s="14">
        <v>42686</v>
      </c>
      <c r="EW7" s="103">
        <v>44020</v>
      </c>
      <c r="EX7" s="13">
        <v>44022</v>
      </c>
      <c r="EY7" s="13">
        <v>42411</v>
      </c>
      <c r="EZ7" s="103">
        <v>44274</v>
      </c>
      <c r="FA7" s="13">
        <v>42479</v>
      </c>
      <c r="FB7" s="144">
        <v>47653</v>
      </c>
      <c r="FC7" s="13">
        <v>45019</v>
      </c>
      <c r="FD7" s="13">
        <v>49644</v>
      </c>
      <c r="FE7" s="13">
        <v>54135</v>
      </c>
      <c r="FF7" s="13">
        <v>49501</v>
      </c>
      <c r="FG7" s="13">
        <f>SUM('Total Weekday Boardings'!FG7,'Total Saturday Boardings'!FG7,'Total Sunday-Holiday Boardings'!FG7)</f>
        <v>49413</v>
      </c>
      <c r="FH7" s="13">
        <f>SUM('Total Weekday Boardings'!FH7,'Total Saturday Boardings'!FH7,'Total Sunday-Holiday Boardings'!FH7)</f>
        <v>43940</v>
      </c>
      <c r="FI7" s="13">
        <f>SUM('Total Weekday Boardings'!FI7,'Total Saturday Boardings'!FI7,'Total Sunday-Holiday Boardings'!FI7)</f>
        <v>48704</v>
      </c>
      <c r="FJ7" s="13">
        <f>SUM('Total Weekday Boardings'!FJ7,'Total Saturday Boardings'!FJ7,'Total Sunday-Holiday Boardings'!FJ7)</f>
        <v>52082</v>
      </c>
      <c r="FK7" s="13">
        <f>SUM('Total Weekday Boardings'!FK7,'Total Saturday Boardings'!FK7,'Total Sunday-Holiday Boardings'!FK7)</f>
        <v>55589.25</v>
      </c>
      <c r="FL7" s="13">
        <f>SUM('Total Weekday Boardings'!FL7,'Total Saturday Boardings'!FL7,'Total Sunday-Holiday Boardings'!FL7)</f>
        <v>51752</v>
      </c>
      <c r="FM7" s="13">
        <f>SUM('Total Weekday Boardings'!FM7,'Total Saturday Boardings'!FM7,'Total Sunday-Holiday Boardings'!FM7)</f>
        <v>46394</v>
      </c>
      <c r="FN7" s="13">
        <f>SUM('Total Weekday Boardings'!FN7,'Total Saturday Boardings'!FN7,'Total Sunday-Holiday Boardings'!FN7)</f>
        <v>47045</v>
      </c>
      <c r="FO7" s="13">
        <f>SUM('Total Weekday Boardings'!FO7,'Total Saturday Boardings'!FO7,'Total Sunday-Holiday Boardings'!FO7)</f>
        <v>48794</v>
      </c>
      <c r="FP7" s="13">
        <f>SUM('Total Weekday Boardings'!FP7,'Total Saturday Boardings'!FP7,'Total Sunday-Holiday Boardings'!FP7)</f>
        <v>26260</v>
      </c>
      <c r="FQ7" s="13">
        <f>SUM('Total Weekday Boardings'!FQ7,'Total Saturday Boardings'!FQ7,'Total Sunday-Holiday Boardings'!FQ7)</f>
        <v>54273</v>
      </c>
      <c r="FR7" s="13">
        <f>SUM('Total Weekday Boardings'!FR7,'Total Saturday Boardings'!FR7,'Total Sunday-Holiday Boardings'!FR7)</f>
        <v>52758</v>
      </c>
      <c r="FS7" s="13">
        <f>SUM('Total Weekday Boardings'!FS7,'Total Saturday Boardings'!FS7,'Total Sunday-Holiday Boardings'!FS7)</f>
        <v>52830</v>
      </c>
      <c r="FT7" s="16">
        <f>SUM('Total Weekday Boardings'!FT7,'Total Saturday Boardings'!FT7,'Total Sunday-Holiday Boardings'!FT7)</f>
        <v>48405</v>
      </c>
      <c r="FU7" s="171">
        <v>54856</v>
      </c>
      <c r="FV7" s="171">
        <v>59459</v>
      </c>
      <c r="FW7" s="171">
        <v>50005</v>
      </c>
      <c r="FX7" s="171">
        <v>58785</v>
      </c>
      <c r="FY7" s="171">
        <v>57620</v>
      </c>
      <c r="FZ7" s="171">
        <v>60197</v>
      </c>
      <c r="GA7" s="171">
        <v>60466</v>
      </c>
      <c r="GB7" s="52">
        <v>26228</v>
      </c>
      <c r="GC7" s="52">
        <v>29108</v>
      </c>
      <c r="GD7" s="52">
        <v>23807</v>
      </c>
      <c r="GE7" s="18">
        <v>23773</v>
      </c>
      <c r="GF7" s="52">
        <v>23027</v>
      </c>
      <c r="GG7" s="184">
        <v>23385</v>
      </c>
      <c r="GH7" s="52">
        <v>24467</v>
      </c>
      <c r="GI7" s="18">
        <v>65140</v>
      </c>
      <c r="GJ7" s="236">
        <v>23613</v>
      </c>
      <c r="GK7" s="184">
        <v>26113</v>
      </c>
      <c r="GL7" s="184">
        <v>21309</v>
      </c>
    </row>
    <row r="8" spans="1:194" ht="15" thickBot="1" x14ac:dyDescent="0.35">
      <c r="A8" s="2" t="s">
        <v>30</v>
      </c>
      <c r="B8" s="17"/>
      <c r="C8" s="18"/>
      <c r="D8" s="18"/>
      <c r="E8" s="18"/>
      <c r="F8" s="18"/>
      <c r="G8" s="18"/>
      <c r="H8" s="19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7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7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  <c r="AS8" s="1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9"/>
      <c r="BE8" s="17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9"/>
      <c r="BQ8" s="17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9"/>
      <c r="CC8" s="20"/>
      <c r="CD8" s="18"/>
      <c r="CE8" s="18"/>
      <c r="CF8" s="18"/>
      <c r="CG8" s="18"/>
      <c r="CH8" s="18"/>
      <c r="CI8" s="18"/>
      <c r="CJ8" s="18"/>
      <c r="CK8" s="18">
        <f>'Total Weekday Boardings'!CK8+'Total Saturday Boardings'!CK8+'Total Sunday-Holiday Boardings'!CK8</f>
        <v>10425</v>
      </c>
      <c r="CL8" s="18">
        <f>'Total Weekday Boardings'!CL8+'Total Saturday Boardings'!CL8+'Total Sunday-Holiday Boardings'!CL8</f>
        <v>27077</v>
      </c>
      <c r="CM8" s="18">
        <f>'Total Weekday Boardings'!CM8+'Total Saturday Boardings'!CM8+'Total Sunday-Holiday Boardings'!CM8</f>
        <v>28876</v>
      </c>
      <c r="CN8" s="21">
        <f>'Total Weekday Boardings'!CN8+'Total Saturday Boardings'!CN8+'Total Sunday-Holiday Boardings'!CN8</f>
        <v>28590</v>
      </c>
      <c r="CO8" s="17">
        <f>'Total Weekday Boardings'!CO8+'Total Saturday Boardings'!CO8+'Total Sunday-Holiday Boardings'!CO8</f>
        <v>29426</v>
      </c>
      <c r="CP8" s="18">
        <f>'Total Weekday Boardings'!CP8+'Total Saturday Boardings'!CP8+'Total Sunday-Holiday Boardings'!CP8</f>
        <v>31329</v>
      </c>
      <c r="CQ8" s="18">
        <f>'Total Weekday Boardings'!CQ8+'Total Saturday Boardings'!CQ8+'Total Sunday-Holiday Boardings'!CQ8</f>
        <v>29818</v>
      </c>
      <c r="CR8" s="18">
        <f>'Total Weekday Boardings'!CR8+'Total Saturday Boardings'!CR8+'Total Sunday-Holiday Boardings'!CR8</f>
        <v>31794</v>
      </c>
      <c r="CS8" s="18">
        <f>'Total Weekday Boardings'!CS8+'Total Saturday Boardings'!CS8+'Total Sunday-Holiday Boardings'!CS8</f>
        <v>31564</v>
      </c>
      <c r="CT8" s="18">
        <f>'Total Weekday Boardings'!CT8+'Total Saturday Boardings'!CT8+'Total Sunday-Holiday Boardings'!CT8</f>
        <v>32857</v>
      </c>
      <c r="CU8" s="18">
        <f>'Total Weekday Boardings'!CU8+'Total Saturday Boardings'!CU8+'Total Sunday-Holiday Boardings'!CU8</f>
        <v>33075</v>
      </c>
      <c r="CV8" s="18">
        <f>'Total Weekday Boardings'!CV8+'Total Saturday Boardings'!CV8+'Total Sunday-Holiday Boardings'!CV8</f>
        <v>31743</v>
      </c>
      <c r="CW8" s="18">
        <f>'Total Weekday Boardings'!CW8+'Total Saturday Boardings'!CW8+'Total Sunday-Holiday Boardings'!CW8</f>
        <v>34428</v>
      </c>
      <c r="CX8" s="18">
        <f>'Total Weekday Boardings'!CX8+'Total Saturday Boardings'!CX8+'Total Sunday-Holiday Boardings'!CX8</f>
        <v>33271</v>
      </c>
      <c r="CY8" s="18">
        <f>'Total Weekday Boardings'!CY8+'Total Saturday Boardings'!CY8+'Total Sunday-Holiday Boardings'!CY8</f>
        <v>33339</v>
      </c>
      <c r="CZ8" s="19">
        <f>'Total Weekday Boardings'!CZ8+'Total Saturday Boardings'!CZ8+'Total Sunday-Holiday Boardings'!CZ8</f>
        <v>31400</v>
      </c>
      <c r="DA8" s="17">
        <f>'Total Weekday Boardings'!DA8+'Total Saturday Boardings'!DA8+'Total Sunday-Holiday Boardings'!DA8</f>
        <v>31257</v>
      </c>
      <c r="DB8" s="18">
        <f>'Total Weekday Boardings'!DB8+'Total Saturday Boardings'!DB8+'Total Sunday-Holiday Boardings'!DB8</f>
        <v>34681</v>
      </c>
      <c r="DC8" s="18">
        <f>'Total Weekday Boardings'!DC8+'Total Saturday Boardings'!DC8+'Total Sunday-Holiday Boardings'!DC8</f>
        <v>33681</v>
      </c>
      <c r="DD8" s="18">
        <f>'Total Weekday Boardings'!DD8+'Total Saturday Boardings'!DD8+'Total Sunday-Holiday Boardings'!DD8</f>
        <v>35033</v>
      </c>
      <c r="DE8" s="18">
        <f>'Total Weekday Boardings'!DE8+'Total Saturday Boardings'!DE8+'Total Sunday-Holiday Boardings'!DE8</f>
        <v>33585</v>
      </c>
      <c r="DF8" s="18">
        <f>'Total Weekday Boardings'!DF8+'Total Saturday Boardings'!DF8+'Total Sunday-Holiday Boardings'!DF8</f>
        <v>33837</v>
      </c>
      <c r="DG8" s="18">
        <f>'Total Weekday Boardings'!DG8+'Total Saturday Boardings'!DG8+'Total Sunday-Holiday Boardings'!DG8</f>
        <v>36013</v>
      </c>
      <c r="DH8" s="18">
        <f>'Total Weekday Boardings'!DH8+'Total Saturday Boardings'!DH8+'Total Sunday-Holiday Boardings'!DH8</f>
        <v>33423</v>
      </c>
      <c r="DI8" s="18">
        <f>'Total Weekday Boardings'!DI8+'Total Saturday Boardings'!DI8+'Total Sunday-Holiday Boardings'!DI8</f>
        <v>36220</v>
      </c>
      <c r="DJ8" s="18">
        <f>'Total Weekday Boardings'!DJ8+'Total Saturday Boardings'!DJ8+'Total Sunday-Holiday Boardings'!DJ8</f>
        <v>34094</v>
      </c>
      <c r="DK8" s="18">
        <f>'Total Weekday Boardings'!DK8+'Total Saturday Boardings'!DK8+'Total Sunday-Holiday Boardings'!DK8</f>
        <v>33574</v>
      </c>
      <c r="DL8" s="19">
        <f>'Total Weekday Boardings'!DL8+'Total Saturday Boardings'!DL8+'Total Sunday-Holiday Boardings'!DL8</f>
        <v>31549</v>
      </c>
      <c r="DM8" s="17">
        <f>'Total Weekday Boardings'!DM8+'Total Saturday Boardings'!DM8+'Total Sunday-Holiday Boardings'!DM8</f>
        <v>32089</v>
      </c>
      <c r="DN8" s="18">
        <f>'Total Weekday Boardings'!DN8+'Total Saturday Boardings'!DN8+'Total Sunday-Holiday Boardings'!DN8</f>
        <v>34997</v>
      </c>
      <c r="DO8" s="18">
        <f>'Total Weekday Boardings'!DO8+'Total Saturday Boardings'!DO8+'Total Sunday-Holiday Boardings'!DO8</f>
        <v>33805</v>
      </c>
      <c r="DP8" s="18">
        <f>'Total Weekday Boardings'!DP8+'Total Saturday Boardings'!DP8+'Total Sunday-Holiday Boardings'!DP8</f>
        <v>36682</v>
      </c>
      <c r="DQ8" s="18">
        <f>'Total Weekday Boardings'!DQ8+'Total Saturday Boardings'!DQ8+'Total Sunday-Holiday Boardings'!DQ8</f>
        <v>34629</v>
      </c>
      <c r="DR8" s="18">
        <f>'Total Weekday Boardings'!DR8+'Total Saturday Boardings'!DR8+'Total Sunday-Holiday Boardings'!DR8</f>
        <v>33382</v>
      </c>
      <c r="DS8" s="18">
        <f>'Total Weekday Boardings'!DS8+'Total Saturday Boardings'!DS8+'Total Sunday-Holiday Boardings'!DS8</f>
        <v>34770</v>
      </c>
      <c r="DT8" s="18">
        <f>'Total Weekday Boardings'!DT8+'Total Saturday Boardings'!DT8+'Total Sunday-Holiday Boardings'!DT8</f>
        <v>31868</v>
      </c>
      <c r="DU8" s="18">
        <f>'Total Weekday Boardings'!DU8+'Total Saturday Boardings'!DU8+'Total Sunday-Holiday Boardings'!DU8</f>
        <v>33026</v>
      </c>
      <c r="DV8" s="18">
        <f>'Total Weekday Boardings'!DV8+'Total Saturday Boardings'!DV8+'Total Sunday-Holiday Boardings'!DV8</f>
        <v>31027</v>
      </c>
      <c r="DW8" s="18">
        <f>'Total Weekday Boardings'!DW8+'Total Saturday Boardings'!DW8+'Total Sunday-Holiday Boardings'!DW8</f>
        <v>32174</v>
      </c>
      <c r="DX8" s="19">
        <f>'Total Weekday Boardings'!DX8+'Total Saturday Boardings'!DX8+'Total Sunday-Holiday Boardings'!DX8</f>
        <v>29380</v>
      </c>
      <c r="DY8" s="137">
        <v>28882</v>
      </c>
      <c r="DZ8" s="18">
        <v>29945</v>
      </c>
      <c r="EA8" s="18">
        <v>29286</v>
      </c>
      <c r="EB8" s="18">
        <v>32968</v>
      </c>
      <c r="EC8" s="18">
        <v>31369</v>
      </c>
      <c r="ED8" s="18">
        <v>31623</v>
      </c>
      <c r="EE8" s="18">
        <v>32689</v>
      </c>
      <c r="EF8" s="18">
        <v>31753</v>
      </c>
      <c r="EG8" s="18">
        <v>27567</v>
      </c>
      <c r="EH8" s="18">
        <v>18000</v>
      </c>
      <c r="EI8" s="18">
        <v>18082</v>
      </c>
      <c r="EJ8" s="19">
        <v>16335</v>
      </c>
      <c r="EK8" s="100">
        <v>14825</v>
      </c>
      <c r="EL8" s="18">
        <v>15016</v>
      </c>
      <c r="EM8" s="18">
        <v>14790</v>
      </c>
      <c r="EN8" s="104">
        <v>15995</v>
      </c>
      <c r="EO8" s="18">
        <v>13923</v>
      </c>
      <c r="EP8" s="18">
        <v>12339</v>
      </c>
      <c r="EQ8" s="18">
        <v>7199</v>
      </c>
      <c r="ER8" s="18">
        <v>12432</v>
      </c>
      <c r="ES8" s="18">
        <v>14296</v>
      </c>
      <c r="ET8" s="18">
        <v>14715</v>
      </c>
      <c r="EU8" s="18">
        <v>13474</v>
      </c>
      <c r="EV8" s="19">
        <v>13571</v>
      </c>
      <c r="EW8" s="103">
        <v>13923</v>
      </c>
      <c r="EX8" s="18">
        <v>15314</v>
      </c>
      <c r="EY8" s="18">
        <v>14812</v>
      </c>
      <c r="EZ8" s="104">
        <v>16545</v>
      </c>
      <c r="FA8" s="18">
        <v>17228</v>
      </c>
      <c r="FB8" s="145">
        <v>17780</v>
      </c>
      <c r="FC8" s="18">
        <v>16091</v>
      </c>
      <c r="FD8" s="18">
        <v>18952</v>
      </c>
      <c r="FE8" s="18">
        <v>21921</v>
      </c>
      <c r="FF8" s="18">
        <v>19832</v>
      </c>
      <c r="FG8" s="13">
        <f>SUM('Total Weekday Boardings'!FG8,'Total Saturday Boardings'!FG8,'Total Sunday-Holiday Boardings'!FG8)</f>
        <v>19944</v>
      </c>
      <c r="FH8" s="13">
        <f>SUM('Total Weekday Boardings'!FH8,'Total Saturday Boardings'!FH8,'Total Sunday-Holiday Boardings'!FH8)</f>
        <v>15920</v>
      </c>
      <c r="FI8" s="13">
        <f>SUM('Total Weekday Boardings'!FI8,'Total Saturday Boardings'!FI8,'Total Sunday-Holiday Boardings'!FI8)</f>
        <v>16779</v>
      </c>
      <c r="FJ8" s="13">
        <f>SUM('Total Weekday Boardings'!FJ8,'Total Saturday Boardings'!FJ8,'Total Sunday-Holiday Boardings'!FJ8)</f>
        <v>18881</v>
      </c>
      <c r="FK8" s="13">
        <f>SUM('Total Weekday Boardings'!FK8,'Total Saturday Boardings'!FK8,'Total Sunday-Holiday Boardings'!FK8)</f>
        <v>21040.75</v>
      </c>
      <c r="FL8" s="13">
        <f>SUM('Total Weekday Boardings'!FL8,'Total Saturday Boardings'!FL8,'Total Sunday-Holiday Boardings'!FL8)</f>
        <v>21141</v>
      </c>
      <c r="FM8" s="13">
        <f>SUM('Total Weekday Boardings'!FM8,'Total Saturday Boardings'!FM8,'Total Sunday-Holiday Boardings'!FM8)</f>
        <v>18709</v>
      </c>
      <c r="FN8" s="13">
        <f>SUM('Total Weekday Boardings'!FN8,'Total Saturday Boardings'!FN8,'Total Sunday-Holiday Boardings'!FN8)</f>
        <v>19521</v>
      </c>
      <c r="FO8" s="13">
        <f>SUM('Total Weekday Boardings'!FO8,'Total Saturday Boardings'!FO8,'Total Sunday-Holiday Boardings'!FO8)</f>
        <v>20737</v>
      </c>
      <c r="FP8" s="13">
        <f>SUM('Total Weekday Boardings'!FP8,'Total Saturday Boardings'!FP8,'Total Sunday-Holiday Boardings'!FP8)</f>
        <v>18512</v>
      </c>
      <c r="FQ8" s="13">
        <f>SUM('Total Weekday Boardings'!FQ8,'Total Saturday Boardings'!FQ8,'Total Sunday-Holiday Boardings'!FQ8)</f>
        <v>22887</v>
      </c>
      <c r="FR8" s="13">
        <f>SUM('Total Weekday Boardings'!FR8,'Total Saturday Boardings'!FR8,'Total Sunday-Holiday Boardings'!FR8)</f>
        <v>22370</v>
      </c>
      <c r="FS8" s="13">
        <f>SUM('Total Weekday Boardings'!FS8,'Total Saturday Boardings'!FS8,'Total Sunday-Holiday Boardings'!FS8)</f>
        <v>23120</v>
      </c>
      <c r="FT8" s="16">
        <f>SUM('Total Weekday Boardings'!FT8,'Total Saturday Boardings'!FT8,'Total Sunday-Holiday Boardings'!FT8)</f>
        <v>20667</v>
      </c>
      <c r="FU8" s="171">
        <v>21801</v>
      </c>
      <c r="FV8" s="171">
        <v>23482</v>
      </c>
      <c r="FW8" s="171">
        <v>21991</v>
      </c>
      <c r="FX8" s="171">
        <v>23223</v>
      </c>
      <c r="FY8" s="171">
        <v>21722</v>
      </c>
      <c r="FZ8" s="171">
        <v>20664</v>
      </c>
      <c r="GA8" s="171">
        <v>21426</v>
      </c>
      <c r="GB8" s="52">
        <v>21047</v>
      </c>
      <c r="GC8" s="52">
        <v>21478</v>
      </c>
      <c r="GD8" s="52">
        <v>19581</v>
      </c>
      <c r="GE8" s="18">
        <v>20179</v>
      </c>
      <c r="GF8" s="52">
        <v>18519</v>
      </c>
      <c r="GG8" s="184">
        <v>18478</v>
      </c>
      <c r="GH8" s="52">
        <v>20892</v>
      </c>
      <c r="GI8" s="18">
        <v>20599</v>
      </c>
      <c r="GJ8" s="236">
        <v>21171</v>
      </c>
      <c r="GK8" s="184">
        <v>19703</v>
      </c>
      <c r="GL8" s="184">
        <v>19767</v>
      </c>
    </row>
    <row r="9" spans="1:194" ht="15" thickBot="1" x14ac:dyDescent="0.35">
      <c r="A9" s="7" t="s">
        <v>31</v>
      </c>
      <c r="B9" s="22"/>
      <c r="C9" s="23"/>
      <c r="D9" s="23"/>
      <c r="E9" s="23"/>
      <c r="F9" s="23"/>
      <c r="G9" s="23"/>
      <c r="H9" s="24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2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22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4"/>
      <c r="AS9" s="22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4"/>
      <c r="BE9" s="22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4"/>
      <c r="BQ9" s="22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4"/>
      <c r="CC9" s="25"/>
      <c r="CD9" s="23"/>
      <c r="CE9" s="23"/>
      <c r="CF9" s="23"/>
      <c r="CG9" s="23"/>
      <c r="CH9" s="23"/>
      <c r="CI9" s="23"/>
      <c r="CJ9" s="23"/>
      <c r="CK9" s="23">
        <f>'Total Weekday Boardings'!CK9+'Total Saturday Boardings'!CK9+'Total Sunday-Holiday Boardings'!CK9</f>
        <v>13359</v>
      </c>
      <c r="CL9" s="23">
        <f>'Total Weekday Boardings'!CL9+'Total Saturday Boardings'!CL9+'Total Sunday-Holiday Boardings'!CL9</f>
        <v>35197</v>
      </c>
      <c r="CM9" s="23">
        <f>'Total Weekday Boardings'!CM9+'Total Saturday Boardings'!CM9+'Total Sunday-Holiday Boardings'!CM9</f>
        <v>37287</v>
      </c>
      <c r="CN9" s="26">
        <f>'Total Weekday Boardings'!CN9+'Total Saturday Boardings'!CN9+'Total Sunday-Holiday Boardings'!CN9</f>
        <v>36936</v>
      </c>
      <c r="CO9" s="22">
        <f>'Total Weekday Boardings'!CO9+'Total Saturday Boardings'!CO9+'Total Sunday-Holiday Boardings'!CO9</f>
        <v>38666</v>
      </c>
      <c r="CP9" s="23">
        <f>'Total Weekday Boardings'!CP9+'Total Saturday Boardings'!CP9+'Total Sunday-Holiday Boardings'!CP9</f>
        <v>41437</v>
      </c>
      <c r="CQ9" s="23">
        <f>'Total Weekday Boardings'!CQ9+'Total Saturday Boardings'!CQ9+'Total Sunday-Holiday Boardings'!CQ9</f>
        <v>40226</v>
      </c>
      <c r="CR9" s="23">
        <f>'Total Weekday Boardings'!CR9+'Total Saturday Boardings'!CR9+'Total Sunday-Holiday Boardings'!CR9</f>
        <v>42707</v>
      </c>
      <c r="CS9" s="23">
        <f>'Total Weekday Boardings'!CS9+'Total Saturday Boardings'!CS9+'Total Sunday-Holiday Boardings'!CS9</f>
        <v>41002</v>
      </c>
      <c r="CT9" s="23">
        <f>'Total Weekday Boardings'!CT9+'Total Saturday Boardings'!CT9+'Total Sunday-Holiday Boardings'!CT9</f>
        <v>43091</v>
      </c>
      <c r="CU9" s="23">
        <f>'Total Weekday Boardings'!CU9+'Total Saturday Boardings'!CU9+'Total Sunday-Holiday Boardings'!CU9</f>
        <v>42274</v>
      </c>
      <c r="CV9" s="23">
        <f>'Total Weekday Boardings'!CV9+'Total Saturday Boardings'!CV9+'Total Sunday-Holiday Boardings'!CV9</f>
        <v>40388</v>
      </c>
      <c r="CW9" s="23">
        <f>'Total Weekday Boardings'!CW9+'Total Saturday Boardings'!CW9+'Total Sunday-Holiday Boardings'!CW9</f>
        <v>43510</v>
      </c>
      <c r="CX9" s="23">
        <f>'Total Weekday Boardings'!CX9+'Total Saturday Boardings'!CX9+'Total Sunday-Holiday Boardings'!CX9</f>
        <v>41634</v>
      </c>
      <c r="CY9" s="23">
        <f>'Total Weekday Boardings'!CY9+'Total Saturday Boardings'!CY9+'Total Sunday-Holiday Boardings'!CY9</f>
        <v>40861</v>
      </c>
      <c r="CZ9" s="24">
        <f>'Total Weekday Boardings'!CZ9+'Total Saturday Boardings'!CZ9+'Total Sunday-Holiday Boardings'!CZ9</f>
        <v>37040</v>
      </c>
      <c r="DA9" s="22">
        <f>'Total Weekday Boardings'!DA9+'Total Saturday Boardings'!DA9+'Total Sunday-Holiday Boardings'!DA9</f>
        <v>37606</v>
      </c>
      <c r="DB9" s="23">
        <f>'Total Weekday Boardings'!DB9+'Total Saturday Boardings'!DB9+'Total Sunday-Holiday Boardings'!DB9</f>
        <v>42524</v>
      </c>
      <c r="DC9" s="23">
        <f>'Total Weekday Boardings'!DC9+'Total Saturday Boardings'!DC9+'Total Sunday-Holiday Boardings'!DC9</f>
        <v>41571</v>
      </c>
      <c r="DD9" s="23">
        <f>'Total Weekday Boardings'!DD9+'Total Saturday Boardings'!DD9+'Total Sunday-Holiday Boardings'!DD9</f>
        <v>44860</v>
      </c>
      <c r="DE9" s="23">
        <f>'Total Weekday Boardings'!DE9+'Total Saturday Boardings'!DE9+'Total Sunday-Holiday Boardings'!DE9</f>
        <v>42423</v>
      </c>
      <c r="DF9" s="23">
        <f>'Total Weekday Boardings'!DF9+'Total Saturday Boardings'!DF9+'Total Sunday-Holiday Boardings'!DF9</f>
        <v>42643</v>
      </c>
      <c r="DG9" s="23">
        <f>'Total Weekday Boardings'!DG9+'Total Saturday Boardings'!DG9+'Total Sunday-Holiday Boardings'!DG9</f>
        <v>44601</v>
      </c>
      <c r="DH9" s="23">
        <f>'Total Weekday Boardings'!DH9+'Total Saturday Boardings'!DH9+'Total Sunday-Holiday Boardings'!DH9</f>
        <v>41969</v>
      </c>
      <c r="DI9" s="23">
        <f>'Total Weekday Boardings'!DI9+'Total Saturday Boardings'!DI9+'Total Sunday-Holiday Boardings'!DI9</f>
        <v>44960</v>
      </c>
      <c r="DJ9" s="23">
        <f>'Total Weekday Boardings'!DJ9+'Total Saturday Boardings'!DJ9+'Total Sunday-Holiday Boardings'!DJ9</f>
        <v>42627</v>
      </c>
      <c r="DK9" s="23">
        <f>'Total Weekday Boardings'!DK9+'Total Saturday Boardings'!DK9+'Total Sunday-Holiday Boardings'!DK9</f>
        <v>42317</v>
      </c>
      <c r="DL9" s="24">
        <f>'Total Weekday Boardings'!DL9+'Total Saturday Boardings'!DL9+'Total Sunday-Holiday Boardings'!DL9</f>
        <v>39475</v>
      </c>
      <c r="DM9" s="22">
        <f>'Total Weekday Boardings'!DM9+'Total Saturday Boardings'!DM9+'Total Sunday-Holiday Boardings'!DM9</f>
        <v>38189</v>
      </c>
      <c r="DN9" s="23">
        <f>'Total Weekday Boardings'!DN9+'Total Saturday Boardings'!DN9+'Total Sunday-Holiday Boardings'!DN9</f>
        <v>41841</v>
      </c>
      <c r="DO9" s="23">
        <f>'Total Weekday Boardings'!DO9+'Total Saturday Boardings'!DO9+'Total Sunday-Holiday Boardings'!DO9</f>
        <v>39626</v>
      </c>
      <c r="DP9" s="23">
        <f>'Total Weekday Boardings'!DP9+'Total Saturday Boardings'!DP9+'Total Sunday-Holiday Boardings'!DP9</f>
        <v>44207</v>
      </c>
      <c r="DQ9" s="23">
        <f>'Total Weekday Boardings'!DQ9+'Total Saturday Boardings'!DQ9+'Total Sunday-Holiday Boardings'!DQ9</f>
        <v>43198</v>
      </c>
      <c r="DR9" s="23">
        <f>'Total Weekday Boardings'!DR9+'Total Saturday Boardings'!DR9+'Total Sunday-Holiday Boardings'!DR9</f>
        <v>41396</v>
      </c>
      <c r="DS9" s="23">
        <f>'Total Weekday Boardings'!DS9+'Total Saturday Boardings'!DS9+'Total Sunday-Holiday Boardings'!DS9</f>
        <v>41402</v>
      </c>
      <c r="DT9" s="23">
        <f>'Total Weekday Boardings'!DT9+'Total Saturday Boardings'!DT9+'Total Sunday-Holiday Boardings'!DT9</f>
        <v>38021</v>
      </c>
      <c r="DU9" s="23">
        <f>'Total Weekday Boardings'!DU9+'Total Saturday Boardings'!DU9+'Total Sunday-Holiday Boardings'!DU9</f>
        <v>40723</v>
      </c>
      <c r="DV9" s="23">
        <f>'Total Weekday Boardings'!DV9+'Total Saturday Boardings'!DV9+'Total Sunday-Holiday Boardings'!DV9</f>
        <v>39027</v>
      </c>
      <c r="DW9" s="23">
        <f>'Total Weekday Boardings'!DW9+'Total Saturday Boardings'!DW9+'Total Sunday-Holiday Boardings'!DW9</f>
        <v>39883</v>
      </c>
      <c r="DX9" s="24">
        <f>'Total Weekday Boardings'!DX9+'Total Saturday Boardings'!DX9+'Total Sunday-Holiday Boardings'!DX9</f>
        <v>34819</v>
      </c>
      <c r="DY9" s="137">
        <v>34729</v>
      </c>
      <c r="DZ9" s="23">
        <v>37346</v>
      </c>
      <c r="EA9" s="23">
        <v>37387</v>
      </c>
      <c r="EB9" s="23">
        <v>42082</v>
      </c>
      <c r="EC9" s="23">
        <v>40001</v>
      </c>
      <c r="ED9" s="23">
        <v>38108</v>
      </c>
      <c r="EE9" s="23">
        <v>39219</v>
      </c>
      <c r="EF9" s="23">
        <v>38257</v>
      </c>
      <c r="EG9" s="23">
        <v>33480</v>
      </c>
      <c r="EH9" s="23">
        <v>22623</v>
      </c>
      <c r="EI9" s="23">
        <v>21647</v>
      </c>
      <c r="EJ9" s="24">
        <v>19289</v>
      </c>
      <c r="EK9" s="23">
        <v>18479</v>
      </c>
      <c r="EL9" s="23">
        <v>18660</v>
      </c>
      <c r="EM9" s="23">
        <v>18930</v>
      </c>
      <c r="EN9" s="105">
        <v>21037</v>
      </c>
      <c r="EO9" s="23">
        <v>17082</v>
      </c>
      <c r="EP9" s="23">
        <v>15724</v>
      </c>
      <c r="EQ9" s="23">
        <v>9346</v>
      </c>
      <c r="ER9" s="23">
        <v>16330</v>
      </c>
      <c r="ES9" s="23">
        <v>18647</v>
      </c>
      <c r="ET9" s="23">
        <v>18813</v>
      </c>
      <c r="EU9" s="23">
        <v>17751</v>
      </c>
      <c r="EV9" s="24">
        <v>17017</v>
      </c>
      <c r="EW9" s="23">
        <v>17082</v>
      </c>
      <c r="EX9" s="23">
        <v>19138</v>
      </c>
      <c r="EY9" s="23">
        <v>19284</v>
      </c>
      <c r="EZ9" s="105">
        <v>21504</v>
      </c>
      <c r="FA9" s="23">
        <v>20691</v>
      </c>
      <c r="FB9" s="146">
        <v>21800</v>
      </c>
      <c r="FC9" s="23">
        <v>20486</v>
      </c>
      <c r="FD9" s="23">
        <v>23754</v>
      </c>
      <c r="FE9" s="23">
        <v>27253</v>
      </c>
      <c r="FF9" s="23">
        <v>25143</v>
      </c>
      <c r="FG9" s="13">
        <f>SUM('Total Weekday Boardings'!FG9,'Total Saturday Boardings'!FG9,'Total Sunday-Holiday Boardings'!FG9)</f>
        <v>24541</v>
      </c>
      <c r="FH9" s="13">
        <f>SUM('Total Weekday Boardings'!FH9,'Total Saturday Boardings'!FH9,'Total Sunday-Holiday Boardings'!FH9)</f>
        <v>20459</v>
      </c>
      <c r="FI9" s="13">
        <f>SUM('Total Weekday Boardings'!FI9,'Total Saturday Boardings'!FI9,'Total Sunday-Holiday Boardings'!FI9)</f>
        <v>20842</v>
      </c>
      <c r="FJ9" s="13">
        <f>SUM('Total Weekday Boardings'!FJ9,'Total Saturday Boardings'!FJ9,'Total Sunday-Holiday Boardings'!FJ9)</f>
        <v>25262</v>
      </c>
      <c r="FK9" s="13">
        <f>SUM('Total Weekday Boardings'!FK9,'Total Saturday Boardings'!FK9,'Total Sunday-Holiday Boardings'!FK9)</f>
        <v>28210</v>
      </c>
      <c r="FL9" s="13">
        <f>SUM('Total Weekday Boardings'!FL9,'Total Saturday Boardings'!FL9,'Total Sunday-Holiday Boardings'!FL9)</f>
        <v>27561</v>
      </c>
      <c r="FM9" s="13">
        <f>SUM('Total Weekday Boardings'!FM9,'Total Saturday Boardings'!FM9,'Total Sunday-Holiday Boardings'!FM9)</f>
        <v>26105</v>
      </c>
      <c r="FN9" s="13">
        <f>SUM('Total Weekday Boardings'!FN9,'Total Saturday Boardings'!FN9,'Total Sunday-Holiday Boardings'!FN9)</f>
        <v>26779</v>
      </c>
      <c r="FO9" s="13">
        <f>SUM('Total Weekday Boardings'!FO9,'Total Saturday Boardings'!FO9,'Total Sunday-Holiday Boardings'!FO9)</f>
        <v>27889</v>
      </c>
      <c r="FP9" s="13">
        <f>SUM('Total Weekday Boardings'!FP9,'Total Saturday Boardings'!FP9,'Total Sunday-Holiday Boardings'!FP9)</f>
        <v>24239</v>
      </c>
      <c r="FQ9" s="13">
        <f>SUM('Total Weekday Boardings'!FQ9,'Total Saturday Boardings'!FQ9,'Total Sunday-Holiday Boardings'!FQ9)</f>
        <v>29767</v>
      </c>
      <c r="FR9" s="13">
        <f>SUM('Total Weekday Boardings'!FR9,'Total Saturday Boardings'!FR9,'Total Sunday-Holiday Boardings'!FR9)</f>
        <v>29608</v>
      </c>
      <c r="FS9" s="13">
        <f>SUM('Total Weekday Boardings'!FS9,'Total Saturday Boardings'!FS9,'Total Sunday-Holiday Boardings'!FS9)</f>
        <v>30482</v>
      </c>
      <c r="FT9" s="16">
        <f>SUM('Total Weekday Boardings'!FT9,'Total Saturday Boardings'!FT9,'Total Sunday-Holiday Boardings'!FT9)</f>
        <v>25882</v>
      </c>
      <c r="FU9" s="171">
        <v>26959</v>
      </c>
      <c r="FV9" s="171">
        <v>30591</v>
      </c>
      <c r="FW9" s="171">
        <v>28201</v>
      </c>
      <c r="FX9" s="171">
        <v>28462</v>
      </c>
      <c r="FY9" s="171">
        <v>27454</v>
      </c>
      <c r="FZ9" s="171">
        <v>27009</v>
      </c>
      <c r="GA9" s="171">
        <v>27023</v>
      </c>
      <c r="GB9" s="52">
        <v>25950</v>
      </c>
      <c r="GC9" s="52">
        <v>28048</v>
      </c>
      <c r="GD9" s="52">
        <v>25911</v>
      </c>
      <c r="GE9" s="18">
        <v>27133</v>
      </c>
      <c r="GF9" s="52">
        <v>24615</v>
      </c>
      <c r="GG9" s="184">
        <v>25213</v>
      </c>
      <c r="GH9" s="52">
        <v>24821</v>
      </c>
      <c r="GI9" s="18">
        <v>24440</v>
      </c>
      <c r="GJ9" s="236">
        <v>24608</v>
      </c>
      <c r="GK9" s="184">
        <v>23428</v>
      </c>
      <c r="GL9" s="184">
        <v>23084</v>
      </c>
    </row>
    <row r="10" spans="1:194" ht="15" thickBot="1" x14ac:dyDescent="0.35">
      <c r="A10" s="8" t="s">
        <v>3</v>
      </c>
      <c r="B10" s="12"/>
      <c r="C10" s="13">
        <f>'Total Weekday Boardings'!C10+'Total Saturday Boardings'!C10+'Total Sunday-Holiday Boardings'!C10</f>
        <v>105501</v>
      </c>
      <c r="D10" s="13">
        <f>'Total Weekday Boardings'!D10+'Total Saturday Boardings'!D10+'Total Sunday-Holiday Boardings'!D10</f>
        <v>100135</v>
      </c>
      <c r="E10" s="13">
        <f>'Total Weekday Boardings'!E10+'Total Saturday Boardings'!E10+'Total Sunday-Holiday Boardings'!E10</f>
        <v>105219</v>
      </c>
      <c r="F10" s="13">
        <f>'Total Weekday Boardings'!F10+'Total Saturday Boardings'!F10+'Total Sunday-Holiday Boardings'!F10</f>
        <v>100192</v>
      </c>
      <c r="G10" s="13">
        <f>'Total Weekday Boardings'!G10+'Total Saturday Boardings'!G10+'Total Sunday-Holiday Boardings'!G10</f>
        <v>92987</v>
      </c>
      <c r="H10" s="14">
        <f>'Total Weekday Boardings'!H10+'Total Saturday Boardings'!H10+'Total Sunday-Holiday Boardings'!H10</f>
        <v>81670</v>
      </c>
      <c r="I10" s="15">
        <f>'Total Weekday Boardings'!I10+'Total Saturday Boardings'!I10+'Total Sunday-Holiday Boardings'!I10</f>
        <v>71978</v>
      </c>
      <c r="J10" s="13">
        <f>'Total Weekday Boardings'!J10+'Total Saturday Boardings'!J10+'Total Sunday-Holiday Boardings'!J10</f>
        <v>75508</v>
      </c>
      <c r="K10" s="13">
        <f>'Total Weekday Boardings'!K10+'Total Saturday Boardings'!K10+'Total Sunday-Holiday Boardings'!K10</f>
        <v>84853</v>
      </c>
      <c r="L10" s="13">
        <f>'Total Weekday Boardings'!L10+'Total Saturday Boardings'!L10+'Total Sunday-Holiday Boardings'!L10</f>
        <v>91505</v>
      </c>
      <c r="M10" s="13">
        <f>'Total Weekday Boardings'!M10+'Total Saturday Boardings'!M10+'Total Sunday-Holiday Boardings'!M10</f>
        <v>99057</v>
      </c>
      <c r="N10" s="13">
        <f>'Total Weekday Boardings'!N10+'Total Saturday Boardings'!N10+'Total Sunday-Holiday Boardings'!N10</f>
        <v>84910</v>
      </c>
      <c r="O10" s="13">
        <f>'Total Weekday Boardings'!O10+'Total Saturday Boardings'!O10+'Total Sunday-Holiday Boardings'!O10</f>
        <v>89558</v>
      </c>
      <c r="P10" s="13">
        <f>'Total Weekday Boardings'!P10+'Total Saturday Boardings'!P10+'Total Sunday-Holiday Boardings'!P10</f>
        <v>88433</v>
      </c>
      <c r="Q10" s="13">
        <f>'Total Weekday Boardings'!Q10+'Total Saturday Boardings'!Q10+'Total Sunday-Holiday Boardings'!Q10</f>
        <v>99758</v>
      </c>
      <c r="R10" s="13">
        <f>'Total Weekday Boardings'!R10+'Total Saturday Boardings'!R10+'Total Sunday-Holiday Boardings'!R10</f>
        <v>104876</v>
      </c>
      <c r="S10" s="13">
        <f>'Total Weekday Boardings'!S10+'Total Saturday Boardings'!S10+'Total Sunday-Holiday Boardings'!S10</f>
        <v>87157</v>
      </c>
      <c r="T10" s="13">
        <f>'Total Weekday Boardings'!T10+'Total Saturday Boardings'!T10+'Total Sunday-Holiday Boardings'!T10</f>
        <v>92569</v>
      </c>
      <c r="U10" s="13">
        <f>'Total Weekday Boardings'!U10+'Total Saturday Boardings'!U10+'Total Sunday-Holiday Boardings'!U10</f>
        <v>85578</v>
      </c>
      <c r="V10" s="13">
        <f>'Total Weekday Boardings'!V10+'Total Saturday Boardings'!V10+'Total Sunday-Holiday Boardings'!V10</f>
        <v>94974</v>
      </c>
      <c r="W10" s="13">
        <f>'Total Weekday Boardings'!W10+'Total Saturday Boardings'!W10+'Total Sunday-Holiday Boardings'!W10</f>
        <v>101270</v>
      </c>
      <c r="X10" s="13">
        <f>'Total Weekday Boardings'!X10+'Total Saturday Boardings'!X10+'Total Sunday-Holiday Boardings'!X10</f>
        <v>100635</v>
      </c>
      <c r="Y10" s="13">
        <f>'Total Weekday Boardings'!Y10+'Total Saturday Boardings'!Y10+'Total Sunday-Holiday Boardings'!Y10</f>
        <v>95742</v>
      </c>
      <c r="Z10" s="13">
        <f>'Total Weekday Boardings'!Z10+'Total Saturday Boardings'!Z10+'Total Sunday-Holiday Boardings'!Z10</f>
        <v>92503</v>
      </c>
      <c r="AA10" s="13">
        <f>'Total Weekday Boardings'!AA10+'Total Saturday Boardings'!AA10+'Total Sunday-Holiday Boardings'!AA10</f>
        <v>96172</v>
      </c>
      <c r="AB10" s="13">
        <f>'Total Weekday Boardings'!AB10+'Total Saturday Boardings'!AB10+'Total Sunday-Holiday Boardings'!AB10</f>
        <v>94121</v>
      </c>
      <c r="AC10" s="13">
        <f>'Total Weekday Boardings'!AC10+'Total Saturday Boardings'!AC10+'Total Sunday-Holiday Boardings'!AC10</f>
        <v>104961</v>
      </c>
      <c r="AD10" s="13">
        <f>'Total Weekday Boardings'!AD10+'Total Saturday Boardings'!AD10+'Total Sunday-Holiday Boardings'!AD10</f>
        <v>100717</v>
      </c>
      <c r="AE10" s="13">
        <f>'Total Weekday Boardings'!AE10+'Total Saturday Boardings'!AE10+'Total Sunday-Holiday Boardings'!AE10</f>
        <v>93536</v>
      </c>
      <c r="AF10" s="13">
        <f>'Total Weekday Boardings'!AF10+'Total Saturday Boardings'!AF10+'Total Sunday-Holiday Boardings'!AF10</f>
        <v>90562</v>
      </c>
      <c r="AG10" s="13">
        <f>'Total Weekday Boardings'!AG10+'Total Saturday Boardings'!AG10+'Total Sunday-Holiday Boardings'!AG10</f>
        <v>93731</v>
      </c>
      <c r="AH10" s="13">
        <f>'Total Weekday Boardings'!AH10+'Total Saturday Boardings'!AH10+'Total Sunday-Holiday Boardings'!AH10</f>
        <v>98432</v>
      </c>
      <c r="AI10" s="13">
        <f>'Total Weekday Boardings'!AI10+'Total Saturday Boardings'!AI10+'Total Sunday-Holiday Boardings'!AI10</f>
        <v>102086</v>
      </c>
      <c r="AJ10" s="13">
        <f>'Total Weekday Boardings'!AJ10+'Total Saturday Boardings'!AJ10+'Total Sunday-Holiday Boardings'!AJ10</f>
        <v>104648</v>
      </c>
      <c r="AK10" s="13">
        <f>'Total Weekday Boardings'!AK10+'Total Saturday Boardings'!AK10+'Total Sunday-Holiday Boardings'!AK10</f>
        <v>92801</v>
      </c>
      <c r="AL10" s="13">
        <f>'Total Weekday Boardings'!AL10+'Total Saturday Boardings'!AL10+'Total Sunday-Holiday Boardings'!AL10</f>
        <v>99347</v>
      </c>
      <c r="AM10" s="13">
        <f>'Total Weekday Boardings'!AM10+'Total Saturday Boardings'!AM10+'Total Sunday-Holiday Boardings'!AM10</f>
        <v>101937</v>
      </c>
      <c r="AN10" s="13">
        <f>'Total Weekday Boardings'!AN10+'Total Saturday Boardings'!AN10+'Total Sunday-Holiday Boardings'!AN10</f>
        <v>99074</v>
      </c>
      <c r="AO10" s="13">
        <f>'Total Weekday Boardings'!AO10+'Total Saturday Boardings'!AO10+'Total Sunday-Holiday Boardings'!AO10</f>
        <v>101992</v>
      </c>
      <c r="AP10" s="13">
        <f>'Total Weekday Boardings'!AP10+'Total Saturday Boardings'!AP10+'Total Sunday-Holiday Boardings'!AP10</f>
        <v>101010</v>
      </c>
      <c r="AQ10" s="13">
        <f>'Total Weekday Boardings'!AQ10+'Total Saturday Boardings'!AQ10+'Total Sunday-Holiday Boardings'!AQ10</f>
        <v>100566</v>
      </c>
      <c r="AR10" s="13">
        <f>'Total Weekday Boardings'!AR10+'Total Saturday Boardings'!AR10+'Total Sunday-Holiday Boardings'!AR10</f>
        <v>90705</v>
      </c>
      <c r="AS10" s="13">
        <f>'Total Weekday Boardings'!AS10+'Total Saturday Boardings'!AS10+'Total Sunday-Holiday Boardings'!AS10</f>
        <v>92593</v>
      </c>
      <c r="AT10" s="13">
        <f>'Total Weekday Boardings'!AT10+'Total Saturday Boardings'!AT10+'Total Sunday-Holiday Boardings'!AT10</f>
        <v>102898</v>
      </c>
      <c r="AU10" s="13">
        <f>'Total Weekday Boardings'!AU10+'Total Saturday Boardings'!AU10+'Total Sunday-Holiday Boardings'!AU10</f>
        <v>101866</v>
      </c>
      <c r="AV10" s="13">
        <f>'Total Weekday Boardings'!AV10+'Total Saturday Boardings'!AV10+'Total Sunday-Holiday Boardings'!AV10</f>
        <v>109166</v>
      </c>
      <c r="AW10" s="13">
        <f>'Total Weekday Boardings'!AW10+'Total Saturday Boardings'!AW10+'Total Sunday-Holiday Boardings'!AW10</f>
        <v>103064</v>
      </c>
      <c r="AX10" s="13">
        <f>'Total Weekday Boardings'!AX10+'Total Saturday Boardings'!AX10+'Total Sunday-Holiday Boardings'!AX10</f>
        <v>104487</v>
      </c>
      <c r="AY10" s="13">
        <f>'Total Weekday Boardings'!AY10+'Total Saturday Boardings'!AY10+'Total Sunday-Holiday Boardings'!AY10</f>
        <v>104087</v>
      </c>
      <c r="AZ10" s="13">
        <f>'Total Weekday Boardings'!AZ10+'Total Saturday Boardings'!AZ10+'Total Sunday-Holiday Boardings'!AZ10</f>
        <v>107708</v>
      </c>
      <c r="BA10" s="13">
        <f>'Total Weekday Boardings'!BA10+'Total Saturday Boardings'!BA10+'Total Sunday-Holiday Boardings'!BA10</f>
        <v>114626</v>
      </c>
      <c r="BB10" s="13">
        <f>'Total Weekday Boardings'!BB10+'Total Saturday Boardings'!BB10+'Total Sunday-Holiday Boardings'!BB10</f>
        <v>115209</v>
      </c>
      <c r="BC10" s="13">
        <f>'Total Weekday Boardings'!BC10+'Total Saturday Boardings'!BC10+'Total Sunday-Holiday Boardings'!BC10</f>
        <v>111356</v>
      </c>
      <c r="BD10" s="13">
        <f>'Total Weekday Boardings'!BD10+'Total Saturday Boardings'!BD10+'Total Sunday-Holiday Boardings'!BD10</f>
        <v>96171</v>
      </c>
      <c r="BE10" s="13">
        <f>'Total Weekday Boardings'!BE10+'Total Saturday Boardings'!BE10+'Total Sunday-Holiday Boardings'!BE10</f>
        <v>97004</v>
      </c>
      <c r="BF10" s="13">
        <f>'Total Weekday Boardings'!BF10+'Total Saturday Boardings'!BF10+'Total Sunday-Holiday Boardings'!BF10</f>
        <v>113389</v>
      </c>
      <c r="BG10" s="13">
        <f>'Total Weekday Boardings'!BG10+'Total Saturday Boardings'!BG10+'Total Sunday-Holiday Boardings'!BG10</f>
        <v>110163</v>
      </c>
      <c r="BH10" s="13">
        <f>'Total Weekday Boardings'!BH10+'Total Saturday Boardings'!BH10+'Total Sunday-Holiday Boardings'!BH10</f>
        <v>111908</v>
      </c>
      <c r="BI10" s="13">
        <f>'Total Weekday Boardings'!BI10+'Total Saturday Boardings'!BI10+'Total Sunday-Holiday Boardings'!BI10</f>
        <v>104672.35249627895</v>
      </c>
      <c r="BJ10" s="13">
        <f>'Total Weekday Boardings'!BJ10+'Total Saturday Boardings'!BJ10+'Total Sunday-Holiday Boardings'!BJ10</f>
        <v>107255</v>
      </c>
      <c r="BK10" s="13">
        <f>'Total Weekday Boardings'!BK10+'Total Saturday Boardings'!BK10+'Total Sunday-Holiday Boardings'!BK10</f>
        <v>117196</v>
      </c>
      <c r="BL10" s="13">
        <f>'Total Weekday Boardings'!BL10+'Total Saturday Boardings'!BL10+'Total Sunday-Holiday Boardings'!BL10</f>
        <v>106776</v>
      </c>
      <c r="BM10" s="13">
        <f>'Total Weekday Boardings'!BM10+'Total Saturday Boardings'!BM10+'Total Sunday-Holiday Boardings'!BM10</f>
        <v>115452</v>
      </c>
      <c r="BN10" s="13">
        <f>'Total Weekday Boardings'!BN10+'Total Saturday Boardings'!BN10+'Total Sunday-Holiday Boardings'!BN10</f>
        <v>109691</v>
      </c>
      <c r="BO10" s="13">
        <f>'Total Weekday Boardings'!BO10+'Total Saturday Boardings'!BO10+'Total Sunday-Holiday Boardings'!BO10</f>
        <v>102560</v>
      </c>
      <c r="BP10" s="13">
        <f>'Total Weekday Boardings'!BP10+'Total Saturday Boardings'!BP10+'Total Sunday-Holiday Boardings'!BP10</f>
        <v>95002</v>
      </c>
      <c r="BQ10" s="13">
        <f>'Total Weekday Boardings'!BQ10+'Total Saturday Boardings'!BQ10+'Total Sunday-Holiday Boardings'!BQ10</f>
        <v>93998</v>
      </c>
      <c r="BR10" s="13">
        <f>'Total Weekday Boardings'!BR10+'Total Saturday Boardings'!BR10+'Total Sunday-Holiday Boardings'!BR10</f>
        <v>102219</v>
      </c>
      <c r="BS10" s="13">
        <f>'Total Weekday Boardings'!BS10+'Total Saturday Boardings'!BS10+'Total Sunday-Holiday Boardings'!BS10</f>
        <v>101323</v>
      </c>
      <c r="BT10" s="13">
        <f>'Total Weekday Boardings'!BT10+'Total Saturday Boardings'!BT10+'Total Sunday-Holiday Boardings'!BT10</f>
        <v>109019</v>
      </c>
      <c r="BU10" s="13">
        <f>'Total Weekday Boardings'!BU10+'Total Saturday Boardings'!BU10+'Total Sunday-Holiday Boardings'!BU10</f>
        <v>100264</v>
      </c>
      <c r="BV10" s="13">
        <f>'Total Weekday Boardings'!BV10+'Total Saturday Boardings'!BV10+'Total Sunday-Holiday Boardings'!BV10</f>
        <v>105652</v>
      </c>
      <c r="BW10" s="13">
        <f>'Total Weekday Boardings'!BW10+'Total Saturday Boardings'!BW10+'Total Sunday-Holiday Boardings'!BW10</f>
        <v>128006</v>
      </c>
      <c r="BX10" s="13">
        <f>'Total Weekday Boardings'!BX10+'Total Saturday Boardings'!BX10+'Total Sunday-Holiday Boardings'!BX10</f>
        <v>105128</v>
      </c>
      <c r="BY10" s="13">
        <f>'Total Weekday Boardings'!BY10+'Total Saturday Boardings'!BY10+'Total Sunday-Holiday Boardings'!BY10</f>
        <v>111079</v>
      </c>
      <c r="BZ10" s="13">
        <f>'Total Weekday Boardings'!BZ10+'Total Saturday Boardings'!BZ10+'Total Sunday-Holiday Boardings'!BZ10</f>
        <v>108215</v>
      </c>
      <c r="CA10" s="13">
        <f>'Total Weekday Boardings'!CA10+'Total Saturday Boardings'!CA10+'Total Sunday-Holiday Boardings'!CA10</f>
        <v>106807</v>
      </c>
      <c r="CB10" s="13">
        <f>'Total Weekday Boardings'!CB10+'Total Saturday Boardings'!CB10+'Total Sunday-Holiday Boardings'!CB10</f>
        <v>103880</v>
      </c>
      <c r="CC10" s="13">
        <f>'Total Weekday Boardings'!CC10+'Total Saturday Boardings'!CC10+'Total Sunday-Holiday Boardings'!CC10</f>
        <v>103585</v>
      </c>
      <c r="CD10" s="13">
        <f>'Total Weekday Boardings'!CD10+'Total Saturday Boardings'!CD10+'Total Sunday-Holiday Boardings'!CD10</f>
        <v>110611</v>
      </c>
      <c r="CE10" s="13">
        <f>'Total Weekday Boardings'!CE10+'Total Saturday Boardings'!CE10+'Total Sunday-Holiday Boardings'!CE10</f>
        <v>109390</v>
      </c>
      <c r="CF10" s="13">
        <f>'Total Weekday Boardings'!CF10+'Total Saturday Boardings'!CF10+'Total Sunday-Holiday Boardings'!CF10</f>
        <v>112320</v>
      </c>
      <c r="CG10" s="13">
        <f>'Total Weekday Boardings'!CG10+'Total Saturday Boardings'!CG10+'Total Sunday-Holiday Boardings'!CG10</f>
        <v>96243</v>
      </c>
      <c r="CH10" s="13">
        <f>'Total Weekday Boardings'!CH10+'Total Saturday Boardings'!CH10+'Total Sunday-Holiday Boardings'!CH10</f>
        <v>101231</v>
      </c>
      <c r="CI10" s="13">
        <f>'Total Weekday Boardings'!CI10+'Total Saturday Boardings'!CI10+'Total Sunday-Holiday Boardings'!CI10</f>
        <v>103789</v>
      </c>
      <c r="CJ10" s="13">
        <f>'Total Weekday Boardings'!CJ10+'Total Saturday Boardings'!CJ10+'Total Sunday-Holiday Boardings'!CJ10</f>
        <v>100451</v>
      </c>
      <c r="CK10" s="13">
        <f>'Total Weekday Boardings'!CK10+'Total Saturday Boardings'!CK10+'Total Sunday-Holiday Boardings'!CK10</f>
        <v>93372</v>
      </c>
      <c r="CL10" s="13">
        <f>'Total Weekday Boardings'!CL10+'Total Saturday Boardings'!CL10+'Total Sunday-Holiday Boardings'!CL10</f>
        <v>67259</v>
      </c>
      <c r="CM10" s="13">
        <f>'Total Weekday Boardings'!CM10+'Total Saturday Boardings'!CM10+'Total Sunday-Holiday Boardings'!CM10</f>
        <v>64938</v>
      </c>
      <c r="CN10" s="13">
        <f>'Total Weekday Boardings'!CN10+'Total Saturday Boardings'!CN10+'Total Sunday-Holiday Boardings'!CN10</f>
        <v>61547</v>
      </c>
      <c r="CO10" s="13">
        <f>'Total Weekday Boardings'!CO10+'Total Saturday Boardings'!CO10+'Total Sunday-Holiday Boardings'!CO10</f>
        <v>62067</v>
      </c>
      <c r="CP10" s="13">
        <f>'Total Weekday Boardings'!CP10+'Total Saturday Boardings'!CP10+'Total Sunday-Holiday Boardings'!CP10</f>
        <v>67590</v>
      </c>
      <c r="CQ10" s="13">
        <f>'Total Weekday Boardings'!CQ10+'Total Saturday Boardings'!CQ10+'Total Sunday-Holiday Boardings'!CQ10</f>
        <v>65486</v>
      </c>
      <c r="CR10" s="13">
        <f>'Total Weekday Boardings'!CR10+'Total Saturday Boardings'!CR10+'Total Sunday-Holiday Boardings'!CR10</f>
        <v>66445</v>
      </c>
      <c r="CS10" s="13">
        <f>'Total Weekday Boardings'!CS10+'Total Saturday Boardings'!CS10+'Total Sunday-Holiday Boardings'!CS10</f>
        <v>65322</v>
      </c>
      <c r="CT10" s="13">
        <f>'Total Weekday Boardings'!CT10+'Total Saturday Boardings'!CT10+'Total Sunday-Holiday Boardings'!CT10</f>
        <v>69444</v>
      </c>
      <c r="CU10" s="13">
        <f>'Total Weekday Boardings'!CU10+'Total Saturday Boardings'!CU10+'Total Sunday-Holiday Boardings'!CU10</f>
        <v>65085</v>
      </c>
      <c r="CV10" s="13">
        <f>'Total Weekday Boardings'!CV10+'Total Saturday Boardings'!CV10+'Total Sunday-Holiday Boardings'!CV10</f>
        <v>61451</v>
      </c>
      <c r="CW10" s="13">
        <f>'Total Weekday Boardings'!CW10+'Total Saturday Boardings'!CW10+'Total Sunday-Holiday Boardings'!CW10</f>
        <v>67167</v>
      </c>
      <c r="CX10" s="13">
        <f>'Total Weekday Boardings'!CX10+'Total Saturday Boardings'!CX10+'Total Sunday-Holiday Boardings'!CX10</f>
        <v>66823</v>
      </c>
      <c r="CY10" s="13">
        <f>'Total Weekday Boardings'!CY10+'Total Saturday Boardings'!CY10+'Total Sunday-Holiday Boardings'!CY10</f>
        <v>61545</v>
      </c>
      <c r="CZ10" s="13">
        <f>'Total Weekday Boardings'!CZ10+'Total Saturday Boardings'!CZ10+'Total Sunday-Holiday Boardings'!CZ10</f>
        <v>54178</v>
      </c>
      <c r="DA10" s="13">
        <f>'Total Weekday Boardings'!DA10+'Total Saturday Boardings'!DA10+'Total Sunday-Holiday Boardings'!DA10</f>
        <v>54467</v>
      </c>
      <c r="DB10" s="13">
        <f>'Total Weekday Boardings'!DB10+'Total Saturday Boardings'!DB10+'Total Sunday-Holiday Boardings'!DB10</f>
        <v>61116</v>
      </c>
      <c r="DC10" s="13">
        <f>'Total Weekday Boardings'!DC10+'Total Saturday Boardings'!DC10+'Total Sunday-Holiday Boardings'!DC10</f>
        <v>60236</v>
      </c>
      <c r="DD10" s="13">
        <f>'Total Weekday Boardings'!DD10+'Total Saturday Boardings'!DD10+'Total Sunday-Holiday Boardings'!DD10</f>
        <v>63029</v>
      </c>
      <c r="DE10" s="13">
        <f>'Total Weekday Boardings'!DE10+'Total Saturday Boardings'!DE10+'Total Sunday-Holiday Boardings'!DE10</f>
        <v>60397</v>
      </c>
      <c r="DF10" s="13">
        <f>'Total Weekday Boardings'!DF10+'Total Saturday Boardings'!DF10+'Total Sunday-Holiday Boardings'!DF10</f>
        <v>63101</v>
      </c>
      <c r="DG10" s="13">
        <f>'Total Weekday Boardings'!DG10+'Total Saturday Boardings'!DG10+'Total Sunday-Holiday Boardings'!DG10</f>
        <v>61331</v>
      </c>
      <c r="DH10" s="13">
        <f>'Total Weekday Boardings'!DH10+'Total Saturday Boardings'!DH10+'Total Sunday-Holiday Boardings'!DH10</f>
        <v>57783</v>
      </c>
      <c r="DI10" s="13">
        <f>'Total Weekday Boardings'!DI10+'Total Saturday Boardings'!DI10+'Total Sunday-Holiday Boardings'!DI10</f>
        <v>64438</v>
      </c>
      <c r="DJ10" s="13">
        <f>'Total Weekday Boardings'!DJ10+'Total Saturday Boardings'!DJ10+'Total Sunday-Holiday Boardings'!DJ10</f>
        <v>60074</v>
      </c>
      <c r="DK10" s="13">
        <f>'Total Weekday Boardings'!DK10+'Total Saturday Boardings'!DK10+'Total Sunday-Holiday Boardings'!DK10</f>
        <v>57730</v>
      </c>
      <c r="DL10" s="13">
        <f>'Total Weekday Boardings'!DL10+'Total Saturday Boardings'!DL10+'Total Sunday-Holiday Boardings'!DL10</f>
        <v>52137</v>
      </c>
      <c r="DM10" s="12">
        <f>'Total Weekday Boardings'!DM10+'Total Saturday Boardings'!DM10+'Total Sunday-Holiday Boardings'!DM10</f>
        <v>50649</v>
      </c>
      <c r="DN10" s="13">
        <f>'Total Weekday Boardings'!DN10+'Total Saturday Boardings'!DN10+'Total Sunday-Holiday Boardings'!DN10</f>
        <v>56723</v>
      </c>
      <c r="DO10" s="13">
        <f>'Total Weekday Boardings'!DO10+'Total Saturday Boardings'!DO10+'Total Sunday-Holiday Boardings'!DO10</f>
        <v>55447</v>
      </c>
      <c r="DP10" s="13">
        <f>'Total Weekday Boardings'!DP10+'Total Saturday Boardings'!DP10+'Total Sunday-Holiday Boardings'!DP10</f>
        <v>60404</v>
      </c>
      <c r="DQ10" s="13">
        <f>'Total Weekday Boardings'!DQ10+'Total Saturday Boardings'!DQ10+'Total Sunday-Holiday Boardings'!DQ10</f>
        <v>57366</v>
      </c>
      <c r="DR10" s="13">
        <f>'Total Weekday Boardings'!DR10+'Total Saturday Boardings'!DR10+'Total Sunday-Holiday Boardings'!DR10</f>
        <v>57400</v>
      </c>
      <c r="DS10" s="13">
        <f>'Total Weekday Boardings'!DS10+'Total Saturday Boardings'!DS10+'Total Sunday-Holiday Boardings'!DS10</f>
        <v>55709</v>
      </c>
      <c r="DT10" s="13">
        <f>'Total Weekday Boardings'!DT10+'Total Saturday Boardings'!DT10+'Total Sunday-Holiday Boardings'!DT10</f>
        <v>51293</v>
      </c>
      <c r="DU10" s="13">
        <f>'Total Weekday Boardings'!DU10+'Total Saturday Boardings'!DU10+'Total Sunday-Holiday Boardings'!DU10</f>
        <v>57407</v>
      </c>
      <c r="DV10" s="13">
        <f>'Total Weekday Boardings'!DV10+'Total Saturday Boardings'!DV10+'Total Sunday-Holiday Boardings'!DV10</f>
        <v>53561</v>
      </c>
      <c r="DW10" s="13">
        <f>'Total Weekday Boardings'!DW10+'Total Saturday Boardings'!DW10+'Total Sunday-Holiday Boardings'!DW10</f>
        <v>52286</v>
      </c>
      <c r="DX10" s="14">
        <f>'Total Weekday Boardings'!DX10+'Total Saturday Boardings'!DX10+'Total Sunday-Holiday Boardings'!DX10</f>
        <v>47070</v>
      </c>
      <c r="DY10" s="138">
        <v>45509</v>
      </c>
      <c r="DZ10" s="13">
        <v>53391</v>
      </c>
      <c r="EA10" s="13">
        <v>50087</v>
      </c>
      <c r="EB10" s="13">
        <v>55122</v>
      </c>
      <c r="EC10" s="13">
        <v>53001</v>
      </c>
      <c r="ED10" s="13">
        <v>51837</v>
      </c>
      <c r="EE10" s="13">
        <v>50588</v>
      </c>
      <c r="EF10" s="13">
        <v>50534</v>
      </c>
      <c r="EG10" s="13">
        <v>42815</v>
      </c>
      <c r="EH10" s="13">
        <v>27190</v>
      </c>
      <c r="EI10" s="13">
        <v>28417</v>
      </c>
      <c r="EJ10" s="14">
        <v>25730</v>
      </c>
      <c r="EK10" s="13">
        <v>23166</v>
      </c>
      <c r="EL10" s="13">
        <v>23162</v>
      </c>
      <c r="EM10" s="13">
        <v>23243</v>
      </c>
      <c r="EN10" s="106">
        <v>25257</v>
      </c>
      <c r="EO10" s="13">
        <v>22407</v>
      </c>
      <c r="EP10" s="13">
        <v>18730</v>
      </c>
      <c r="EQ10" s="13">
        <v>10970</v>
      </c>
      <c r="ER10" s="13">
        <v>19638</v>
      </c>
      <c r="ES10" s="13">
        <v>22774</v>
      </c>
      <c r="ET10" s="13">
        <v>25077</v>
      </c>
      <c r="EU10" s="13">
        <v>23079</v>
      </c>
      <c r="EV10" s="14">
        <v>21693</v>
      </c>
      <c r="EW10" s="13">
        <v>22407</v>
      </c>
      <c r="EX10" s="13">
        <v>24545</v>
      </c>
      <c r="EY10" s="13">
        <v>24840</v>
      </c>
      <c r="EZ10" s="106">
        <v>27698</v>
      </c>
      <c r="FA10" s="13">
        <v>28260</v>
      </c>
      <c r="FB10" s="144">
        <v>30447</v>
      </c>
      <c r="FC10" s="13">
        <v>27108</v>
      </c>
      <c r="FD10" s="13">
        <v>31452</v>
      </c>
      <c r="FE10" s="13">
        <v>37039</v>
      </c>
      <c r="FF10" s="13">
        <v>35588</v>
      </c>
      <c r="FG10" s="13">
        <f>SUM('Total Weekday Boardings'!FG10,'Total Saturday Boardings'!FG10,'Total Sunday-Holiday Boardings'!FG10)</f>
        <v>34670</v>
      </c>
      <c r="FH10" s="13">
        <f>SUM('Total Weekday Boardings'!FH10,'Total Saturday Boardings'!FH10,'Total Sunday-Holiday Boardings'!FH10)</f>
        <v>27208</v>
      </c>
      <c r="FI10" s="13">
        <f>SUM('Total Weekday Boardings'!FI10,'Total Saturday Boardings'!FI10,'Total Sunday-Holiday Boardings'!FI10)</f>
        <v>28828</v>
      </c>
      <c r="FJ10" s="13">
        <f>SUM('Total Weekday Boardings'!FJ10,'Total Saturday Boardings'!FJ10,'Total Sunday-Holiday Boardings'!FJ10)</f>
        <v>33956</v>
      </c>
      <c r="FK10" s="13">
        <f>SUM('Total Weekday Boardings'!FK10,'Total Saturday Boardings'!FK10,'Total Sunday-Holiday Boardings'!FK10)</f>
        <v>38418.75</v>
      </c>
      <c r="FL10" s="13">
        <f>SUM('Total Weekday Boardings'!FL10,'Total Saturday Boardings'!FL10,'Total Sunday-Holiday Boardings'!FL10)</f>
        <v>38591</v>
      </c>
      <c r="FM10" s="13">
        <f>SUM('Total Weekday Boardings'!FM10,'Total Saturday Boardings'!FM10,'Total Sunday-Holiday Boardings'!FM10)</f>
        <v>35759</v>
      </c>
      <c r="FN10" s="13">
        <f>SUM('Total Weekday Boardings'!FN10,'Total Saturday Boardings'!FN10,'Total Sunday-Holiday Boardings'!FN10)</f>
        <v>37366</v>
      </c>
      <c r="FO10" s="13">
        <f>SUM('Total Weekday Boardings'!FO10,'Total Saturday Boardings'!FO10,'Total Sunday-Holiday Boardings'!FO10)</f>
        <v>38293</v>
      </c>
      <c r="FP10" s="13">
        <f>SUM('Total Weekday Boardings'!FP10,'Total Saturday Boardings'!FP10,'Total Sunday-Holiday Boardings'!FP10)</f>
        <v>33441</v>
      </c>
      <c r="FQ10" s="13">
        <f>SUM('Total Weekday Boardings'!FQ10,'Total Saturday Boardings'!FQ10,'Total Sunday-Holiday Boardings'!FQ10)</f>
        <v>40442</v>
      </c>
      <c r="FR10" s="13">
        <f>SUM('Total Weekday Boardings'!FR10,'Total Saturday Boardings'!FR10,'Total Sunday-Holiday Boardings'!FR10)</f>
        <v>39608</v>
      </c>
      <c r="FS10" s="13">
        <f>SUM('Total Weekday Boardings'!FS10,'Total Saturday Boardings'!FS10,'Total Sunday-Holiday Boardings'!FS10)</f>
        <v>40214</v>
      </c>
      <c r="FT10" s="16">
        <f>SUM('Total Weekday Boardings'!FT10,'Total Saturday Boardings'!FT10,'Total Sunday-Holiday Boardings'!FT10)</f>
        <v>33121</v>
      </c>
      <c r="FU10" s="171">
        <v>30699</v>
      </c>
      <c r="FV10" s="171">
        <v>34558</v>
      </c>
      <c r="FW10" s="171">
        <v>32673</v>
      </c>
      <c r="FX10" s="171">
        <v>34879</v>
      </c>
      <c r="FY10" s="171">
        <v>32080</v>
      </c>
      <c r="FZ10" s="171">
        <v>33062</v>
      </c>
      <c r="GA10" s="171">
        <v>32711</v>
      </c>
      <c r="GB10" s="52">
        <v>32619</v>
      </c>
      <c r="GC10" s="52">
        <v>33921</v>
      </c>
      <c r="GD10" s="52">
        <v>31658</v>
      </c>
      <c r="GE10" s="18">
        <v>32270</v>
      </c>
      <c r="GF10" s="52">
        <v>27983</v>
      </c>
      <c r="GG10" s="184">
        <v>27073</v>
      </c>
      <c r="GH10" s="52">
        <v>32159</v>
      </c>
      <c r="GI10" s="18">
        <v>31676</v>
      </c>
      <c r="GJ10" s="236">
        <v>32461</v>
      </c>
      <c r="GK10" s="184">
        <v>30599</v>
      </c>
      <c r="GL10" s="184">
        <v>30452</v>
      </c>
    </row>
    <row r="11" spans="1:194" ht="15" thickBot="1" x14ac:dyDescent="0.35">
      <c r="A11" s="3" t="s">
        <v>4</v>
      </c>
      <c r="B11" s="17"/>
      <c r="C11" s="18">
        <f>'Total Weekday Boardings'!C11+'Total Saturday Boardings'!C11+'Total Sunday-Holiday Boardings'!C11</f>
        <v>23894</v>
      </c>
      <c r="D11" s="18">
        <f>'Total Weekday Boardings'!D11+'Total Saturday Boardings'!D11+'Total Sunday-Holiday Boardings'!D11</f>
        <v>26718</v>
      </c>
      <c r="E11" s="18">
        <f>'Total Weekday Boardings'!E11+'Total Saturday Boardings'!E11+'Total Sunday-Holiday Boardings'!E11</f>
        <v>28117</v>
      </c>
      <c r="F11" s="18">
        <f>'Total Weekday Boardings'!F11+'Total Saturday Boardings'!F11+'Total Sunday-Holiday Boardings'!F11</f>
        <v>31309</v>
      </c>
      <c r="G11" s="18">
        <f>'Total Weekday Boardings'!G11+'Total Saturday Boardings'!G11+'Total Sunday-Holiday Boardings'!G11</f>
        <v>28034</v>
      </c>
      <c r="H11" s="19">
        <f>'Total Weekday Boardings'!H11+'Total Saturday Boardings'!H11+'Total Sunday-Holiday Boardings'!H11</f>
        <v>28010</v>
      </c>
      <c r="I11" s="17">
        <f>'Total Weekday Boardings'!I11+'Total Saturday Boardings'!I11+'Total Sunday-Holiday Boardings'!I11</f>
        <v>29828</v>
      </c>
      <c r="J11" s="18">
        <f>'Total Weekday Boardings'!J11+'Total Saturday Boardings'!J11+'Total Sunday-Holiday Boardings'!J11</f>
        <v>33215</v>
      </c>
      <c r="K11" s="18">
        <f>'Total Weekday Boardings'!K11+'Total Saturday Boardings'!K11+'Total Sunday-Holiday Boardings'!K11</f>
        <v>35618</v>
      </c>
      <c r="L11" s="18">
        <f>'Total Weekday Boardings'!L11+'Total Saturday Boardings'!L11+'Total Sunday-Holiday Boardings'!L11</f>
        <v>38934</v>
      </c>
      <c r="M11" s="18">
        <f>'Total Weekday Boardings'!M11+'Total Saturday Boardings'!M11+'Total Sunday-Holiday Boardings'!M11</f>
        <v>39619</v>
      </c>
      <c r="N11" s="18">
        <f>'Total Weekday Boardings'!N11+'Total Saturday Boardings'!N11+'Total Sunday-Holiday Boardings'!N11</f>
        <v>38896</v>
      </c>
      <c r="O11" s="62">
        <f>'Total Weekday Boardings'!O11+'Total Saturday Boardings'!O11+'Total Sunday-Holiday Boardings'!O11</f>
        <v>37426</v>
      </c>
      <c r="P11" s="62">
        <f>'Total Weekday Boardings'!P11+'Total Saturday Boardings'!P11+'Total Sunday-Holiday Boardings'!P11</f>
        <v>39415</v>
      </c>
      <c r="Q11" s="62">
        <f>'Total Weekday Boardings'!Q11+'Total Saturday Boardings'!Q11+'Total Sunday-Holiday Boardings'!Q11</f>
        <v>43810</v>
      </c>
      <c r="R11" s="62">
        <f>'Total Weekday Boardings'!R11+'Total Saturday Boardings'!R11+'Total Sunday-Holiday Boardings'!R11</f>
        <v>44385</v>
      </c>
      <c r="S11" s="62">
        <f>'Total Weekday Boardings'!S11+'Total Saturday Boardings'!S11+'Total Sunday-Holiday Boardings'!S11</f>
        <v>46289</v>
      </c>
      <c r="T11" s="63">
        <f>'Total Weekday Boardings'!T11+'Total Saturday Boardings'!T11+'Total Sunday-Holiday Boardings'!T11</f>
        <v>39738</v>
      </c>
      <c r="U11" s="64">
        <f>'Total Weekday Boardings'!U11+'Total Saturday Boardings'!U11+'Total Sunday-Holiday Boardings'!U11</f>
        <v>35677</v>
      </c>
      <c r="V11" s="62">
        <f>'Total Weekday Boardings'!V11+'Total Saturday Boardings'!V11+'Total Sunday-Holiday Boardings'!V11</f>
        <v>46306</v>
      </c>
      <c r="W11" s="62">
        <f>'Total Weekday Boardings'!W11+'Total Saturday Boardings'!W11+'Total Sunday-Holiday Boardings'!W11</f>
        <v>48361</v>
      </c>
      <c r="X11" s="62">
        <f>'Total Weekday Boardings'!X11+'Total Saturday Boardings'!X11+'Total Sunday-Holiday Boardings'!X11</f>
        <v>50385</v>
      </c>
      <c r="Y11" s="62">
        <f>'Total Weekday Boardings'!Y11+'Total Saturday Boardings'!Y11+'Total Sunday-Holiday Boardings'!Y11</f>
        <v>45865</v>
      </c>
      <c r="Z11" s="62">
        <f>'Total Weekday Boardings'!Z11+'Total Saturday Boardings'!Z11+'Total Sunday-Holiday Boardings'!Z11</f>
        <v>40130</v>
      </c>
      <c r="AA11" s="18">
        <f>'Total Weekday Boardings'!AA11+'Total Saturday Boardings'!AA11+'Total Sunday-Holiday Boardings'!AA11</f>
        <v>43904</v>
      </c>
      <c r="AB11" s="18">
        <f>'Total Weekday Boardings'!AB11+'Total Saturday Boardings'!AB11+'Total Sunday-Holiday Boardings'!AB11</f>
        <v>41412</v>
      </c>
      <c r="AC11" s="18">
        <f>'Total Weekday Boardings'!AC11+'Total Saturday Boardings'!AC11+'Total Sunday-Holiday Boardings'!AC11</f>
        <v>45393</v>
      </c>
      <c r="AD11" s="18">
        <f>'Total Weekday Boardings'!AD11+'Total Saturday Boardings'!AD11+'Total Sunday-Holiday Boardings'!AD11</f>
        <v>45905</v>
      </c>
      <c r="AE11" s="18">
        <f>'Total Weekday Boardings'!AE11+'Total Saturday Boardings'!AE11+'Total Sunday-Holiday Boardings'!AE11</f>
        <v>44096</v>
      </c>
      <c r="AF11" s="19">
        <f>'Total Weekday Boardings'!AF11+'Total Saturday Boardings'!AF11+'Total Sunday-Holiday Boardings'!AF11</f>
        <v>39448</v>
      </c>
      <c r="AG11" s="17">
        <f>'Total Weekday Boardings'!AG11+'Total Saturday Boardings'!AG11+'Total Sunday-Holiday Boardings'!AG11</f>
        <v>39978</v>
      </c>
      <c r="AH11" s="18">
        <f>'Total Weekday Boardings'!AH11+'Total Saturday Boardings'!AH11+'Total Sunday-Holiday Boardings'!AH11</f>
        <v>47463</v>
      </c>
      <c r="AI11" s="18">
        <f>'Total Weekday Boardings'!AI11+'Total Saturday Boardings'!AI11+'Total Sunday-Holiday Boardings'!AI11</f>
        <v>51518</v>
      </c>
      <c r="AJ11" s="18">
        <f>'Total Weekday Boardings'!AJ11+'Total Saturday Boardings'!AJ11+'Total Sunday-Holiday Boardings'!AJ11</f>
        <v>52551</v>
      </c>
      <c r="AK11" s="18">
        <f>'Total Weekday Boardings'!AK11+'Total Saturday Boardings'!AK11+'Total Sunday-Holiday Boardings'!AK11</f>
        <v>48062</v>
      </c>
      <c r="AL11" s="18">
        <f>'Total Weekday Boardings'!AL11+'Total Saturday Boardings'!AL11+'Total Sunday-Holiday Boardings'!AL11</f>
        <v>48050</v>
      </c>
      <c r="AM11" s="18">
        <f>'Total Weekday Boardings'!AM11+'Total Saturday Boardings'!AM11+'Total Sunday-Holiday Boardings'!AM11</f>
        <v>48177</v>
      </c>
      <c r="AN11" s="18">
        <f>'Total Weekday Boardings'!AN11+'Total Saturday Boardings'!AN11+'Total Sunday-Holiday Boardings'!AN11</f>
        <v>47256</v>
      </c>
      <c r="AO11" s="18">
        <f>'Total Weekday Boardings'!AO11+'Total Saturday Boardings'!AO11+'Total Sunday-Holiday Boardings'!AO11</f>
        <v>50651</v>
      </c>
      <c r="AP11" s="18">
        <f>'Total Weekday Boardings'!AP11+'Total Saturday Boardings'!AP11+'Total Sunday-Holiday Boardings'!AP11</f>
        <v>53746</v>
      </c>
      <c r="AQ11" s="18">
        <f>'Total Weekday Boardings'!AQ11+'Total Saturday Boardings'!AQ11+'Total Sunday-Holiday Boardings'!AQ11</f>
        <v>53357</v>
      </c>
      <c r="AR11" s="19">
        <f>'Total Weekday Boardings'!AR11+'Total Saturday Boardings'!AR11+'Total Sunday-Holiday Boardings'!AR11</f>
        <v>45975</v>
      </c>
      <c r="AS11" s="17">
        <f>'Total Weekday Boardings'!AS11+'Total Saturday Boardings'!AS11+'Total Sunday-Holiday Boardings'!AS11</f>
        <v>44794</v>
      </c>
      <c r="AT11" s="18">
        <f>'Total Weekday Boardings'!AT11+'Total Saturday Boardings'!AT11+'Total Sunday-Holiday Boardings'!AT11</f>
        <v>57132</v>
      </c>
      <c r="AU11" s="18">
        <f>'Total Weekday Boardings'!AU11+'Total Saturday Boardings'!AU11+'Total Sunday-Holiday Boardings'!AU11</f>
        <v>56075</v>
      </c>
      <c r="AV11" s="18">
        <f>'Total Weekday Boardings'!AV11+'Total Saturday Boardings'!AV11+'Total Sunday-Holiday Boardings'!AV11</f>
        <v>61879</v>
      </c>
      <c r="AW11" s="18">
        <f>'Total Weekday Boardings'!AW11+'Total Saturday Boardings'!AW11+'Total Sunday-Holiday Boardings'!AW11</f>
        <v>59712</v>
      </c>
      <c r="AX11" s="18">
        <f>'Total Weekday Boardings'!AX11+'Total Saturday Boardings'!AX11+'Total Sunday-Holiday Boardings'!AX11</f>
        <v>56303</v>
      </c>
      <c r="AY11" s="18">
        <f>'Total Weekday Boardings'!AY11+'Total Saturday Boardings'!AY11+'Total Sunday-Holiday Boardings'!AY11</f>
        <v>56847</v>
      </c>
      <c r="AZ11" s="18">
        <f>'Total Weekday Boardings'!AZ11+'Total Saturday Boardings'!AZ11+'Total Sunday-Holiday Boardings'!AZ11</f>
        <v>56226</v>
      </c>
      <c r="BA11" s="18">
        <f>'Total Weekday Boardings'!BA11+'Total Saturday Boardings'!BA11+'Total Sunday-Holiday Boardings'!BA11</f>
        <v>59305</v>
      </c>
      <c r="BB11" s="18">
        <f>'Total Weekday Boardings'!BB11+'Total Saturday Boardings'!BB11+'Total Sunday-Holiday Boardings'!BB11</f>
        <v>59806</v>
      </c>
      <c r="BC11" s="18">
        <f>'Total Weekday Boardings'!BC11+'Total Saturday Boardings'!BC11+'Total Sunday-Holiday Boardings'!BC11</f>
        <v>57230</v>
      </c>
      <c r="BD11" s="19">
        <f>'Total Weekday Boardings'!BD11+'Total Saturday Boardings'!BD11+'Total Sunday-Holiday Boardings'!BD11</f>
        <v>48246</v>
      </c>
      <c r="BE11" s="17">
        <f>'Total Weekday Boardings'!BE11+'Total Saturday Boardings'!BE11+'Total Sunday-Holiday Boardings'!BE11</f>
        <v>49958</v>
      </c>
      <c r="BF11" s="18">
        <f>'Total Weekday Boardings'!BF11+'Total Saturday Boardings'!BF11+'Total Sunday-Holiday Boardings'!BF11</f>
        <v>59509</v>
      </c>
      <c r="BG11" s="18">
        <f>'Total Weekday Boardings'!BG11+'Total Saturday Boardings'!BG11+'Total Sunday-Holiday Boardings'!BG11</f>
        <v>58260</v>
      </c>
      <c r="BH11" s="18">
        <f>'Total Weekday Boardings'!BH11+'Total Saturday Boardings'!BH11+'Total Sunday-Holiday Boardings'!BH11</f>
        <v>59630</v>
      </c>
      <c r="BI11" s="18">
        <f>'Total Weekday Boardings'!BI11+'Total Saturday Boardings'!BI11+'Total Sunday-Holiday Boardings'!BI11</f>
        <v>55041.318942749713</v>
      </c>
      <c r="BJ11" s="18">
        <f>'Total Weekday Boardings'!BJ11+'Total Saturday Boardings'!BJ11+'Total Sunday-Holiday Boardings'!BJ11</f>
        <v>53047</v>
      </c>
      <c r="BK11" s="18">
        <f>'Total Weekday Boardings'!BK11+'Total Saturday Boardings'!BK11+'Total Sunday-Holiday Boardings'!BK11</f>
        <v>58179</v>
      </c>
      <c r="BL11" s="18">
        <f>'Total Weekday Boardings'!BL11+'Total Saturday Boardings'!BL11+'Total Sunday-Holiday Boardings'!BL11</f>
        <v>54840</v>
      </c>
      <c r="BM11" s="18">
        <f>'Total Weekday Boardings'!BM11+'Total Saturday Boardings'!BM11+'Total Sunday-Holiday Boardings'!BM11</f>
        <v>59455</v>
      </c>
      <c r="BN11" s="18">
        <f>'Total Weekday Boardings'!BN11+'Total Saturday Boardings'!BN11+'Total Sunday-Holiday Boardings'!BN11</f>
        <v>58843</v>
      </c>
      <c r="BO11" s="18">
        <f>'Total Weekday Boardings'!BO11+'Total Saturday Boardings'!BO11+'Total Sunday-Holiday Boardings'!BO11</f>
        <v>55658</v>
      </c>
      <c r="BP11" s="19">
        <f>'Total Weekday Boardings'!BP11+'Total Saturday Boardings'!BP11+'Total Sunday-Holiday Boardings'!BP11</f>
        <v>47411</v>
      </c>
      <c r="BQ11" s="17">
        <f>'Total Weekday Boardings'!BQ11+'Total Saturday Boardings'!BQ11+'Total Sunday-Holiday Boardings'!BQ11</f>
        <v>46493</v>
      </c>
      <c r="BR11" s="18">
        <f>'Total Weekday Boardings'!BR11+'Total Saturday Boardings'!BR11+'Total Sunday-Holiday Boardings'!BR11</f>
        <v>54153</v>
      </c>
      <c r="BS11" s="18">
        <f>'Total Weekday Boardings'!BS11+'Total Saturday Boardings'!BS11+'Total Sunday-Holiday Boardings'!BS11</f>
        <v>55800</v>
      </c>
      <c r="BT11" s="18">
        <f>'Total Weekday Boardings'!BT11+'Total Saturday Boardings'!BT11+'Total Sunday-Holiday Boardings'!BT11</f>
        <v>59490</v>
      </c>
      <c r="BU11" s="18">
        <f>'Total Weekday Boardings'!BU11+'Total Saturday Boardings'!BU11+'Total Sunday-Holiday Boardings'!BU11</f>
        <v>54430</v>
      </c>
      <c r="BV11" s="18">
        <f>'Total Weekday Boardings'!BV11+'Total Saturday Boardings'!BV11+'Total Sunday-Holiday Boardings'!BV11</f>
        <v>55059</v>
      </c>
      <c r="BW11" s="18">
        <f>'Total Weekday Boardings'!BW11+'Total Saturday Boardings'!BW11+'Total Sunday-Holiday Boardings'!BW11</f>
        <v>61676</v>
      </c>
      <c r="BX11" s="18">
        <f>'Total Weekday Boardings'!BX11+'Total Saturday Boardings'!BX11+'Total Sunday-Holiday Boardings'!BX11</f>
        <v>53517</v>
      </c>
      <c r="BY11" s="18">
        <f>'Total Weekday Boardings'!BY11+'Total Saturday Boardings'!BY11+'Total Sunday-Holiday Boardings'!BY11</f>
        <v>55802</v>
      </c>
      <c r="BZ11" s="18">
        <f>'Total Weekday Boardings'!BZ11+'Total Saturday Boardings'!BZ11+'Total Sunday-Holiday Boardings'!BZ11</f>
        <v>57806</v>
      </c>
      <c r="CA11" s="18">
        <f>'Total Weekday Boardings'!CA11+'Total Saturday Boardings'!CA11+'Total Sunday-Holiday Boardings'!CA11</f>
        <v>54237</v>
      </c>
      <c r="CB11" s="19">
        <f>'Total Weekday Boardings'!CB11+'Total Saturday Boardings'!CB11+'Total Sunday-Holiday Boardings'!CB11</f>
        <v>49370</v>
      </c>
      <c r="CC11" s="20">
        <f>'Total Weekday Boardings'!CC11+'Total Saturday Boardings'!CC11+'Total Sunday-Holiday Boardings'!CC11</f>
        <v>50657</v>
      </c>
      <c r="CD11" s="18">
        <f>'Total Weekday Boardings'!CD11+'Total Saturday Boardings'!CD11+'Total Sunday-Holiday Boardings'!CD11</f>
        <v>56535</v>
      </c>
      <c r="CE11" s="18">
        <f>'Total Weekday Boardings'!CE11+'Total Saturday Boardings'!CE11+'Total Sunday-Holiday Boardings'!CE11</f>
        <v>59950</v>
      </c>
      <c r="CF11" s="18">
        <f>'Total Weekday Boardings'!CF11+'Total Saturday Boardings'!CF11+'Total Sunday-Holiday Boardings'!CF11</f>
        <v>63560</v>
      </c>
      <c r="CG11" s="18">
        <f>'Total Weekday Boardings'!CG11+'Total Saturday Boardings'!CG11+'Total Sunday-Holiday Boardings'!CG11</f>
        <v>58020</v>
      </c>
      <c r="CH11" s="18">
        <f>'Total Weekday Boardings'!CH11+'Total Saturday Boardings'!CH11+'Total Sunday-Holiday Boardings'!CH11</f>
        <v>54494</v>
      </c>
      <c r="CI11" s="18">
        <f>'Total Weekday Boardings'!CI11+'Total Saturday Boardings'!CI11+'Total Sunday-Holiday Boardings'!CI11</f>
        <v>57212</v>
      </c>
      <c r="CJ11" s="18">
        <f>'Total Weekday Boardings'!CJ11+'Total Saturday Boardings'!CJ11+'Total Sunday-Holiday Boardings'!CJ11</f>
        <v>60715</v>
      </c>
      <c r="CK11" s="18">
        <f>'Total Weekday Boardings'!CK11+'Total Saturday Boardings'!CK11+'Total Sunday-Holiday Boardings'!CK11</f>
        <v>59546</v>
      </c>
      <c r="CL11" s="18">
        <f>'Total Weekday Boardings'!CL11+'Total Saturday Boardings'!CL11+'Total Sunday-Holiday Boardings'!CL11</f>
        <v>62296</v>
      </c>
      <c r="CM11" s="18">
        <f>'Total Weekday Boardings'!CM11+'Total Saturday Boardings'!CM11+'Total Sunday-Holiday Boardings'!CM11</f>
        <v>59105</v>
      </c>
      <c r="CN11" s="21">
        <f>'Total Weekday Boardings'!CN11+'Total Saturday Boardings'!CN11+'Total Sunday-Holiday Boardings'!CN11</f>
        <v>55071</v>
      </c>
      <c r="CO11" s="17">
        <f>'Total Weekday Boardings'!CO11+'Total Saturday Boardings'!CO11+'Total Sunday-Holiday Boardings'!CO11</f>
        <v>54667</v>
      </c>
      <c r="CP11" s="18">
        <f>'Total Weekday Boardings'!CP11+'Total Saturday Boardings'!CP11+'Total Sunday-Holiday Boardings'!CP11</f>
        <v>63443</v>
      </c>
      <c r="CQ11" s="18">
        <f>'Total Weekday Boardings'!CQ11+'Total Saturday Boardings'!CQ11+'Total Sunday-Holiday Boardings'!CQ11</f>
        <v>61999</v>
      </c>
      <c r="CR11" s="18">
        <f>'Total Weekday Boardings'!CR11+'Total Saturday Boardings'!CR11+'Total Sunday-Holiday Boardings'!CR11</f>
        <v>62962</v>
      </c>
      <c r="CS11" s="18">
        <f>'Total Weekday Boardings'!CS11+'Total Saturday Boardings'!CS11+'Total Sunday-Holiday Boardings'!CS11</f>
        <v>60251</v>
      </c>
      <c r="CT11" s="18">
        <f>'Total Weekday Boardings'!CT11+'Total Saturday Boardings'!CT11+'Total Sunday-Holiday Boardings'!CT11</f>
        <v>61700</v>
      </c>
      <c r="CU11" s="18">
        <f>'Total Weekday Boardings'!CU11+'Total Saturday Boardings'!CU11+'Total Sunday-Holiday Boardings'!CU11</f>
        <v>62175</v>
      </c>
      <c r="CV11" s="18">
        <f>'Total Weekday Boardings'!CV11+'Total Saturday Boardings'!CV11+'Total Sunday-Holiday Boardings'!CV11</f>
        <v>59743</v>
      </c>
      <c r="CW11" s="18">
        <f>'Total Weekday Boardings'!CW11+'Total Saturday Boardings'!CW11+'Total Sunday-Holiday Boardings'!CW11</f>
        <v>63593</v>
      </c>
      <c r="CX11" s="18">
        <f>'Total Weekday Boardings'!CX11+'Total Saturday Boardings'!CX11+'Total Sunday-Holiday Boardings'!CX11</f>
        <v>64425</v>
      </c>
      <c r="CY11" s="18">
        <f>'Total Weekday Boardings'!CY11+'Total Saturday Boardings'!CY11+'Total Sunday-Holiday Boardings'!CY11</f>
        <v>64236</v>
      </c>
      <c r="CZ11" s="19">
        <f>'Total Weekday Boardings'!CZ11+'Total Saturday Boardings'!CZ11+'Total Sunday-Holiday Boardings'!CZ11</f>
        <v>53373</v>
      </c>
      <c r="DA11" s="17">
        <f>'Total Weekday Boardings'!DA11+'Total Saturday Boardings'!DA11+'Total Sunday-Holiday Boardings'!DA11</f>
        <v>53485</v>
      </c>
      <c r="DB11" s="18">
        <f>'Total Weekday Boardings'!DB11+'Total Saturday Boardings'!DB11+'Total Sunday-Holiday Boardings'!DB11</f>
        <v>64161</v>
      </c>
      <c r="DC11" s="18">
        <f>'Total Weekday Boardings'!DC11+'Total Saturday Boardings'!DC11+'Total Sunday-Holiday Boardings'!DC11</f>
        <v>64457</v>
      </c>
      <c r="DD11" s="18">
        <f>'Total Weekday Boardings'!DD11+'Total Saturday Boardings'!DD11+'Total Sunday-Holiday Boardings'!DD11</f>
        <v>65270</v>
      </c>
      <c r="DE11" s="18">
        <f>'Total Weekday Boardings'!DE11+'Total Saturday Boardings'!DE11+'Total Sunday-Holiday Boardings'!DE11</f>
        <v>59964</v>
      </c>
      <c r="DF11" s="18">
        <f>'Total Weekday Boardings'!DF11+'Total Saturday Boardings'!DF11+'Total Sunday-Holiday Boardings'!DF11</f>
        <v>58935</v>
      </c>
      <c r="DG11" s="18">
        <f>'Total Weekday Boardings'!DG11+'Total Saturday Boardings'!DG11+'Total Sunday-Holiday Boardings'!DG11</f>
        <v>62979</v>
      </c>
      <c r="DH11" s="18">
        <f>'Total Weekday Boardings'!DH11+'Total Saturday Boardings'!DH11+'Total Sunday-Holiday Boardings'!DH11</f>
        <v>58066</v>
      </c>
      <c r="DI11" s="18">
        <f>'Total Weekday Boardings'!DI11+'Total Saturday Boardings'!DI11+'Total Sunday-Holiday Boardings'!DI11</f>
        <v>60532</v>
      </c>
      <c r="DJ11" s="18">
        <f>'Total Weekday Boardings'!DJ11+'Total Saturday Boardings'!DJ11+'Total Sunday-Holiday Boardings'!DJ11</f>
        <v>58583</v>
      </c>
      <c r="DK11" s="18">
        <f>'Total Weekday Boardings'!DK11+'Total Saturday Boardings'!DK11+'Total Sunday-Holiday Boardings'!DK11</f>
        <v>56572</v>
      </c>
      <c r="DL11" s="19">
        <f>'Total Weekday Boardings'!DL11+'Total Saturday Boardings'!DL11+'Total Sunday-Holiday Boardings'!DL11</f>
        <v>49474</v>
      </c>
      <c r="DM11" s="17">
        <f>'Total Weekday Boardings'!DM11+'Total Saturday Boardings'!DM11+'Total Sunday-Holiday Boardings'!DM11</f>
        <v>48897</v>
      </c>
      <c r="DN11" s="18">
        <f>'Total Weekday Boardings'!DN11+'Total Saturday Boardings'!DN11+'Total Sunday-Holiday Boardings'!DN11</f>
        <v>57406</v>
      </c>
      <c r="DO11" s="18">
        <f>'Total Weekday Boardings'!DO11+'Total Saturday Boardings'!DO11+'Total Sunday-Holiday Boardings'!DO11</f>
        <v>55949</v>
      </c>
      <c r="DP11" s="18">
        <f>'Total Weekday Boardings'!DP11+'Total Saturday Boardings'!DP11+'Total Sunday-Holiday Boardings'!DP11</f>
        <v>60076</v>
      </c>
      <c r="DQ11" s="18">
        <f>'Total Weekday Boardings'!DQ11+'Total Saturday Boardings'!DQ11+'Total Sunday-Holiday Boardings'!DQ11</f>
        <v>57299</v>
      </c>
      <c r="DR11" s="18">
        <f>'Total Weekday Boardings'!DR11+'Total Saturday Boardings'!DR11+'Total Sunday-Holiday Boardings'!DR11</f>
        <v>54410</v>
      </c>
      <c r="DS11" s="18">
        <f>'Total Weekday Boardings'!DS11+'Total Saturday Boardings'!DS11+'Total Sunday-Holiday Boardings'!DS11</f>
        <v>55582</v>
      </c>
      <c r="DT11" s="18">
        <f>'Total Weekday Boardings'!DT11+'Total Saturday Boardings'!DT11+'Total Sunday-Holiday Boardings'!DT11</f>
        <v>50773</v>
      </c>
      <c r="DU11" s="18">
        <f>'Total Weekday Boardings'!DU11+'Total Saturday Boardings'!DU11+'Total Sunday-Holiday Boardings'!DU11</f>
        <v>54163</v>
      </c>
      <c r="DV11" s="18">
        <f>'Total Weekday Boardings'!DV11+'Total Saturday Boardings'!DV11+'Total Sunday-Holiday Boardings'!DV11</f>
        <v>50689</v>
      </c>
      <c r="DW11" s="18">
        <f>'Total Weekday Boardings'!DW11+'Total Saturday Boardings'!DW11+'Total Sunday-Holiday Boardings'!DW11</f>
        <v>47872</v>
      </c>
      <c r="DX11" s="19">
        <f>'Total Weekday Boardings'!DX11+'Total Saturday Boardings'!DX11+'Total Sunday-Holiday Boardings'!DX11</f>
        <v>44136</v>
      </c>
      <c r="DY11" s="137">
        <v>42949</v>
      </c>
      <c r="DZ11" s="18">
        <v>50078</v>
      </c>
      <c r="EA11" s="18">
        <v>50225</v>
      </c>
      <c r="EB11" s="18">
        <v>54803</v>
      </c>
      <c r="EC11" s="18">
        <v>50159</v>
      </c>
      <c r="ED11" s="18">
        <v>47624</v>
      </c>
      <c r="EE11" s="18">
        <v>49261</v>
      </c>
      <c r="EF11" s="18">
        <v>49403</v>
      </c>
      <c r="EG11" s="18">
        <v>38673</v>
      </c>
      <c r="EH11" s="18">
        <v>23224</v>
      </c>
      <c r="EI11" s="18">
        <v>23556</v>
      </c>
      <c r="EJ11" s="19">
        <v>21272</v>
      </c>
      <c r="EK11" s="100">
        <v>20358</v>
      </c>
      <c r="EL11" s="18">
        <v>21255</v>
      </c>
      <c r="EM11" s="18">
        <v>21425</v>
      </c>
      <c r="EN11" s="103">
        <v>23268</v>
      </c>
      <c r="EO11" s="18">
        <v>19724</v>
      </c>
      <c r="EP11" s="18">
        <v>16146</v>
      </c>
      <c r="EQ11" s="18">
        <v>9343</v>
      </c>
      <c r="ER11" s="18">
        <v>17391</v>
      </c>
      <c r="ES11" s="18">
        <v>20097</v>
      </c>
      <c r="ET11" s="18">
        <v>21747</v>
      </c>
      <c r="EU11" s="18">
        <v>20197</v>
      </c>
      <c r="EV11" s="19">
        <v>19778</v>
      </c>
      <c r="EW11" s="103">
        <v>19724</v>
      </c>
      <c r="EX11" s="18">
        <v>24101</v>
      </c>
      <c r="EY11" s="18">
        <v>23733</v>
      </c>
      <c r="EZ11" s="103">
        <v>24431</v>
      </c>
      <c r="FA11" s="18">
        <v>25885</v>
      </c>
      <c r="FB11" s="145">
        <v>26015</v>
      </c>
      <c r="FC11" s="18">
        <v>23735</v>
      </c>
      <c r="FD11" s="18">
        <v>27448</v>
      </c>
      <c r="FE11" s="18">
        <v>31476</v>
      </c>
      <c r="FF11" s="18">
        <v>29927</v>
      </c>
      <c r="FG11" s="13">
        <f>SUM('Total Weekday Boardings'!FG11,'Total Saturday Boardings'!FG11,'Total Sunday-Holiday Boardings'!FG11)</f>
        <v>28174</v>
      </c>
      <c r="FH11" s="13">
        <f>SUM('Total Weekday Boardings'!FH11,'Total Saturday Boardings'!FH11,'Total Sunday-Holiday Boardings'!FH11)</f>
        <v>22357</v>
      </c>
      <c r="FI11" s="13">
        <f>SUM('Total Weekday Boardings'!FI11,'Total Saturday Boardings'!FI11,'Total Sunday-Holiday Boardings'!FI11)</f>
        <v>22997</v>
      </c>
      <c r="FJ11" s="13">
        <f>SUM('Total Weekday Boardings'!FJ11,'Total Saturday Boardings'!FJ11,'Total Sunday-Holiday Boardings'!FJ11)</f>
        <v>28632</v>
      </c>
      <c r="FK11" s="13">
        <f>SUM('Total Weekday Boardings'!FK11,'Total Saturday Boardings'!FK11,'Total Sunday-Holiday Boardings'!FK11)</f>
        <v>33111.5</v>
      </c>
      <c r="FL11" s="13">
        <f>SUM('Total Weekday Boardings'!FL11,'Total Saturday Boardings'!FL11,'Total Sunday-Holiday Boardings'!FL11)</f>
        <v>32040</v>
      </c>
      <c r="FM11" s="13">
        <f>SUM('Total Weekday Boardings'!FM11,'Total Saturday Boardings'!FM11,'Total Sunday-Holiday Boardings'!FM11)</f>
        <v>30146</v>
      </c>
      <c r="FN11" s="13">
        <f>SUM('Total Weekday Boardings'!FN11,'Total Saturday Boardings'!FN11,'Total Sunday-Holiday Boardings'!FN11)</f>
        <v>30659</v>
      </c>
      <c r="FO11" s="13">
        <f>SUM('Total Weekday Boardings'!FO11,'Total Saturday Boardings'!FO11,'Total Sunday-Holiday Boardings'!FO11)</f>
        <v>33325</v>
      </c>
      <c r="FP11" s="13">
        <f>SUM('Total Weekday Boardings'!FP11,'Total Saturday Boardings'!FP11,'Total Sunday-Holiday Boardings'!FP11)</f>
        <v>30546</v>
      </c>
      <c r="FQ11" s="13">
        <f>SUM('Total Weekday Boardings'!FQ11,'Total Saturday Boardings'!FQ11,'Total Sunday-Holiday Boardings'!FQ11)</f>
        <v>36983</v>
      </c>
      <c r="FR11" s="13">
        <f>SUM('Total Weekday Boardings'!FR11,'Total Saturday Boardings'!FR11,'Total Sunday-Holiday Boardings'!FR11)</f>
        <v>37736</v>
      </c>
      <c r="FS11" s="13">
        <f>SUM('Total Weekday Boardings'!FS11,'Total Saturday Boardings'!FS11,'Total Sunday-Holiday Boardings'!FS11)</f>
        <v>38254</v>
      </c>
      <c r="FT11" s="16">
        <f>SUM('Total Weekday Boardings'!FT11,'Total Saturday Boardings'!FT11,'Total Sunday-Holiday Boardings'!FT11)</f>
        <v>32360</v>
      </c>
      <c r="FU11" s="171">
        <v>31293</v>
      </c>
      <c r="FV11" s="171">
        <v>36079</v>
      </c>
      <c r="FW11" s="171">
        <v>33956</v>
      </c>
      <c r="FX11" s="171">
        <v>35443</v>
      </c>
      <c r="FY11" s="171">
        <v>33041</v>
      </c>
      <c r="FZ11" s="171">
        <v>32207</v>
      </c>
      <c r="GA11" s="171">
        <v>34558</v>
      </c>
      <c r="GB11" s="52">
        <v>34731</v>
      </c>
      <c r="GC11" s="52">
        <v>33960</v>
      </c>
      <c r="GD11" s="52">
        <v>31792</v>
      </c>
      <c r="GE11" s="18">
        <v>31577</v>
      </c>
      <c r="GF11" s="52">
        <v>27899</v>
      </c>
      <c r="GG11" s="184">
        <v>27826</v>
      </c>
      <c r="GH11" s="52">
        <v>33744</v>
      </c>
      <c r="GI11" s="18">
        <v>34342</v>
      </c>
      <c r="GJ11" s="236">
        <v>34562</v>
      </c>
      <c r="GK11" s="184">
        <v>32197</v>
      </c>
      <c r="GL11" s="184">
        <v>30487</v>
      </c>
    </row>
    <row r="12" spans="1:194" ht="15" thickBot="1" x14ac:dyDescent="0.35">
      <c r="A12" s="3" t="s">
        <v>5</v>
      </c>
      <c r="B12" s="17"/>
      <c r="C12" s="18">
        <f>'Total Weekday Boardings'!C12+'Total Saturday Boardings'!C12+'Total Sunday-Holiday Boardings'!C12</f>
        <v>14536</v>
      </c>
      <c r="D12" s="18">
        <f>'Total Weekday Boardings'!D12+'Total Saturday Boardings'!D12+'Total Sunday-Holiday Boardings'!D12</f>
        <v>19165</v>
      </c>
      <c r="E12" s="18">
        <f>'Total Weekday Boardings'!E12+'Total Saturday Boardings'!E12+'Total Sunday-Holiday Boardings'!E12</f>
        <v>17225</v>
      </c>
      <c r="F12" s="18">
        <f>'Total Weekday Boardings'!F12+'Total Saturday Boardings'!F12+'Total Sunday-Holiday Boardings'!F12</f>
        <v>19240</v>
      </c>
      <c r="G12" s="18">
        <f>'Total Weekday Boardings'!G12+'Total Saturday Boardings'!G12+'Total Sunday-Holiday Boardings'!G12</f>
        <v>19308</v>
      </c>
      <c r="H12" s="19">
        <f>'Total Weekday Boardings'!H12+'Total Saturday Boardings'!H12+'Total Sunday-Holiday Boardings'!H12</f>
        <v>16860</v>
      </c>
      <c r="I12" s="17">
        <f>'Total Weekday Boardings'!I12+'Total Saturday Boardings'!I12+'Total Sunday-Holiday Boardings'!I12</f>
        <v>18462</v>
      </c>
      <c r="J12" s="18">
        <f>'Total Weekday Boardings'!J12+'Total Saturday Boardings'!J12+'Total Sunday-Holiday Boardings'!J12</f>
        <v>20535</v>
      </c>
      <c r="K12" s="18">
        <f>'Total Weekday Boardings'!K12+'Total Saturday Boardings'!K12+'Total Sunday-Holiday Boardings'!K12</f>
        <v>22135</v>
      </c>
      <c r="L12" s="18">
        <f>'Total Weekday Boardings'!L12+'Total Saturday Boardings'!L12+'Total Sunday-Holiday Boardings'!L12</f>
        <v>24685</v>
      </c>
      <c r="M12" s="18">
        <f>'Total Weekday Boardings'!M12+'Total Saturday Boardings'!M12+'Total Sunday-Holiday Boardings'!M12</f>
        <v>26873</v>
      </c>
      <c r="N12" s="18">
        <f>'Total Weekday Boardings'!N12+'Total Saturday Boardings'!N12+'Total Sunday-Holiday Boardings'!N12</f>
        <v>24286</v>
      </c>
      <c r="O12" s="62">
        <f>'Total Weekday Boardings'!O12+'Total Saturday Boardings'!O12+'Total Sunday-Holiday Boardings'!O12</f>
        <v>23478</v>
      </c>
      <c r="P12" s="62">
        <f>'Total Weekday Boardings'!P12+'Total Saturday Boardings'!P12+'Total Sunday-Holiday Boardings'!P12</f>
        <v>24620</v>
      </c>
      <c r="Q12" s="62">
        <f>'Total Weekday Boardings'!Q12+'Total Saturday Boardings'!Q12+'Total Sunday-Holiday Boardings'!Q12</f>
        <v>27440</v>
      </c>
      <c r="R12" s="62">
        <f>'Total Weekday Boardings'!R12+'Total Saturday Boardings'!R12+'Total Sunday-Holiday Boardings'!R12</f>
        <v>28226</v>
      </c>
      <c r="S12" s="62">
        <f>'Total Weekday Boardings'!S12+'Total Saturday Boardings'!S12+'Total Sunday-Holiday Boardings'!S12</f>
        <v>22734</v>
      </c>
      <c r="T12" s="63">
        <f>'Total Weekday Boardings'!T12+'Total Saturday Boardings'!T12+'Total Sunday-Holiday Boardings'!T12</f>
        <v>24080</v>
      </c>
      <c r="U12" s="64">
        <f>'Total Weekday Boardings'!U12+'Total Saturday Boardings'!U12+'Total Sunday-Holiday Boardings'!U12</f>
        <v>21562</v>
      </c>
      <c r="V12" s="62">
        <f>'Total Weekday Boardings'!V12+'Total Saturday Boardings'!V12+'Total Sunday-Holiday Boardings'!V12</f>
        <v>27672</v>
      </c>
      <c r="W12" s="62">
        <f>'Total Weekday Boardings'!W12+'Total Saturday Boardings'!W12+'Total Sunday-Holiday Boardings'!W12</f>
        <v>28208</v>
      </c>
      <c r="X12" s="62">
        <f>'Total Weekday Boardings'!X12+'Total Saturday Boardings'!X12+'Total Sunday-Holiday Boardings'!X12</f>
        <v>26271</v>
      </c>
      <c r="Y12" s="62">
        <f>'Total Weekday Boardings'!Y12+'Total Saturday Boardings'!Y12+'Total Sunday-Holiday Boardings'!Y12</f>
        <v>25643</v>
      </c>
      <c r="Z12" s="62">
        <f>'Total Weekday Boardings'!Z12+'Total Saturday Boardings'!Z12+'Total Sunday-Holiday Boardings'!Z12</f>
        <v>25328</v>
      </c>
      <c r="AA12" s="18">
        <f>'Total Weekday Boardings'!AA12+'Total Saturday Boardings'!AA12+'Total Sunday-Holiday Boardings'!AA12</f>
        <v>26933</v>
      </c>
      <c r="AB12" s="18">
        <f>'Total Weekday Boardings'!AB12+'Total Saturday Boardings'!AB12+'Total Sunday-Holiday Boardings'!AB12</f>
        <v>24880</v>
      </c>
      <c r="AC12" s="18">
        <f>'Total Weekday Boardings'!AC12+'Total Saturday Boardings'!AC12+'Total Sunday-Holiday Boardings'!AC12</f>
        <v>27880</v>
      </c>
      <c r="AD12" s="18">
        <f>'Total Weekday Boardings'!AD12+'Total Saturday Boardings'!AD12+'Total Sunday-Holiday Boardings'!AD12</f>
        <v>28892</v>
      </c>
      <c r="AE12" s="18">
        <f>'Total Weekday Boardings'!AE12+'Total Saturday Boardings'!AE12+'Total Sunday-Holiday Boardings'!AE12</f>
        <v>26323</v>
      </c>
      <c r="AF12" s="19">
        <f>'Total Weekday Boardings'!AF12+'Total Saturday Boardings'!AF12+'Total Sunday-Holiday Boardings'!AF12</f>
        <v>22318</v>
      </c>
      <c r="AG12" s="17">
        <f>'Total Weekday Boardings'!AG12+'Total Saturday Boardings'!AG12+'Total Sunday-Holiday Boardings'!AG12</f>
        <v>23289</v>
      </c>
      <c r="AH12" s="18">
        <f>'Total Weekday Boardings'!AH12+'Total Saturday Boardings'!AH12+'Total Sunday-Holiday Boardings'!AH12</f>
        <v>28524</v>
      </c>
      <c r="AI12" s="18">
        <f>'Total Weekday Boardings'!AI12+'Total Saturday Boardings'!AI12+'Total Sunday-Holiday Boardings'!AI12</f>
        <v>29371</v>
      </c>
      <c r="AJ12" s="18">
        <f>'Total Weekday Boardings'!AJ12+'Total Saturday Boardings'!AJ12+'Total Sunday-Holiday Boardings'!AJ12</f>
        <v>30661</v>
      </c>
      <c r="AK12" s="18">
        <f>'Total Weekday Boardings'!AK12+'Total Saturday Boardings'!AK12+'Total Sunday-Holiday Boardings'!AK12</f>
        <v>27100</v>
      </c>
      <c r="AL12" s="18">
        <f>'Total Weekday Boardings'!AL12+'Total Saturday Boardings'!AL12+'Total Sunday-Holiday Boardings'!AL12</f>
        <v>29154</v>
      </c>
      <c r="AM12" s="18">
        <f>'Total Weekday Boardings'!AM12+'Total Saturday Boardings'!AM12+'Total Sunday-Holiday Boardings'!AM12</f>
        <v>29303</v>
      </c>
      <c r="AN12" s="18">
        <f>'Total Weekday Boardings'!AN12+'Total Saturday Boardings'!AN12+'Total Sunday-Holiday Boardings'!AN12</f>
        <v>28832</v>
      </c>
      <c r="AO12" s="18">
        <f>'Total Weekday Boardings'!AO12+'Total Saturday Boardings'!AO12+'Total Sunday-Holiday Boardings'!AO12</f>
        <v>30124</v>
      </c>
      <c r="AP12" s="18">
        <f>'Total Weekday Boardings'!AP12+'Total Saturday Boardings'!AP12+'Total Sunday-Holiday Boardings'!AP12</f>
        <v>33025</v>
      </c>
      <c r="AQ12" s="18">
        <f>'Total Weekday Boardings'!AQ12+'Total Saturday Boardings'!AQ12+'Total Sunday-Holiday Boardings'!AQ12</f>
        <v>31978</v>
      </c>
      <c r="AR12" s="19">
        <f>'Total Weekday Boardings'!AR12+'Total Saturday Boardings'!AR12+'Total Sunday-Holiday Boardings'!AR12</f>
        <v>25966</v>
      </c>
      <c r="AS12" s="17">
        <f>'Total Weekday Boardings'!AS12+'Total Saturday Boardings'!AS12+'Total Sunday-Holiday Boardings'!AS12</f>
        <v>26389</v>
      </c>
      <c r="AT12" s="18">
        <f>'Total Weekday Boardings'!AT12+'Total Saturday Boardings'!AT12+'Total Sunday-Holiday Boardings'!AT12</f>
        <v>34519</v>
      </c>
      <c r="AU12" s="18">
        <f>'Total Weekday Boardings'!AU12+'Total Saturday Boardings'!AU12+'Total Sunday-Holiday Boardings'!AU12</f>
        <v>33908</v>
      </c>
      <c r="AV12" s="18">
        <f>'Total Weekday Boardings'!AV12+'Total Saturday Boardings'!AV12+'Total Sunday-Holiday Boardings'!AV12</f>
        <v>35121</v>
      </c>
      <c r="AW12" s="18">
        <f>'Total Weekday Boardings'!AW12+'Total Saturday Boardings'!AW12+'Total Sunday-Holiday Boardings'!AW12</f>
        <v>33666</v>
      </c>
      <c r="AX12" s="18">
        <f>'Total Weekday Boardings'!AX12+'Total Saturday Boardings'!AX12+'Total Sunday-Holiday Boardings'!AX12</f>
        <v>32942</v>
      </c>
      <c r="AY12" s="18">
        <f>'Total Weekday Boardings'!AY12+'Total Saturday Boardings'!AY12+'Total Sunday-Holiday Boardings'!AY12</f>
        <v>33080</v>
      </c>
      <c r="AZ12" s="18">
        <f>'Total Weekday Boardings'!AZ12+'Total Saturday Boardings'!AZ12+'Total Sunday-Holiday Boardings'!AZ12</f>
        <v>32019</v>
      </c>
      <c r="BA12" s="18">
        <f>'Total Weekday Boardings'!BA12+'Total Saturday Boardings'!BA12+'Total Sunday-Holiday Boardings'!BA12</f>
        <v>32972</v>
      </c>
      <c r="BB12" s="18">
        <f>'Total Weekday Boardings'!BB12+'Total Saturday Boardings'!BB12+'Total Sunday-Holiday Boardings'!BB12</f>
        <v>36340</v>
      </c>
      <c r="BC12" s="18">
        <f>'Total Weekday Boardings'!BC12+'Total Saturday Boardings'!BC12+'Total Sunday-Holiday Boardings'!BC12</f>
        <v>34892</v>
      </c>
      <c r="BD12" s="19">
        <f>'Total Weekday Boardings'!BD12+'Total Saturday Boardings'!BD12+'Total Sunday-Holiday Boardings'!BD12</f>
        <v>28996</v>
      </c>
      <c r="BE12" s="17">
        <f>'Total Weekday Boardings'!BE12+'Total Saturday Boardings'!BE12+'Total Sunday-Holiday Boardings'!BE12</f>
        <v>29792</v>
      </c>
      <c r="BF12" s="18">
        <f>'Total Weekday Boardings'!BF12+'Total Saturday Boardings'!BF12+'Total Sunday-Holiday Boardings'!BF12</f>
        <v>35141</v>
      </c>
      <c r="BG12" s="18">
        <f>'Total Weekday Boardings'!BG12+'Total Saturday Boardings'!BG12+'Total Sunday-Holiday Boardings'!BG12</f>
        <v>34310</v>
      </c>
      <c r="BH12" s="18">
        <f>'Total Weekday Boardings'!BH12+'Total Saturday Boardings'!BH12+'Total Sunday-Holiday Boardings'!BH12</f>
        <v>33894</v>
      </c>
      <c r="BI12" s="18">
        <f>'Total Weekday Boardings'!BI12+'Total Saturday Boardings'!BI12+'Total Sunday-Holiday Boardings'!BI12</f>
        <v>31958.225746165444</v>
      </c>
      <c r="BJ12" s="18">
        <f>'Total Weekday Boardings'!BJ12+'Total Saturday Boardings'!BJ12+'Total Sunday-Holiday Boardings'!BJ12</f>
        <v>31554</v>
      </c>
      <c r="BK12" s="18">
        <f>'Total Weekday Boardings'!BK12+'Total Saturday Boardings'!BK12+'Total Sunday-Holiday Boardings'!BK12</f>
        <v>33817</v>
      </c>
      <c r="BL12" s="18">
        <f>'Total Weekday Boardings'!BL12+'Total Saturday Boardings'!BL12+'Total Sunday-Holiday Boardings'!BL12</f>
        <v>31988</v>
      </c>
      <c r="BM12" s="18">
        <f>'Total Weekday Boardings'!BM12+'Total Saturday Boardings'!BM12+'Total Sunday-Holiday Boardings'!BM12</f>
        <v>33818</v>
      </c>
      <c r="BN12" s="18">
        <f>'Total Weekday Boardings'!BN12+'Total Saturday Boardings'!BN12+'Total Sunday-Holiday Boardings'!BN12</f>
        <v>33732</v>
      </c>
      <c r="BO12" s="18">
        <f>'Total Weekday Boardings'!BO12+'Total Saturday Boardings'!BO12+'Total Sunday-Holiday Boardings'!BO12</f>
        <v>31237</v>
      </c>
      <c r="BP12" s="19">
        <f>'Total Weekday Boardings'!BP12+'Total Saturday Boardings'!BP12+'Total Sunday-Holiday Boardings'!BP12</f>
        <v>26145</v>
      </c>
      <c r="BQ12" s="17">
        <f>'Total Weekday Boardings'!BQ12+'Total Saturday Boardings'!BQ12+'Total Sunday-Holiday Boardings'!BQ12</f>
        <v>26778</v>
      </c>
      <c r="BR12" s="18">
        <f>'Total Weekday Boardings'!BR12+'Total Saturday Boardings'!BR12+'Total Sunday-Holiday Boardings'!BR12</f>
        <v>31808</v>
      </c>
      <c r="BS12" s="18">
        <f>'Total Weekday Boardings'!BS12+'Total Saturday Boardings'!BS12+'Total Sunday-Holiday Boardings'!BS12</f>
        <v>32873</v>
      </c>
      <c r="BT12" s="18">
        <f>'Total Weekday Boardings'!BT12+'Total Saturday Boardings'!BT12+'Total Sunday-Holiday Boardings'!BT12</f>
        <v>34337</v>
      </c>
      <c r="BU12" s="18">
        <f>'Total Weekday Boardings'!BU12+'Total Saturday Boardings'!BU12+'Total Sunday-Holiday Boardings'!BU12</f>
        <v>30636</v>
      </c>
      <c r="BV12" s="18">
        <f>'Total Weekday Boardings'!BV12+'Total Saturday Boardings'!BV12+'Total Sunday-Holiday Boardings'!BV12</f>
        <v>31285</v>
      </c>
      <c r="BW12" s="18">
        <f>'Total Weekday Boardings'!BW12+'Total Saturday Boardings'!BW12+'Total Sunday-Holiday Boardings'!BW12</f>
        <v>34203</v>
      </c>
      <c r="BX12" s="18">
        <f>'Total Weekday Boardings'!BX12+'Total Saturday Boardings'!BX12+'Total Sunday-Holiday Boardings'!BX12</f>
        <v>29749</v>
      </c>
      <c r="BY12" s="18">
        <f>'Total Weekday Boardings'!BY12+'Total Saturday Boardings'!BY12+'Total Sunday-Holiday Boardings'!BY12</f>
        <v>31300</v>
      </c>
      <c r="BZ12" s="18">
        <f>'Total Weekday Boardings'!BZ12+'Total Saturday Boardings'!BZ12+'Total Sunday-Holiday Boardings'!BZ12</f>
        <v>33078</v>
      </c>
      <c r="CA12" s="18">
        <f>'Total Weekday Boardings'!CA12+'Total Saturday Boardings'!CA12+'Total Sunday-Holiday Boardings'!CA12</f>
        <v>30784</v>
      </c>
      <c r="CB12" s="19">
        <f>'Total Weekday Boardings'!CB12+'Total Saturday Boardings'!CB12+'Total Sunday-Holiday Boardings'!CB12</f>
        <v>28721</v>
      </c>
      <c r="CC12" s="20">
        <f>'Total Weekday Boardings'!CC12+'Total Saturday Boardings'!CC12+'Total Sunday-Holiday Boardings'!CC12</f>
        <v>30241</v>
      </c>
      <c r="CD12" s="18">
        <f>'Total Weekday Boardings'!CD12+'Total Saturday Boardings'!CD12+'Total Sunday-Holiday Boardings'!CD12</f>
        <v>34269</v>
      </c>
      <c r="CE12" s="18">
        <f>'Total Weekday Boardings'!CE12+'Total Saturday Boardings'!CE12+'Total Sunday-Holiday Boardings'!CE12</f>
        <v>34282</v>
      </c>
      <c r="CF12" s="18">
        <f>'Total Weekday Boardings'!CF12+'Total Saturday Boardings'!CF12+'Total Sunday-Holiday Boardings'!CF12</f>
        <v>36394</v>
      </c>
      <c r="CG12" s="18">
        <f>'Total Weekday Boardings'!CG12+'Total Saturday Boardings'!CG12+'Total Sunday-Holiday Boardings'!CG12</f>
        <v>33768</v>
      </c>
      <c r="CH12" s="18">
        <f>'Total Weekday Boardings'!CH12+'Total Saturday Boardings'!CH12+'Total Sunday-Holiday Boardings'!CH12</f>
        <v>32429</v>
      </c>
      <c r="CI12" s="18">
        <f>'Total Weekday Boardings'!CI12+'Total Saturday Boardings'!CI12+'Total Sunday-Holiday Boardings'!CI12</f>
        <v>34572</v>
      </c>
      <c r="CJ12" s="18">
        <f>'Total Weekday Boardings'!CJ12+'Total Saturday Boardings'!CJ12+'Total Sunday-Holiday Boardings'!CJ12</f>
        <v>32873</v>
      </c>
      <c r="CK12" s="18">
        <f>'Total Weekday Boardings'!CK12+'Total Saturday Boardings'!CK12+'Total Sunday-Holiday Boardings'!CK12</f>
        <v>35205</v>
      </c>
      <c r="CL12" s="18">
        <f>'Total Weekday Boardings'!CL12+'Total Saturday Boardings'!CL12+'Total Sunday-Holiday Boardings'!CL12</f>
        <v>36372</v>
      </c>
      <c r="CM12" s="18">
        <f>'Total Weekday Boardings'!CM12+'Total Saturday Boardings'!CM12+'Total Sunday-Holiday Boardings'!CM12</f>
        <v>35614</v>
      </c>
      <c r="CN12" s="21">
        <f>'Total Weekday Boardings'!CN12+'Total Saturday Boardings'!CN12+'Total Sunday-Holiday Boardings'!CN12</f>
        <v>32667</v>
      </c>
      <c r="CO12" s="17">
        <f>'Total Weekday Boardings'!CO12+'Total Saturday Boardings'!CO12+'Total Sunday-Holiday Boardings'!CO12</f>
        <v>32487</v>
      </c>
      <c r="CP12" s="18">
        <f>'Total Weekday Boardings'!CP12+'Total Saturday Boardings'!CP12+'Total Sunday-Holiday Boardings'!CP12</f>
        <v>37164</v>
      </c>
      <c r="CQ12" s="18">
        <f>'Total Weekday Boardings'!CQ12+'Total Saturday Boardings'!CQ12+'Total Sunday-Holiday Boardings'!CQ12</f>
        <v>38236</v>
      </c>
      <c r="CR12" s="18">
        <f>'Total Weekday Boardings'!CR12+'Total Saturday Boardings'!CR12+'Total Sunday-Holiday Boardings'!CR12</f>
        <v>38374</v>
      </c>
      <c r="CS12" s="18">
        <f>'Total Weekday Boardings'!CS12+'Total Saturday Boardings'!CS12+'Total Sunday-Holiday Boardings'!CS12</f>
        <v>37351</v>
      </c>
      <c r="CT12" s="18">
        <f>'Total Weekday Boardings'!CT12+'Total Saturday Boardings'!CT12+'Total Sunday-Holiday Boardings'!CT12</f>
        <v>38104</v>
      </c>
      <c r="CU12" s="18">
        <f>'Total Weekday Boardings'!CU12+'Total Saturday Boardings'!CU12+'Total Sunday-Holiday Boardings'!CU12</f>
        <v>38319</v>
      </c>
      <c r="CV12" s="18">
        <f>'Total Weekday Boardings'!CV12+'Total Saturday Boardings'!CV12+'Total Sunday-Holiday Boardings'!CV12</f>
        <v>36227</v>
      </c>
      <c r="CW12" s="18">
        <f>'Total Weekday Boardings'!CW12+'Total Saturday Boardings'!CW12+'Total Sunday-Holiday Boardings'!CW12</f>
        <v>37676</v>
      </c>
      <c r="CX12" s="18">
        <f>'Total Weekday Boardings'!CX12+'Total Saturday Boardings'!CX12+'Total Sunday-Holiday Boardings'!CX12</f>
        <v>37347</v>
      </c>
      <c r="CY12" s="18">
        <f>'Total Weekday Boardings'!CY12+'Total Saturday Boardings'!CY12+'Total Sunday-Holiday Boardings'!CY12</f>
        <v>36656</v>
      </c>
      <c r="CZ12" s="19">
        <f>'Total Weekday Boardings'!CZ12+'Total Saturday Boardings'!CZ12+'Total Sunday-Holiday Boardings'!CZ12</f>
        <v>30211</v>
      </c>
      <c r="DA12" s="17">
        <f>'Total Weekday Boardings'!DA12+'Total Saturday Boardings'!DA12+'Total Sunday-Holiday Boardings'!DA12</f>
        <v>30111</v>
      </c>
      <c r="DB12" s="18">
        <f>'Total Weekday Boardings'!DB12+'Total Saturday Boardings'!DB12+'Total Sunday-Holiday Boardings'!DB12</f>
        <v>35381</v>
      </c>
      <c r="DC12" s="18">
        <f>'Total Weekday Boardings'!DC12+'Total Saturday Boardings'!DC12+'Total Sunday-Holiday Boardings'!DC12</f>
        <v>35596</v>
      </c>
      <c r="DD12" s="18">
        <f>'Total Weekday Boardings'!DD12+'Total Saturday Boardings'!DD12+'Total Sunday-Holiday Boardings'!DD12</f>
        <v>37224</v>
      </c>
      <c r="DE12" s="18">
        <f>'Total Weekday Boardings'!DE12+'Total Saturday Boardings'!DE12+'Total Sunday-Holiday Boardings'!DE12</f>
        <v>34697</v>
      </c>
      <c r="DF12" s="18">
        <f>'Total Weekday Boardings'!DF12+'Total Saturday Boardings'!DF12+'Total Sunday-Holiday Boardings'!DF12</f>
        <v>32584</v>
      </c>
      <c r="DG12" s="18">
        <f>'Total Weekday Boardings'!DG12+'Total Saturday Boardings'!DG12+'Total Sunday-Holiday Boardings'!DG12</f>
        <v>32992</v>
      </c>
      <c r="DH12" s="18">
        <f>'Total Weekday Boardings'!DH12+'Total Saturday Boardings'!DH12+'Total Sunday-Holiday Boardings'!DH12</f>
        <v>30259</v>
      </c>
      <c r="DI12" s="18">
        <f>'Total Weekday Boardings'!DI12+'Total Saturday Boardings'!DI12+'Total Sunday-Holiday Boardings'!DI12</f>
        <v>31424</v>
      </c>
      <c r="DJ12" s="18">
        <f>'Total Weekday Boardings'!DJ12+'Total Saturday Boardings'!DJ12+'Total Sunday-Holiday Boardings'!DJ12</f>
        <v>30981</v>
      </c>
      <c r="DK12" s="18">
        <f>'Total Weekday Boardings'!DK12+'Total Saturday Boardings'!DK12+'Total Sunday-Holiday Boardings'!DK12</f>
        <v>30233</v>
      </c>
      <c r="DL12" s="19">
        <f>'Total Weekday Boardings'!DL12+'Total Saturday Boardings'!DL12+'Total Sunday-Holiday Boardings'!DL12</f>
        <v>34103</v>
      </c>
      <c r="DM12" s="17">
        <f>'Total Weekday Boardings'!DM12+'Total Saturday Boardings'!DM12+'Total Sunday-Holiday Boardings'!DM12</f>
        <v>26159</v>
      </c>
      <c r="DN12" s="18">
        <f>'Total Weekday Boardings'!DN12+'Total Saturday Boardings'!DN12+'Total Sunday-Holiday Boardings'!DN12</f>
        <v>31324</v>
      </c>
      <c r="DO12" s="18">
        <f>'Total Weekday Boardings'!DO12+'Total Saturday Boardings'!DO12+'Total Sunday-Holiday Boardings'!DO12</f>
        <v>29636</v>
      </c>
      <c r="DP12" s="18">
        <f>'Total Weekday Boardings'!DP12+'Total Saturday Boardings'!DP12+'Total Sunday-Holiday Boardings'!DP12</f>
        <v>30314</v>
      </c>
      <c r="DQ12" s="18">
        <f>'Total Weekday Boardings'!DQ12+'Total Saturday Boardings'!DQ12+'Total Sunday-Holiday Boardings'!DQ12</f>
        <v>27897</v>
      </c>
      <c r="DR12" s="18">
        <f>'Total Weekday Boardings'!DR12+'Total Saturday Boardings'!DR12+'Total Sunday-Holiday Boardings'!DR12</f>
        <v>28755</v>
      </c>
      <c r="DS12" s="18">
        <f>'Total Weekday Boardings'!DS12+'Total Saturday Boardings'!DS12+'Total Sunday-Holiday Boardings'!DS12</f>
        <v>28819</v>
      </c>
      <c r="DT12" s="18">
        <f>'Total Weekday Boardings'!DT12+'Total Saturday Boardings'!DT12+'Total Sunday-Holiday Boardings'!DT12</f>
        <v>25543</v>
      </c>
      <c r="DU12" s="18">
        <f>'Total Weekday Boardings'!DU12+'Total Saturday Boardings'!DU12+'Total Sunday-Holiday Boardings'!DU12</f>
        <v>28474</v>
      </c>
      <c r="DV12" s="18">
        <f>'Total Weekday Boardings'!DV12+'Total Saturday Boardings'!DV12+'Total Sunday-Holiday Boardings'!DV12</f>
        <v>26975</v>
      </c>
      <c r="DW12" s="18">
        <f>'Total Weekday Boardings'!DW12+'Total Saturday Boardings'!DW12+'Total Sunday-Holiday Boardings'!DW12</f>
        <v>27239</v>
      </c>
      <c r="DX12" s="19">
        <f>'Total Weekday Boardings'!DX12+'Total Saturday Boardings'!DX12+'Total Sunday-Holiday Boardings'!DX12</f>
        <v>23616</v>
      </c>
      <c r="DY12" s="137">
        <v>23566</v>
      </c>
      <c r="DZ12" s="18">
        <v>26851</v>
      </c>
      <c r="EA12" s="18">
        <v>26671</v>
      </c>
      <c r="EB12" s="18">
        <v>27727</v>
      </c>
      <c r="EC12" s="18">
        <v>24428</v>
      </c>
      <c r="ED12" s="18">
        <v>23095</v>
      </c>
      <c r="EE12" s="18">
        <v>24818</v>
      </c>
      <c r="EF12" s="18">
        <v>23627</v>
      </c>
      <c r="EG12" s="18">
        <v>19074</v>
      </c>
      <c r="EH12" s="18">
        <v>12316</v>
      </c>
      <c r="EI12" s="18">
        <v>13121</v>
      </c>
      <c r="EJ12" s="19">
        <v>11094</v>
      </c>
      <c r="EK12" s="100">
        <v>10245</v>
      </c>
      <c r="EL12" s="18">
        <v>10580</v>
      </c>
      <c r="EM12" s="18">
        <v>10914</v>
      </c>
      <c r="EN12" s="103">
        <v>11345</v>
      </c>
      <c r="EO12" s="18">
        <v>10828</v>
      </c>
      <c r="EP12" s="18">
        <v>8358</v>
      </c>
      <c r="EQ12" s="18">
        <v>4613</v>
      </c>
      <c r="ER12" s="18">
        <v>8926</v>
      </c>
      <c r="ES12" s="18">
        <v>11152</v>
      </c>
      <c r="ET12" s="18">
        <v>12271</v>
      </c>
      <c r="EU12" s="18">
        <v>11203</v>
      </c>
      <c r="EV12" s="19">
        <v>11238</v>
      </c>
      <c r="EW12" s="103">
        <v>10828</v>
      </c>
      <c r="EX12" s="18">
        <v>13735</v>
      </c>
      <c r="EY12" s="18">
        <v>13910</v>
      </c>
      <c r="EZ12" s="103">
        <v>14094</v>
      </c>
      <c r="FA12" s="18">
        <v>15160</v>
      </c>
      <c r="FB12" s="145">
        <v>14521</v>
      </c>
      <c r="FC12" s="18">
        <v>13135</v>
      </c>
      <c r="FD12" s="18">
        <v>15136</v>
      </c>
      <c r="FE12" s="18">
        <v>18109</v>
      </c>
      <c r="FF12" s="18">
        <v>17044</v>
      </c>
      <c r="FG12" s="13">
        <f>SUM('Total Weekday Boardings'!FG12,'Total Saturday Boardings'!FG12,'Total Sunday-Holiday Boardings'!FG12)</f>
        <v>16406</v>
      </c>
      <c r="FH12" s="13">
        <f>SUM('Total Weekday Boardings'!FH12,'Total Saturday Boardings'!FH12,'Total Sunday-Holiday Boardings'!FH12)</f>
        <v>12764</v>
      </c>
      <c r="FI12" s="13">
        <f>SUM('Total Weekday Boardings'!FI12,'Total Saturday Boardings'!FI12,'Total Sunday-Holiday Boardings'!FI12)</f>
        <v>13466</v>
      </c>
      <c r="FJ12" s="13">
        <f>SUM('Total Weekday Boardings'!FJ12,'Total Saturday Boardings'!FJ12,'Total Sunday-Holiday Boardings'!FJ12)</f>
        <v>15963</v>
      </c>
      <c r="FK12" s="13">
        <f>SUM('Total Weekday Boardings'!FK12,'Total Saturday Boardings'!FK12,'Total Sunday-Holiday Boardings'!FK12)</f>
        <v>17713</v>
      </c>
      <c r="FL12" s="13">
        <f>SUM('Total Weekday Boardings'!FL12,'Total Saturday Boardings'!FL12,'Total Sunday-Holiday Boardings'!FL12)</f>
        <v>16727</v>
      </c>
      <c r="FM12" s="13">
        <f>SUM('Total Weekday Boardings'!FM12,'Total Saturday Boardings'!FM12,'Total Sunday-Holiday Boardings'!FM12)</f>
        <v>15793</v>
      </c>
      <c r="FN12" s="13">
        <f>SUM('Total Weekday Boardings'!FN12,'Total Saturday Boardings'!FN12,'Total Sunday-Holiday Boardings'!FN12)</f>
        <v>15501</v>
      </c>
      <c r="FO12" s="13">
        <f>SUM('Total Weekday Boardings'!FO12,'Total Saturday Boardings'!FO12,'Total Sunday-Holiday Boardings'!FO12)</f>
        <v>16054</v>
      </c>
      <c r="FP12" s="13">
        <f>SUM('Total Weekday Boardings'!FP12,'Total Saturday Boardings'!FP12,'Total Sunday-Holiday Boardings'!FP12)</f>
        <v>14185</v>
      </c>
      <c r="FQ12" s="13">
        <f>SUM('Total Weekday Boardings'!FQ12,'Total Saturday Boardings'!FQ12,'Total Sunday-Holiday Boardings'!FQ12)</f>
        <v>17614</v>
      </c>
      <c r="FR12" s="13">
        <f>SUM('Total Weekday Boardings'!FR12,'Total Saturday Boardings'!FR12,'Total Sunday-Holiday Boardings'!FR12)</f>
        <v>17302</v>
      </c>
      <c r="FS12" s="13">
        <f>SUM('Total Weekday Boardings'!FS12,'Total Saturday Boardings'!FS12,'Total Sunday-Holiday Boardings'!FS12)</f>
        <v>19309</v>
      </c>
      <c r="FT12" s="16">
        <f>SUM('Total Weekday Boardings'!FT12,'Total Saturday Boardings'!FT12,'Total Sunday-Holiday Boardings'!FT12)</f>
        <v>16330</v>
      </c>
      <c r="FU12" s="171">
        <v>15727</v>
      </c>
      <c r="FV12" s="171">
        <v>18504</v>
      </c>
      <c r="FW12" s="171">
        <v>18148</v>
      </c>
      <c r="FX12" s="171">
        <v>19503</v>
      </c>
      <c r="FY12" s="171">
        <v>17671</v>
      </c>
      <c r="FZ12" s="171">
        <v>16736</v>
      </c>
      <c r="GA12" s="171">
        <v>18803</v>
      </c>
      <c r="GB12" s="52">
        <v>18834</v>
      </c>
      <c r="GC12" s="52">
        <v>18807</v>
      </c>
      <c r="GD12" s="52">
        <v>18448</v>
      </c>
      <c r="GE12" s="18">
        <v>17954</v>
      </c>
      <c r="GF12" s="52">
        <v>15430</v>
      </c>
      <c r="GG12" s="184">
        <v>14748</v>
      </c>
      <c r="GH12" s="52">
        <v>17845</v>
      </c>
      <c r="GI12" s="18">
        <v>17670</v>
      </c>
      <c r="GJ12" s="236">
        <v>16891</v>
      </c>
      <c r="GK12" s="184">
        <v>15918</v>
      </c>
      <c r="GL12" s="184">
        <v>16167</v>
      </c>
    </row>
    <row r="13" spans="1:194" ht="15" thickBot="1" x14ac:dyDescent="0.35">
      <c r="A13" s="3" t="s">
        <v>6</v>
      </c>
      <c r="B13" s="17"/>
      <c r="C13" s="18">
        <f>'Total Weekday Boardings'!C13+'Total Saturday Boardings'!C13+'Total Sunday-Holiday Boardings'!C13</f>
        <v>24091</v>
      </c>
      <c r="D13" s="18">
        <f>'Total Weekday Boardings'!D13+'Total Saturday Boardings'!D13+'Total Sunday-Holiday Boardings'!D13</f>
        <v>20320</v>
      </c>
      <c r="E13" s="18">
        <f>'Total Weekday Boardings'!E13+'Total Saturday Boardings'!E13+'Total Sunday-Holiday Boardings'!E13</f>
        <v>17061</v>
      </c>
      <c r="F13" s="18">
        <f>'Total Weekday Boardings'!F13+'Total Saturday Boardings'!F13+'Total Sunday-Holiday Boardings'!F13</f>
        <v>16820</v>
      </c>
      <c r="G13" s="18">
        <f>'Total Weekday Boardings'!G13+'Total Saturday Boardings'!G13+'Total Sunday-Holiday Boardings'!G13</f>
        <v>14184</v>
      </c>
      <c r="H13" s="19">
        <f>'Total Weekday Boardings'!H13+'Total Saturday Boardings'!H13+'Total Sunday-Holiday Boardings'!H13</f>
        <v>11599</v>
      </c>
      <c r="I13" s="17">
        <f>'Total Weekday Boardings'!I13+'Total Saturday Boardings'!I13+'Total Sunday-Holiday Boardings'!I13</f>
        <v>11373</v>
      </c>
      <c r="J13" s="18">
        <f>'Total Weekday Boardings'!J13+'Total Saturday Boardings'!J13+'Total Sunday-Holiday Boardings'!J13</f>
        <v>11477</v>
      </c>
      <c r="K13" s="18">
        <f>'Total Weekday Boardings'!K13+'Total Saturday Boardings'!K13+'Total Sunday-Holiday Boardings'!K13</f>
        <v>15719</v>
      </c>
      <c r="L13" s="18">
        <f>'Total Weekday Boardings'!L13+'Total Saturday Boardings'!L13+'Total Sunday-Holiday Boardings'!L13</f>
        <v>15421</v>
      </c>
      <c r="M13" s="18">
        <f>'Total Weekday Boardings'!M13+'Total Saturday Boardings'!M13+'Total Sunday-Holiday Boardings'!M13</f>
        <v>19127</v>
      </c>
      <c r="N13" s="18">
        <f>'Total Weekday Boardings'!N13+'Total Saturday Boardings'!N13+'Total Sunday-Holiday Boardings'!N13</f>
        <v>18120</v>
      </c>
      <c r="O13" s="62">
        <f>'Total Weekday Boardings'!O13+'Total Saturday Boardings'!O13+'Total Sunday-Holiday Boardings'!O13</f>
        <v>17694</v>
      </c>
      <c r="P13" s="62">
        <f>'Total Weekday Boardings'!P13+'Total Saturday Boardings'!P13+'Total Sunday-Holiday Boardings'!P13</f>
        <v>16795</v>
      </c>
      <c r="Q13" s="62">
        <f>'Total Weekday Boardings'!Q13+'Total Saturday Boardings'!Q13+'Total Sunday-Holiday Boardings'!Q13</f>
        <v>20595</v>
      </c>
      <c r="R13" s="62">
        <f>'Total Weekday Boardings'!R13+'Total Saturday Boardings'!R13+'Total Sunday-Holiday Boardings'!R13</f>
        <v>17632</v>
      </c>
      <c r="S13" s="62">
        <f>'Total Weekday Boardings'!S13+'Total Saturday Boardings'!S13+'Total Sunday-Holiday Boardings'!S13</f>
        <v>15766</v>
      </c>
      <c r="T13" s="63">
        <f>'Total Weekday Boardings'!T13+'Total Saturday Boardings'!T13+'Total Sunday-Holiday Boardings'!T13</f>
        <v>24997</v>
      </c>
      <c r="U13" s="64">
        <f>'Total Weekday Boardings'!U13+'Total Saturday Boardings'!U13+'Total Sunday-Holiday Boardings'!U13</f>
        <v>21444</v>
      </c>
      <c r="V13" s="62">
        <f>'Total Weekday Boardings'!V13+'Total Saturday Boardings'!V13+'Total Sunday-Holiday Boardings'!V13</f>
        <v>28166</v>
      </c>
      <c r="W13" s="62">
        <f>'Total Weekday Boardings'!W13+'Total Saturday Boardings'!W13+'Total Sunday-Holiday Boardings'!W13</f>
        <v>27884</v>
      </c>
      <c r="X13" s="62">
        <f>'Total Weekday Boardings'!X13+'Total Saturday Boardings'!X13+'Total Sunday-Holiday Boardings'!X13</f>
        <v>27555</v>
      </c>
      <c r="Y13" s="62">
        <f>'Total Weekday Boardings'!Y13+'Total Saturday Boardings'!Y13+'Total Sunday-Holiday Boardings'!Y13</f>
        <v>28628</v>
      </c>
      <c r="Z13" s="62">
        <f>'Total Weekday Boardings'!Z13+'Total Saturday Boardings'!Z13+'Total Sunday-Holiday Boardings'!Z13</f>
        <v>29467</v>
      </c>
      <c r="AA13" s="18">
        <f>'Total Weekday Boardings'!AA13+'Total Saturday Boardings'!AA13+'Total Sunday-Holiday Boardings'!AA13</f>
        <v>28996</v>
      </c>
      <c r="AB13" s="18">
        <f>'Total Weekday Boardings'!AB13+'Total Saturday Boardings'!AB13+'Total Sunday-Holiday Boardings'!AB13</f>
        <v>27209</v>
      </c>
      <c r="AC13" s="18">
        <f>'Total Weekday Boardings'!AC13+'Total Saturday Boardings'!AC13+'Total Sunday-Holiday Boardings'!AC13</f>
        <v>32769</v>
      </c>
      <c r="AD13" s="18">
        <f>'Total Weekday Boardings'!AD13+'Total Saturday Boardings'!AD13+'Total Sunday-Holiday Boardings'!AD13</f>
        <v>32368</v>
      </c>
      <c r="AE13" s="18">
        <f>'Total Weekday Boardings'!AE13+'Total Saturday Boardings'!AE13+'Total Sunday-Holiday Boardings'!AE13</f>
        <v>28113</v>
      </c>
      <c r="AF13" s="19">
        <f>'Total Weekday Boardings'!AF13+'Total Saturday Boardings'!AF13+'Total Sunday-Holiday Boardings'!AF13</f>
        <v>25182</v>
      </c>
      <c r="AG13" s="17">
        <f>'Total Weekday Boardings'!AG13+'Total Saturday Boardings'!AG13+'Total Sunday-Holiday Boardings'!AG13</f>
        <v>25488</v>
      </c>
      <c r="AH13" s="18">
        <f>'Total Weekday Boardings'!AH13+'Total Saturday Boardings'!AH13+'Total Sunday-Holiday Boardings'!AH13</f>
        <v>28800</v>
      </c>
      <c r="AI13" s="18">
        <f>'Total Weekday Boardings'!AI13+'Total Saturday Boardings'!AI13+'Total Sunday-Holiday Boardings'!AI13</f>
        <v>31290</v>
      </c>
      <c r="AJ13" s="18">
        <f>'Total Weekday Boardings'!AJ13+'Total Saturday Boardings'!AJ13+'Total Sunday-Holiday Boardings'!AJ13</f>
        <v>31473</v>
      </c>
      <c r="AK13" s="18">
        <f>'Total Weekday Boardings'!AK13+'Total Saturday Boardings'!AK13+'Total Sunday-Holiday Boardings'!AK13</f>
        <v>28646</v>
      </c>
      <c r="AL13" s="18">
        <f>'Total Weekday Boardings'!AL13+'Total Saturday Boardings'!AL13+'Total Sunday-Holiday Boardings'!AL13</f>
        <v>31114</v>
      </c>
      <c r="AM13" s="18">
        <f>'Total Weekday Boardings'!AM13+'Total Saturday Boardings'!AM13+'Total Sunday-Holiday Boardings'!AM13</f>
        <v>29861</v>
      </c>
      <c r="AN13" s="18">
        <f>'Total Weekday Boardings'!AN13+'Total Saturday Boardings'!AN13+'Total Sunday-Holiday Boardings'!AN13</f>
        <v>29690</v>
      </c>
      <c r="AO13" s="18">
        <f>'Total Weekday Boardings'!AO13+'Total Saturday Boardings'!AO13+'Total Sunday-Holiday Boardings'!AO13</f>
        <v>31582</v>
      </c>
      <c r="AP13" s="18">
        <f>'Total Weekday Boardings'!AP13+'Total Saturday Boardings'!AP13+'Total Sunday-Holiday Boardings'!AP13</f>
        <v>33644</v>
      </c>
      <c r="AQ13" s="18">
        <f>'Total Weekday Boardings'!AQ13+'Total Saturday Boardings'!AQ13+'Total Sunday-Holiday Boardings'!AQ13</f>
        <v>31145</v>
      </c>
      <c r="AR13" s="19">
        <f>'Total Weekday Boardings'!AR13+'Total Saturday Boardings'!AR13+'Total Sunday-Holiday Boardings'!AR13</f>
        <v>25396</v>
      </c>
      <c r="AS13" s="17">
        <f>'Total Weekday Boardings'!AS13+'Total Saturday Boardings'!AS13+'Total Sunday-Holiday Boardings'!AS13</f>
        <v>24267</v>
      </c>
      <c r="AT13" s="18">
        <f>'Total Weekday Boardings'!AT13+'Total Saturday Boardings'!AT13+'Total Sunday-Holiday Boardings'!AT13</f>
        <v>29156</v>
      </c>
      <c r="AU13" s="18">
        <f>'Total Weekday Boardings'!AU13+'Total Saturday Boardings'!AU13+'Total Sunday-Holiday Boardings'!AU13</f>
        <v>29841</v>
      </c>
      <c r="AV13" s="18">
        <f>'Total Weekday Boardings'!AV13+'Total Saturday Boardings'!AV13+'Total Sunday-Holiday Boardings'!AV13</f>
        <v>34633</v>
      </c>
      <c r="AW13" s="18">
        <f>'Total Weekday Boardings'!AW13+'Total Saturday Boardings'!AW13+'Total Sunday-Holiday Boardings'!AW13</f>
        <v>32066</v>
      </c>
      <c r="AX13" s="18">
        <f>'Total Weekday Boardings'!AX13+'Total Saturday Boardings'!AX13+'Total Sunday-Holiday Boardings'!AX13</f>
        <v>33143</v>
      </c>
      <c r="AY13" s="18">
        <f>'Total Weekday Boardings'!AY13+'Total Saturday Boardings'!AY13+'Total Sunday-Holiday Boardings'!AY13</f>
        <v>30906</v>
      </c>
      <c r="AZ13" s="18">
        <f>'Total Weekday Boardings'!AZ13+'Total Saturday Boardings'!AZ13+'Total Sunday-Holiday Boardings'!AZ13</f>
        <v>30324</v>
      </c>
      <c r="BA13" s="18">
        <f>'Total Weekday Boardings'!BA13+'Total Saturday Boardings'!BA13+'Total Sunday-Holiday Boardings'!BA13</f>
        <v>31933</v>
      </c>
      <c r="BB13" s="18">
        <f>'Total Weekday Boardings'!BB13+'Total Saturday Boardings'!BB13+'Total Sunday-Holiday Boardings'!BB13</f>
        <v>34055</v>
      </c>
      <c r="BC13" s="18">
        <f>'Total Weekday Boardings'!BC13+'Total Saturday Boardings'!BC13+'Total Sunday-Holiday Boardings'!BC13</f>
        <v>31151</v>
      </c>
      <c r="BD13" s="19">
        <f>'Total Weekday Boardings'!BD13+'Total Saturday Boardings'!BD13+'Total Sunday-Holiday Boardings'!BD13</f>
        <v>24810</v>
      </c>
      <c r="BE13" s="17">
        <f>'Total Weekday Boardings'!BE13+'Total Saturday Boardings'!BE13+'Total Sunday-Holiday Boardings'!BE13</f>
        <v>25102</v>
      </c>
      <c r="BF13" s="18">
        <f>'Total Weekday Boardings'!BF13+'Total Saturday Boardings'!BF13+'Total Sunday-Holiday Boardings'!BF13</f>
        <v>27205</v>
      </c>
      <c r="BG13" s="18">
        <f>'Total Weekday Boardings'!BG13+'Total Saturday Boardings'!BG13+'Total Sunday-Holiday Boardings'!BG13</f>
        <v>28539</v>
      </c>
      <c r="BH13" s="18">
        <f>'Total Weekday Boardings'!BH13+'Total Saturday Boardings'!BH13+'Total Sunday-Holiday Boardings'!BH13</f>
        <v>30398</v>
      </c>
      <c r="BI13" s="18">
        <f>'Total Weekday Boardings'!BI13+'Total Saturday Boardings'!BI13+'Total Sunday-Holiday Boardings'!BI13</f>
        <v>28618.917681051957</v>
      </c>
      <c r="BJ13" s="18">
        <f>'Total Weekday Boardings'!BJ13+'Total Saturday Boardings'!BJ13+'Total Sunday-Holiday Boardings'!BJ13</f>
        <v>29452</v>
      </c>
      <c r="BK13" s="18">
        <f>'Total Weekday Boardings'!BK13+'Total Saturday Boardings'!BK13+'Total Sunday-Holiday Boardings'!BK13</f>
        <v>29266</v>
      </c>
      <c r="BL13" s="18">
        <f>'Total Weekday Boardings'!BL13+'Total Saturday Boardings'!BL13+'Total Sunday-Holiday Boardings'!BL13</f>
        <v>27513</v>
      </c>
      <c r="BM13" s="18">
        <f>'Total Weekday Boardings'!BM13+'Total Saturday Boardings'!BM13+'Total Sunday-Holiday Boardings'!BM13</f>
        <v>30261</v>
      </c>
      <c r="BN13" s="18">
        <f>'Total Weekday Boardings'!BN13+'Total Saturday Boardings'!BN13+'Total Sunday-Holiday Boardings'!BN13</f>
        <v>30075</v>
      </c>
      <c r="BO13" s="18">
        <f>'Total Weekday Boardings'!BO13+'Total Saturday Boardings'!BO13+'Total Sunday-Holiday Boardings'!BO13</f>
        <v>27330</v>
      </c>
      <c r="BP13" s="19">
        <f>'Total Weekday Boardings'!BP13+'Total Saturday Boardings'!BP13+'Total Sunday-Holiday Boardings'!BP13</f>
        <v>24546</v>
      </c>
      <c r="BQ13" s="17">
        <f>'Total Weekday Boardings'!BQ13+'Total Saturday Boardings'!BQ13+'Total Sunday-Holiday Boardings'!BQ13</f>
        <v>22642</v>
      </c>
      <c r="BR13" s="18">
        <f>'Total Weekday Boardings'!BR13+'Total Saturday Boardings'!BR13+'Total Sunday-Holiday Boardings'!BR13</f>
        <v>25113</v>
      </c>
      <c r="BS13" s="18">
        <f>'Total Weekday Boardings'!BS13+'Total Saturday Boardings'!BS13+'Total Sunday-Holiday Boardings'!BS13</f>
        <v>26697</v>
      </c>
      <c r="BT13" s="18">
        <f>'Total Weekday Boardings'!BT13+'Total Saturday Boardings'!BT13+'Total Sunday-Holiday Boardings'!BT13</f>
        <v>29688</v>
      </c>
      <c r="BU13" s="18">
        <f>'Total Weekday Boardings'!BU13+'Total Saturday Boardings'!BU13+'Total Sunday-Holiday Boardings'!BU13</f>
        <v>27383</v>
      </c>
      <c r="BV13" s="18">
        <f>'Total Weekday Boardings'!BV13+'Total Saturday Boardings'!BV13+'Total Sunday-Holiday Boardings'!BV13</f>
        <v>29551</v>
      </c>
      <c r="BW13" s="18">
        <f>'Total Weekday Boardings'!BW13+'Total Saturday Boardings'!BW13+'Total Sunday-Holiday Boardings'!BW13</f>
        <v>35847</v>
      </c>
      <c r="BX13" s="18">
        <f>'Total Weekday Boardings'!BX13+'Total Saturday Boardings'!BX13+'Total Sunday-Holiday Boardings'!BX13</f>
        <v>27731</v>
      </c>
      <c r="BY13" s="18">
        <f>'Total Weekday Boardings'!BY13+'Total Saturday Boardings'!BY13+'Total Sunday-Holiday Boardings'!BY13</f>
        <v>29365</v>
      </c>
      <c r="BZ13" s="18">
        <f>'Total Weekday Boardings'!BZ13+'Total Saturday Boardings'!BZ13+'Total Sunday-Holiday Boardings'!BZ13</f>
        <v>29910</v>
      </c>
      <c r="CA13" s="18">
        <f>'Total Weekday Boardings'!CA13+'Total Saturday Boardings'!CA13+'Total Sunday-Holiday Boardings'!CA13</f>
        <v>27630</v>
      </c>
      <c r="CB13" s="19">
        <f>'Total Weekday Boardings'!CB13+'Total Saturday Boardings'!CB13+'Total Sunday-Holiday Boardings'!CB13</f>
        <v>21596</v>
      </c>
      <c r="CC13" s="20">
        <f>'Total Weekday Boardings'!CC13+'Total Saturday Boardings'!CC13+'Total Sunday-Holiday Boardings'!CC13</f>
        <v>22587</v>
      </c>
      <c r="CD13" s="18">
        <f>'Total Weekday Boardings'!CD13+'Total Saturday Boardings'!CD13+'Total Sunday-Holiday Boardings'!CD13</f>
        <v>24273</v>
      </c>
      <c r="CE13" s="18">
        <f>'Total Weekday Boardings'!CE13+'Total Saturday Boardings'!CE13+'Total Sunday-Holiday Boardings'!CE13</f>
        <v>27276</v>
      </c>
      <c r="CF13" s="18">
        <f>'Total Weekday Boardings'!CF13+'Total Saturday Boardings'!CF13+'Total Sunday-Holiday Boardings'!CF13</f>
        <v>29644</v>
      </c>
      <c r="CG13" s="18">
        <f>'Total Weekday Boardings'!CG13+'Total Saturday Boardings'!CG13+'Total Sunday-Holiday Boardings'!CG13</f>
        <v>26220</v>
      </c>
      <c r="CH13" s="18">
        <f>'Total Weekday Boardings'!CH13+'Total Saturday Boardings'!CH13+'Total Sunday-Holiday Boardings'!CH13</f>
        <v>27750</v>
      </c>
      <c r="CI13" s="18">
        <f>'Total Weekday Boardings'!CI13+'Total Saturday Boardings'!CI13+'Total Sunday-Holiday Boardings'!CI13</f>
        <v>29827</v>
      </c>
      <c r="CJ13" s="18">
        <f>'Total Weekday Boardings'!CJ13+'Total Saturday Boardings'!CJ13+'Total Sunday-Holiday Boardings'!CJ13</f>
        <v>26661</v>
      </c>
      <c r="CK13" s="18">
        <f>'Total Weekday Boardings'!CK13+'Total Saturday Boardings'!CK13+'Total Sunday-Holiday Boardings'!CK13</f>
        <v>29080</v>
      </c>
      <c r="CL13" s="18">
        <f>'Total Weekday Boardings'!CL13+'Total Saturday Boardings'!CL13+'Total Sunday-Holiday Boardings'!CL13</f>
        <v>30880</v>
      </c>
      <c r="CM13" s="18">
        <f>'Total Weekday Boardings'!CM13+'Total Saturday Boardings'!CM13+'Total Sunday-Holiday Boardings'!CM13</f>
        <v>27504</v>
      </c>
      <c r="CN13" s="21">
        <f>'Total Weekday Boardings'!CN13+'Total Saturday Boardings'!CN13+'Total Sunday-Holiday Boardings'!CN13</f>
        <v>24362</v>
      </c>
      <c r="CO13" s="17">
        <f>'Total Weekday Boardings'!CO13+'Total Saturday Boardings'!CO13+'Total Sunday-Holiday Boardings'!CO13</f>
        <v>22127</v>
      </c>
      <c r="CP13" s="18">
        <f>'Total Weekday Boardings'!CP13+'Total Saturday Boardings'!CP13+'Total Sunday-Holiday Boardings'!CP13</f>
        <v>26175</v>
      </c>
      <c r="CQ13" s="18">
        <f>'Total Weekday Boardings'!CQ13+'Total Saturday Boardings'!CQ13+'Total Sunday-Holiday Boardings'!CQ13</f>
        <v>27463</v>
      </c>
      <c r="CR13" s="18">
        <f>'Total Weekday Boardings'!CR13+'Total Saturday Boardings'!CR13+'Total Sunday-Holiday Boardings'!CR13</f>
        <v>27770</v>
      </c>
      <c r="CS13" s="18">
        <f>'Total Weekday Boardings'!CS13+'Total Saturday Boardings'!CS13+'Total Sunday-Holiday Boardings'!CS13</f>
        <v>27089</v>
      </c>
      <c r="CT13" s="18">
        <f>'Total Weekday Boardings'!CT13+'Total Saturday Boardings'!CT13+'Total Sunday-Holiday Boardings'!CT13</f>
        <v>29380</v>
      </c>
      <c r="CU13" s="18">
        <f>'Total Weekday Boardings'!CU13+'Total Saturday Boardings'!CU13+'Total Sunday-Holiday Boardings'!CU13</f>
        <v>27205</v>
      </c>
      <c r="CV13" s="18">
        <f>'Total Weekday Boardings'!CV13+'Total Saturday Boardings'!CV13+'Total Sunday-Holiday Boardings'!CV13</f>
        <v>26528</v>
      </c>
      <c r="CW13" s="18">
        <f>'Total Weekday Boardings'!CW13+'Total Saturday Boardings'!CW13+'Total Sunday-Holiday Boardings'!CW13</f>
        <v>29940</v>
      </c>
      <c r="CX13" s="18">
        <f>'Total Weekday Boardings'!CX13+'Total Saturday Boardings'!CX13+'Total Sunday-Holiday Boardings'!CX13</f>
        <v>32238</v>
      </c>
      <c r="CY13" s="18">
        <f>'Total Weekday Boardings'!CY13+'Total Saturday Boardings'!CY13+'Total Sunday-Holiday Boardings'!CY13</f>
        <v>27789</v>
      </c>
      <c r="CZ13" s="19">
        <f>'Total Weekday Boardings'!CZ13+'Total Saturday Boardings'!CZ13+'Total Sunday-Holiday Boardings'!CZ13</f>
        <v>22351</v>
      </c>
      <c r="DA13" s="17">
        <f>'Total Weekday Boardings'!DA13+'Total Saturday Boardings'!DA13+'Total Sunday-Holiday Boardings'!DA13</f>
        <v>21061</v>
      </c>
      <c r="DB13" s="18">
        <f>'Total Weekday Boardings'!DB13+'Total Saturday Boardings'!DB13+'Total Sunday-Holiday Boardings'!DB13</f>
        <v>27032</v>
      </c>
      <c r="DC13" s="18">
        <f>'Total Weekday Boardings'!DC13+'Total Saturday Boardings'!DC13+'Total Sunday-Holiday Boardings'!DC13</f>
        <v>25970</v>
      </c>
      <c r="DD13" s="18">
        <f>'Total Weekday Boardings'!DD13+'Total Saturday Boardings'!DD13+'Total Sunday-Holiday Boardings'!DD13</f>
        <v>30000</v>
      </c>
      <c r="DE13" s="18">
        <f>'Total Weekday Boardings'!DE13+'Total Saturday Boardings'!DE13+'Total Sunday-Holiday Boardings'!DE13</f>
        <v>26686</v>
      </c>
      <c r="DF13" s="18">
        <f>'Total Weekday Boardings'!DF13+'Total Saturday Boardings'!DF13+'Total Sunday-Holiday Boardings'!DF13</f>
        <v>27464</v>
      </c>
      <c r="DG13" s="18">
        <f>'Total Weekday Boardings'!DG13+'Total Saturday Boardings'!DG13+'Total Sunday-Holiday Boardings'!DG13</f>
        <v>26212</v>
      </c>
      <c r="DH13" s="18">
        <f>'Total Weekday Boardings'!DH13+'Total Saturday Boardings'!DH13+'Total Sunday-Holiday Boardings'!DH13</f>
        <v>25277</v>
      </c>
      <c r="DI13" s="18">
        <f>'Total Weekday Boardings'!DI13+'Total Saturday Boardings'!DI13+'Total Sunday-Holiday Boardings'!DI13</f>
        <v>28105</v>
      </c>
      <c r="DJ13" s="18">
        <f>'Total Weekday Boardings'!DJ13+'Total Saturday Boardings'!DJ13+'Total Sunday-Holiday Boardings'!DJ13</f>
        <v>27341</v>
      </c>
      <c r="DK13" s="18">
        <f>'Total Weekday Boardings'!DK13+'Total Saturday Boardings'!DK13+'Total Sunday-Holiday Boardings'!DK13</f>
        <v>25689</v>
      </c>
      <c r="DL13" s="19">
        <f>'Total Weekday Boardings'!DL13+'Total Saturday Boardings'!DL13+'Total Sunday-Holiday Boardings'!DL13</f>
        <v>20461</v>
      </c>
      <c r="DM13" s="17">
        <f>'Total Weekday Boardings'!DM13+'Total Saturday Boardings'!DM13+'Total Sunday-Holiday Boardings'!DM13</f>
        <v>19034</v>
      </c>
      <c r="DN13" s="18">
        <f>'Total Weekday Boardings'!DN13+'Total Saturday Boardings'!DN13+'Total Sunday-Holiday Boardings'!DN13</f>
        <v>23220</v>
      </c>
      <c r="DO13" s="18">
        <f>'Total Weekday Boardings'!DO13+'Total Saturday Boardings'!DO13+'Total Sunday-Holiday Boardings'!DO13</f>
        <v>22371</v>
      </c>
      <c r="DP13" s="18">
        <f>'Total Weekday Boardings'!DP13+'Total Saturday Boardings'!DP13+'Total Sunday-Holiday Boardings'!DP13</f>
        <v>24223</v>
      </c>
      <c r="DQ13" s="18">
        <f>'Total Weekday Boardings'!DQ13+'Total Saturday Boardings'!DQ13+'Total Sunday-Holiday Boardings'!DQ13</f>
        <v>23753</v>
      </c>
      <c r="DR13" s="18">
        <f>'Total Weekday Boardings'!DR13+'Total Saturday Boardings'!DR13+'Total Sunday-Holiday Boardings'!DR13</f>
        <v>25223</v>
      </c>
      <c r="DS13" s="18">
        <f>'Total Weekday Boardings'!DS13+'Total Saturday Boardings'!DS13+'Total Sunday-Holiday Boardings'!DS13</f>
        <v>23583</v>
      </c>
      <c r="DT13" s="18">
        <f>'Total Weekday Boardings'!DT13+'Total Saturday Boardings'!DT13+'Total Sunday-Holiday Boardings'!DT13</f>
        <v>21638</v>
      </c>
      <c r="DU13" s="18">
        <f>'Total Weekday Boardings'!DU13+'Total Saturday Boardings'!DU13+'Total Sunday-Holiday Boardings'!DU13</f>
        <v>25550</v>
      </c>
      <c r="DV13" s="18">
        <f>'Total Weekday Boardings'!DV13+'Total Saturday Boardings'!DV13+'Total Sunday-Holiday Boardings'!DV13</f>
        <v>24627</v>
      </c>
      <c r="DW13" s="18">
        <f>'Total Weekday Boardings'!DW13+'Total Saturday Boardings'!DW13+'Total Sunday-Holiday Boardings'!DW13</f>
        <v>24423</v>
      </c>
      <c r="DX13" s="19">
        <f>'Total Weekday Boardings'!DX13+'Total Saturday Boardings'!DX13+'Total Sunday-Holiday Boardings'!DX13</f>
        <v>20614</v>
      </c>
      <c r="DY13" s="137">
        <v>18647</v>
      </c>
      <c r="DZ13" s="18">
        <v>21470</v>
      </c>
      <c r="EA13" s="18">
        <v>21851</v>
      </c>
      <c r="EB13" s="18">
        <v>23143</v>
      </c>
      <c r="EC13" s="18">
        <v>22344</v>
      </c>
      <c r="ED13" s="18">
        <v>20808</v>
      </c>
      <c r="EE13" s="18">
        <v>21017</v>
      </c>
      <c r="EF13" s="18">
        <v>20822</v>
      </c>
      <c r="EG13" s="18">
        <v>15024</v>
      </c>
      <c r="EH13" s="18">
        <v>7821</v>
      </c>
      <c r="EI13" s="18">
        <v>8013</v>
      </c>
      <c r="EJ13" s="19">
        <v>7735</v>
      </c>
      <c r="EK13" s="100">
        <v>7392</v>
      </c>
      <c r="EL13" s="18">
        <v>7680</v>
      </c>
      <c r="EM13" s="18">
        <v>7870</v>
      </c>
      <c r="EN13" s="103">
        <v>8830</v>
      </c>
      <c r="EO13" s="18">
        <v>8929</v>
      </c>
      <c r="EP13" s="18">
        <v>6594</v>
      </c>
      <c r="EQ13" s="18">
        <v>3833</v>
      </c>
      <c r="ER13" s="18">
        <v>7050</v>
      </c>
      <c r="ES13" s="18">
        <v>8595</v>
      </c>
      <c r="ET13" s="18">
        <v>9507</v>
      </c>
      <c r="EU13" s="18">
        <v>8977</v>
      </c>
      <c r="EV13" s="19">
        <v>9074</v>
      </c>
      <c r="EW13" s="103">
        <v>8929</v>
      </c>
      <c r="EX13" s="18">
        <v>10101</v>
      </c>
      <c r="EY13" s="18">
        <v>9754</v>
      </c>
      <c r="EZ13" s="103">
        <v>10804</v>
      </c>
      <c r="FA13" s="18">
        <v>11525</v>
      </c>
      <c r="FB13" s="145">
        <v>12378</v>
      </c>
      <c r="FC13" s="18">
        <v>9974</v>
      </c>
      <c r="FD13" s="18">
        <v>11607</v>
      </c>
      <c r="FE13" s="18">
        <v>14713</v>
      </c>
      <c r="FF13" s="18">
        <v>13623</v>
      </c>
      <c r="FG13" s="13">
        <f>SUM('Total Weekday Boardings'!FG13,'Total Saturday Boardings'!FG13,'Total Sunday-Holiday Boardings'!FG13)</f>
        <v>13333</v>
      </c>
      <c r="FH13" s="13">
        <f>SUM('Total Weekday Boardings'!FH13,'Total Saturday Boardings'!FH13,'Total Sunday-Holiday Boardings'!FH13)</f>
        <v>9635</v>
      </c>
      <c r="FI13" s="13">
        <f>SUM('Total Weekday Boardings'!FI13,'Total Saturday Boardings'!FI13,'Total Sunday-Holiday Boardings'!FI13)</f>
        <v>10506</v>
      </c>
      <c r="FJ13" s="13">
        <f>SUM('Total Weekday Boardings'!FJ13,'Total Saturday Boardings'!FJ13,'Total Sunday-Holiday Boardings'!FJ13)</f>
        <v>11149</v>
      </c>
      <c r="FK13" s="13">
        <f>SUM('Total Weekday Boardings'!FK13,'Total Saturday Boardings'!FK13,'Total Sunday-Holiday Boardings'!FK13)</f>
        <v>12627.25</v>
      </c>
      <c r="FL13" s="13">
        <f>SUM('Total Weekday Boardings'!FL13,'Total Saturday Boardings'!FL13,'Total Sunday-Holiday Boardings'!FL13)</f>
        <v>12935</v>
      </c>
      <c r="FM13" s="13">
        <f>SUM('Total Weekday Boardings'!FM13,'Total Saturday Boardings'!FM13,'Total Sunday-Holiday Boardings'!FM13)</f>
        <v>12847</v>
      </c>
      <c r="FN13" s="13">
        <f>SUM('Total Weekday Boardings'!FN13,'Total Saturday Boardings'!FN13,'Total Sunday-Holiday Boardings'!FN13)</f>
        <v>12986</v>
      </c>
      <c r="FO13" s="13">
        <f>SUM('Total Weekday Boardings'!FO13,'Total Saturday Boardings'!FO13,'Total Sunday-Holiday Boardings'!FO13)</f>
        <v>13122</v>
      </c>
      <c r="FP13" s="13">
        <f>SUM('Total Weekday Boardings'!FP13,'Total Saturday Boardings'!FP13,'Total Sunday-Holiday Boardings'!FP13)</f>
        <v>15885</v>
      </c>
      <c r="FQ13" s="13">
        <f>SUM('Total Weekday Boardings'!FQ13,'Total Saturday Boardings'!FQ13,'Total Sunday-Holiday Boardings'!FQ13)</f>
        <v>15537</v>
      </c>
      <c r="FR13" s="13">
        <f>SUM('Total Weekday Boardings'!FR13,'Total Saturday Boardings'!FR13,'Total Sunday-Holiday Boardings'!FR13)</f>
        <v>15686</v>
      </c>
      <c r="FS13" s="13">
        <f>SUM('Total Weekday Boardings'!FS13,'Total Saturday Boardings'!FS13,'Total Sunday-Holiday Boardings'!FS13)</f>
        <v>15636</v>
      </c>
      <c r="FT13" s="16">
        <f>SUM('Total Weekday Boardings'!FT13,'Total Saturday Boardings'!FT13,'Total Sunday-Holiday Boardings'!FT13)</f>
        <v>13809</v>
      </c>
      <c r="FU13" s="171">
        <v>13224</v>
      </c>
      <c r="FV13" s="171">
        <v>14477</v>
      </c>
      <c r="FW13" s="171">
        <v>13980</v>
      </c>
      <c r="FX13" s="171">
        <v>17233</v>
      </c>
      <c r="FY13" s="171">
        <v>14333</v>
      </c>
      <c r="FZ13" s="171">
        <v>15497</v>
      </c>
      <c r="GA13" s="171">
        <v>14766</v>
      </c>
      <c r="GB13" s="52">
        <v>15051</v>
      </c>
      <c r="GC13" s="52">
        <v>15327</v>
      </c>
      <c r="GD13" s="52">
        <v>14932</v>
      </c>
      <c r="GE13" s="18">
        <v>14211</v>
      </c>
      <c r="GF13" s="52">
        <v>12542</v>
      </c>
      <c r="GG13" s="184">
        <v>12118</v>
      </c>
      <c r="GH13" s="52">
        <v>13054</v>
      </c>
      <c r="GI13" s="18">
        <v>13550</v>
      </c>
      <c r="GJ13" s="236">
        <v>13436</v>
      </c>
      <c r="GK13" s="184">
        <v>13361</v>
      </c>
      <c r="GL13" s="184">
        <v>13944</v>
      </c>
    </row>
    <row r="14" spans="1:194" ht="15" thickBot="1" x14ac:dyDescent="0.35">
      <c r="A14" s="3" t="s">
        <v>7</v>
      </c>
      <c r="B14" s="17"/>
      <c r="C14" s="18">
        <f>'Total Weekday Boardings'!C14+'Total Saturday Boardings'!C14+'Total Sunday-Holiday Boardings'!C14</f>
        <v>16279</v>
      </c>
      <c r="D14" s="18">
        <f>'Total Weekday Boardings'!D14+'Total Saturday Boardings'!D14+'Total Sunday-Holiday Boardings'!D14</f>
        <v>21604</v>
      </c>
      <c r="E14" s="18">
        <f>'Total Weekday Boardings'!E14+'Total Saturday Boardings'!E14+'Total Sunday-Holiday Boardings'!E14</f>
        <v>19583</v>
      </c>
      <c r="F14" s="18">
        <f>'Total Weekday Boardings'!F14+'Total Saturday Boardings'!F14+'Total Sunday-Holiday Boardings'!F14</f>
        <v>22885</v>
      </c>
      <c r="G14" s="18">
        <f>'Total Weekday Boardings'!G14+'Total Saturday Boardings'!G14+'Total Sunday-Holiday Boardings'!G14</f>
        <v>15669</v>
      </c>
      <c r="H14" s="19">
        <f>'Total Weekday Boardings'!H14+'Total Saturday Boardings'!H14+'Total Sunday-Holiday Boardings'!H14</f>
        <v>9305</v>
      </c>
      <c r="I14" s="17">
        <f>'Total Weekday Boardings'!I14+'Total Saturday Boardings'!I14+'Total Sunday-Holiday Boardings'!I14</f>
        <v>13790</v>
      </c>
      <c r="J14" s="18">
        <f>'Total Weekday Boardings'!J14+'Total Saturday Boardings'!J14+'Total Sunday-Holiday Boardings'!J14</f>
        <v>13758</v>
      </c>
      <c r="K14" s="18">
        <f>'Total Weekday Boardings'!K14+'Total Saturday Boardings'!K14+'Total Sunday-Holiday Boardings'!K14</f>
        <v>30496</v>
      </c>
      <c r="L14" s="18">
        <f>'Total Weekday Boardings'!L14+'Total Saturday Boardings'!L14+'Total Sunday-Holiday Boardings'!L14</f>
        <v>32344</v>
      </c>
      <c r="M14" s="18">
        <f>'Total Weekday Boardings'!M14+'Total Saturday Boardings'!M14+'Total Sunday-Holiday Boardings'!M14</f>
        <v>29005</v>
      </c>
      <c r="N14" s="18">
        <f>'Total Weekday Boardings'!N14+'Total Saturday Boardings'!N14+'Total Sunday-Holiday Boardings'!N14</f>
        <v>29856</v>
      </c>
      <c r="O14" s="62">
        <f>'Total Weekday Boardings'!O14+'Total Saturday Boardings'!O14+'Total Sunday-Holiday Boardings'!O14</f>
        <v>28864</v>
      </c>
      <c r="P14" s="62">
        <f>'Total Weekday Boardings'!P14+'Total Saturday Boardings'!P14+'Total Sunday-Holiday Boardings'!P14</f>
        <v>29430</v>
      </c>
      <c r="Q14" s="62">
        <f>'Total Weekday Boardings'!Q14+'Total Saturday Boardings'!Q14+'Total Sunday-Holiday Boardings'!Q14</f>
        <v>33165</v>
      </c>
      <c r="R14" s="62">
        <f>'Total Weekday Boardings'!R14+'Total Saturday Boardings'!R14+'Total Sunday-Holiday Boardings'!R14</f>
        <v>36552</v>
      </c>
      <c r="S14" s="62">
        <f>'Total Weekday Boardings'!S14+'Total Saturday Boardings'!S14+'Total Sunday-Holiday Boardings'!S14</f>
        <v>28081</v>
      </c>
      <c r="T14" s="63">
        <f>'Total Weekday Boardings'!T14+'Total Saturday Boardings'!T14+'Total Sunday-Holiday Boardings'!T14</f>
        <v>21121</v>
      </c>
      <c r="U14" s="64">
        <f>'Total Weekday Boardings'!U14+'Total Saturday Boardings'!U14+'Total Sunday-Holiday Boardings'!U14</f>
        <v>11616</v>
      </c>
      <c r="V14" s="62">
        <f>'Total Weekday Boardings'!V14+'Total Saturday Boardings'!V14+'Total Sunday-Holiday Boardings'!V14</f>
        <v>31538</v>
      </c>
      <c r="W14" s="62">
        <f>'Total Weekday Boardings'!W14+'Total Saturday Boardings'!W14+'Total Sunday-Holiday Boardings'!W14</f>
        <v>32791</v>
      </c>
      <c r="X14" s="62">
        <f>'Total Weekday Boardings'!X14+'Total Saturday Boardings'!X14+'Total Sunday-Holiday Boardings'!X14</f>
        <v>27526</v>
      </c>
      <c r="Y14" s="62">
        <f>'Total Weekday Boardings'!Y14+'Total Saturday Boardings'!Y14+'Total Sunday-Holiday Boardings'!Y14</f>
        <v>29220</v>
      </c>
      <c r="Z14" s="62">
        <f>'Total Weekday Boardings'!Z14+'Total Saturday Boardings'!Z14+'Total Sunday-Holiday Boardings'!Z14</f>
        <v>23064</v>
      </c>
      <c r="AA14" s="18">
        <f>'Total Weekday Boardings'!AA14+'Total Saturday Boardings'!AA14+'Total Sunday-Holiday Boardings'!AA14</f>
        <v>30120</v>
      </c>
      <c r="AB14" s="18">
        <f>'Total Weekday Boardings'!AB14+'Total Saturday Boardings'!AB14+'Total Sunday-Holiday Boardings'!AB14</f>
        <v>28411</v>
      </c>
      <c r="AC14" s="18">
        <f>'Total Weekday Boardings'!AC14+'Total Saturday Boardings'!AC14+'Total Sunday-Holiday Boardings'!AC14</f>
        <v>28873</v>
      </c>
      <c r="AD14" s="18">
        <f>'Total Weekday Boardings'!AD14+'Total Saturday Boardings'!AD14+'Total Sunday-Holiday Boardings'!AD14</f>
        <v>30001</v>
      </c>
      <c r="AE14" s="18">
        <f>'Total Weekday Boardings'!AE14+'Total Saturday Boardings'!AE14+'Total Sunday-Holiday Boardings'!AE14</f>
        <v>24576</v>
      </c>
      <c r="AF14" s="19">
        <f>'Total Weekday Boardings'!AF14+'Total Saturday Boardings'!AF14+'Total Sunday-Holiday Boardings'!AF14</f>
        <v>18280</v>
      </c>
      <c r="AG14" s="17">
        <f>'Total Weekday Boardings'!AG14+'Total Saturday Boardings'!AG14+'Total Sunday-Holiday Boardings'!AG14</f>
        <v>12458</v>
      </c>
      <c r="AH14" s="18">
        <f>'Total Weekday Boardings'!AH14+'Total Saturday Boardings'!AH14+'Total Sunday-Holiday Boardings'!AH14</f>
        <v>29173</v>
      </c>
      <c r="AI14" s="18">
        <f>'Total Weekday Boardings'!AI14+'Total Saturday Boardings'!AI14+'Total Sunday-Holiday Boardings'!AI14</f>
        <v>33165</v>
      </c>
      <c r="AJ14" s="18">
        <f>'Total Weekday Boardings'!AJ14+'Total Saturday Boardings'!AJ14+'Total Sunday-Holiday Boardings'!AJ14</f>
        <v>29029</v>
      </c>
      <c r="AK14" s="18">
        <f>'Total Weekday Boardings'!AK14+'Total Saturday Boardings'!AK14+'Total Sunday-Holiday Boardings'!AK14</f>
        <v>28634</v>
      </c>
      <c r="AL14" s="18">
        <f>'Total Weekday Boardings'!AL14+'Total Saturday Boardings'!AL14+'Total Sunday-Holiday Boardings'!AL14</f>
        <v>25865</v>
      </c>
      <c r="AM14" s="18">
        <f>'Total Weekday Boardings'!AM14+'Total Saturday Boardings'!AM14+'Total Sunday-Holiday Boardings'!AM14</f>
        <v>26866</v>
      </c>
      <c r="AN14" s="18">
        <f>'Total Weekday Boardings'!AN14+'Total Saturday Boardings'!AN14+'Total Sunday-Holiday Boardings'!AN14</f>
        <v>29299</v>
      </c>
      <c r="AO14" s="18">
        <f>'Total Weekday Boardings'!AO14+'Total Saturday Boardings'!AO14+'Total Sunday-Holiday Boardings'!AO14</f>
        <v>27657</v>
      </c>
      <c r="AP14" s="18">
        <f>'Total Weekday Boardings'!AP14+'Total Saturday Boardings'!AP14+'Total Sunday-Holiday Boardings'!AP14</f>
        <v>32104</v>
      </c>
      <c r="AQ14" s="18">
        <f>'Total Weekday Boardings'!AQ14+'Total Saturday Boardings'!AQ14+'Total Sunday-Holiday Boardings'!AQ14</f>
        <v>29434</v>
      </c>
      <c r="AR14" s="19">
        <f>'Total Weekday Boardings'!AR14+'Total Saturday Boardings'!AR14+'Total Sunday-Holiday Boardings'!AR14</f>
        <v>17523</v>
      </c>
      <c r="AS14" s="17">
        <f>'Total Weekday Boardings'!AS14+'Total Saturday Boardings'!AS14+'Total Sunday-Holiday Boardings'!AS14</f>
        <v>14777</v>
      </c>
      <c r="AT14" s="18">
        <f>'Total Weekday Boardings'!AT14+'Total Saturday Boardings'!AT14+'Total Sunday-Holiday Boardings'!AT14</f>
        <v>36103</v>
      </c>
      <c r="AU14" s="18">
        <f>'Total Weekday Boardings'!AU14+'Total Saturday Boardings'!AU14+'Total Sunday-Holiday Boardings'!AU14</f>
        <v>36920</v>
      </c>
      <c r="AV14" s="18">
        <f>'Total Weekday Boardings'!AV14+'Total Saturday Boardings'!AV14+'Total Sunday-Holiday Boardings'!AV14</f>
        <v>35423</v>
      </c>
      <c r="AW14" s="18">
        <f>'Total Weekday Boardings'!AW14+'Total Saturday Boardings'!AW14+'Total Sunday-Holiday Boardings'!AW14</f>
        <v>34313</v>
      </c>
      <c r="AX14" s="18">
        <f>'Total Weekday Boardings'!AX14+'Total Saturday Boardings'!AX14+'Total Sunday-Holiday Boardings'!AX14</f>
        <v>28171</v>
      </c>
      <c r="AY14" s="18">
        <f>'Total Weekday Boardings'!AY14+'Total Saturday Boardings'!AY14+'Total Sunday-Holiday Boardings'!AY14</f>
        <v>30940</v>
      </c>
      <c r="AZ14" s="18">
        <f>'Total Weekday Boardings'!AZ14+'Total Saturday Boardings'!AZ14+'Total Sunday-Holiday Boardings'!AZ14</f>
        <v>30637</v>
      </c>
      <c r="BA14" s="18">
        <f>'Total Weekday Boardings'!BA14+'Total Saturday Boardings'!BA14+'Total Sunday-Holiday Boardings'!BA14</f>
        <v>28823</v>
      </c>
      <c r="BB14" s="18">
        <f>'Total Weekday Boardings'!BB14+'Total Saturday Boardings'!BB14+'Total Sunday-Holiday Boardings'!BB14</f>
        <v>32949</v>
      </c>
      <c r="BC14" s="18">
        <f>'Total Weekday Boardings'!BC14+'Total Saturday Boardings'!BC14+'Total Sunday-Holiday Boardings'!BC14</f>
        <v>28565</v>
      </c>
      <c r="BD14" s="19">
        <f>'Total Weekday Boardings'!BD14+'Total Saturday Boardings'!BD14+'Total Sunday-Holiday Boardings'!BD14</f>
        <v>17560</v>
      </c>
      <c r="BE14" s="17">
        <f>'Total Weekday Boardings'!BE14+'Total Saturday Boardings'!BE14+'Total Sunday-Holiday Boardings'!BE14</f>
        <v>14389</v>
      </c>
      <c r="BF14" s="18">
        <f>'Total Weekday Boardings'!BF14+'Total Saturday Boardings'!BF14+'Total Sunday-Holiday Boardings'!BF14</f>
        <v>33282</v>
      </c>
      <c r="BG14" s="18">
        <f>'Total Weekday Boardings'!BG14+'Total Saturday Boardings'!BG14+'Total Sunday-Holiday Boardings'!BG14</f>
        <v>34793</v>
      </c>
      <c r="BH14" s="18">
        <f>'Total Weekday Boardings'!BH14+'Total Saturday Boardings'!BH14+'Total Sunday-Holiday Boardings'!BH14</f>
        <v>33332</v>
      </c>
      <c r="BI14" s="18">
        <f>'Total Weekday Boardings'!BI14+'Total Saturday Boardings'!BI14+'Total Sunday-Holiday Boardings'!BI14</f>
        <v>31083.758589507237</v>
      </c>
      <c r="BJ14" s="18">
        <f>'Total Weekday Boardings'!BJ14+'Total Saturday Boardings'!BJ14+'Total Sunday-Holiday Boardings'!BJ14</f>
        <v>25600</v>
      </c>
      <c r="BK14" s="18">
        <f>'Total Weekday Boardings'!BK14+'Total Saturday Boardings'!BK14+'Total Sunday-Holiday Boardings'!BK14</f>
        <v>30874</v>
      </c>
      <c r="BL14" s="18">
        <f>'Total Weekday Boardings'!BL14+'Total Saturday Boardings'!BL14+'Total Sunday-Holiday Boardings'!BL14</f>
        <v>29913</v>
      </c>
      <c r="BM14" s="18">
        <f>'Total Weekday Boardings'!BM14+'Total Saturday Boardings'!BM14+'Total Sunday-Holiday Boardings'!BM14</f>
        <v>27827</v>
      </c>
      <c r="BN14" s="18">
        <f>'Total Weekday Boardings'!BN14+'Total Saturday Boardings'!BN14+'Total Sunday-Holiday Boardings'!BN14</f>
        <v>31798</v>
      </c>
      <c r="BO14" s="18">
        <f>'Total Weekday Boardings'!BO14+'Total Saturday Boardings'!BO14+'Total Sunday-Holiday Boardings'!BO14</f>
        <v>27161</v>
      </c>
      <c r="BP14" s="19">
        <f>'Total Weekday Boardings'!BP14+'Total Saturday Boardings'!BP14+'Total Sunday-Holiday Boardings'!BP14</f>
        <v>17409</v>
      </c>
      <c r="BQ14" s="17">
        <f>'Total Weekday Boardings'!BQ14+'Total Saturday Boardings'!BQ14+'Total Sunday-Holiday Boardings'!BQ14</f>
        <v>13291</v>
      </c>
      <c r="BR14" s="18">
        <f>'Total Weekday Boardings'!BR14+'Total Saturday Boardings'!BR14+'Total Sunday-Holiday Boardings'!BR14</f>
        <v>30511</v>
      </c>
      <c r="BS14" s="18">
        <f>'Total Weekday Boardings'!BS14+'Total Saturday Boardings'!BS14+'Total Sunday-Holiday Boardings'!BS14</f>
        <v>32967</v>
      </c>
      <c r="BT14" s="18">
        <f>'Total Weekday Boardings'!BT14+'Total Saturday Boardings'!BT14+'Total Sunday-Holiday Boardings'!BT14</f>
        <v>30670</v>
      </c>
      <c r="BU14" s="18">
        <f>'Total Weekday Boardings'!BU14+'Total Saturday Boardings'!BU14+'Total Sunday-Holiday Boardings'!BU14</f>
        <v>26979</v>
      </c>
      <c r="BV14" s="18">
        <f>'Total Weekday Boardings'!BV14+'Total Saturday Boardings'!BV14+'Total Sunday-Holiday Boardings'!BV14</f>
        <v>24719</v>
      </c>
      <c r="BW14" s="18">
        <f>'Total Weekday Boardings'!BW14+'Total Saturday Boardings'!BW14+'Total Sunday-Holiday Boardings'!BW14</f>
        <v>30594</v>
      </c>
      <c r="BX14" s="18">
        <f>'Total Weekday Boardings'!BX14+'Total Saturday Boardings'!BX14+'Total Sunday-Holiday Boardings'!BX14</f>
        <v>28148</v>
      </c>
      <c r="BY14" s="18">
        <f>'Total Weekday Boardings'!BY14+'Total Saturday Boardings'!BY14+'Total Sunday-Holiday Boardings'!BY14</f>
        <v>27184</v>
      </c>
      <c r="BZ14" s="18">
        <f>'Total Weekday Boardings'!BZ14+'Total Saturday Boardings'!BZ14+'Total Sunday-Holiday Boardings'!BZ14</f>
        <v>29949</v>
      </c>
      <c r="CA14" s="18">
        <f>'Total Weekday Boardings'!CA14+'Total Saturday Boardings'!CA14+'Total Sunday-Holiday Boardings'!CA14</f>
        <v>25437</v>
      </c>
      <c r="CB14" s="19">
        <f>'Total Weekday Boardings'!CB14+'Total Saturday Boardings'!CB14+'Total Sunday-Holiday Boardings'!CB14</f>
        <v>17986</v>
      </c>
      <c r="CC14" s="20">
        <f>'Total Weekday Boardings'!CC14+'Total Saturday Boardings'!CC14+'Total Sunday-Holiday Boardings'!CC14</f>
        <v>13942</v>
      </c>
      <c r="CD14" s="18">
        <f>'Total Weekday Boardings'!CD14+'Total Saturday Boardings'!CD14+'Total Sunday-Holiday Boardings'!CD14</f>
        <v>30553</v>
      </c>
      <c r="CE14" s="18">
        <f>'Total Weekday Boardings'!CE14+'Total Saturday Boardings'!CE14+'Total Sunday-Holiday Boardings'!CE14</f>
        <v>33128</v>
      </c>
      <c r="CF14" s="18">
        <f>'Total Weekday Boardings'!CF14+'Total Saturday Boardings'!CF14+'Total Sunday-Holiday Boardings'!CF14</f>
        <v>29854</v>
      </c>
      <c r="CG14" s="18">
        <f>'Total Weekday Boardings'!CG14+'Total Saturday Boardings'!CG14+'Total Sunday-Holiday Boardings'!CG14</f>
        <v>28569</v>
      </c>
      <c r="CH14" s="18">
        <f>'Total Weekday Boardings'!CH14+'Total Saturday Boardings'!CH14+'Total Sunday-Holiday Boardings'!CH14</f>
        <v>23745</v>
      </c>
      <c r="CI14" s="18">
        <f>'Total Weekday Boardings'!CI14+'Total Saturday Boardings'!CI14+'Total Sunday-Holiday Boardings'!CI14</f>
        <v>28475</v>
      </c>
      <c r="CJ14" s="18">
        <f>'Total Weekday Boardings'!CJ14+'Total Saturday Boardings'!CJ14+'Total Sunday-Holiday Boardings'!CJ14</f>
        <v>28991</v>
      </c>
      <c r="CK14" s="18">
        <f>'Total Weekday Boardings'!CK14+'Total Saturday Boardings'!CK14+'Total Sunday-Holiday Boardings'!CK14</f>
        <v>27439</v>
      </c>
      <c r="CL14" s="18">
        <f>'Total Weekday Boardings'!CL14+'Total Saturday Boardings'!CL14+'Total Sunday-Holiday Boardings'!CL14</f>
        <v>29062</v>
      </c>
      <c r="CM14" s="18">
        <f>'Total Weekday Boardings'!CM14+'Total Saturday Boardings'!CM14+'Total Sunday-Holiday Boardings'!CM14</f>
        <v>23251</v>
      </c>
      <c r="CN14" s="21">
        <f>'Total Weekday Boardings'!CN14+'Total Saturday Boardings'!CN14+'Total Sunday-Holiday Boardings'!CN14</f>
        <v>18418</v>
      </c>
      <c r="CO14" s="17">
        <f>'Total Weekday Boardings'!CO14+'Total Saturday Boardings'!CO14+'Total Sunday-Holiday Boardings'!CO14</f>
        <v>12860</v>
      </c>
      <c r="CP14" s="18">
        <f>'Total Weekday Boardings'!CP14+'Total Saturday Boardings'!CP14+'Total Sunday-Holiday Boardings'!CP14</f>
        <v>30321</v>
      </c>
      <c r="CQ14" s="18">
        <f>'Total Weekday Boardings'!CQ14+'Total Saturday Boardings'!CQ14+'Total Sunday-Holiday Boardings'!CQ14</f>
        <v>32014</v>
      </c>
      <c r="CR14" s="18">
        <f>'Total Weekday Boardings'!CR14+'Total Saturday Boardings'!CR14+'Total Sunday-Holiday Boardings'!CR14</f>
        <v>27441</v>
      </c>
      <c r="CS14" s="18">
        <f>'Total Weekday Boardings'!CS14+'Total Saturday Boardings'!CS14+'Total Sunday-Holiday Boardings'!CS14</f>
        <v>30522</v>
      </c>
      <c r="CT14" s="18">
        <f>'Total Weekday Boardings'!CT14+'Total Saturday Boardings'!CT14+'Total Sunday-Holiday Boardings'!CT14</f>
        <v>27060</v>
      </c>
      <c r="CU14" s="18">
        <f>'Total Weekday Boardings'!CU14+'Total Saturday Boardings'!CU14+'Total Sunday-Holiday Boardings'!CU14</f>
        <v>26691</v>
      </c>
      <c r="CV14" s="18">
        <f>'Total Weekday Boardings'!CV14+'Total Saturday Boardings'!CV14+'Total Sunday-Holiday Boardings'!CV14</f>
        <v>28417</v>
      </c>
      <c r="CW14" s="18">
        <f>'Total Weekday Boardings'!CW14+'Total Saturday Boardings'!CW14+'Total Sunday-Holiday Boardings'!CW14</f>
        <v>27783</v>
      </c>
      <c r="CX14" s="18">
        <f>'Total Weekday Boardings'!CX14+'Total Saturday Boardings'!CX14+'Total Sunday-Holiday Boardings'!CX14</f>
        <v>29215</v>
      </c>
      <c r="CY14" s="18">
        <f>'Total Weekday Boardings'!CY14+'Total Saturday Boardings'!CY14+'Total Sunday-Holiday Boardings'!CY14</f>
        <v>26585</v>
      </c>
      <c r="CZ14" s="19">
        <f>'Total Weekday Boardings'!CZ14+'Total Saturday Boardings'!CZ14+'Total Sunday-Holiday Boardings'!CZ14</f>
        <v>17243</v>
      </c>
      <c r="DA14" s="17">
        <f>'Total Weekday Boardings'!DA14+'Total Saturday Boardings'!DA14+'Total Sunday-Holiday Boardings'!DA14</f>
        <v>13044</v>
      </c>
      <c r="DB14" s="18">
        <f>'Total Weekday Boardings'!DB14+'Total Saturday Boardings'!DB14+'Total Sunday-Holiday Boardings'!DB14</f>
        <v>30066</v>
      </c>
      <c r="DC14" s="18">
        <f>'Total Weekday Boardings'!DC14+'Total Saturday Boardings'!DC14+'Total Sunday-Holiday Boardings'!DC14</f>
        <v>31386</v>
      </c>
      <c r="DD14" s="18">
        <f>'Total Weekday Boardings'!DD14+'Total Saturday Boardings'!DD14+'Total Sunday-Holiday Boardings'!DD14</f>
        <v>30548</v>
      </c>
      <c r="DE14" s="18">
        <f>'Total Weekday Boardings'!DE14+'Total Saturday Boardings'!DE14+'Total Sunday-Holiday Boardings'!DE14</f>
        <v>29063</v>
      </c>
      <c r="DF14" s="18">
        <f>'Total Weekday Boardings'!DF14+'Total Saturday Boardings'!DF14+'Total Sunday-Holiday Boardings'!DF14</f>
        <v>24155</v>
      </c>
      <c r="DG14" s="18">
        <f>'Total Weekday Boardings'!DG14+'Total Saturday Boardings'!DG14+'Total Sunday-Holiday Boardings'!DG14</f>
        <v>27180</v>
      </c>
      <c r="DH14" s="18">
        <f>'Total Weekday Boardings'!DH14+'Total Saturday Boardings'!DH14+'Total Sunday-Holiday Boardings'!DH14</f>
        <v>26347</v>
      </c>
      <c r="DI14" s="18">
        <f>'Total Weekday Boardings'!DI14+'Total Saturday Boardings'!DI14+'Total Sunday-Holiday Boardings'!DI14</f>
        <v>24672</v>
      </c>
      <c r="DJ14" s="18">
        <f>'Total Weekday Boardings'!DJ14+'Total Saturday Boardings'!DJ14+'Total Sunday-Holiday Boardings'!DJ14</f>
        <v>24906</v>
      </c>
      <c r="DK14" s="18">
        <f>'Total Weekday Boardings'!DK14+'Total Saturday Boardings'!DK14+'Total Sunday-Holiday Boardings'!DK14</f>
        <v>22265</v>
      </c>
      <c r="DL14" s="19">
        <f>'Total Weekday Boardings'!DL14+'Total Saturday Boardings'!DL14+'Total Sunday-Holiday Boardings'!DL14</f>
        <v>15339</v>
      </c>
      <c r="DM14" s="17">
        <f>'Total Weekday Boardings'!DM14+'Total Saturday Boardings'!DM14+'Total Sunday-Holiday Boardings'!DM14</f>
        <v>11146</v>
      </c>
      <c r="DN14" s="18">
        <f>'Total Weekday Boardings'!DN14+'Total Saturday Boardings'!DN14+'Total Sunday-Holiday Boardings'!DN14</f>
        <v>29015</v>
      </c>
      <c r="DO14" s="18">
        <f>'Total Weekday Boardings'!DO14+'Total Saturday Boardings'!DO14+'Total Sunday-Holiday Boardings'!DO14</f>
        <v>27876</v>
      </c>
      <c r="DP14" s="18">
        <f>'Total Weekday Boardings'!DP14+'Total Saturday Boardings'!DP14+'Total Sunday-Holiday Boardings'!DP14</f>
        <v>28370</v>
      </c>
      <c r="DQ14" s="18">
        <f>'Total Weekday Boardings'!DQ14+'Total Saturday Boardings'!DQ14+'Total Sunday-Holiday Boardings'!DQ14</f>
        <v>28223</v>
      </c>
      <c r="DR14" s="18">
        <f>'Total Weekday Boardings'!DR14+'Total Saturday Boardings'!DR14+'Total Sunday-Holiday Boardings'!DR14</f>
        <v>22856</v>
      </c>
      <c r="DS14" s="18">
        <f>'Total Weekday Boardings'!DS14+'Total Saturday Boardings'!DS14+'Total Sunday-Holiday Boardings'!DS14</f>
        <v>27207</v>
      </c>
      <c r="DT14" s="18">
        <f>'Total Weekday Boardings'!DT14+'Total Saturday Boardings'!DT14+'Total Sunday-Holiday Boardings'!DT14</f>
        <v>25179</v>
      </c>
      <c r="DU14" s="18">
        <f>'Total Weekday Boardings'!DU14+'Total Saturday Boardings'!DU14+'Total Sunday-Holiday Boardings'!DU14</f>
        <v>25003</v>
      </c>
      <c r="DV14" s="18">
        <f>'Total Weekday Boardings'!DV14+'Total Saturday Boardings'!DV14+'Total Sunday-Holiday Boardings'!DV14</f>
        <v>26585</v>
      </c>
      <c r="DW14" s="18">
        <f>'Total Weekday Boardings'!DW14+'Total Saturday Boardings'!DW14+'Total Sunday-Holiday Boardings'!DW14</f>
        <v>21891</v>
      </c>
      <c r="DX14" s="19">
        <f>'Total Weekday Boardings'!DX14+'Total Saturday Boardings'!DX14+'Total Sunday-Holiday Boardings'!DX14</f>
        <v>14233</v>
      </c>
      <c r="DY14" s="137">
        <v>11134</v>
      </c>
      <c r="DZ14" s="18">
        <v>26783</v>
      </c>
      <c r="EA14" s="18">
        <v>27555</v>
      </c>
      <c r="EB14" s="18">
        <v>27243</v>
      </c>
      <c r="EC14" s="18">
        <v>25439</v>
      </c>
      <c r="ED14" s="18">
        <v>21513</v>
      </c>
      <c r="EE14" s="18">
        <v>25994</v>
      </c>
      <c r="EF14" s="18">
        <v>24186</v>
      </c>
      <c r="EG14" s="18">
        <v>12110</v>
      </c>
      <c r="EH14" s="18">
        <v>4368</v>
      </c>
      <c r="EI14" s="18">
        <v>4946</v>
      </c>
      <c r="EJ14" s="19">
        <v>4416</v>
      </c>
      <c r="EK14" s="100">
        <v>4176</v>
      </c>
      <c r="EL14" s="18">
        <v>4654</v>
      </c>
      <c r="EM14" s="18">
        <v>5034</v>
      </c>
      <c r="EN14" s="103">
        <v>5789</v>
      </c>
      <c r="EO14" s="18">
        <v>5377</v>
      </c>
      <c r="EP14" s="18">
        <v>4067</v>
      </c>
      <c r="EQ14" s="18">
        <v>2279</v>
      </c>
      <c r="ER14" s="18">
        <v>4073</v>
      </c>
      <c r="ES14" s="18">
        <v>6060</v>
      </c>
      <c r="ET14" s="18">
        <v>10416</v>
      </c>
      <c r="EU14" s="18">
        <v>8185</v>
      </c>
      <c r="EV14" s="19">
        <v>6754</v>
      </c>
      <c r="EW14" s="103">
        <v>5377</v>
      </c>
      <c r="EX14" s="18">
        <v>16540</v>
      </c>
      <c r="EY14" s="18">
        <v>16549</v>
      </c>
      <c r="EZ14" s="103">
        <v>14221</v>
      </c>
      <c r="FA14" s="18">
        <v>15261</v>
      </c>
      <c r="FB14" s="145">
        <v>11497</v>
      </c>
      <c r="FC14" s="18">
        <v>11959</v>
      </c>
      <c r="FD14" s="18">
        <v>14618</v>
      </c>
      <c r="FE14" s="18">
        <v>16546</v>
      </c>
      <c r="FF14" s="18">
        <v>15065</v>
      </c>
      <c r="FG14" s="13">
        <f>SUM('Total Weekday Boardings'!FG14,'Total Saturday Boardings'!FG14,'Total Sunday-Holiday Boardings'!FG14)</f>
        <v>13211</v>
      </c>
      <c r="FH14" s="13">
        <f>SUM('Total Weekday Boardings'!FH14,'Total Saturday Boardings'!FH14,'Total Sunday-Holiday Boardings'!FH14)</f>
        <v>6439</v>
      </c>
      <c r="FI14" s="13">
        <f>SUM('Total Weekday Boardings'!FI14,'Total Saturday Boardings'!FI14,'Total Sunday-Holiday Boardings'!FI14)</f>
        <v>5061</v>
      </c>
      <c r="FJ14" s="13">
        <f>SUM('Total Weekday Boardings'!FJ14,'Total Saturday Boardings'!FJ14,'Total Sunday-Holiday Boardings'!FJ14)</f>
        <v>13285</v>
      </c>
      <c r="FK14" s="13">
        <f>SUM('Total Weekday Boardings'!FK14,'Total Saturday Boardings'!FK14,'Total Sunday-Holiday Boardings'!FK14)</f>
        <v>15405.5</v>
      </c>
      <c r="FL14" s="13">
        <f>SUM('Total Weekday Boardings'!FL14,'Total Saturday Boardings'!FL14,'Total Sunday-Holiday Boardings'!FL14)</f>
        <v>13494</v>
      </c>
      <c r="FM14" s="13">
        <f>SUM('Total Weekday Boardings'!FM14,'Total Saturday Boardings'!FM14,'Total Sunday-Holiday Boardings'!FM14)</f>
        <v>14149</v>
      </c>
      <c r="FN14" s="13">
        <f>SUM('Total Weekday Boardings'!FN14,'Total Saturday Boardings'!FN14,'Total Sunday-Holiday Boardings'!FN14)</f>
        <v>11906</v>
      </c>
      <c r="FO14" s="13">
        <f>SUM('Total Weekday Boardings'!FO14,'Total Saturday Boardings'!FO14,'Total Sunday-Holiday Boardings'!FO14)</f>
        <v>14097</v>
      </c>
      <c r="FP14" s="13">
        <f>SUM('Total Weekday Boardings'!FP14,'Total Saturday Boardings'!FP14,'Total Sunday-Holiday Boardings'!FP14)</f>
        <v>13995</v>
      </c>
      <c r="FQ14" s="13">
        <f>SUM('Total Weekday Boardings'!FQ14,'Total Saturday Boardings'!FQ14,'Total Sunday-Holiday Boardings'!FQ14)</f>
        <v>15059</v>
      </c>
      <c r="FR14" s="13">
        <f>SUM('Total Weekday Boardings'!FR14,'Total Saturday Boardings'!FR14,'Total Sunday-Holiday Boardings'!FR14)</f>
        <v>15665</v>
      </c>
      <c r="FS14" s="13">
        <f>SUM('Total Weekday Boardings'!FS14,'Total Saturday Boardings'!FS14,'Total Sunday-Holiday Boardings'!FS14)</f>
        <v>16112</v>
      </c>
      <c r="FT14" s="16">
        <f>SUM('Total Weekday Boardings'!FT14,'Total Saturday Boardings'!FT14,'Total Sunday-Holiday Boardings'!FT14)</f>
        <v>8429</v>
      </c>
      <c r="FU14" s="171">
        <v>6293</v>
      </c>
      <c r="FV14" s="171">
        <v>14053</v>
      </c>
      <c r="FW14" s="171">
        <v>15336</v>
      </c>
      <c r="FX14" s="171">
        <v>14921</v>
      </c>
      <c r="FY14" s="171">
        <v>16268</v>
      </c>
      <c r="FZ14" s="171">
        <v>12901</v>
      </c>
      <c r="GA14" s="171">
        <v>14589</v>
      </c>
      <c r="GB14" s="52">
        <v>16568</v>
      </c>
      <c r="GC14" s="52">
        <v>13785</v>
      </c>
      <c r="GD14" s="52">
        <v>15559</v>
      </c>
      <c r="GE14" s="18">
        <v>14143</v>
      </c>
      <c r="GF14" s="52">
        <v>7465</v>
      </c>
      <c r="GG14" s="184">
        <v>6106</v>
      </c>
      <c r="GH14" s="52">
        <v>16677</v>
      </c>
      <c r="GI14" s="18">
        <v>16602</v>
      </c>
      <c r="GJ14" s="236">
        <v>15353</v>
      </c>
      <c r="GK14" s="184">
        <v>15777</v>
      </c>
      <c r="GL14" s="184">
        <v>13347</v>
      </c>
    </row>
    <row r="15" spans="1:194" ht="15" thickBot="1" x14ac:dyDescent="0.35">
      <c r="A15" s="3" t="s">
        <v>8</v>
      </c>
      <c r="B15" s="17"/>
      <c r="C15" s="18">
        <f>'Total Weekday Boardings'!C15+'Total Saturday Boardings'!C15+'Total Sunday-Holiday Boardings'!C15</f>
        <v>28791</v>
      </c>
      <c r="D15" s="18">
        <f>'Total Weekday Boardings'!D15+'Total Saturday Boardings'!D15+'Total Sunday-Holiday Boardings'!D15</f>
        <v>32042</v>
      </c>
      <c r="E15" s="18">
        <f>'Total Weekday Boardings'!E15+'Total Saturday Boardings'!E15+'Total Sunday-Holiday Boardings'!E15</f>
        <v>32721</v>
      </c>
      <c r="F15" s="18">
        <f>'Total Weekday Boardings'!F15+'Total Saturday Boardings'!F15+'Total Sunday-Holiday Boardings'!F15</f>
        <v>38658</v>
      </c>
      <c r="G15" s="18">
        <f>'Total Weekday Boardings'!G15+'Total Saturday Boardings'!G15+'Total Sunday-Holiday Boardings'!G15</f>
        <v>32875</v>
      </c>
      <c r="H15" s="19">
        <f>'Total Weekday Boardings'!H15+'Total Saturday Boardings'!H15+'Total Sunday-Holiday Boardings'!H15</f>
        <v>25212</v>
      </c>
      <c r="I15" s="17">
        <f>'Total Weekday Boardings'!I15+'Total Saturday Boardings'!I15+'Total Sunday-Holiday Boardings'!I15</f>
        <v>32429</v>
      </c>
      <c r="J15" s="18">
        <f>'Total Weekday Boardings'!J15+'Total Saturday Boardings'!J15+'Total Sunday-Holiday Boardings'!J15</f>
        <v>34528</v>
      </c>
      <c r="K15" s="18">
        <f>'Total Weekday Boardings'!K15+'Total Saturday Boardings'!K15+'Total Sunday-Holiday Boardings'!K15</f>
        <v>34228</v>
      </c>
      <c r="L15" s="18">
        <f>'Total Weekday Boardings'!L15+'Total Saturday Boardings'!L15+'Total Sunday-Holiday Boardings'!L15</f>
        <v>36265</v>
      </c>
      <c r="M15" s="18">
        <f>'Total Weekday Boardings'!M15+'Total Saturday Boardings'!M15+'Total Sunday-Holiday Boardings'!M15</f>
        <v>37135</v>
      </c>
      <c r="N15" s="18">
        <f>'Total Weekday Boardings'!N15+'Total Saturday Boardings'!N15+'Total Sunday-Holiday Boardings'!N15</f>
        <v>34720</v>
      </c>
      <c r="O15" s="62">
        <f>'Total Weekday Boardings'!O15+'Total Saturday Boardings'!O15+'Total Sunday-Holiday Boardings'!O15</f>
        <v>34373</v>
      </c>
      <c r="P15" s="62">
        <f>'Total Weekday Boardings'!P15+'Total Saturday Boardings'!P15+'Total Sunday-Holiday Boardings'!P15</f>
        <v>36342</v>
      </c>
      <c r="Q15" s="62">
        <f>'Total Weekday Boardings'!Q15+'Total Saturday Boardings'!Q15+'Total Sunday-Holiday Boardings'!Q15</f>
        <v>40162</v>
      </c>
      <c r="R15" s="62">
        <f>'Total Weekday Boardings'!R15+'Total Saturday Boardings'!R15+'Total Sunday-Holiday Boardings'!R15</f>
        <v>44583</v>
      </c>
      <c r="S15" s="62">
        <f>'Total Weekday Boardings'!S15+'Total Saturday Boardings'!S15+'Total Sunday-Holiday Boardings'!S15</f>
        <v>34426</v>
      </c>
      <c r="T15" s="63">
        <f>'Total Weekday Boardings'!T15+'Total Saturday Boardings'!T15+'Total Sunday-Holiday Boardings'!T15</f>
        <v>37720</v>
      </c>
      <c r="U15" s="64">
        <f>'Total Weekday Boardings'!U15+'Total Saturday Boardings'!U15+'Total Sunday-Holiday Boardings'!U15</f>
        <v>33571</v>
      </c>
      <c r="V15" s="62">
        <f>'Total Weekday Boardings'!V15+'Total Saturday Boardings'!V15+'Total Sunday-Holiday Boardings'!V15</f>
        <v>39565</v>
      </c>
      <c r="W15" s="62">
        <f>'Total Weekday Boardings'!W15+'Total Saturday Boardings'!W15+'Total Sunday-Holiday Boardings'!W15</f>
        <v>39778</v>
      </c>
      <c r="X15" s="62">
        <f>'Total Weekday Boardings'!X15+'Total Saturday Boardings'!X15+'Total Sunday-Holiday Boardings'!X15</f>
        <v>39851</v>
      </c>
      <c r="Y15" s="62">
        <f>'Total Weekday Boardings'!Y15+'Total Saturday Boardings'!Y15+'Total Sunday-Holiday Boardings'!Y15</f>
        <v>39507</v>
      </c>
      <c r="Z15" s="62">
        <f>'Total Weekday Boardings'!Z15+'Total Saturday Boardings'!Z15+'Total Sunday-Holiday Boardings'!Z15</f>
        <v>36324</v>
      </c>
      <c r="AA15" s="18">
        <f>'Total Weekday Boardings'!AA15+'Total Saturday Boardings'!AA15+'Total Sunday-Holiday Boardings'!AA15</f>
        <v>39843</v>
      </c>
      <c r="AB15" s="18">
        <f>'Total Weekday Boardings'!AB15+'Total Saturday Boardings'!AB15+'Total Sunday-Holiday Boardings'!AB15</f>
        <v>40290</v>
      </c>
      <c r="AC15" s="18">
        <f>'Total Weekday Boardings'!AC15+'Total Saturday Boardings'!AC15+'Total Sunday-Holiday Boardings'!AC15</f>
        <v>43159</v>
      </c>
      <c r="AD15" s="18">
        <f>'Total Weekday Boardings'!AD15+'Total Saturday Boardings'!AD15+'Total Sunday-Holiday Boardings'!AD15</f>
        <v>45674</v>
      </c>
      <c r="AE15" s="18">
        <f>'Total Weekday Boardings'!AE15+'Total Saturday Boardings'!AE15+'Total Sunday-Holiday Boardings'!AE15</f>
        <v>40456</v>
      </c>
      <c r="AF15" s="19">
        <f>'Total Weekday Boardings'!AF15+'Total Saturday Boardings'!AF15+'Total Sunday-Holiday Boardings'!AF15</f>
        <v>35725</v>
      </c>
      <c r="AG15" s="17">
        <f>'Total Weekday Boardings'!AG15+'Total Saturday Boardings'!AG15+'Total Sunday-Holiday Boardings'!AG15</f>
        <v>36359</v>
      </c>
      <c r="AH15" s="18">
        <f>'Total Weekday Boardings'!AH15+'Total Saturday Boardings'!AH15+'Total Sunday-Holiday Boardings'!AH15</f>
        <v>40880</v>
      </c>
      <c r="AI15" s="18">
        <f>'Total Weekday Boardings'!AI15+'Total Saturday Boardings'!AI15+'Total Sunday-Holiday Boardings'!AI15</f>
        <v>42255</v>
      </c>
      <c r="AJ15" s="18">
        <f>'Total Weekday Boardings'!AJ15+'Total Saturday Boardings'!AJ15+'Total Sunday-Holiday Boardings'!AJ15</f>
        <v>41796</v>
      </c>
      <c r="AK15" s="18">
        <f>'Total Weekday Boardings'!AK15+'Total Saturday Boardings'!AK15+'Total Sunday-Holiday Boardings'!AK15</f>
        <v>39293</v>
      </c>
      <c r="AL15" s="18">
        <f>'Total Weekday Boardings'!AL15+'Total Saturday Boardings'!AL15+'Total Sunday-Holiday Boardings'!AL15</f>
        <v>40045</v>
      </c>
      <c r="AM15" s="18">
        <f>'Total Weekday Boardings'!AM15+'Total Saturday Boardings'!AM15+'Total Sunday-Holiday Boardings'!AM15</f>
        <v>42843</v>
      </c>
      <c r="AN15" s="18">
        <f>'Total Weekday Boardings'!AN15+'Total Saturday Boardings'!AN15+'Total Sunday-Holiday Boardings'!AN15</f>
        <v>43722</v>
      </c>
      <c r="AO15" s="18">
        <f>'Total Weekday Boardings'!AO15+'Total Saturday Boardings'!AO15+'Total Sunday-Holiday Boardings'!AO15</f>
        <v>48577</v>
      </c>
      <c r="AP15" s="18">
        <f>'Total Weekday Boardings'!AP15+'Total Saturday Boardings'!AP15+'Total Sunday-Holiday Boardings'!AP15</f>
        <v>50397</v>
      </c>
      <c r="AQ15" s="18">
        <f>'Total Weekday Boardings'!AQ15+'Total Saturday Boardings'!AQ15+'Total Sunday-Holiday Boardings'!AQ15</f>
        <v>46595</v>
      </c>
      <c r="AR15" s="19">
        <f>'Total Weekday Boardings'!AR15+'Total Saturday Boardings'!AR15+'Total Sunday-Holiday Boardings'!AR15</f>
        <v>39178</v>
      </c>
      <c r="AS15" s="17">
        <f>'Total Weekday Boardings'!AS15+'Total Saturday Boardings'!AS15+'Total Sunday-Holiday Boardings'!AS15</f>
        <v>40302</v>
      </c>
      <c r="AT15" s="18">
        <f>'Total Weekday Boardings'!AT15+'Total Saturday Boardings'!AT15+'Total Sunday-Holiday Boardings'!AT15</f>
        <v>47164</v>
      </c>
      <c r="AU15" s="18">
        <f>'Total Weekday Boardings'!AU15+'Total Saturday Boardings'!AU15+'Total Sunday-Holiday Boardings'!AU15</f>
        <v>44469</v>
      </c>
      <c r="AV15" s="18">
        <f>'Total Weekday Boardings'!AV15+'Total Saturday Boardings'!AV15+'Total Sunday-Holiday Boardings'!AV15</f>
        <v>50695</v>
      </c>
      <c r="AW15" s="18">
        <f>'Total Weekday Boardings'!AW15+'Total Saturday Boardings'!AW15+'Total Sunday-Holiday Boardings'!AW15</f>
        <v>47597</v>
      </c>
      <c r="AX15" s="18">
        <f>'Total Weekday Boardings'!AX15+'Total Saturday Boardings'!AX15+'Total Sunday-Holiday Boardings'!AX15</f>
        <v>44822</v>
      </c>
      <c r="AY15" s="18">
        <f>'Total Weekday Boardings'!AY15+'Total Saturday Boardings'!AY15+'Total Sunday-Holiday Boardings'!AY15</f>
        <v>45682</v>
      </c>
      <c r="AZ15" s="18">
        <f>'Total Weekday Boardings'!AZ15+'Total Saturday Boardings'!AZ15+'Total Sunday-Holiday Boardings'!AZ15</f>
        <v>45876</v>
      </c>
      <c r="BA15" s="18">
        <f>'Total Weekday Boardings'!BA15+'Total Saturday Boardings'!BA15+'Total Sunday-Holiday Boardings'!BA15</f>
        <v>48087</v>
      </c>
      <c r="BB15" s="18">
        <f>'Total Weekday Boardings'!BB15+'Total Saturday Boardings'!BB15+'Total Sunday-Holiday Boardings'!BB15</f>
        <v>52335</v>
      </c>
      <c r="BC15" s="18">
        <f>'Total Weekday Boardings'!BC15+'Total Saturday Boardings'!BC15+'Total Sunday-Holiday Boardings'!BC15</f>
        <v>46910</v>
      </c>
      <c r="BD15" s="19">
        <f>'Total Weekday Boardings'!BD15+'Total Saturday Boardings'!BD15+'Total Sunday-Holiday Boardings'!BD15</f>
        <v>39113</v>
      </c>
      <c r="BE15" s="17">
        <f>'Total Weekday Boardings'!BE15+'Total Saturday Boardings'!BE15+'Total Sunday-Holiday Boardings'!BE15</f>
        <v>41713</v>
      </c>
      <c r="BF15" s="18">
        <f>'Total Weekday Boardings'!BF15+'Total Saturday Boardings'!BF15+'Total Sunday-Holiday Boardings'!BF15</f>
        <v>45077</v>
      </c>
      <c r="BG15" s="18">
        <f>'Total Weekday Boardings'!BG15+'Total Saturday Boardings'!BG15+'Total Sunday-Holiday Boardings'!BG15</f>
        <v>45732</v>
      </c>
      <c r="BH15" s="18">
        <f>'Total Weekday Boardings'!BH15+'Total Saturday Boardings'!BH15+'Total Sunday-Holiday Boardings'!BH15</f>
        <v>49946</v>
      </c>
      <c r="BI15" s="18">
        <f>'Total Weekday Boardings'!BI15+'Total Saturday Boardings'!BI15+'Total Sunday-Holiday Boardings'!BI15</f>
        <v>45587.228634444808</v>
      </c>
      <c r="BJ15" s="18">
        <f>'Total Weekday Boardings'!BJ15+'Total Saturday Boardings'!BJ15+'Total Sunday-Holiday Boardings'!BJ15</f>
        <v>44143</v>
      </c>
      <c r="BK15" s="18">
        <f>'Total Weekday Boardings'!BK15+'Total Saturday Boardings'!BK15+'Total Sunday-Holiday Boardings'!BK15</f>
        <v>49456</v>
      </c>
      <c r="BL15" s="18">
        <f>'Total Weekday Boardings'!BL15+'Total Saturday Boardings'!BL15+'Total Sunday-Holiday Boardings'!BL15</f>
        <v>48001</v>
      </c>
      <c r="BM15" s="18">
        <f>'Total Weekday Boardings'!BM15+'Total Saturday Boardings'!BM15+'Total Sunday-Holiday Boardings'!BM15</f>
        <v>49962</v>
      </c>
      <c r="BN15" s="18">
        <f>'Total Weekday Boardings'!BN15+'Total Saturday Boardings'!BN15+'Total Sunday-Holiday Boardings'!BN15</f>
        <v>52867</v>
      </c>
      <c r="BO15" s="18">
        <f>'Total Weekday Boardings'!BO15+'Total Saturday Boardings'!BO15+'Total Sunday-Holiday Boardings'!BO15</f>
        <v>46083</v>
      </c>
      <c r="BP15" s="19">
        <f>'Total Weekday Boardings'!BP15+'Total Saturday Boardings'!BP15+'Total Sunday-Holiday Boardings'!BP15</f>
        <v>40986</v>
      </c>
      <c r="BQ15" s="17">
        <f>'Total Weekday Boardings'!BQ15+'Total Saturday Boardings'!BQ15+'Total Sunday-Holiday Boardings'!BQ15</f>
        <v>42615</v>
      </c>
      <c r="BR15" s="18">
        <f>'Total Weekday Boardings'!BR15+'Total Saturday Boardings'!BR15+'Total Sunday-Holiday Boardings'!BR15</f>
        <v>46467</v>
      </c>
      <c r="BS15" s="18">
        <f>'Total Weekday Boardings'!BS15+'Total Saturday Boardings'!BS15+'Total Sunday-Holiday Boardings'!BS15</f>
        <v>47294</v>
      </c>
      <c r="BT15" s="18">
        <f>'Total Weekday Boardings'!BT15+'Total Saturday Boardings'!BT15+'Total Sunday-Holiday Boardings'!BT15</f>
        <v>52216</v>
      </c>
      <c r="BU15" s="18">
        <f>'Total Weekday Boardings'!BU15+'Total Saturday Boardings'!BU15+'Total Sunday-Holiday Boardings'!BU15</f>
        <v>46675</v>
      </c>
      <c r="BV15" s="18">
        <f>'Total Weekday Boardings'!BV15+'Total Saturday Boardings'!BV15+'Total Sunday-Holiday Boardings'!BV15</f>
        <v>48112</v>
      </c>
      <c r="BW15" s="18">
        <f>'Total Weekday Boardings'!BW15+'Total Saturday Boardings'!BW15+'Total Sunday-Holiday Boardings'!BW15</f>
        <v>52330</v>
      </c>
      <c r="BX15" s="18">
        <f>'Total Weekday Boardings'!BX15+'Total Saturday Boardings'!BX15+'Total Sunday-Holiday Boardings'!BX15</f>
        <v>47277</v>
      </c>
      <c r="BY15" s="18">
        <f>'Total Weekday Boardings'!BY15+'Total Saturday Boardings'!BY15+'Total Sunday-Holiday Boardings'!BY15</f>
        <v>50930</v>
      </c>
      <c r="BZ15" s="18">
        <f>'Total Weekday Boardings'!BZ15+'Total Saturday Boardings'!BZ15+'Total Sunday-Holiday Boardings'!BZ15</f>
        <v>52716</v>
      </c>
      <c r="CA15" s="18">
        <f>'Total Weekday Boardings'!CA15+'Total Saturday Boardings'!CA15+'Total Sunday-Holiday Boardings'!CA15</f>
        <v>45317</v>
      </c>
      <c r="CB15" s="19">
        <f>'Total Weekday Boardings'!CB15+'Total Saturday Boardings'!CB15+'Total Sunday-Holiday Boardings'!CB15</f>
        <v>41176</v>
      </c>
      <c r="CC15" s="20">
        <f>'Total Weekday Boardings'!CC15+'Total Saturday Boardings'!CC15+'Total Sunday-Holiday Boardings'!CC15</f>
        <v>42676</v>
      </c>
      <c r="CD15" s="18">
        <f>'Total Weekday Boardings'!CD15+'Total Saturday Boardings'!CD15+'Total Sunday-Holiday Boardings'!CD15</f>
        <v>46659</v>
      </c>
      <c r="CE15" s="18">
        <f>'Total Weekday Boardings'!CE15+'Total Saturday Boardings'!CE15+'Total Sunday-Holiday Boardings'!CE15</f>
        <v>48797</v>
      </c>
      <c r="CF15" s="18">
        <f>'Total Weekday Boardings'!CF15+'Total Saturday Boardings'!CF15+'Total Sunday-Holiday Boardings'!CF15</f>
        <v>51782</v>
      </c>
      <c r="CG15" s="18">
        <f>'Total Weekday Boardings'!CG15+'Total Saturday Boardings'!CG15+'Total Sunday-Holiday Boardings'!CG15</f>
        <v>46139</v>
      </c>
      <c r="CH15" s="18">
        <f>'Total Weekday Boardings'!CH15+'Total Saturday Boardings'!CH15+'Total Sunday-Holiday Boardings'!CH15</f>
        <v>45282</v>
      </c>
      <c r="CI15" s="18">
        <f>'Total Weekday Boardings'!CI15+'Total Saturday Boardings'!CI15+'Total Sunday-Holiday Boardings'!CI15</f>
        <v>50994</v>
      </c>
      <c r="CJ15" s="18">
        <f>'Total Weekday Boardings'!CJ15+'Total Saturday Boardings'!CJ15+'Total Sunday-Holiday Boardings'!CJ15</f>
        <v>49706</v>
      </c>
      <c r="CK15" s="18">
        <f>'Total Weekday Boardings'!CK15+'Total Saturday Boardings'!CK15+'Total Sunday-Holiday Boardings'!CK15</f>
        <v>51497</v>
      </c>
      <c r="CL15" s="18">
        <f>'Total Weekday Boardings'!CL15+'Total Saturday Boardings'!CL15+'Total Sunday-Holiday Boardings'!CL15</f>
        <v>54890</v>
      </c>
      <c r="CM15" s="18">
        <f>'Total Weekday Boardings'!CM15+'Total Saturday Boardings'!CM15+'Total Sunday-Holiday Boardings'!CM15</f>
        <v>49348</v>
      </c>
      <c r="CN15" s="21">
        <f>'Total Weekday Boardings'!CN15+'Total Saturday Boardings'!CN15+'Total Sunday-Holiday Boardings'!CN15</f>
        <v>45755</v>
      </c>
      <c r="CO15" s="17">
        <f>'Total Weekday Boardings'!CO15+'Total Saturday Boardings'!CO15+'Total Sunday-Holiday Boardings'!CO15</f>
        <v>44673</v>
      </c>
      <c r="CP15" s="18">
        <f>'Total Weekday Boardings'!CP15+'Total Saturday Boardings'!CP15+'Total Sunday-Holiday Boardings'!CP15</f>
        <v>49426</v>
      </c>
      <c r="CQ15" s="18">
        <f>'Total Weekday Boardings'!CQ15+'Total Saturday Boardings'!CQ15+'Total Sunday-Holiday Boardings'!CQ15</f>
        <v>49837</v>
      </c>
      <c r="CR15" s="18">
        <f>'Total Weekday Boardings'!CR15+'Total Saturday Boardings'!CR15+'Total Sunday-Holiday Boardings'!CR15</f>
        <v>50918</v>
      </c>
      <c r="CS15" s="18">
        <f>'Total Weekday Boardings'!CS15+'Total Saturday Boardings'!CS15+'Total Sunday-Holiday Boardings'!CS15</f>
        <v>48833</v>
      </c>
      <c r="CT15" s="18">
        <f>'Total Weekday Boardings'!CT15+'Total Saturday Boardings'!CT15+'Total Sunday-Holiday Boardings'!CT15</f>
        <v>48234</v>
      </c>
      <c r="CU15" s="18">
        <f>'Total Weekday Boardings'!CU15+'Total Saturday Boardings'!CU15+'Total Sunday-Holiday Boardings'!CU15</f>
        <v>48213</v>
      </c>
      <c r="CV15" s="18">
        <f>'Total Weekday Boardings'!CV15+'Total Saturday Boardings'!CV15+'Total Sunday-Holiday Boardings'!CV15</f>
        <v>47951</v>
      </c>
      <c r="CW15" s="18">
        <f>'Total Weekday Boardings'!CW15+'Total Saturday Boardings'!CW15+'Total Sunday-Holiday Boardings'!CW15</f>
        <v>51343</v>
      </c>
      <c r="CX15" s="18">
        <f>'Total Weekday Boardings'!CX15+'Total Saturday Boardings'!CX15+'Total Sunday-Holiday Boardings'!CX15</f>
        <v>51389</v>
      </c>
      <c r="CY15" s="18">
        <f>'Total Weekday Boardings'!CY15+'Total Saturday Boardings'!CY15+'Total Sunday-Holiday Boardings'!CY15</f>
        <v>47625</v>
      </c>
      <c r="CZ15" s="19">
        <f>'Total Weekday Boardings'!CZ15+'Total Saturday Boardings'!CZ15+'Total Sunday-Holiday Boardings'!CZ15</f>
        <v>40022</v>
      </c>
      <c r="DA15" s="17">
        <f>'Total Weekday Boardings'!DA15+'Total Saturday Boardings'!DA15+'Total Sunday-Holiday Boardings'!DA15</f>
        <v>40336</v>
      </c>
      <c r="DB15" s="18">
        <f>'Total Weekday Boardings'!DB15+'Total Saturday Boardings'!DB15+'Total Sunday-Holiday Boardings'!DB15</f>
        <v>44824</v>
      </c>
      <c r="DC15" s="18">
        <f>'Total Weekday Boardings'!DC15+'Total Saturday Boardings'!DC15+'Total Sunday-Holiday Boardings'!DC15</f>
        <v>43054</v>
      </c>
      <c r="DD15" s="18">
        <f>'Total Weekday Boardings'!DD15+'Total Saturday Boardings'!DD15+'Total Sunday-Holiday Boardings'!DD15</f>
        <v>56565</v>
      </c>
      <c r="DE15" s="18">
        <f>'Total Weekday Boardings'!DE15+'Total Saturday Boardings'!DE15+'Total Sunday-Holiday Boardings'!DE15</f>
        <v>43382</v>
      </c>
      <c r="DF15" s="18">
        <f>'Total Weekday Boardings'!DF15+'Total Saturday Boardings'!DF15+'Total Sunday-Holiday Boardings'!DF15</f>
        <v>41357</v>
      </c>
      <c r="DG15" s="18">
        <f>'Total Weekday Boardings'!DG15+'Total Saturday Boardings'!DG15+'Total Sunday-Holiday Boardings'!DG15</f>
        <v>43648</v>
      </c>
      <c r="DH15" s="18">
        <f>'Total Weekday Boardings'!DH15+'Total Saturday Boardings'!DH15+'Total Sunday-Holiday Boardings'!DH15</f>
        <v>42040</v>
      </c>
      <c r="DI15" s="18">
        <f>'Total Weekday Boardings'!DI15+'Total Saturday Boardings'!DI15+'Total Sunday-Holiday Boardings'!DI15</f>
        <v>46144</v>
      </c>
      <c r="DJ15" s="18">
        <f>'Total Weekday Boardings'!DJ15+'Total Saturday Boardings'!DJ15+'Total Sunday-Holiday Boardings'!DJ15</f>
        <v>47309</v>
      </c>
      <c r="DK15" s="18">
        <f>'Total Weekday Boardings'!DK15+'Total Saturday Boardings'!DK15+'Total Sunday-Holiday Boardings'!DK15</f>
        <v>42740</v>
      </c>
      <c r="DL15" s="19">
        <f>'Total Weekday Boardings'!DL15+'Total Saturday Boardings'!DL15+'Total Sunday-Holiday Boardings'!DL15</f>
        <v>37695</v>
      </c>
      <c r="DM15" s="17">
        <f>'Total Weekday Boardings'!DM15+'Total Saturday Boardings'!DM15+'Total Sunday-Holiday Boardings'!DM15</f>
        <v>35891</v>
      </c>
      <c r="DN15" s="18">
        <f>'Total Weekday Boardings'!DN15+'Total Saturday Boardings'!DN15+'Total Sunday-Holiday Boardings'!DN15</f>
        <v>40729</v>
      </c>
      <c r="DO15" s="18">
        <f>'Total Weekday Boardings'!DO15+'Total Saturday Boardings'!DO15+'Total Sunday-Holiday Boardings'!DO15</f>
        <v>38771</v>
      </c>
      <c r="DP15" s="18">
        <f>'Total Weekday Boardings'!DP15+'Total Saturday Boardings'!DP15+'Total Sunday-Holiday Boardings'!DP15</f>
        <v>42396</v>
      </c>
      <c r="DQ15" s="18">
        <f>'Total Weekday Boardings'!DQ15+'Total Saturday Boardings'!DQ15+'Total Sunday-Holiday Boardings'!DQ15</f>
        <v>40865</v>
      </c>
      <c r="DR15" s="18">
        <f>'Total Weekday Boardings'!DR15+'Total Saturday Boardings'!DR15+'Total Sunday-Holiday Boardings'!DR15</f>
        <v>38685</v>
      </c>
      <c r="DS15" s="18">
        <f>'Total Weekday Boardings'!DS15+'Total Saturday Boardings'!DS15+'Total Sunday-Holiday Boardings'!DS15</f>
        <v>41019</v>
      </c>
      <c r="DT15" s="18">
        <f>'Total Weekday Boardings'!DT15+'Total Saturday Boardings'!DT15+'Total Sunday-Holiday Boardings'!DT15</f>
        <v>37089</v>
      </c>
      <c r="DU15" s="18">
        <f>'Total Weekday Boardings'!DU15+'Total Saturday Boardings'!DU15+'Total Sunday-Holiday Boardings'!DU15</f>
        <v>44604</v>
      </c>
      <c r="DV15" s="18">
        <f>'Total Weekday Boardings'!DV15+'Total Saturday Boardings'!DV15+'Total Sunday-Holiday Boardings'!DV15</f>
        <v>42196</v>
      </c>
      <c r="DW15" s="18">
        <f>'Total Weekday Boardings'!DW15+'Total Saturday Boardings'!DW15+'Total Sunday-Holiday Boardings'!DW15</f>
        <v>38461</v>
      </c>
      <c r="DX15" s="19">
        <f>'Total Weekday Boardings'!DX15+'Total Saturday Boardings'!DX15+'Total Sunday-Holiday Boardings'!DX15</f>
        <v>33288</v>
      </c>
      <c r="DY15" s="137">
        <v>33560</v>
      </c>
      <c r="DZ15" s="18">
        <v>37004</v>
      </c>
      <c r="EA15" s="18">
        <v>36559</v>
      </c>
      <c r="EB15" s="18">
        <v>40946</v>
      </c>
      <c r="EC15" s="18">
        <v>37386</v>
      </c>
      <c r="ED15" s="18">
        <v>35104</v>
      </c>
      <c r="EE15" s="18">
        <v>37348</v>
      </c>
      <c r="EF15" s="18">
        <v>38657</v>
      </c>
      <c r="EG15" s="18">
        <v>29728</v>
      </c>
      <c r="EH15" s="18">
        <v>17128</v>
      </c>
      <c r="EI15" s="18">
        <v>16868</v>
      </c>
      <c r="EJ15" s="19">
        <v>15885</v>
      </c>
      <c r="EK15" s="100">
        <v>15001</v>
      </c>
      <c r="EL15" s="18">
        <v>14818</v>
      </c>
      <c r="EM15" s="18">
        <v>16029</v>
      </c>
      <c r="EN15" s="103">
        <v>16566</v>
      </c>
      <c r="EO15" s="18">
        <v>14548</v>
      </c>
      <c r="EP15" s="18">
        <v>11503</v>
      </c>
      <c r="EQ15" s="18">
        <v>6623</v>
      </c>
      <c r="ER15" s="18">
        <v>12395</v>
      </c>
      <c r="ES15" s="18">
        <v>14408</v>
      </c>
      <c r="ET15" s="18">
        <v>15771</v>
      </c>
      <c r="EU15" s="18">
        <v>14435</v>
      </c>
      <c r="EV15" s="19">
        <v>14796</v>
      </c>
      <c r="EW15" s="103">
        <v>14548</v>
      </c>
      <c r="EX15" s="18">
        <v>16840</v>
      </c>
      <c r="EY15" s="18">
        <v>16988</v>
      </c>
      <c r="EZ15" s="103">
        <v>18634</v>
      </c>
      <c r="FA15" s="18">
        <v>20285</v>
      </c>
      <c r="FB15" s="145">
        <v>18347</v>
      </c>
      <c r="FC15" s="18">
        <v>16511</v>
      </c>
      <c r="FD15" s="18">
        <v>19280</v>
      </c>
      <c r="FE15" s="18">
        <v>22876</v>
      </c>
      <c r="FF15" s="18">
        <v>21141</v>
      </c>
      <c r="FG15" s="13">
        <f>SUM('Total Weekday Boardings'!FG15,'Total Saturday Boardings'!FG15,'Total Sunday-Holiday Boardings'!FG15)</f>
        <v>19841</v>
      </c>
      <c r="FH15" s="13">
        <f>SUM('Total Weekday Boardings'!FH15,'Total Saturday Boardings'!FH15,'Total Sunday-Holiday Boardings'!FH15)</f>
        <v>15945</v>
      </c>
      <c r="FI15" s="13">
        <f>SUM('Total Weekday Boardings'!FI15,'Total Saturday Boardings'!FI15,'Total Sunday-Holiday Boardings'!FI15)</f>
        <v>16161</v>
      </c>
      <c r="FJ15" s="13">
        <f>SUM('Total Weekday Boardings'!FJ15,'Total Saturday Boardings'!FJ15,'Total Sunday-Holiday Boardings'!FJ15)</f>
        <v>18101</v>
      </c>
      <c r="FK15" s="13">
        <f>SUM('Total Weekday Boardings'!FK15,'Total Saturday Boardings'!FK15,'Total Sunday-Holiday Boardings'!FK15)</f>
        <v>21218</v>
      </c>
      <c r="FL15" s="13">
        <f>SUM('Total Weekday Boardings'!FL15,'Total Saturday Boardings'!FL15,'Total Sunday-Holiday Boardings'!FL15)</f>
        <v>22712</v>
      </c>
      <c r="FM15" s="13">
        <f>SUM('Total Weekday Boardings'!FM15,'Total Saturday Boardings'!FM15,'Total Sunday-Holiday Boardings'!FM15)</f>
        <v>19152</v>
      </c>
      <c r="FN15" s="13">
        <f>SUM('Total Weekday Boardings'!FN15,'Total Saturday Boardings'!FN15,'Total Sunday-Holiday Boardings'!FN15)</f>
        <v>19063</v>
      </c>
      <c r="FO15" s="13">
        <f>SUM('Total Weekday Boardings'!FO15,'Total Saturday Boardings'!FO15,'Total Sunday-Holiday Boardings'!FO15)</f>
        <v>21181</v>
      </c>
      <c r="FP15" s="13">
        <f>SUM('Total Weekday Boardings'!FP15,'Total Saturday Boardings'!FP15,'Total Sunday-Holiday Boardings'!FP15)</f>
        <v>20903</v>
      </c>
      <c r="FQ15" s="13">
        <f>SUM('Total Weekday Boardings'!FQ15,'Total Saturday Boardings'!FQ15,'Total Sunday-Holiday Boardings'!FQ15)</f>
        <v>24043</v>
      </c>
      <c r="FR15" s="13">
        <f>SUM('Total Weekday Boardings'!FR15,'Total Saturday Boardings'!FR15,'Total Sunday-Holiday Boardings'!FR15)</f>
        <v>23609</v>
      </c>
      <c r="FS15" s="13">
        <f>SUM('Total Weekday Boardings'!FS15,'Total Saturday Boardings'!FS15,'Total Sunday-Holiday Boardings'!FS15)</f>
        <v>23910</v>
      </c>
      <c r="FT15" s="16">
        <f>SUM('Total Weekday Boardings'!FT15,'Total Saturday Boardings'!FT15,'Total Sunday-Holiday Boardings'!FT15)</f>
        <v>20765</v>
      </c>
      <c r="FU15" s="171">
        <v>21788</v>
      </c>
      <c r="FV15" s="171">
        <v>24170</v>
      </c>
      <c r="FW15" s="171">
        <v>21912</v>
      </c>
      <c r="FX15" s="171">
        <v>25526</v>
      </c>
      <c r="FY15" s="171">
        <v>22907</v>
      </c>
      <c r="FZ15" s="171">
        <v>22537</v>
      </c>
      <c r="GA15" s="171">
        <v>23649</v>
      </c>
      <c r="GB15" s="52">
        <v>26201</v>
      </c>
      <c r="GC15" s="52">
        <v>26961</v>
      </c>
      <c r="GD15" s="52">
        <v>24458</v>
      </c>
      <c r="GE15" s="18">
        <v>24439</v>
      </c>
      <c r="GF15" s="52">
        <v>21572</v>
      </c>
      <c r="GG15" s="184">
        <v>22946</v>
      </c>
      <c r="GH15" s="52">
        <v>23660</v>
      </c>
      <c r="GI15" s="18">
        <v>23233</v>
      </c>
      <c r="GJ15" s="236">
        <v>25244</v>
      </c>
      <c r="GK15" s="184">
        <v>21798</v>
      </c>
      <c r="GL15" s="184">
        <v>21314</v>
      </c>
    </row>
    <row r="16" spans="1:194" ht="15" thickBot="1" x14ac:dyDescent="0.35">
      <c r="A16" s="3" t="s">
        <v>9</v>
      </c>
      <c r="B16" s="17"/>
      <c r="C16" s="18">
        <f>'Total Weekday Boardings'!C16+'Total Saturday Boardings'!C16+'Total Sunday-Holiday Boardings'!C16</f>
        <v>21932</v>
      </c>
      <c r="D16" s="18">
        <f>'Total Weekday Boardings'!D16+'Total Saturday Boardings'!D16+'Total Sunday-Holiday Boardings'!D16</f>
        <v>22713</v>
      </c>
      <c r="E16" s="18">
        <f>'Total Weekday Boardings'!E16+'Total Saturday Boardings'!E16+'Total Sunday-Holiday Boardings'!E16</f>
        <v>22446</v>
      </c>
      <c r="F16" s="18">
        <f>'Total Weekday Boardings'!F16+'Total Saturday Boardings'!F16+'Total Sunday-Holiday Boardings'!F16</f>
        <v>23329</v>
      </c>
      <c r="G16" s="18">
        <f>'Total Weekday Boardings'!G16+'Total Saturday Boardings'!G16+'Total Sunday-Holiday Boardings'!G16</f>
        <v>21887</v>
      </c>
      <c r="H16" s="19">
        <f>'Total Weekday Boardings'!H16+'Total Saturday Boardings'!H16+'Total Sunday-Holiday Boardings'!H16</f>
        <v>17069</v>
      </c>
      <c r="I16" s="17">
        <f>'Total Weekday Boardings'!I16+'Total Saturday Boardings'!I16+'Total Sunday-Holiday Boardings'!I16</f>
        <v>17823</v>
      </c>
      <c r="J16" s="18">
        <f>'Total Weekday Boardings'!J16+'Total Saturday Boardings'!J16+'Total Sunday-Holiday Boardings'!J16</f>
        <v>20423</v>
      </c>
      <c r="K16" s="18">
        <f>'Total Weekday Boardings'!K16+'Total Saturday Boardings'!K16+'Total Sunday-Holiday Boardings'!K16</f>
        <v>18678</v>
      </c>
      <c r="L16" s="18">
        <f>'Total Weekday Boardings'!L16+'Total Saturday Boardings'!L16+'Total Sunday-Holiday Boardings'!L16</f>
        <v>20101</v>
      </c>
      <c r="M16" s="18">
        <f>'Total Weekday Boardings'!M16+'Total Saturday Boardings'!M16+'Total Sunday-Holiday Boardings'!M16</f>
        <v>20427</v>
      </c>
      <c r="N16" s="18">
        <f>'Total Weekday Boardings'!N16+'Total Saturday Boardings'!N16+'Total Sunday-Holiday Boardings'!N16</f>
        <v>20678</v>
      </c>
      <c r="O16" s="62">
        <f>'Total Weekday Boardings'!O16+'Total Saturday Boardings'!O16+'Total Sunday-Holiday Boardings'!O16</f>
        <v>19647</v>
      </c>
      <c r="P16" s="62">
        <f>'Total Weekday Boardings'!P16+'Total Saturday Boardings'!P16+'Total Sunday-Holiday Boardings'!P16</f>
        <v>21953</v>
      </c>
      <c r="Q16" s="62">
        <f>'Total Weekday Boardings'!Q16+'Total Saturday Boardings'!Q16+'Total Sunday-Holiday Boardings'!Q16</f>
        <v>24437</v>
      </c>
      <c r="R16" s="62">
        <f>'Total Weekday Boardings'!R16+'Total Saturday Boardings'!R16+'Total Sunday-Holiday Boardings'!R16</f>
        <v>23695</v>
      </c>
      <c r="S16" s="62">
        <f>'Total Weekday Boardings'!S16+'Total Saturday Boardings'!S16+'Total Sunday-Holiday Boardings'!S16</f>
        <v>19020</v>
      </c>
      <c r="T16" s="63">
        <f>'Total Weekday Boardings'!T16+'Total Saturday Boardings'!T16+'Total Sunday-Holiday Boardings'!T16</f>
        <v>21872</v>
      </c>
      <c r="U16" s="64">
        <f>'Total Weekday Boardings'!U16+'Total Saturday Boardings'!U16+'Total Sunday-Holiday Boardings'!U16</f>
        <v>19274</v>
      </c>
      <c r="V16" s="62">
        <f>'Total Weekday Boardings'!V16+'Total Saturday Boardings'!V16+'Total Sunday-Holiday Boardings'!V16</f>
        <v>22117</v>
      </c>
      <c r="W16" s="62">
        <f>'Total Weekday Boardings'!W16+'Total Saturday Boardings'!W16+'Total Sunday-Holiday Boardings'!W16</f>
        <v>22610</v>
      </c>
      <c r="X16" s="62">
        <f>'Total Weekday Boardings'!X16+'Total Saturday Boardings'!X16+'Total Sunday-Holiday Boardings'!X16</f>
        <v>22527</v>
      </c>
      <c r="Y16" s="62">
        <f>'Total Weekday Boardings'!Y16+'Total Saturday Boardings'!Y16+'Total Sunday-Holiday Boardings'!Y16</f>
        <v>23171</v>
      </c>
      <c r="Z16" s="62">
        <f>'Total Weekday Boardings'!Z16+'Total Saturday Boardings'!Z16+'Total Sunday-Holiday Boardings'!Z16</f>
        <v>20860</v>
      </c>
      <c r="AA16" s="18">
        <f>'Total Weekday Boardings'!AA16+'Total Saturday Boardings'!AA16+'Total Sunday-Holiday Boardings'!AA16</f>
        <v>22693</v>
      </c>
      <c r="AB16" s="18">
        <f>'Total Weekday Boardings'!AB16+'Total Saturday Boardings'!AB16+'Total Sunday-Holiday Boardings'!AB16</f>
        <v>22328</v>
      </c>
      <c r="AC16" s="18">
        <f>'Total Weekday Boardings'!AC16+'Total Saturday Boardings'!AC16+'Total Sunday-Holiday Boardings'!AC16</f>
        <v>24921</v>
      </c>
      <c r="AD16" s="18">
        <f>'Total Weekday Boardings'!AD16+'Total Saturday Boardings'!AD16+'Total Sunday-Holiday Boardings'!AD16</f>
        <v>25974</v>
      </c>
      <c r="AE16" s="18">
        <f>'Total Weekday Boardings'!AE16+'Total Saturday Boardings'!AE16+'Total Sunday-Holiday Boardings'!AE16</f>
        <v>24123</v>
      </c>
      <c r="AF16" s="19">
        <f>'Total Weekday Boardings'!AF16+'Total Saturday Boardings'!AF16+'Total Sunday-Holiday Boardings'!AF16</f>
        <v>21442</v>
      </c>
      <c r="AG16" s="17">
        <f>'Total Weekday Boardings'!AG16+'Total Saturday Boardings'!AG16+'Total Sunday-Holiday Boardings'!AG16</f>
        <v>21572</v>
      </c>
      <c r="AH16" s="18">
        <f>'Total Weekday Boardings'!AH16+'Total Saturday Boardings'!AH16+'Total Sunday-Holiday Boardings'!AH16</f>
        <v>25187</v>
      </c>
      <c r="AI16" s="18">
        <f>'Total Weekday Boardings'!AI16+'Total Saturday Boardings'!AI16+'Total Sunday-Holiday Boardings'!AI16</f>
        <v>25296</v>
      </c>
      <c r="AJ16" s="18">
        <f>'Total Weekday Boardings'!AJ16+'Total Saturday Boardings'!AJ16+'Total Sunday-Holiday Boardings'!AJ16</f>
        <v>26928</v>
      </c>
      <c r="AK16" s="18">
        <f>'Total Weekday Boardings'!AK16+'Total Saturday Boardings'!AK16+'Total Sunday-Holiday Boardings'!AK16</f>
        <v>23637</v>
      </c>
      <c r="AL16" s="18">
        <f>'Total Weekday Boardings'!AL16+'Total Saturday Boardings'!AL16+'Total Sunday-Holiday Boardings'!AL16</f>
        <v>24426</v>
      </c>
      <c r="AM16" s="18">
        <f>'Total Weekday Boardings'!AM16+'Total Saturday Boardings'!AM16+'Total Sunday-Holiday Boardings'!AM16</f>
        <v>25787</v>
      </c>
      <c r="AN16" s="18">
        <f>'Total Weekday Boardings'!AN16+'Total Saturday Boardings'!AN16+'Total Sunday-Holiday Boardings'!AN16</f>
        <v>25080</v>
      </c>
      <c r="AO16" s="18">
        <f>'Total Weekday Boardings'!AO16+'Total Saturday Boardings'!AO16+'Total Sunday-Holiday Boardings'!AO16</f>
        <v>27625</v>
      </c>
      <c r="AP16" s="18">
        <f>'Total Weekday Boardings'!AP16+'Total Saturday Boardings'!AP16+'Total Sunday-Holiday Boardings'!AP16</f>
        <v>28360</v>
      </c>
      <c r="AQ16" s="18">
        <f>'Total Weekday Boardings'!AQ16+'Total Saturday Boardings'!AQ16+'Total Sunday-Holiday Boardings'!AQ16</f>
        <v>27737</v>
      </c>
      <c r="AR16" s="19">
        <f>'Total Weekday Boardings'!AR16+'Total Saturday Boardings'!AR16+'Total Sunday-Holiday Boardings'!AR16</f>
        <v>23995</v>
      </c>
      <c r="AS16" s="17">
        <f>'Total Weekday Boardings'!AS16+'Total Saturday Boardings'!AS16+'Total Sunday-Holiday Boardings'!AS16</f>
        <v>23683</v>
      </c>
      <c r="AT16" s="18">
        <f>'Total Weekday Boardings'!AT16+'Total Saturday Boardings'!AT16+'Total Sunday-Holiday Boardings'!AT16</f>
        <v>27616</v>
      </c>
      <c r="AU16" s="18">
        <f>'Total Weekday Boardings'!AU16+'Total Saturday Boardings'!AU16+'Total Sunday-Holiday Boardings'!AU16</f>
        <v>24742</v>
      </c>
      <c r="AV16" s="18">
        <f>'Total Weekday Boardings'!AV16+'Total Saturday Boardings'!AV16+'Total Sunday-Holiday Boardings'!AV16</f>
        <v>31254</v>
      </c>
      <c r="AW16" s="18">
        <f>'Total Weekday Boardings'!AW16+'Total Saturday Boardings'!AW16+'Total Sunday-Holiday Boardings'!AW16</f>
        <v>28018</v>
      </c>
      <c r="AX16" s="18">
        <f>'Total Weekday Boardings'!AX16+'Total Saturday Boardings'!AX16+'Total Sunday-Holiday Boardings'!AX16</f>
        <v>26001</v>
      </c>
      <c r="AY16" s="18">
        <f>'Total Weekday Boardings'!AY16+'Total Saturday Boardings'!AY16+'Total Sunday-Holiday Boardings'!AY16</f>
        <v>27952</v>
      </c>
      <c r="AZ16" s="18">
        <f>'Total Weekday Boardings'!AZ16+'Total Saturday Boardings'!AZ16+'Total Sunday-Holiday Boardings'!AZ16</f>
        <v>27641</v>
      </c>
      <c r="BA16" s="18">
        <f>'Total Weekday Boardings'!BA16+'Total Saturday Boardings'!BA16+'Total Sunday-Holiday Boardings'!BA16</f>
        <v>28742</v>
      </c>
      <c r="BB16" s="18">
        <f>'Total Weekday Boardings'!BB16+'Total Saturday Boardings'!BB16+'Total Sunday-Holiday Boardings'!BB16</f>
        <v>29319</v>
      </c>
      <c r="BC16" s="18">
        <f>'Total Weekday Boardings'!BC16+'Total Saturday Boardings'!BC16+'Total Sunday-Holiday Boardings'!BC16</f>
        <v>28573</v>
      </c>
      <c r="BD16" s="19">
        <f>'Total Weekday Boardings'!BD16+'Total Saturday Boardings'!BD16+'Total Sunday-Holiday Boardings'!BD16</f>
        <v>22599</v>
      </c>
      <c r="BE16" s="17">
        <f>'Total Weekday Boardings'!BE16+'Total Saturday Boardings'!BE16+'Total Sunday-Holiday Boardings'!BE16</f>
        <v>23056</v>
      </c>
      <c r="BF16" s="18">
        <f>'Total Weekday Boardings'!BF16+'Total Saturday Boardings'!BF16+'Total Sunday-Holiday Boardings'!BF16</f>
        <v>25629</v>
      </c>
      <c r="BG16" s="18">
        <f>'Total Weekday Boardings'!BG16+'Total Saturday Boardings'!BG16+'Total Sunday-Holiday Boardings'!BG16</f>
        <v>25662</v>
      </c>
      <c r="BH16" s="18">
        <f>'Total Weekday Boardings'!BH16+'Total Saturday Boardings'!BH16+'Total Sunday-Holiday Boardings'!BH16</f>
        <v>28339</v>
      </c>
      <c r="BI16" s="18">
        <f>'Total Weekday Boardings'!BI16+'Total Saturday Boardings'!BI16+'Total Sunday-Holiday Boardings'!BI16</f>
        <v>25792.456926595005</v>
      </c>
      <c r="BJ16" s="18">
        <f>'Total Weekday Boardings'!BJ16+'Total Saturday Boardings'!BJ16+'Total Sunday-Holiday Boardings'!BJ16</f>
        <v>24522</v>
      </c>
      <c r="BK16" s="18">
        <f>'Total Weekday Boardings'!BK16+'Total Saturday Boardings'!BK16+'Total Sunday-Holiday Boardings'!BK16</f>
        <v>27282</v>
      </c>
      <c r="BL16" s="18">
        <f>'Total Weekday Boardings'!BL16+'Total Saturday Boardings'!BL16+'Total Sunday-Holiday Boardings'!BL16</f>
        <v>25910</v>
      </c>
      <c r="BM16" s="18">
        <f>'Total Weekday Boardings'!BM16+'Total Saturday Boardings'!BM16+'Total Sunday-Holiday Boardings'!BM16</f>
        <v>29407</v>
      </c>
      <c r="BN16" s="18">
        <f>'Total Weekday Boardings'!BN16+'Total Saturday Boardings'!BN16+'Total Sunday-Holiday Boardings'!BN16</f>
        <v>28173</v>
      </c>
      <c r="BO16" s="18">
        <f>'Total Weekday Boardings'!BO16+'Total Saturday Boardings'!BO16+'Total Sunday-Holiday Boardings'!BO16</f>
        <v>25477</v>
      </c>
      <c r="BP16" s="19">
        <f>'Total Weekday Boardings'!BP16+'Total Saturday Boardings'!BP16+'Total Sunday-Holiday Boardings'!BP16</f>
        <v>24445</v>
      </c>
      <c r="BQ16" s="17">
        <f>'Total Weekday Boardings'!BQ16+'Total Saturday Boardings'!BQ16+'Total Sunday-Holiday Boardings'!BQ16</f>
        <v>23554</v>
      </c>
      <c r="BR16" s="18">
        <f>'Total Weekday Boardings'!BR16+'Total Saturday Boardings'!BR16+'Total Sunday-Holiday Boardings'!BR16</f>
        <v>24388</v>
      </c>
      <c r="BS16" s="18">
        <f>'Total Weekday Boardings'!BS16+'Total Saturday Boardings'!BS16+'Total Sunday-Holiday Boardings'!BS16</f>
        <v>25186</v>
      </c>
      <c r="BT16" s="18">
        <f>'Total Weekday Boardings'!BT16+'Total Saturday Boardings'!BT16+'Total Sunday-Holiday Boardings'!BT16</f>
        <v>28529</v>
      </c>
      <c r="BU16" s="18">
        <f>'Total Weekday Boardings'!BU16+'Total Saturday Boardings'!BU16+'Total Sunday-Holiday Boardings'!BU16</f>
        <v>24731</v>
      </c>
      <c r="BV16" s="18">
        <f>'Total Weekday Boardings'!BV16+'Total Saturday Boardings'!BV16+'Total Sunday-Holiday Boardings'!BV16</f>
        <v>25532</v>
      </c>
      <c r="BW16" s="18">
        <f>'Total Weekday Boardings'!BW16+'Total Saturday Boardings'!BW16+'Total Sunday-Holiday Boardings'!BW16</f>
        <v>30396</v>
      </c>
      <c r="BX16" s="18">
        <f>'Total Weekday Boardings'!BX16+'Total Saturday Boardings'!BX16+'Total Sunday-Holiday Boardings'!BX16</f>
        <v>25944</v>
      </c>
      <c r="BY16" s="18">
        <f>'Total Weekday Boardings'!BY16+'Total Saturday Boardings'!BY16+'Total Sunday-Holiday Boardings'!BY16</f>
        <v>27274</v>
      </c>
      <c r="BZ16" s="18">
        <f>'Total Weekday Boardings'!BZ16+'Total Saturday Boardings'!BZ16+'Total Sunday-Holiday Boardings'!BZ16</f>
        <v>27311</v>
      </c>
      <c r="CA16" s="18">
        <f>'Total Weekday Boardings'!CA16+'Total Saturday Boardings'!CA16+'Total Sunday-Holiday Boardings'!CA16</f>
        <v>26544</v>
      </c>
      <c r="CB16" s="19">
        <f>'Total Weekday Boardings'!CB16+'Total Saturday Boardings'!CB16+'Total Sunday-Holiday Boardings'!CB16</f>
        <v>23612</v>
      </c>
      <c r="CC16" s="20">
        <f>'Total Weekday Boardings'!CC16+'Total Saturday Boardings'!CC16+'Total Sunday-Holiday Boardings'!CC16</f>
        <v>23544</v>
      </c>
      <c r="CD16" s="18">
        <f>'Total Weekday Boardings'!CD16+'Total Saturday Boardings'!CD16+'Total Sunday-Holiday Boardings'!CD16</f>
        <v>24075</v>
      </c>
      <c r="CE16" s="18">
        <f>'Total Weekday Boardings'!CE16+'Total Saturday Boardings'!CE16+'Total Sunday-Holiday Boardings'!CE16</f>
        <v>26504</v>
      </c>
      <c r="CF16" s="18">
        <f>'Total Weekday Boardings'!CF16+'Total Saturday Boardings'!CF16+'Total Sunday-Holiday Boardings'!CF16</f>
        <v>30254</v>
      </c>
      <c r="CG16" s="18">
        <f>'Total Weekday Boardings'!CG16+'Total Saturday Boardings'!CG16+'Total Sunday-Holiday Boardings'!CG16</f>
        <v>26382</v>
      </c>
      <c r="CH16" s="18">
        <f>'Total Weekday Boardings'!CH16+'Total Saturday Boardings'!CH16+'Total Sunday-Holiday Boardings'!CH16</f>
        <v>25355</v>
      </c>
      <c r="CI16" s="18">
        <f>'Total Weekday Boardings'!CI16+'Total Saturday Boardings'!CI16+'Total Sunday-Holiday Boardings'!CI16</f>
        <v>27709</v>
      </c>
      <c r="CJ16" s="18">
        <f>'Total Weekday Boardings'!CJ16+'Total Saturday Boardings'!CJ16+'Total Sunday-Holiday Boardings'!CJ16</f>
        <v>28271</v>
      </c>
      <c r="CK16" s="18">
        <f>'Total Weekday Boardings'!CK16+'Total Saturday Boardings'!CK16+'Total Sunday-Holiday Boardings'!CK16</f>
        <v>30624</v>
      </c>
      <c r="CL16" s="18">
        <f>'Total Weekday Boardings'!CL16+'Total Saturday Boardings'!CL16+'Total Sunday-Holiday Boardings'!CL16</f>
        <v>31814</v>
      </c>
      <c r="CM16" s="18">
        <f>'Total Weekday Boardings'!CM16+'Total Saturday Boardings'!CM16+'Total Sunday-Holiday Boardings'!CM16</f>
        <v>29103</v>
      </c>
      <c r="CN16" s="21">
        <f>'Total Weekday Boardings'!CN16+'Total Saturday Boardings'!CN16+'Total Sunday-Holiday Boardings'!CN16</f>
        <v>27556</v>
      </c>
      <c r="CO16" s="17">
        <f>'Total Weekday Boardings'!CO16+'Total Saturday Boardings'!CO16+'Total Sunday-Holiday Boardings'!CO16</f>
        <v>25995</v>
      </c>
      <c r="CP16" s="18">
        <f>'Total Weekday Boardings'!CP16+'Total Saturday Boardings'!CP16+'Total Sunday-Holiday Boardings'!CP16</f>
        <v>29444</v>
      </c>
      <c r="CQ16" s="18">
        <f>'Total Weekday Boardings'!CQ16+'Total Saturday Boardings'!CQ16+'Total Sunday-Holiday Boardings'!CQ16</f>
        <v>28421</v>
      </c>
      <c r="CR16" s="18">
        <f>'Total Weekday Boardings'!CR16+'Total Saturday Boardings'!CR16+'Total Sunday-Holiday Boardings'!CR16</f>
        <v>31195</v>
      </c>
      <c r="CS16" s="18">
        <f>'Total Weekday Boardings'!CS16+'Total Saturday Boardings'!CS16+'Total Sunday-Holiday Boardings'!CS16</f>
        <v>30252</v>
      </c>
      <c r="CT16" s="18">
        <f>'Total Weekday Boardings'!CT16+'Total Saturday Boardings'!CT16+'Total Sunday-Holiday Boardings'!CT16</f>
        <v>29755</v>
      </c>
      <c r="CU16" s="18">
        <f>'Total Weekday Boardings'!CU16+'Total Saturday Boardings'!CU16+'Total Sunday-Holiday Boardings'!CU16</f>
        <v>29266</v>
      </c>
      <c r="CV16" s="18">
        <f>'Total Weekday Boardings'!CV16+'Total Saturday Boardings'!CV16+'Total Sunday-Holiday Boardings'!CV16</f>
        <v>27664</v>
      </c>
      <c r="CW16" s="18">
        <f>'Total Weekday Boardings'!CW16+'Total Saturday Boardings'!CW16+'Total Sunday-Holiday Boardings'!CW16</f>
        <v>30175</v>
      </c>
      <c r="CX16" s="18">
        <f>'Total Weekday Boardings'!CX16+'Total Saturday Boardings'!CX16+'Total Sunday-Holiday Boardings'!CX16</f>
        <v>29545</v>
      </c>
      <c r="CY16" s="18">
        <f>'Total Weekday Boardings'!CY16+'Total Saturday Boardings'!CY16+'Total Sunday-Holiday Boardings'!CY16</f>
        <v>28237</v>
      </c>
      <c r="CZ16" s="19">
        <f>'Total Weekday Boardings'!CZ16+'Total Saturday Boardings'!CZ16+'Total Sunday-Holiday Boardings'!CZ16</f>
        <v>25465</v>
      </c>
      <c r="DA16" s="17">
        <f>'Total Weekday Boardings'!DA16+'Total Saturday Boardings'!DA16+'Total Sunday-Holiday Boardings'!DA16</f>
        <v>24312</v>
      </c>
      <c r="DB16" s="18">
        <f>'Total Weekday Boardings'!DB16+'Total Saturday Boardings'!DB16+'Total Sunday-Holiday Boardings'!DB16</f>
        <v>26565</v>
      </c>
      <c r="DC16" s="18">
        <f>'Total Weekday Boardings'!DC16+'Total Saturday Boardings'!DC16+'Total Sunday-Holiday Boardings'!DC16</f>
        <v>25546</v>
      </c>
      <c r="DD16" s="18">
        <f>'Total Weekday Boardings'!DD16+'Total Saturday Boardings'!DD16+'Total Sunday-Holiday Boardings'!DD16</f>
        <v>28803</v>
      </c>
      <c r="DE16" s="18">
        <f>'Total Weekday Boardings'!DE16+'Total Saturday Boardings'!DE16+'Total Sunday-Holiday Boardings'!DE16</f>
        <v>25624</v>
      </c>
      <c r="DF16" s="18">
        <f>'Total Weekday Boardings'!DF16+'Total Saturday Boardings'!DF16+'Total Sunday-Holiday Boardings'!DF16</f>
        <v>24395</v>
      </c>
      <c r="DG16" s="18">
        <f>'Total Weekday Boardings'!DG16+'Total Saturday Boardings'!DG16+'Total Sunday-Holiday Boardings'!DG16</f>
        <v>26375</v>
      </c>
      <c r="DH16" s="18">
        <f>'Total Weekday Boardings'!DH16+'Total Saturday Boardings'!DH16+'Total Sunday-Holiday Boardings'!DH16</f>
        <v>24499</v>
      </c>
      <c r="DI16" s="18">
        <f>'Total Weekday Boardings'!DI16+'Total Saturday Boardings'!DI16+'Total Sunday-Holiday Boardings'!DI16</f>
        <v>28538</v>
      </c>
      <c r="DJ16" s="18">
        <f>'Total Weekday Boardings'!DJ16+'Total Saturday Boardings'!DJ16+'Total Sunday-Holiday Boardings'!DJ16</f>
        <v>27171</v>
      </c>
      <c r="DK16" s="18">
        <f>'Total Weekday Boardings'!DK16+'Total Saturday Boardings'!DK16+'Total Sunday-Holiday Boardings'!DK16</f>
        <v>26719</v>
      </c>
      <c r="DL16" s="19">
        <f>'Total Weekday Boardings'!DL16+'Total Saturday Boardings'!DL16+'Total Sunday-Holiday Boardings'!DL16</f>
        <v>23021</v>
      </c>
      <c r="DM16" s="17">
        <f>'Total Weekday Boardings'!DM16+'Total Saturday Boardings'!DM16+'Total Sunday-Holiday Boardings'!DM16</f>
        <v>21953</v>
      </c>
      <c r="DN16" s="18">
        <f>'Total Weekday Boardings'!DN16+'Total Saturday Boardings'!DN16+'Total Sunday-Holiday Boardings'!DN16</f>
        <v>23978</v>
      </c>
      <c r="DO16" s="18">
        <f>'Total Weekday Boardings'!DO16+'Total Saturday Boardings'!DO16+'Total Sunday-Holiday Boardings'!DO16</f>
        <v>22960</v>
      </c>
      <c r="DP16" s="18">
        <f>'Total Weekday Boardings'!DP16+'Total Saturday Boardings'!DP16+'Total Sunday-Holiday Boardings'!DP16</f>
        <v>25306</v>
      </c>
      <c r="DQ16" s="18">
        <f>'Total Weekday Boardings'!DQ16+'Total Saturday Boardings'!DQ16+'Total Sunday-Holiday Boardings'!DQ16</f>
        <v>24305</v>
      </c>
      <c r="DR16" s="18">
        <f>'Total Weekday Boardings'!DR16+'Total Saturday Boardings'!DR16+'Total Sunday-Holiday Boardings'!DR16</f>
        <v>22649</v>
      </c>
      <c r="DS16" s="18">
        <f>'Total Weekday Boardings'!DS16+'Total Saturday Boardings'!DS16+'Total Sunday-Holiday Boardings'!DS16</f>
        <v>25228</v>
      </c>
      <c r="DT16" s="18">
        <f>'Total Weekday Boardings'!DT16+'Total Saturday Boardings'!DT16+'Total Sunday-Holiday Boardings'!DT16</f>
        <v>21640</v>
      </c>
      <c r="DU16" s="18">
        <f>'Total Weekday Boardings'!DU16+'Total Saturday Boardings'!DU16+'Total Sunday-Holiday Boardings'!DU16</f>
        <v>25955</v>
      </c>
      <c r="DV16" s="18">
        <f>'Total Weekday Boardings'!DV16+'Total Saturday Boardings'!DV16+'Total Sunday-Holiday Boardings'!DV16</f>
        <v>24518</v>
      </c>
      <c r="DW16" s="18">
        <f>'Total Weekday Boardings'!DW16+'Total Saturday Boardings'!DW16+'Total Sunday-Holiday Boardings'!DW16</f>
        <v>23838</v>
      </c>
      <c r="DX16" s="19">
        <f>'Total Weekday Boardings'!DX16+'Total Saturday Boardings'!DX16+'Total Sunday-Holiday Boardings'!DX16</f>
        <v>21000</v>
      </c>
      <c r="DY16" s="137">
        <v>20660</v>
      </c>
      <c r="DZ16" s="18">
        <v>22731</v>
      </c>
      <c r="EA16" s="18">
        <v>22990</v>
      </c>
      <c r="EB16" s="18">
        <v>24941</v>
      </c>
      <c r="EC16" s="18">
        <v>22447</v>
      </c>
      <c r="ED16" s="18">
        <v>21195</v>
      </c>
      <c r="EE16" s="18">
        <v>21862</v>
      </c>
      <c r="EF16" s="18">
        <v>22049</v>
      </c>
      <c r="EG16" s="18">
        <v>17391</v>
      </c>
      <c r="EH16" s="18">
        <v>10353</v>
      </c>
      <c r="EI16" s="18">
        <v>11105</v>
      </c>
      <c r="EJ16" s="19">
        <v>10467</v>
      </c>
      <c r="EK16" s="100">
        <v>10316</v>
      </c>
      <c r="EL16" s="18">
        <v>10156</v>
      </c>
      <c r="EM16" s="18">
        <v>10163</v>
      </c>
      <c r="EN16" s="103">
        <v>10358</v>
      </c>
      <c r="EO16" s="18">
        <v>9859</v>
      </c>
      <c r="EP16" s="18">
        <v>7286</v>
      </c>
      <c r="EQ16" s="18">
        <v>4002</v>
      </c>
      <c r="ER16" s="18">
        <v>7871</v>
      </c>
      <c r="ES16" s="18">
        <v>9231</v>
      </c>
      <c r="ET16" s="18">
        <v>10040</v>
      </c>
      <c r="EU16" s="18">
        <v>9705</v>
      </c>
      <c r="EV16" s="19">
        <v>9936</v>
      </c>
      <c r="EW16" s="103">
        <v>9859</v>
      </c>
      <c r="EX16" s="18">
        <v>10979</v>
      </c>
      <c r="EY16" s="18">
        <v>10204</v>
      </c>
      <c r="EZ16" s="103">
        <v>10509</v>
      </c>
      <c r="FA16" s="18">
        <v>10819</v>
      </c>
      <c r="FB16" s="145">
        <v>10835</v>
      </c>
      <c r="FC16" s="18">
        <v>9779</v>
      </c>
      <c r="FD16" s="18">
        <v>10620</v>
      </c>
      <c r="FE16" s="18">
        <v>12618</v>
      </c>
      <c r="FF16" s="18">
        <v>12161</v>
      </c>
      <c r="FG16" s="13">
        <f>SUM('Total Weekday Boardings'!FG16,'Total Saturday Boardings'!FG16,'Total Sunday-Holiday Boardings'!FG16)</f>
        <v>11895</v>
      </c>
      <c r="FH16" s="13">
        <f>SUM('Total Weekday Boardings'!FH16,'Total Saturday Boardings'!FH16,'Total Sunday-Holiday Boardings'!FH16)</f>
        <v>9667</v>
      </c>
      <c r="FI16" s="13">
        <f>SUM('Total Weekday Boardings'!FI16,'Total Saturday Boardings'!FI16,'Total Sunday-Holiday Boardings'!FI16)</f>
        <v>9426</v>
      </c>
      <c r="FJ16" s="13">
        <f>SUM('Total Weekday Boardings'!FJ16,'Total Saturday Boardings'!FJ16,'Total Sunday-Holiday Boardings'!FJ16)</f>
        <v>10460</v>
      </c>
      <c r="FK16" s="13">
        <f>SUM('Total Weekday Boardings'!FK16,'Total Saturday Boardings'!FK16,'Total Sunday-Holiday Boardings'!FK16)</f>
        <v>11203.75</v>
      </c>
      <c r="FL16" s="13">
        <f>SUM('Total Weekday Boardings'!FL16,'Total Saturday Boardings'!FL16,'Total Sunday-Holiday Boardings'!FL16)</f>
        <v>11371</v>
      </c>
      <c r="FM16" s="13">
        <f>SUM('Total Weekday Boardings'!FM16,'Total Saturday Boardings'!FM16,'Total Sunday-Holiday Boardings'!FM16)</f>
        <v>10647</v>
      </c>
      <c r="FN16" s="13">
        <f>SUM('Total Weekday Boardings'!FN16,'Total Saturday Boardings'!FN16,'Total Sunday-Holiday Boardings'!FN16)</f>
        <v>10534</v>
      </c>
      <c r="FO16" s="13">
        <f>SUM('Total Weekday Boardings'!FO16,'Total Saturday Boardings'!FO16,'Total Sunday-Holiday Boardings'!FO16)</f>
        <v>11950</v>
      </c>
      <c r="FP16" s="13">
        <f>SUM('Total Weekday Boardings'!FP16,'Total Saturday Boardings'!FP16,'Total Sunday-Holiday Boardings'!FP16)</f>
        <v>11780</v>
      </c>
      <c r="FQ16" s="13">
        <f>SUM('Total Weekday Boardings'!FQ16,'Total Saturday Boardings'!FQ16,'Total Sunday-Holiday Boardings'!FQ16)</f>
        <v>13544</v>
      </c>
      <c r="FR16" s="13">
        <f>SUM('Total Weekday Boardings'!FR16,'Total Saturday Boardings'!FR16,'Total Sunday-Holiday Boardings'!FR16)</f>
        <v>13202</v>
      </c>
      <c r="FS16" s="13">
        <f>SUM('Total Weekday Boardings'!FS16,'Total Saturday Boardings'!FS16,'Total Sunday-Holiday Boardings'!FS16)</f>
        <v>13733</v>
      </c>
      <c r="FT16" s="16">
        <f>SUM('Total Weekday Boardings'!FT16,'Total Saturday Boardings'!FT16,'Total Sunday-Holiday Boardings'!FT16)</f>
        <v>13091</v>
      </c>
      <c r="FU16" s="171">
        <v>13125</v>
      </c>
      <c r="FV16" s="171">
        <v>13923</v>
      </c>
      <c r="FW16" s="171">
        <v>11971</v>
      </c>
      <c r="FX16" s="171">
        <v>13410</v>
      </c>
      <c r="FY16" s="171">
        <v>12488</v>
      </c>
      <c r="FZ16" s="171">
        <v>12805</v>
      </c>
      <c r="GA16" s="171">
        <v>13866</v>
      </c>
      <c r="GB16" s="52">
        <v>13438</v>
      </c>
      <c r="GC16" s="52">
        <v>13735</v>
      </c>
      <c r="GD16" s="52">
        <v>13281</v>
      </c>
      <c r="GE16" s="18">
        <v>13526</v>
      </c>
      <c r="GF16" s="52">
        <v>12513</v>
      </c>
      <c r="GG16" s="184">
        <v>12695</v>
      </c>
      <c r="GH16" s="52">
        <v>13989</v>
      </c>
      <c r="GI16" s="18">
        <v>13213</v>
      </c>
      <c r="GJ16" s="236">
        <v>13987</v>
      </c>
      <c r="GK16" s="184">
        <v>12955</v>
      </c>
      <c r="GL16" s="184">
        <v>12269</v>
      </c>
    </row>
    <row r="17" spans="1:194" ht="15" thickBot="1" x14ac:dyDescent="0.35">
      <c r="A17" s="3" t="s">
        <v>10</v>
      </c>
      <c r="B17" s="17"/>
      <c r="C17" s="18">
        <f>'Total Weekday Boardings'!C17+'Total Saturday Boardings'!C17+'Total Sunday-Holiday Boardings'!C17</f>
        <v>30405</v>
      </c>
      <c r="D17" s="18">
        <f>'Total Weekday Boardings'!D17+'Total Saturday Boardings'!D17+'Total Sunday-Holiday Boardings'!D17</f>
        <v>35455</v>
      </c>
      <c r="E17" s="18">
        <f>'Total Weekday Boardings'!E17+'Total Saturday Boardings'!E17+'Total Sunday-Holiday Boardings'!E17</f>
        <v>34801</v>
      </c>
      <c r="F17" s="18">
        <f>'Total Weekday Boardings'!F17+'Total Saturday Boardings'!F17+'Total Sunday-Holiday Boardings'!F17</f>
        <v>37805</v>
      </c>
      <c r="G17" s="18">
        <f>'Total Weekday Boardings'!G17+'Total Saturday Boardings'!G17+'Total Sunday-Holiday Boardings'!G17</f>
        <v>35396</v>
      </c>
      <c r="H17" s="19">
        <f>'Total Weekday Boardings'!H17+'Total Saturday Boardings'!H17+'Total Sunday-Holiday Boardings'!H17</f>
        <v>33424</v>
      </c>
      <c r="I17" s="17">
        <f>'Total Weekday Boardings'!I17+'Total Saturday Boardings'!I17+'Total Sunday-Holiday Boardings'!I17</f>
        <v>32186</v>
      </c>
      <c r="J17" s="18">
        <f>'Total Weekday Boardings'!J17+'Total Saturday Boardings'!J17+'Total Sunday-Holiday Boardings'!J17</f>
        <v>35040</v>
      </c>
      <c r="K17" s="18">
        <f>'Total Weekday Boardings'!K17+'Total Saturday Boardings'!K17+'Total Sunday-Holiday Boardings'!K17</f>
        <v>36508</v>
      </c>
      <c r="L17" s="18">
        <f>'Total Weekday Boardings'!L17+'Total Saturday Boardings'!L17+'Total Sunday-Holiday Boardings'!L17</f>
        <v>40017</v>
      </c>
      <c r="M17" s="18">
        <f>'Total Weekday Boardings'!M17+'Total Saturday Boardings'!M17+'Total Sunday-Holiday Boardings'!M17</f>
        <v>38627</v>
      </c>
      <c r="N17" s="18">
        <f>'Total Weekday Boardings'!N17+'Total Saturday Boardings'!N17+'Total Sunday-Holiday Boardings'!N17</f>
        <v>36956</v>
      </c>
      <c r="O17" s="62">
        <f>'Total Weekday Boardings'!O17+'Total Saturday Boardings'!O17+'Total Sunday-Holiday Boardings'!O17</f>
        <v>37749</v>
      </c>
      <c r="P17" s="62">
        <f>'Total Weekday Boardings'!P17+'Total Saturday Boardings'!P17+'Total Sunday-Holiday Boardings'!P17</f>
        <v>38990</v>
      </c>
      <c r="Q17" s="62">
        <f>'Total Weekday Boardings'!Q17+'Total Saturday Boardings'!Q17+'Total Sunday-Holiday Boardings'!Q17</f>
        <v>43062</v>
      </c>
      <c r="R17" s="62">
        <f>'Total Weekday Boardings'!R17+'Total Saturday Boardings'!R17+'Total Sunday-Holiday Boardings'!R17</f>
        <v>45749</v>
      </c>
      <c r="S17" s="62">
        <f>'Total Weekday Boardings'!S17+'Total Saturday Boardings'!S17+'Total Sunday-Holiday Boardings'!S17</f>
        <v>37397</v>
      </c>
      <c r="T17" s="63">
        <f>'Total Weekday Boardings'!T17+'Total Saturday Boardings'!T17+'Total Sunday-Holiday Boardings'!T17</f>
        <v>39767</v>
      </c>
      <c r="U17" s="64">
        <f>'Total Weekday Boardings'!U17+'Total Saturday Boardings'!U17+'Total Sunday-Holiday Boardings'!U17</f>
        <v>32438</v>
      </c>
      <c r="V17" s="62">
        <f>'Total Weekday Boardings'!V17+'Total Saturday Boardings'!V17+'Total Sunday-Holiday Boardings'!V17</f>
        <v>40602</v>
      </c>
      <c r="W17" s="62">
        <f>'Total Weekday Boardings'!W17+'Total Saturday Boardings'!W17+'Total Sunday-Holiday Boardings'!W17</f>
        <v>41119</v>
      </c>
      <c r="X17" s="62">
        <f>'Total Weekday Boardings'!X17+'Total Saturday Boardings'!X17+'Total Sunday-Holiday Boardings'!X17</f>
        <v>40277</v>
      </c>
      <c r="Y17" s="62">
        <f>'Total Weekday Boardings'!Y17+'Total Saturday Boardings'!Y17+'Total Sunday-Holiday Boardings'!Y17</f>
        <v>40606</v>
      </c>
      <c r="Z17" s="62">
        <f>'Total Weekday Boardings'!Z17+'Total Saturday Boardings'!Z17+'Total Sunday-Holiday Boardings'!Z17</f>
        <v>36912</v>
      </c>
      <c r="AA17" s="18">
        <f>'Total Weekday Boardings'!AA17+'Total Saturday Boardings'!AA17+'Total Sunday-Holiday Boardings'!AA17</f>
        <v>41182</v>
      </c>
      <c r="AB17" s="18">
        <f>'Total Weekday Boardings'!AB17+'Total Saturday Boardings'!AB17+'Total Sunday-Holiday Boardings'!AB17</f>
        <v>40856</v>
      </c>
      <c r="AC17" s="18">
        <f>'Total Weekday Boardings'!AC17+'Total Saturday Boardings'!AC17+'Total Sunday-Holiday Boardings'!AC17</f>
        <v>43501</v>
      </c>
      <c r="AD17" s="18">
        <f>'Total Weekday Boardings'!AD17+'Total Saturday Boardings'!AD17+'Total Sunday-Holiday Boardings'!AD17</f>
        <v>45285</v>
      </c>
      <c r="AE17" s="18">
        <f>'Total Weekday Boardings'!AE17+'Total Saturday Boardings'!AE17+'Total Sunday-Holiday Boardings'!AE17</f>
        <v>39287</v>
      </c>
      <c r="AF17" s="19">
        <f>'Total Weekday Boardings'!AF17+'Total Saturday Boardings'!AF17+'Total Sunday-Holiday Boardings'!AF17</f>
        <v>37765</v>
      </c>
      <c r="AG17" s="17">
        <f>'Total Weekday Boardings'!AG17+'Total Saturday Boardings'!AG17+'Total Sunday-Holiday Boardings'!AG17</f>
        <v>34841</v>
      </c>
      <c r="AH17" s="18">
        <f>'Total Weekday Boardings'!AH17+'Total Saturday Boardings'!AH17+'Total Sunday-Holiday Boardings'!AH17</f>
        <v>43597</v>
      </c>
      <c r="AI17" s="18">
        <f>'Total Weekday Boardings'!AI17+'Total Saturday Boardings'!AI17+'Total Sunday-Holiday Boardings'!AI17</f>
        <v>43550</v>
      </c>
      <c r="AJ17" s="18">
        <f>'Total Weekday Boardings'!AJ17+'Total Saturday Boardings'!AJ17+'Total Sunday-Holiday Boardings'!AJ17</f>
        <v>44359</v>
      </c>
      <c r="AK17" s="18">
        <f>'Total Weekday Boardings'!AK17+'Total Saturday Boardings'!AK17+'Total Sunday-Holiday Boardings'!AK17</f>
        <v>38430</v>
      </c>
      <c r="AL17" s="18">
        <f>'Total Weekday Boardings'!AL17+'Total Saturday Boardings'!AL17+'Total Sunday-Holiday Boardings'!AL17</f>
        <v>38152</v>
      </c>
      <c r="AM17" s="18">
        <f>'Total Weekday Boardings'!AM17+'Total Saturday Boardings'!AM17+'Total Sunday-Holiday Boardings'!AM17</f>
        <v>41100</v>
      </c>
      <c r="AN17" s="18">
        <f>'Total Weekday Boardings'!AN17+'Total Saturday Boardings'!AN17+'Total Sunday-Holiday Boardings'!AN17</f>
        <v>40300</v>
      </c>
      <c r="AO17" s="18">
        <f>'Total Weekday Boardings'!AO17+'Total Saturday Boardings'!AO17+'Total Sunday-Holiday Boardings'!AO17</f>
        <v>44063</v>
      </c>
      <c r="AP17" s="18">
        <f>'Total Weekday Boardings'!AP17+'Total Saturday Boardings'!AP17+'Total Sunday-Holiday Boardings'!AP17</f>
        <v>46059</v>
      </c>
      <c r="AQ17" s="18">
        <f>'Total Weekday Boardings'!AQ17+'Total Saturday Boardings'!AQ17+'Total Sunday-Holiday Boardings'!AQ17</f>
        <v>44136</v>
      </c>
      <c r="AR17" s="19">
        <f>'Total Weekday Boardings'!AR17+'Total Saturday Boardings'!AR17+'Total Sunday-Holiday Boardings'!AR17</f>
        <v>38392</v>
      </c>
      <c r="AS17" s="17">
        <f>'Total Weekday Boardings'!AS17+'Total Saturday Boardings'!AS17+'Total Sunday-Holiday Boardings'!AS17</f>
        <v>36587</v>
      </c>
      <c r="AT17" s="18">
        <f>'Total Weekday Boardings'!AT17+'Total Saturday Boardings'!AT17+'Total Sunday-Holiday Boardings'!AT17</f>
        <v>44894</v>
      </c>
      <c r="AU17" s="18">
        <f>'Total Weekday Boardings'!AU17+'Total Saturday Boardings'!AU17+'Total Sunday-Holiday Boardings'!AU17</f>
        <v>44943</v>
      </c>
      <c r="AV17" s="18">
        <f>'Total Weekday Boardings'!AV17+'Total Saturday Boardings'!AV17+'Total Sunday-Holiday Boardings'!AV17</f>
        <v>50265</v>
      </c>
      <c r="AW17" s="18">
        <f>'Total Weekday Boardings'!AW17+'Total Saturday Boardings'!AW17+'Total Sunday-Holiday Boardings'!AW17</f>
        <v>44884</v>
      </c>
      <c r="AX17" s="18">
        <f>'Total Weekday Boardings'!AX17+'Total Saturday Boardings'!AX17+'Total Sunday-Holiday Boardings'!AX17</f>
        <v>40537</v>
      </c>
      <c r="AY17" s="18">
        <f>'Total Weekday Boardings'!AY17+'Total Saturday Boardings'!AY17+'Total Sunday-Holiday Boardings'!AY17</f>
        <v>43704</v>
      </c>
      <c r="AZ17" s="18">
        <f>'Total Weekday Boardings'!AZ17+'Total Saturday Boardings'!AZ17+'Total Sunday-Holiday Boardings'!AZ17</f>
        <v>42384</v>
      </c>
      <c r="BA17" s="18">
        <f>'Total Weekday Boardings'!BA17+'Total Saturday Boardings'!BA17+'Total Sunday-Holiday Boardings'!BA17</f>
        <v>44057</v>
      </c>
      <c r="BB17" s="18">
        <f>'Total Weekday Boardings'!BB17+'Total Saturday Boardings'!BB17+'Total Sunday-Holiday Boardings'!BB17</f>
        <v>46730</v>
      </c>
      <c r="BC17" s="18">
        <f>'Total Weekday Boardings'!BC17+'Total Saturday Boardings'!BC17+'Total Sunday-Holiday Boardings'!BC17</f>
        <v>44804</v>
      </c>
      <c r="BD17" s="19">
        <f>'Total Weekday Boardings'!BD17+'Total Saturday Boardings'!BD17+'Total Sunday-Holiday Boardings'!BD17</f>
        <v>37494</v>
      </c>
      <c r="BE17" s="17">
        <f>'Total Weekday Boardings'!BE17+'Total Saturday Boardings'!BE17+'Total Sunday-Holiday Boardings'!BE17</f>
        <v>36046</v>
      </c>
      <c r="BF17" s="18">
        <f>'Total Weekday Boardings'!BF17+'Total Saturday Boardings'!BF17+'Total Sunday-Holiday Boardings'!BF17</f>
        <v>43566</v>
      </c>
      <c r="BG17" s="18">
        <f>'Total Weekday Boardings'!BG17+'Total Saturday Boardings'!BG17+'Total Sunday-Holiday Boardings'!BG17</f>
        <v>43019</v>
      </c>
      <c r="BH17" s="18">
        <f>'Total Weekday Boardings'!BH17+'Total Saturday Boardings'!BH17+'Total Sunday-Holiday Boardings'!BH17</f>
        <v>46590</v>
      </c>
      <c r="BI17" s="18">
        <f>'Total Weekday Boardings'!BI17+'Total Saturday Boardings'!BI17+'Total Sunday-Holiday Boardings'!BI17</f>
        <v>42110.876367657387</v>
      </c>
      <c r="BJ17" s="18">
        <f>'Total Weekday Boardings'!BJ17+'Total Saturday Boardings'!BJ17+'Total Sunday-Holiday Boardings'!BJ17</f>
        <v>38611</v>
      </c>
      <c r="BK17" s="18">
        <f>'Total Weekday Boardings'!BK17+'Total Saturday Boardings'!BK17+'Total Sunday-Holiday Boardings'!BK17</f>
        <v>45463</v>
      </c>
      <c r="BL17" s="18">
        <f>'Total Weekday Boardings'!BL17+'Total Saturday Boardings'!BL17+'Total Sunday-Holiday Boardings'!BL17</f>
        <v>43406</v>
      </c>
      <c r="BM17" s="18">
        <f>'Total Weekday Boardings'!BM17+'Total Saturday Boardings'!BM17+'Total Sunday-Holiday Boardings'!BM17</f>
        <v>46806</v>
      </c>
      <c r="BN17" s="18">
        <f>'Total Weekday Boardings'!BN17+'Total Saturday Boardings'!BN17+'Total Sunday-Holiday Boardings'!BN17</f>
        <v>47058</v>
      </c>
      <c r="BO17" s="18">
        <f>'Total Weekday Boardings'!BO17+'Total Saturday Boardings'!BO17+'Total Sunday-Holiday Boardings'!BO17</f>
        <v>43643</v>
      </c>
      <c r="BP17" s="19">
        <f>'Total Weekday Boardings'!BP17+'Total Saturday Boardings'!BP17+'Total Sunday-Holiday Boardings'!BP17</f>
        <v>40231</v>
      </c>
      <c r="BQ17" s="17">
        <f>'Total Weekday Boardings'!BQ17+'Total Saturday Boardings'!BQ17+'Total Sunday-Holiday Boardings'!BQ17</f>
        <v>36020</v>
      </c>
      <c r="BR17" s="18">
        <f>'Total Weekday Boardings'!BR17+'Total Saturday Boardings'!BR17+'Total Sunday-Holiday Boardings'!BR17</f>
        <v>40681</v>
      </c>
      <c r="BS17" s="18">
        <f>'Total Weekday Boardings'!BS17+'Total Saturday Boardings'!BS17+'Total Sunday-Holiday Boardings'!BS17</f>
        <v>43062</v>
      </c>
      <c r="BT17" s="18">
        <f>'Total Weekday Boardings'!BT17+'Total Saturday Boardings'!BT17+'Total Sunday-Holiday Boardings'!BT17</f>
        <v>46502</v>
      </c>
      <c r="BU17" s="18">
        <f>'Total Weekday Boardings'!BU17+'Total Saturday Boardings'!BU17+'Total Sunday-Holiday Boardings'!BU17</f>
        <v>40535</v>
      </c>
      <c r="BV17" s="18">
        <f>'Total Weekday Boardings'!BV17+'Total Saturday Boardings'!BV17+'Total Sunday-Holiday Boardings'!BV17</f>
        <v>41630</v>
      </c>
      <c r="BW17" s="18">
        <f>'Total Weekday Boardings'!BW17+'Total Saturday Boardings'!BW17+'Total Sunday-Holiday Boardings'!BW17</f>
        <v>48100</v>
      </c>
      <c r="BX17" s="18">
        <f>'Total Weekday Boardings'!BX17+'Total Saturday Boardings'!BX17+'Total Sunday-Holiday Boardings'!BX17</f>
        <v>41273</v>
      </c>
      <c r="BY17" s="18">
        <f>'Total Weekday Boardings'!BY17+'Total Saturday Boardings'!BY17+'Total Sunday-Holiday Boardings'!BY17</f>
        <v>44072</v>
      </c>
      <c r="BZ17" s="18">
        <f>'Total Weekday Boardings'!BZ17+'Total Saturday Boardings'!BZ17+'Total Sunday-Holiday Boardings'!BZ17</f>
        <v>44129</v>
      </c>
      <c r="CA17" s="18">
        <f>'Total Weekday Boardings'!CA17+'Total Saturday Boardings'!CA17+'Total Sunday-Holiday Boardings'!CA17</f>
        <v>43649</v>
      </c>
      <c r="CB17" s="19">
        <f>'Total Weekday Boardings'!CB17+'Total Saturday Boardings'!CB17+'Total Sunday-Holiday Boardings'!CB17</f>
        <v>37373</v>
      </c>
      <c r="CC17" s="20">
        <f>'Total Weekday Boardings'!CC17+'Total Saturday Boardings'!CC17+'Total Sunday-Holiday Boardings'!CC17</f>
        <v>36904</v>
      </c>
      <c r="CD17" s="18">
        <f>'Total Weekday Boardings'!CD17+'Total Saturday Boardings'!CD17+'Total Sunday-Holiday Boardings'!CD17</f>
        <v>41914</v>
      </c>
      <c r="CE17" s="18">
        <f>'Total Weekday Boardings'!CE17+'Total Saturday Boardings'!CE17+'Total Sunday-Holiday Boardings'!CE17</f>
        <v>44132</v>
      </c>
      <c r="CF17" s="18">
        <f>'Total Weekday Boardings'!CF17+'Total Saturday Boardings'!CF17+'Total Sunday-Holiday Boardings'!CF17</f>
        <v>46630</v>
      </c>
      <c r="CG17" s="18">
        <f>'Total Weekday Boardings'!CG17+'Total Saturday Boardings'!CG17+'Total Sunday-Holiday Boardings'!CG17</f>
        <v>42288</v>
      </c>
      <c r="CH17" s="18">
        <f>'Total Weekday Boardings'!CH17+'Total Saturday Boardings'!CH17+'Total Sunday-Holiday Boardings'!CH17</f>
        <v>40893</v>
      </c>
      <c r="CI17" s="18">
        <f>'Total Weekday Boardings'!CI17+'Total Saturday Boardings'!CI17+'Total Sunday-Holiday Boardings'!CI17</f>
        <v>45321</v>
      </c>
      <c r="CJ17" s="18">
        <f>'Total Weekday Boardings'!CJ17+'Total Saturday Boardings'!CJ17+'Total Sunday-Holiday Boardings'!CJ17</f>
        <v>44108</v>
      </c>
      <c r="CK17" s="18">
        <f>'Total Weekday Boardings'!CK17+'Total Saturday Boardings'!CK17+'Total Sunday-Holiday Boardings'!CK17</f>
        <v>47346</v>
      </c>
      <c r="CL17" s="18">
        <f>'Total Weekday Boardings'!CL17+'Total Saturday Boardings'!CL17+'Total Sunday-Holiday Boardings'!CL17</f>
        <v>48567</v>
      </c>
      <c r="CM17" s="18">
        <f>'Total Weekday Boardings'!CM17+'Total Saturday Boardings'!CM17+'Total Sunday-Holiday Boardings'!CM17</f>
        <v>44219</v>
      </c>
      <c r="CN17" s="21">
        <f>'Total Weekday Boardings'!CN17+'Total Saturday Boardings'!CN17+'Total Sunday-Holiday Boardings'!CN17</f>
        <v>41189</v>
      </c>
      <c r="CO17" s="17">
        <f>'Total Weekday Boardings'!CO17+'Total Saturday Boardings'!CO17+'Total Sunday-Holiday Boardings'!CO17</f>
        <v>37647</v>
      </c>
      <c r="CP17" s="18">
        <f>'Total Weekday Boardings'!CP17+'Total Saturday Boardings'!CP17+'Total Sunday-Holiday Boardings'!CP17</f>
        <v>44389</v>
      </c>
      <c r="CQ17" s="18">
        <f>'Total Weekday Boardings'!CQ17+'Total Saturday Boardings'!CQ17+'Total Sunday-Holiday Boardings'!CQ17</f>
        <v>45349</v>
      </c>
      <c r="CR17" s="18">
        <f>'Total Weekday Boardings'!CR17+'Total Saturday Boardings'!CR17+'Total Sunday-Holiday Boardings'!CR17</f>
        <v>46098</v>
      </c>
      <c r="CS17" s="18">
        <f>'Total Weekday Boardings'!CS17+'Total Saturday Boardings'!CS17+'Total Sunday-Holiday Boardings'!CS17</f>
        <v>44274</v>
      </c>
      <c r="CT17" s="18">
        <f>'Total Weekday Boardings'!CT17+'Total Saturday Boardings'!CT17+'Total Sunday-Holiday Boardings'!CT17</f>
        <v>43514</v>
      </c>
      <c r="CU17" s="18">
        <f>'Total Weekday Boardings'!CU17+'Total Saturday Boardings'!CU17+'Total Sunday-Holiday Boardings'!CU17</f>
        <v>43605</v>
      </c>
      <c r="CV17" s="18">
        <f>'Total Weekday Boardings'!CV17+'Total Saturday Boardings'!CV17+'Total Sunday-Holiday Boardings'!CV17</f>
        <v>43289</v>
      </c>
      <c r="CW17" s="18">
        <f>'Total Weekday Boardings'!CW17+'Total Saturday Boardings'!CW17+'Total Sunday-Holiday Boardings'!CW17</f>
        <v>47221</v>
      </c>
      <c r="CX17" s="18">
        <f>'Total Weekday Boardings'!CX17+'Total Saturday Boardings'!CX17+'Total Sunday-Holiday Boardings'!CX17</f>
        <v>46237</v>
      </c>
      <c r="CY17" s="18">
        <f>'Total Weekday Boardings'!CY17+'Total Saturday Boardings'!CY17+'Total Sunday-Holiday Boardings'!CY17</f>
        <v>45912</v>
      </c>
      <c r="CZ17" s="19">
        <f>'Total Weekday Boardings'!CZ17+'Total Saturday Boardings'!CZ17+'Total Sunday-Holiday Boardings'!CZ17</f>
        <v>39089</v>
      </c>
      <c r="DA17" s="17">
        <f>'Total Weekday Boardings'!DA17+'Total Saturday Boardings'!DA17+'Total Sunday-Holiday Boardings'!DA17</f>
        <v>36015</v>
      </c>
      <c r="DB17" s="18">
        <f>'Total Weekday Boardings'!DB17+'Total Saturday Boardings'!DB17+'Total Sunday-Holiday Boardings'!DB17</f>
        <v>43610</v>
      </c>
      <c r="DC17" s="18">
        <f>'Total Weekday Boardings'!DC17+'Total Saturday Boardings'!DC17+'Total Sunday-Holiday Boardings'!DC17</f>
        <v>41499</v>
      </c>
      <c r="DD17" s="18">
        <f>'Total Weekday Boardings'!DD17+'Total Saturday Boardings'!DD17+'Total Sunday-Holiday Boardings'!DD17</f>
        <v>44636</v>
      </c>
      <c r="DE17" s="18">
        <f>'Total Weekday Boardings'!DE17+'Total Saturday Boardings'!DE17+'Total Sunday-Holiday Boardings'!DE17</f>
        <v>42383</v>
      </c>
      <c r="DF17" s="18">
        <f>'Total Weekday Boardings'!DF17+'Total Saturday Boardings'!DF17+'Total Sunday-Holiday Boardings'!DF17</f>
        <v>39723</v>
      </c>
      <c r="DG17" s="18">
        <f>'Total Weekday Boardings'!DG17+'Total Saturday Boardings'!DG17+'Total Sunday-Holiday Boardings'!DG17</f>
        <v>44390</v>
      </c>
      <c r="DH17" s="18">
        <f>'Total Weekday Boardings'!DH17+'Total Saturday Boardings'!DH17+'Total Sunday-Holiday Boardings'!DH17</f>
        <v>43192</v>
      </c>
      <c r="DI17" s="18">
        <f>'Total Weekday Boardings'!DI17+'Total Saturday Boardings'!DI17+'Total Sunday-Holiday Boardings'!DI17</f>
        <v>46029</v>
      </c>
      <c r="DJ17" s="18">
        <f>'Total Weekday Boardings'!DJ17+'Total Saturday Boardings'!DJ17+'Total Sunday-Holiday Boardings'!DJ17</f>
        <v>44518</v>
      </c>
      <c r="DK17" s="18">
        <f>'Total Weekday Boardings'!DK17+'Total Saturday Boardings'!DK17+'Total Sunday-Holiday Boardings'!DK17</f>
        <v>44026</v>
      </c>
      <c r="DL17" s="19">
        <f>'Total Weekday Boardings'!DL17+'Total Saturday Boardings'!DL17+'Total Sunday-Holiday Boardings'!DL17</f>
        <v>36768</v>
      </c>
      <c r="DM17" s="17">
        <f>'Total Weekday Boardings'!DM17+'Total Saturday Boardings'!DM17+'Total Sunday-Holiday Boardings'!DM17</f>
        <v>35998</v>
      </c>
      <c r="DN17" s="18">
        <f>'Total Weekday Boardings'!DN17+'Total Saturday Boardings'!DN17+'Total Sunday-Holiday Boardings'!DN17</f>
        <v>41540</v>
      </c>
      <c r="DO17" s="18">
        <f>'Total Weekday Boardings'!DO17+'Total Saturday Boardings'!DO17+'Total Sunday-Holiday Boardings'!DO17</f>
        <v>40209</v>
      </c>
      <c r="DP17" s="18">
        <f>'Total Weekday Boardings'!DP17+'Total Saturday Boardings'!DP17+'Total Sunday-Holiday Boardings'!DP17</f>
        <v>43834</v>
      </c>
      <c r="DQ17" s="18">
        <f>'Total Weekday Boardings'!DQ17+'Total Saturday Boardings'!DQ17+'Total Sunday-Holiday Boardings'!DQ17</f>
        <v>41829</v>
      </c>
      <c r="DR17" s="18">
        <f>'Total Weekday Boardings'!DR17+'Total Saturday Boardings'!DR17+'Total Sunday-Holiday Boardings'!DR17</f>
        <v>39197</v>
      </c>
      <c r="DS17" s="18">
        <f>'Total Weekday Boardings'!DS17+'Total Saturday Boardings'!DS17+'Total Sunday-Holiday Boardings'!DS17</f>
        <v>42688</v>
      </c>
      <c r="DT17" s="18">
        <f>'Total Weekday Boardings'!DT17+'Total Saturday Boardings'!DT17+'Total Sunday-Holiday Boardings'!DT17</f>
        <v>38870</v>
      </c>
      <c r="DU17" s="18">
        <f>'Total Weekday Boardings'!DU17+'Total Saturday Boardings'!DU17+'Total Sunday-Holiday Boardings'!DU17</f>
        <v>43197</v>
      </c>
      <c r="DV17" s="18">
        <f>'Total Weekday Boardings'!DV17+'Total Saturday Boardings'!DV17+'Total Sunday-Holiday Boardings'!DV17</f>
        <v>41500</v>
      </c>
      <c r="DW17" s="18">
        <f>'Total Weekday Boardings'!DW17+'Total Saturday Boardings'!DW17+'Total Sunday-Holiday Boardings'!DW17</f>
        <v>39218</v>
      </c>
      <c r="DX17" s="19">
        <f>'Total Weekday Boardings'!DX17+'Total Saturday Boardings'!DX17+'Total Sunday-Holiday Boardings'!DX17</f>
        <v>37369</v>
      </c>
      <c r="DY17" s="137">
        <v>35890</v>
      </c>
      <c r="DZ17" s="18">
        <v>41945</v>
      </c>
      <c r="EA17" s="18">
        <v>40448</v>
      </c>
      <c r="EB17" s="18">
        <v>43561</v>
      </c>
      <c r="EC17" s="18">
        <v>40415</v>
      </c>
      <c r="ED17" s="18">
        <v>36302</v>
      </c>
      <c r="EE17" s="18">
        <v>38586</v>
      </c>
      <c r="EF17" s="18">
        <v>39159</v>
      </c>
      <c r="EG17" s="18">
        <v>29949</v>
      </c>
      <c r="EH17" s="18">
        <v>16843</v>
      </c>
      <c r="EI17" s="18">
        <v>16659</v>
      </c>
      <c r="EJ17" s="19">
        <v>16688</v>
      </c>
      <c r="EK17" s="100">
        <v>14877</v>
      </c>
      <c r="EL17" s="18">
        <v>15388</v>
      </c>
      <c r="EM17" s="18">
        <v>15479</v>
      </c>
      <c r="EN17" s="103">
        <v>16730</v>
      </c>
      <c r="EO17" s="18">
        <v>17266</v>
      </c>
      <c r="EP17" s="18">
        <v>11996</v>
      </c>
      <c r="EQ17" s="18">
        <v>6604</v>
      </c>
      <c r="ER17" s="18">
        <v>13046</v>
      </c>
      <c r="ES17" s="18">
        <v>15318</v>
      </c>
      <c r="ET17" s="18">
        <v>17284</v>
      </c>
      <c r="EU17" s="18">
        <v>16233</v>
      </c>
      <c r="EV17" s="19">
        <v>17110</v>
      </c>
      <c r="EW17" s="103">
        <v>17266</v>
      </c>
      <c r="EX17" s="18">
        <v>19821</v>
      </c>
      <c r="EY17" s="18">
        <v>19514</v>
      </c>
      <c r="EZ17" s="103">
        <v>20388</v>
      </c>
      <c r="FA17" s="18">
        <v>20906</v>
      </c>
      <c r="FB17" s="145">
        <v>20078</v>
      </c>
      <c r="FC17" s="18">
        <v>18429</v>
      </c>
      <c r="FD17" s="18">
        <v>21365</v>
      </c>
      <c r="FE17" s="18">
        <v>26247</v>
      </c>
      <c r="FF17" s="18">
        <v>24853</v>
      </c>
      <c r="FG17" s="13">
        <f>SUM('Total Weekday Boardings'!FG17,'Total Saturday Boardings'!FG17,'Total Sunday-Holiday Boardings'!FG17)</f>
        <v>22203</v>
      </c>
      <c r="FH17" s="13">
        <f>SUM('Total Weekday Boardings'!FH17,'Total Saturday Boardings'!FH17,'Total Sunday-Holiday Boardings'!FH17)</f>
        <v>17315</v>
      </c>
      <c r="FI17" s="13">
        <f>SUM('Total Weekday Boardings'!FI17,'Total Saturday Boardings'!FI17,'Total Sunday-Holiday Boardings'!FI17)</f>
        <v>18371</v>
      </c>
      <c r="FJ17" s="13">
        <f>SUM('Total Weekday Boardings'!FJ17,'Total Saturday Boardings'!FJ17,'Total Sunday-Holiday Boardings'!FJ17)</f>
        <v>21175</v>
      </c>
      <c r="FK17" s="13">
        <f>SUM('Total Weekday Boardings'!FK17,'Total Saturday Boardings'!FK17,'Total Sunday-Holiday Boardings'!FK17)</f>
        <v>22856.25</v>
      </c>
      <c r="FL17" s="13">
        <f>SUM('Total Weekday Boardings'!FL17,'Total Saturday Boardings'!FL17,'Total Sunday-Holiday Boardings'!FL17)</f>
        <v>23058</v>
      </c>
      <c r="FM17" s="13">
        <f>SUM('Total Weekday Boardings'!FM17,'Total Saturday Boardings'!FM17,'Total Sunday-Holiday Boardings'!FM17)</f>
        <v>21454</v>
      </c>
      <c r="FN17" s="13">
        <f>SUM('Total Weekday Boardings'!FN17,'Total Saturday Boardings'!FN17,'Total Sunday-Holiday Boardings'!FN17)</f>
        <v>20659</v>
      </c>
      <c r="FO17" s="13">
        <f>SUM('Total Weekday Boardings'!FO17,'Total Saturday Boardings'!FO17,'Total Sunday-Holiday Boardings'!FO17)</f>
        <v>22988</v>
      </c>
      <c r="FP17" s="13">
        <f>SUM('Total Weekday Boardings'!FP17,'Total Saturday Boardings'!FP17,'Total Sunday-Holiday Boardings'!FP17)</f>
        <v>22577</v>
      </c>
      <c r="FQ17" s="13">
        <f>SUM('Total Weekday Boardings'!FQ17,'Total Saturday Boardings'!FQ17,'Total Sunday-Holiday Boardings'!FQ17)</f>
        <v>26862</v>
      </c>
      <c r="FR17" s="13">
        <f>SUM('Total Weekday Boardings'!FR17,'Total Saturday Boardings'!FR17,'Total Sunday-Holiday Boardings'!FR17)</f>
        <v>25406</v>
      </c>
      <c r="FS17" s="13">
        <f>SUM('Total Weekday Boardings'!FS17,'Total Saturday Boardings'!FS17,'Total Sunday-Holiday Boardings'!FS17)</f>
        <v>26707</v>
      </c>
      <c r="FT17" s="16">
        <f>SUM('Total Weekday Boardings'!FT17,'Total Saturday Boardings'!FT17,'Total Sunday-Holiday Boardings'!FT17)</f>
        <v>24081</v>
      </c>
      <c r="FU17" s="171">
        <v>21771</v>
      </c>
      <c r="FV17" s="171">
        <v>24113</v>
      </c>
      <c r="FW17" s="171">
        <v>23384</v>
      </c>
      <c r="FX17" s="171">
        <v>26710</v>
      </c>
      <c r="FY17" s="171">
        <v>24634</v>
      </c>
      <c r="FZ17" s="171">
        <v>23450</v>
      </c>
      <c r="GA17" s="171">
        <v>25874</v>
      </c>
      <c r="GB17" s="52">
        <v>26931</v>
      </c>
      <c r="GC17" s="52">
        <v>27739</v>
      </c>
      <c r="GD17" s="52">
        <v>26991</v>
      </c>
      <c r="GE17" s="18">
        <v>27393</v>
      </c>
      <c r="GF17" s="52">
        <v>24332</v>
      </c>
      <c r="GG17" s="184">
        <v>24045</v>
      </c>
      <c r="GH17" s="52">
        <v>26956</v>
      </c>
      <c r="GI17" s="18">
        <v>26786</v>
      </c>
      <c r="GJ17" s="236">
        <v>27730</v>
      </c>
      <c r="GK17" s="184">
        <v>24314</v>
      </c>
      <c r="GL17" s="184">
        <v>22597</v>
      </c>
    </row>
    <row r="18" spans="1:194" ht="15" thickBot="1" x14ac:dyDescent="0.35">
      <c r="A18" s="3" t="s">
        <v>11</v>
      </c>
      <c r="B18" s="17"/>
      <c r="C18" s="18">
        <f>'Total Weekday Boardings'!C18+'Total Saturday Boardings'!C18+'Total Sunday-Holiday Boardings'!C18</f>
        <v>12729</v>
      </c>
      <c r="D18" s="18">
        <f>'Total Weekday Boardings'!D18+'Total Saturday Boardings'!D18+'Total Sunday-Holiday Boardings'!D18</f>
        <v>15187</v>
      </c>
      <c r="E18" s="18">
        <f>'Total Weekday Boardings'!E18+'Total Saturday Boardings'!E18+'Total Sunday-Holiday Boardings'!E18</f>
        <v>17572</v>
      </c>
      <c r="F18" s="18">
        <f>'Total Weekday Boardings'!F18+'Total Saturday Boardings'!F18+'Total Sunday-Holiday Boardings'!F18</f>
        <v>15762</v>
      </c>
      <c r="G18" s="18">
        <f>'Total Weekday Boardings'!G18+'Total Saturday Boardings'!G18+'Total Sunday-Holiday Boardings'!G18</f>
        <v>13224</v>
      </c>
      <c r="H18" s="19">
        <f>'Total Weekday Boardings'!H18+'Total Saturday Boardings'!H18+'Total Sunday-Holiday Boardings'!H18</f>
        <v>11865</v>
      </c>
      <c r="I18" s="17">
        <f>'Total Weekday Boardings'!I18+'Total Saturday Boardings'!I18+'Total Sunday-Holiday Boardings'!I18</f>
        <v>11153</v>
      </c>
      <c r="J18" s="18">
        <f>'Total Weekday Boardings'!J18+'Total Saturday Boardings'!J18+'Total Sunday-Holiday Boardings'!J18</f>
        <v>12601</v>
      </c>
      <c r="K18" s="18">
        <f>'Total Weekday Boardings'!K18+'Total Saturday Boardings'!K18+'Total Sunday-Holiday Boardings'!K18</f>
        <v>12772</v>
      </c>
      <c r="L18" s="18">
        <f>'Total Weekday Boardings'!L18+'Total Saturday Boardings'!L18+'Total Sunday-Holiday Boardings'!L18</f>
        <v>13214</v>
      </c>
      <c r="M18" s="18">
        <f>'Total Weekday Boardings'!M18+'Total Saturday Boardings'!M18+'Total Sunday-Holiday Boardings'!M18</f>
        <v>13836</v>
      </c>
      <c r="N18" s="18">
        <f>'Total Weekday Boardings'!N18+'Total Saturday Boardings'!N18+'Total Sunday-Holiday Boardings'!N18</f>
        <v>12695</v>
      </c>
      <c r="O18" s="62">
        <f>'Total Weekday Boardings'!O18+'Total Saturday Boardings'!O18+'Total Sunday-Holiday Boardings'!O18</f>
        <v>12611</v>
      </c>
      <c r="P18" s="62">
        <f>'Total Weekday Boardings'!P18+'Total Saturday Boardings'!P18+'Total Sunday-Holiday Boardings'!P18</f>
        <v>14525</v>
      </c>
      <c r="Q18" s="62">
        <f>'Total Weekday Boardings'!Q18+'Total Saturday Boardings'!Q18+'Total Sunday-Holiday Boardings'!Q18</f>
        <v>16964</v>
      </c>
      <c r="R18" s="62">
        <f>'Total Weekday Boardings'!R18+'Total Saturday Boardings'!R18+'Total Sunday-Holiday Boardings'!R18</f>
        <v>15002</v>
      </c>
      <c r="S18" s="62">
        <f>'Total Weekday Boardings'!S18+'Total Saturday Boardings'!S18+'Total Sunday-Holiday Boardings'!S18</f>
        <v>12025</v>
      </c>
      <c r="T18" s="63">
        <f>'Total Weekday Boardings'!T18+'Total Saturday Boardings'!T18+'Total Sunday-Holiday Boardings'!T18</f>
        <v>13428</v>
      </c>
      <c r="U18" s="64">
        <f>'Total Weekday Boardings'!U18+'Total Saturday Boardings'!U18+'Total Sunday-Holiday Boardings'!U18</f>
        <v>11575</v>
      </c>
      <c r="V18" s="62">
        <f>'Total Weekday Boardings'!V18+'Total Saturday Boardings'!V18+'Total Sunday-Holiday Boardings'!V18</f>
        <v>12176</v>
      </c>
      <c r="W18" s="62">
        <f>'Total Weekday Boardings'!W18+'Total Saturday Boardings'!W18+'Total Sunday-Holiday Boardings'!W18</f>
        <v>13016</v>
      </c>
      <c r="X18" s="62">
        <f>'Total Weekday Boardings'!X18+'Total Saturday Boardings'!X18+'Total Sunday-Holiday Boardings'!X18</f>
        <v>14103</v>
      </c>
      <c r="Y18" s="62">
        <f>'Total Weekday Boardings'!Y18+'Total Saturday Boardings'!Y18+'Total Sunday-Holiday Boardings'!Y18</f>
        <v>13280</v>
      </c>
      <c r="Z18" s="62">
        <f>'Total Weekday Boardings'!Z18+'Total Saturday Boardings'!Z18+'Total Sunday-Holiday Boardings'!Z18</f>
        <v>11648</v>
      </c>
      <c r="AA18" s="18">
        <f>'Total Weekday Boardings'!AA18+'Total Saturday Boardings'!AA18+'Total Sunday-Holiday Boardings'!AA18</f>
        <v>13139</v>
      </c>
      <c r="AB18" s="18">
        <f>'Total Weekday Boardings'!AB18+'Total Saturday Boardings'!AB18+'Total Sunday-Holiday Boardings'!AB18</f>
        <v>14116</v>
      </c>
      <c r="AC18" s="18">
        <f>'Total Weekday Boardings'!AC18+'Total Saturday Boardings'!AC18+'Total Sunday-Holiday Boardings'!AC18</f>
        <v>17408</v>
      </c>
      <c r="AD18" s="18">
        <f>'Total Weekday Boardings'!AD18+'Total Saturday Boardings'!AD18+'Total Sunday-Holiday Boardings'!AD18</f>
        <v>14733</v>
      </c>
      <c r="AE18" s="18">
        <f>'Total Weekday Boardings'!AE18+'Total Saturday Boardings'!AE18+'Total Sunday-Holiday Boardings'!AE18</f>
        <v>13451</v>
      </c>
      <c r="AF18" s="19">
        <f>'Total Weekday Boardings'!AF18+'Total Saturday Boardings'!AF18+'Total Sunday-Holiday Boardings'!AF18</f>
        <v>11879</v>
      </c>
      <c r="AG18" s="17">
        <f>'Total Weekday Boardings'!AG18+'Total Saturday Boardings'!AG18+'Total Sunday-Holiday Boardings'!AG18</f>
        <v>12258</v>
      </c>
      <c r="AH18" s="18">
        <f>'Total Weekday Boardings'!AH18+'Total Saturday Boardings'!AH18+'Total Sunday-Holiday Boardings'!AH18</f>
        <v>13220</v>
      </c>
      <c r="AI18" s="18">
        <f>'Total Weekday Boardings'!AI18+'Total Saturday Boardings'!AI18+'Total Sunday-Holiday Boardings'!AI18</f>
        <v>13910</v>
      </c>
      <c r="AJ18" s="18">
        <f>'Total Weekday Boardings'!AJ18+'Total Saturday Boardings'!AJ18+'Total Sunday-Holiday Boardings'!AJ18</f>
        <v>14652</v>
      </c>
      <c r="AK18" s="18">
        <f>'Total Weekday Boardings'!AK18+'Total Saturday Boardings'!AK18+'Total Sunday-Holiday Boardings'!AK18</f>
        <v>12554</v>
      </c>
      <c r="AL18" s="18">
        <f>'Total Weekday Boardings'!AL18+'Total Saturday Boardings'!AL18+'Total Sunday-Holiday Boardings'!AL18</f>
        <v>12799</v>
      </c>
      <c r="AM18" s="18">
        <f>'Total Weekday Boardings'!AM18+'Total Saturday Boardings'!AM18+'Total Sunday-Holiday Boardings'!AM18</f>
        <v>13837</v>
      </c>
      <c r="AN18" s="18">
        <f>'Total Weekday Boardings'!AN18+'Total Saturday Boardings'!AN18+'Total Sunday-Holiday Boardings'!AN18</f>
        <v>14978</v>
      </c>
      <c r="AO18" s="18">
        <f>'Total Weekday Boardings'!AO18+'Total Saturday Boardings'!AO18+'Total Sunday-Holiday Boardings'!AO18</f>
        <v>17463</v>
      </c>
      <c r="AP18" s="18">
        <f>'Total Weekday Boardings'!AP18+'Total Saturday Boardings'!AP18+'Total Sunday-Holiday Boardings'!AP18</f>
        <v>16640</v>
      </c>
      <c r="AQ18" s="18">
        <f>'Total Weekday Boardings'!AQ18+'Total Saturday Boardings'!AQ18+'Total Sunday-Holiday Boardings'!AQ18</f>
        <v>16063</v>
      </c>
      <c r="AR18" s="19">
        <f>'Total Weekday Boardings'!AR18+'Total Saturday Boardings'!AR18+'Total Sunday-Holiday Boardings'!AR18</f>
        <v>13585</v>
      </c>
      <c r="AS18" s="17">
        <f>'Total Weekday Boardings'!AS18+'Total Saturday Boardings'!AS18+'Total Sunday-Holiday Boardings'!AS18</f>
        <v>13286</v>
      </c>
      <c r="AT18" s="18">
        <f>'Total Weekday Boardings'!AT18+'Total Saturday Boardings'!AT18+'Total Sunday-Holiday Boardings'!AT18</f>
        <v>14151</v>
      </c>
      <c r="AU18" s="18">
        <f>'Total Weekday Boardings'!AU18+'Total Saturday Boardings'!AU18+'Total Sunday-Holiday Boardings'!AU18</f>
        <v>14456</v>
      </c>
      <c r="AV18" s="18">
        <f>'Total Weekday Boardings'!AV18+'Total Saturday Boardings'!AV18+'Total Sunday-Holiday Boardings'!AV18</f>
        <v>17350</v>
      </c>
      <c r="AW18" s="18">
        <f>'Total Weekday Boardings'!AW18+'Total Saturday Boardings'!AW18+'Total Sunday-Holiday Boardings'!AW18</f>
        <v>15740</v>
      </c>
      <c r="AX18" s="18">
        <f>'Total Weekday Boardings'!AX18+'Total Saturday Boardings'!AX18+'Total Sunday-Holiday Boardings'!AX18</f>
        <v>14842</v>
      </c>
      <c r="AY18" s="18">
        <f>'Total Weekday Boardings'!AY18+'Total Saturday Boardings'!AY18+'Total Sunday-Holiday Boardings'!AY18</f>
        <v>14798</v>
      </c>
      <c r="AZ18" s="18">
        <f>'Total Weekday Boardings'!AZ18+'Total Saturday Boardings'!AZ18+'Total Sunday-Holiday Boardings'!AZ18</f>
        <v>15953</v>
      </c>
      <c r="BA18" s="18">
        <f>'Total Weekday Boardings'!BA18+'Total Saturday Boardings'!BA18+'Total Sunday-Holiday Boardings'!BA18</f>
        <v>18092</v>
      </c>
      <c r="BB18" s="18">
        <f>'Total Weekday Boardings'!BB18+'Total Saturday Boardings'!BB18+'Total Sunday-Holiday Boardings'!BB18</f>
        <v>17205</v>
      </c>
      <c r="BC18" s="18">
        <f>'Total Weekday Boardings'!BC18+'Total Saturday Boardings'!BC18+'Total Sunday-Holiday Boardings'!BC18</f>
        <v>16993</v>
      </c>
      <c r="BD18" s="19">
        <f>'Total Weekday Boardings'!BD18+'Total Saturday Boardings'!BD18+'Total Sunday-Holiday Boardings'!BD18</f>
        <v>13865</v>
      </c>
      <c r="BE18" s="17">
        <f>'Total Weekday Boardings'!BE18+'Total Saturday Boardings'!BE18+'Total Sunday-Holiday Boardings'!BE18</f>
        <v>14127</v>
      </c>
      <c r="BF18" s="18">
        <f>'Total Weekday Boardings'!BF18+'Total Saturday Boardings'!BF18+'Total Sunday-Holiday Boardings'!BF18</f>
        <v>14239</v>
      </c>
      <c r="BG18" s="18">
        <f>'Total Weekday Boardings'!BG18+'Total Saturday Boardings'!BG18+'Total Sunday-Holiday Boardings'!BG18</f>
        <v>14344</v>
      </c>
      <c r="BH18" s="18">
        <f>'Total Weekday Boardings'!BH18+'Total Saturday Boardings'!BH18+'Total Sunday-Holiday Boardings'!BH18</f>
        <v>16120</v>
      </c>
      <c r="BI18" s="18">
        <f>'Total Weekday Boardings'!BI18+'Total Saturday Boardings'!BI18+'Total Sunday-Holiday Boardings'!BI18</f>
        <v>15154.718200516092</v>
      </c>
      <c r="BJ18" s="18">
        <f>'Total Weekday Boardings'!BJ18+'Total Saturday Boardings'!BJ18+'Total Sunday-Holiday Boardings'!BJ18</f>
        <v>13938</v>
      </c>
      <c r="BK18" s="18">
        <f>'Total Weekday Boardings'!BK18+'Total Saturday Boardings'!BK18+'Total Sunday-Holiday Boardings'!BK18</f>
        <v>15201</v>
      </c>
      <c r="BL18" s="18">
        <f>'Total Weekday Boardings'!BL18+'Total Saturday Boardings'!BL18+'Total Sunday-Holiday Boardings'!BL18</f>
        <v>15760</v>
      </c>
      <c r="BM18" s="18">
        <f>'Total Weekday Boardings'!BM18+'Total Saturday Boardings'!BM18+'Total Sunday-Holiday Boardings'!BM18</f>
        <v>17808</v>
      </c>
      <c r="BN18" s="18">
        <f>'Total Weekday Boardings'!BN18+'Total Saturday Boardings'!BN18+'Total Sunday-Holiday Boardings'!BN18</f>
        <v>15569</v>
      </c>
      <c r="BO18" s="18">
        <f>'Total Weekday Boardings'!BO18+'Total Saturday Boardings'!BO18+'Total Sunday-Holiday Boardings'!BO18</f>
        <v>14042</v>
      </c>
      <c r="BP18" s="19">
        <f>'Total Weekday Boardings'!BP18+'Total Saturday Boardings'!BP18+'Total Sunday-Holiday Boardings'!BP18</f>
        <v>13442</v>
      </c>
      <c r="BQ18" s="17">
        <f>'Total Weekday Boardings'!BQ18+'Total Saturday Boardings'!BQ18+'Total Sunday-Holiday Boardings'!BQ18</f>
        <v>12677</v>
      </c>
      <c r="BR18" s="18">
        <f>'Total Weekday Boardings'!BR18+'Total Saturday Boardings'!BR18+'Total Sunday-Holiday Boardings'!BR18</f>
        <v>12934</v>
      </c>
      <c r="BS18" s="18">
        <f>'Total Weekday Boardings'!BS18+'Total Saturday Boardings'!BS18+'Total Sunday-Holiday Boardings'!BS18</f>
        <v>13712</v>
      </c>
      <c r="BT18" s="18">
        <f>'Total Weekday Boardings'!BT18+'Total Saturday Boardings'!BT18+'Total Sunday-Holiday Boardings'!BT18</f>
        <v>15896</v>
      </c>
      <c r="BU18" s="18">
        <f>'Total Weekday Boardings'!BU18+'Total Saturday Boardings'!BU18+'Total Sunday-Holiday Boardings'!BU18</f>
        <v>15195</v>
      </c>
      <c r="BV18" s="18">
        <f>'Total Weekday Boardings'!BV18+'Total Saturday Boardings'!BV18+'Total Sunday-Holiday Boardings'!BV18</f>
        <v>14715</v>
      </c>
      <c r="BW18" s="18">
        <f>'Total Weekday Boardings'!BW18+'Total Saturday Boardings'!BW18+'Total Sunday-Holiday Boardings'!BW18</f>
        <v>18192</v>
      </c>
      <c r="BX18" s="18">
        <f>'Total Weekday Boardings'!BX18+'Total Saturday Boardings'!BX18+'Total Sunday-Holiday Boardings'!BX18</f>
        <v>15387</v>
      </c>
      <c r="BY18" s="18">
        <f>'Total Weekday Boardings'!BY18+'Total Saturday Boardings'!BY18+'Total Sunday-Holiday Boardings'!BY18</f>
        <v>18523</v>
      </c>
      <c r="BZ18" s="18">
        <f>'Total Weekday Boardings'!BZ18+'Total Saturday Boardings'!BZ18+'Total Sunday-Holiday Boardings'!BZ18</f>
        <v>15535</v>
      </c>
      <c r="CA18" s="18">
        <f>'Total Weekday Boardings'!CA18+'Total Saturday Boardings'!CA18+'Total Sunday-Holiday Boardings'!CA18</f>
        <v>14992</v>
      </c>
      <c r="CB18" s="19">
        <f>'Total Weekday Boardings'!CB18+'Total Saturday Boardings'!CB18+'Total Sunday-Holiday Boardings'!CB18</f>
        <v>12496</v>
      </c>
      <c r="CC18" s="20">
        <f>'Total Weekday Boardings'!CC18+'Total Saturday Boardings'!CC18+'Total Sunday-Holiday Boardings'!CC18</f>
        <v>13086</v>
      </c>
      <c r="CD18" s="18">
        <f>'Total Weekday Boardings'!CD18+'Total Saturday Boardings'!CD18+'Total Sunday-Holiday Boardings'!CD18</f>
        <v>13689</v>
      </c>
      <c r="CE18" s="18">
        <f>'Total Weekday Boardings'!CE18+'Total Saturday Boardings'!CE18+'Total Sunday-Holiday Boardings'!CE18</f>
        <v>15205</v>
      </c>
      <c r="CF18" s="18">
        <f>'Total Weekday Boardings'!CF18+'Total Saturday Boardings'!CF18+'Total Sunday-Holiday Boardings'!CF18</f>
        <v>16972</v>
      </c>
      <c r="CG18" s="18">
        <f>'Total Weekday Boardings'!CG18+'Total Saturday Boardings'!CG18+'Total Sunday-Holiday Boardings'!CG18</f>
        <v>15736</v>
      </c>
      <c r="CH18" s="18">
        <f>'Total Weekday Boardings'!CH18+'Total Saturday Boardings'!CH18+'Total Sunday-Holiday Boardings'!CH18</f>
        <v>15383</v>
      </c>
      <c r="CI18" s="18">
        <f>'Total Weekday Boardings'!CI18+'Total Saturday Boardings'!CI18+'Total Sunday-Holiday Boardings'!CI18</f>
        <v>16414</v>
      </c>
      <c r="CJ18" s="18">
        <f>'Total Weekday Boardings'!CJ18+'Total Saturday Boardings'!CJ18+'Total Sunday-Holiday Boardings'!CJ18</f>
        <v>16793</v>
      </c>
      <c r="CK18" s="18">
        <f>'Total Weekday Boardings'!CK18+'Total Saturday Boardings'!CK18+'Total Sunday-Holiday Boardings'!CK18</f>
        <v>19394</v>
      </c>
      <c r="CL18" s="18">
        <f>'Total Weekday Boardings'!CL18+'Total Saturday Boardings'!CL18+'Total Sunday-Holiday Boardings'!CL18</f>
        <v>18939</v>
      </c>
      <c r="CM18" s="18">
        <f>'Total Weekday Boardings'!CM18+'Total Saturday Boardings'!CM18+'Total Sunday-Holiday Boardings'!CM18</f>
        <v>16383</v>
      </c>
      <c r="CN18" s="21">
        <f>'Total Weekday Boardings'!CN18+'Total Saturday Boardings'!CN18+'Total Sunday-Holiday Boardings'!CN18</f>
        <v>15083</v>
      </c>
      <c r="CO18" s="17">
        <f>'Total Weekday Boardings'!CO18+'Total Saturday Boardings'!CO18+'Total Sunday-Holiday Boardings'!CO18</f>
        <v>14579</v>
      </c>
      <c r="CP18" s="18">
        <f>'Total Weekday Boardings'!CP18+'Total Saturday Boardings'!CP18+'Total Sunday-Holiday Boardings'!CP18</f>
        <v>16884</v>
      </c>
      <c r="CQ18" s="18">
        <f>'Total Weekday Boardings'!CQ18+'Total Saturday Boardings'!CQ18+'Total Sunday-Holiday Boardings'!CQ18</f>
        <v>16809</v>
      </c>
      <c r="CR18" s="18">
        <f>'Total Weekday Boardings'!CR18+'Total Saturday Boardings'!CR18+'Total Sunday-Holiday Boardings'!CR18</f>
        <v>16717</v>
      </c>
      <c r="CS18" s="18">
        <f>'Total Weekday Boardings'!CS18+'Total Saturday Boardings'!CS18+'Total Sunday-Holiday Boardings'!CS18</f>
        <v>16584</v>
      </c>
      <c r="CT18" s="18">
        <f>'Total Weekday Boardings'!CT18+'Total Saturday Boardings'!CT18+'Total Sunday-Holiday Boardings'!CT18</f>
        <v>15781</v>
      </c>
      <c r="CU18" s="18">
        <f>'Total Weekday Boardings'!CU18+'Total Saturday Boardings'!CU18+'Total Sunday-Holiday Boardings'!CU18</f>
        <v>16180</v>
      </c>
      <c r="CV18" s="18">
        <f>'Total Weekday Boardings'!CV18+'Total Saturday Boardings'!CV18+'Total Sunday-Holiday Boardings'!CV18</f>
        <v>16189</v>
      </c>
      <c r="CW18" s="18">
        <f>'Total Weekday Boardings'!CW18+'Total Saturday Boardings'!CW18+'Total Sunday-Holiday Boardings'!CW18</f>
        <v>19382</v>
      </c>
      <c r="CX18" s="18">
        <f>'Total Weekday Boardings'!CX18+'Total Saturday Boardings'!CX18+'Total Sunday-Holiday Boardings'!CX18</f>
        <v>18022</v>
      </c>
      <c r="CY18" s="18">
        <f>'Total Weekday Boardings'!CY18+'Total Saturday Boardings'!CY18+'Total Sunday-Holiday Boardings'!CY18</f>
        <v>15983</v>
      </c>
      <c r="CZ18" s="19">
        <f>'Total Weekday Boardings'!CZ18+'Total Saturday Boardings'!CZ18+'Total Sunday-Holiday Boardings'!CZ18</f>
        <v>13786</v>
      </c>
      <c r="DA18" s="17">
        <f>'Total Weekday Boardings'!DA18+'Total Saturday Boardings'!DA18+'Total Sunday-Holiday Boardings'!DA18</f>
        <v>13153</v>
      </c>
      <c r="DB18" s="18">
        <f>'Total Weekday Boardings'!DB18+'Total Saturday Boardings'!DB18+'Total Sunday-Holiday Boardings'!DB18</f>
        <v>14692</v>
      </c>
      <c r="DC18" s="18">
        <f>'Total Weekday Boardings'!DC18+'Total Saturday Boardings'!DC18+'Total Sunday-Holiday Boardings'!DC18</f>
        <v>13769</v>
      </c>
      <c r="DD18" s="18">
        <f>'Total Weekday Boardings'!DD18+'Total Saturday Boardings'!DD18+'Total Sunday-Holiday Boardings'!DD18</f>
        <v>15182</v>
      </c>
      <c r="DE18" s="18">
        <f>'Total Weekday Boardings'!DE18+'Total Saturday Boardings'!DE18+'Total Sunday-Holiday Boardings'!DE18</f>
        <v>13443</v>
      </c>
      <c r="DF18" s="18">
        <f>'Total Weekday Boardings'!DF18+'Total Saturday Boardings'!DF18+'Total Sunday-Holiday Boardings'!DF18</f>
        <v>12274</v>
      </c>
      <c r="DG18" s="18">
        <f>'Total Weekday Boardings'!DG18+'Total Saturday Boardings'!DG18+'Total Sunday-Holiday Boardings'!DG18</f>
        <v>14103</v>
      </c>
      <c r="DH18" s="18">
        <f>'Total Weekday Boardings'!DH18+'Total Saturday Boardings'!DH18+'Total Sunday-Holiday Boardings'!DH18</f>
        <v>14137</v>
      </c>
      <c r="DI18" s="18">
        <f>'Total Weekday Boardings'!DI18+'Total Saturday Boardings'!DI18+'Total Sunday-Holiday Boardings'!DI18</f>
        <v>16400</v>
      </c>
      <c r="DJ18" s="18">
        <f>'Total Weekday Boardings'!DJ18+'Total Saturday Boardings'!DJ18+'Total Sunday-Holiday Boardings'!DJ18</f>
        <v>14343</v>
      </c>
      <c r="DK18" s="18">
        <f>'Total Weekday Boardings'!DK18+'Total Saturday Boardings'!DK18+'Total Sunday-Holiday Boardings'!DK18</f>
        <v>13603</v>
      </c>
      <c r="DL18" s="19">
        <f>'Total Weekday Boardings'!DL18+'Total Saturday Boardings'!DL18+'Total Sunday-Holiday Boardings'!DL18</f>
        <v>12183</v>
      </c>
      <c r="DM18" s="17">
        <f>'Total Weekday Boardings'!DM18+'Total Saturday Boardings'!DM18+'Total Sunday-Holiday Boardings'!DM18</f>
        <v>11561</v>
      </c>
      <c r="DN18" s="18">
        <f>'Total Weekday Boardings'!DN18+'Total Saturday Boardings'!DN18+'Total Sunday-Holiday Boardings'!DN18</f>
        <v>12425</v>
      </c>
      <c r="DO18" s="18">
        <f>'Total Weekday Boardings'!DO18+'Total Saturday Boardings'!DO18+'Total Sunday-Holiday Boardings'!DO18</f>
        <v>12794</v>
      </c>
      <c r="DP18" s="18">
        <f>'Total Weekday Boardings'!DP18+'Total Saturday Boardings'!DP18+'Total Sunday-Holiday Boardings'!DP18</f>
        <v>14724</v>
      </c>
      <c r="DQ18" s="18">
        <f>'Total Weekday Boardings'!DQ18+'Total Saturday Boardings'!DQ18+'Total Sunday-Holiday Boardings'!DQ18</f>
        <v>14150</v>
      </c>
      <c r="DR18" s="18">
        <f>'Total Weekday Boardings'!DR18+'Total Saturday Boardings'!DR18+'Total Sunday-Holiday Boardings'!DR18</f>
        <v>13211</v>
      </c>
      <c r="DS18" s="18">
        <f>'Total Weekday Boardings'!DS18+'Total Saturday Boardings'!DS18+'Total Sunday-Holiday Boardings'!DS18</f>
        <v>14007</v>
      </c>
      <c r="DT18" s="18">
        <f>'Total Weekday Boardings'!DT18+'Total Saturday Boardings'!DT18+'Total Sunday-Holiday Boardings'!DT18</f>
        <v>13031</v>
      </c>
      <c r="DU18" s="18">
        <f>'Total Weekday Boardings'!DU18+'Total Saturday Boardings'!DU18+'Total Sunday-Holiday Boardings'!DU18</f>
        <v>16102</v>
      </c>
      <c r="DV18" s="18">
        <f>'Total Weekday Boardings'!DV18+'Total Saturday Boardings'!DV18+'Total Sunday-Holiday Boardings'!DV18</f>
        <v>3948</v>
      </c>
      <c r="DW18" s="18">
        <f>'Total Weekday Boardings'!DW18+'Total Saturday Boardings'!DW18+'Total Sunday-Holiday Boardings'!DW18</f>
        <v>12082</v>
      </c>
      <c r="DX18" s="19">
        <f>'Total Weekday Boardings'!DX18+'Total Saturday Boardings'!DX18+'Total Sunday-Holiday Boardings'!DX18</f>
        <v>11986</v>
      </c>
      <c r="DY18" s="137">
        <v>11123</v>
      </c>
      <c r="DZ18" s="18">
        <v>13006</v>
      </c>
      <c r="EA18" s="18">
        <v>12507</v>
      </c>
      <c r="EB18" s="18">
        <v>14143</v>
      </c>
      <c r="EC18" s="18">
        <v>13812</v>
      </c>
      <c r="ED18" s="18">
        <v>12262</v>
      </c>
      <c r="EE18" s="18">
        <v>13467</v>
      </c>
      <c r="EF18" s="18">
        <v>13684</v>
      </c>
      <c r="EG18" s="18">
        <v>10637</v>
      </c>
      <c r="EH18" s="18">
        <v>5100</v>
      </c>
      <c r="EI18" s="18">
        <v>5398</v>
      </c>
      <c r="EJ18" s="19">
        <v>4829</v>
      </c>
      <c r="EK18" s="100">
        <v>4799</v>
      </c>
      <c r="EL18" s="18">
        <v>4928</v>
      </c>
      <c r="EM18" s="18">
        <v>5462</v>
      </c>
      <c r="EN18" s="103">
        <v>5704</v>
      </c>
      <c r="EO18" s="18">
        <v>5770</v>
      </c>
      <c r="EP18" s="18">
        <v>4312</v>
      </c>
      <c r="EQ18" s="18">
        <v>2473</v>
      </c>
      <c r="ER18" s="18">
        <v>4470</v>
      </c>
      <c r="ES18" s="18">
        <v>5536</v>
      </c>
      <c r="ET18" s="18">
        <v>6140</v>
      </c>
      <c r="EU18" s="18">
        <v>5507</v>
      </c>
      <c r="EV18" s="19">
        <v>5815</v>
      </c>
      <c r="EW18" s="103">
        <v>5770</v>
      </c>
      <c r="EX18" s="18">
        <v>6434</v>
      </c>
      <c r="EY18" s="18">
        <v>5962</v>
      </c>
      <c r="EZ18" s="103">
        <v>6350</v>
      </c>
      <c r="FA18" s="18">
        <v>6840</v>
      </c>
      <c r="FB18" s="145">
        <v>6648</v>
      </c>
      <c r="FC18" s="18">
        <v>5490</v>
      </c>
      <c r="FD18" s="18">
        <v>6505</v>
      </c>
      <c r="FE18" s="18">
        <v>8966</v>
      </c>
      <c r="FF18" s="18">
        <v>7385</v>
      </c>
      <c r="FG18" s="13">
        <f>SUM('Total Weekday Boardings'!FG18,'Total Saturday Boardings'!FG18,'Total Sunday-Holiday Boardings'!FG18)</f>
        <v>6895</v>
      </c>
      <c r="FH18" s="13">
        <f>SUM('Total Weekday Boardings'!FH18,'Total Saturday Boardings'!FH18,'Total Sunday-Holiday Boardings'!FH18)</f>
        <v>5452</v>
      </c>
      <c r="FI18" s="13">
        <f>SUM('Total Weekday Boardings'!FI18,'Total Saturday Boardings'!FI18,'Total Sunday-Holiday Boardings'!FI18)</f>
        <v>5349</v>
      </c>
      <c r="FJ18" s="13">
        <f>SUM('Total Weekday Boardings'!FJ18,'Total Saturday Boardings'!FJ18,'Total Sunday-Holiday Boardings'!FJ18)</f>
        <v>6342</v>
      </c>
      <c r="FK18" s="13">
        <f>SUM('Total Weekday Boardings'!FK18,'Total Saturday Boardings'!FK18,'Total Sunday-Holiday Boardings'!FK18)</f>
        <v>6657.5</v>
      </c>
      <c r="FL18" s="13">
        <f>SUM('Total Weekday Boardings'!FL18,'Total Saturday Boardings'!FL18,'Total Sunday-Holiday Boardings'!FL18)</f>
        <v>6562</v>
      </c>
      <c r="FM18" s="13">
        <f>SUM('Total Weekday Boardings'!FM18,'Total Saturday Boardings'!FM18,'Total Sunday-Holiday Boardings'!FM18)</f>
        <v>6329</v>
      </c>
      <c r="FN18" s="13">
        <f>SUM('Total Weekday Boardings'!FN18,'Total Saturday Boardings'!FN18,'Total Sunday-Holiday Boardings'!FN18)</f>
        <v>6313</v>
      </c>
      <c r="FO18" s="13">
        <f>SUM('Total Weekday Boardings'!FO18,'Total Saturday Boardings'!FO18,'Total Sunday-Holiday Boardings'!FO18)</f>
        <v>7097</v>
      </c>
      <c r="FP18" s="13">
        <f>SUM('Total Weekday Boardings'!FP18,'Total Saturday Boardings'!FP18,'Total Sunday-Holiday Boardings'!FP18)</f>
        <v>7533</v>
      </c>
      <c r="FQ18" s="13">
        <f>SUM('Total Weekday Boardings'!FQ18,'Total Saturday Boardings'!FQ18,'Total Sunday-Holiday Boardings'!FQ18)</f>
        <v>9664</v>
      </c>
      <c r="FR18" s="13">
        <f>SUM('Total Weekday Boardings'!FR18,'Total Saturday Boardings'!FR18,'Total Sunday-Holiday Boardings'!FR18)</f>
        <v>8303</v>
      </c>
      <c r="FS18" s="13">
        <f>SUM('Total Weekday Boardings'!FS18,'Total Saturday Boardings'!FS18,'Total Sunday-Holiday Boardings'!FS18)</f>
        <v>8400</v>
      </c>
      <c r="FT18" s="16">
        <f>SUM('Total Weekday Boardings'!FT18,'Total Saturday Boardings'!FT18,'Total Sunday-Holiday Boardings'!FT18)</f>
        <v>7584</v>
      </c>
      <c r="FU18" s="171">
        <v>6739</v>
      </c>
      <c r="FV18" s="171">
        <v>7242</v>
      </c>
      <c r="FW18" s="171">
        <v>7282</v>
      </c>
      <c r="FX18" s="171">
        <v>9095</v>
      </c>
      <c r="FY18" s="171">
        <v>7979</v>
      </c>
      <c r="FZ18" s="171">
        <v>7757</v>
      </c>
      <c r="GA18" s="171">
        <v>8201</v>
      </c>
      <c r="GB18" s="52">
        <v>8652</v>
      </c>
      <c r="GC18" s="52">
        <v>9547</v>
      </c>
      <c r="GD18" s="52">
        <v>8506</v>
      </c>
      <c r="GE18" s="18">
        <v>7946</v>
      </c>
      <c r="GF18" s="52">
        <v>7393</v>
      </c>
      <c r="GG18" s="184">
        <v>7209</v>
      </c>
      <c r="GH18" s="52">
        <v>7908</v>
      </c>
      <c r="GI18" s="18">
        <v>8225</v>
      </c>
      <c r="GJ18" s="236">
        <v>8783</v>
      </c>
      <c r="GK18" s="184">
        <v>7926</v>
      </c>
      <c r="GL18" s="184">
        <v>7346</v>
      </c>
    </row>
    <row r="19" spans="1:194" ht="15" thickBot="1" x14ac:dyDescent="0.35">
      <c r="A19" s="3" t="s">
        <v>12</v>
      </c>
      <c r="B19" s="17"/>
      <c r="C19" s="18">
        <f>'Total Weekday Boardings'!C19+'Total Saturday Boardings'!C19+'Total Sunday-Holiday Boardings'!C19</f>
        <v>35951</v>
      </c>
      <c r="D19" s="18">
        <f>'Total Weekday Boardings'!D19+'Total Saturday Boardings'!D19+'Total Sunday-Holiday Boardings'!D19</f>
        <v>40693</v>
      </c>
      <c r="E19" s="18">
        <f>'Total Weekday Boardings'!E19+'Total Saturday Boardings'!E19+'Total Sunday-Holiday Boardings'!E19</f>
        <v>37506</v>
      </c>
      <c r="F19" s="18">
        <f>'Total Weekday Boardings'!F19+'Total Saturday Boardings'!F19+'Total Sunday-Holiday Boardings'!F19</f>
        <v>29292</v>
      </c>
      <c r="G19" s="18">
        <f>'Total Weekday Boardings'!G19+'Total Saturday Boardings'!G19+'Total Sunday-Holiday Boardings'!G19</f>
        <v>41376</v>
      </c>
      <c r="H19" s="19">
        <f>'Total Weekday Boardings'!H19+'Total Saturday Boardings'!H19+'Total Sunday-Holiday Boardings'!H19</f>
        <v>31923</v>
      </c>
      <c r="I19" s="17">
        <f>'Total Weekday Boardings'!I19+'Total Saturday Boardings'!I19+'Total Sunday-Holiday Boardings'!I19</f>
        <v>39523</v>
      </c>
      <c r="J19" s="18">
        <f>'Total Weekday Boardings'!J19+'Total Saturday Boardings'!J19+'Total Sunday-Holiday Boardings'!J19</f>
        <v>46240</v>
      </c>
      <c r="K19" s="18">
        <f>'Total Weekday Boardings'!K19+'Total Saturday Boardings'!K19+'Total Sunday-Holiday Boardings'!K19</f>
        <v>41872</v>
      </c>
      <c r="L19" s="18">
        <f>'Total Weekday Boardings'!L19+'Total Saturday Boardings'!L19+'Total Sunday-Holiday Boardings'!L19</f>
        <v>45995</v>
      </c>
      <c r="M19" s="18">
        <f>'Total Weekday Boardings'!M19+'Total Saturday Boardings'!M19+'Total Sunday-Holiday Boardings'!M19</f>
        <v>50571</v>
      </c>
      <c r="N19" s="18">
        <f>'Total Weekday Boardings'!N19+'Total Saturday Boardings'!N19+'Total Sunday-Holiday Boardings'!N19</f>
        <v>42423</v>
      </c>
      <c r="O19" s="62">
        <f>'Total Weekday Boardings'!O19+'Total Saturday Boardings'!O19+'Total Sunday-Holiday Boardings'!O19</f>
        <v>44299</v>
      </c>
      <c r="P19" s="62">
        <f>'Total Weekday Boardings'!P19+'Total Saturday Boardings'!P19+'Total Sunday-Holiday Boardings'!P19</f>
        <v>43844</v>
      </c>
      <c r="Q19" s="62">
        <f>'Total Weekday Boardings'!Q19+'Total Saturday Boardings'!Q19+'Total Sunday-Holiday Boardings'!Q19</f>
        <v>48568</v>
      </c>
      <c r="R19" s="62">
        <f>'Total Weekday Boardings'!R19+'Total Saturday Boardings'!R19+'Total Sunday-Holiday Boardings'!R19</f>
        <v>50704</v>
      </c>
      <c r="S19" s="62">
        <f>'Total Weekday Boardings'!S19+'Total Saturday Boardings'!S19+'Total Sunday-Holiday Boardings'!S19</f>
        <v>42249</v>
      </c>
      <c r="T19" s="63">
        <f>'Total Weekday Boardings'!T19+'Total Saturday Boardings'!T19+'Total Sunday-Holiday Boardings'!T19</f>
        <v>45663</v>
      </c>
      <c r="U19" s="64">
        <f>'Total Weekday Boardings'!U19+'Total Saturday Boardings'!U19+'Total Sunday-Holiday Boardings'!U19</f>
        <v>39862</v>
      </c>
      <c r="V19" s="62">
        <f>'Total Weekday Boardings'!V19+'Total Saturday Boardings'!V19+'Total Sunday-Holiday Boardings'!V19</f>
        <v>47278</v>
      </c>
      <c r="W19" s="62">
        <f>'Total Weekday Boardings'!W19+'Total Saturday Boardings'!W19+'Total Sunday-Holiday Boardings'!W19</f>
        <v>48034</v>
      </c>
      <c r="X19" s="62">
        <f>'Total Weekday Boardings'!X19+'Total Saturday Boardings'!X19+'Total Sunday-Holiday Boardings'!X19</f>
        <v>46720</v>
      </c>
      <c r="Y19" s="62">
        <f>'Total Weekday Boardings'!Y19+'Total Saturday Boardings'!Y19+'Total Sunday-Holiday Boardings'!Y19</f>
        <v>45376</v>
      </c>
      <c r="Z19" s="62">
        <f>'Total Weekday Boardings'!Z19+'Total Saturday Boardings'!Z19+'Total Sunday-Holiday Boardings'!Z19</f>
        <v>42490</v>
      </c>
      <c r="AA19" s="18">
        <f>'Total Weekday Boardings'!AA19+'Total Saturday Boardings'!AA19+'Total Sunday-Holiday Boardings'!AA19</f>
        <v>46974</v>
      </c>
      <c r="AB19" s="18">
        <f>'Total Weekday Boardings'!AB19+'Total Saturday Boardings'!AB19+'Total Sunday-Holiday Boardings'!AB19</f>
        <v>44276</v>
      </c>
      <c r="AC19" s="18">
        <f>'Total Weekday Boardings'!AC19+'Total Saturday Boardings'!AC19+'Total Sunday-Holiday Boardings'!AC19</f>
        <v>49707</v>
      </c>
      <c r="AD19" s="18">
        <f>'Total Weekday Boardings'!AD19+'Total Saturday Boardings'!AD19+'Total Sunday-Holiday Boardings'!AD19</f>
        <v>48750</v>
      </c>
      <c r="AE19" s="18">
        <f>'Total Weekday Boardings'!AE19+'Total Saturday Boardings'!AE19+'Total Sunday-Holiday Boardings'!AE19</f>
        <v>44412</v>
      </c>
      <c r="AF19" s="19">
        <f>'Total Weekday Boardings'!AF19+'Total Saturday Boardings'!AF19+'Total Sunday-Holiday Boardings'!AF19</f>
        <v>40308</v>
      </c>
      <c r="AG19" s="17">
        <f>'Total Weekday Boardings'!AG19+'Total Saturday Boardings'!AG19+'Total Sunday-Holiday Boardings'!AG19</f>
        <v>39185</v>
      </c>
      <c r="AH19" s="18">
        <f>'Total Weekday Boardings'!AH19+'Total Saturday Boardings'!AH19+'Total Sunday-Holiday Boardings'!AH19</f>
        <v>47268</v>
      </c>
      <c r="AI19" s="18">
        <f>'Total Weekday Boardings'!AI19+'Total Saturday Boardings'!AI19+'Total Sunday-Holiday Boardings'!AI19</f>
        <v>47272</v>
      </c>
      <c r="AJ19" s="18">
        <f>'Total Weekday Boardings'!AJ19+'Total Saturday Boardings'!AJ19+'Total Sunday-Holiday Boardings'!AJ19</f>
        <v>50487</v>
      </c>
      <c r="AK19" s="18">
        <f>'Total Weekday Boardings'!AK19+'Total Saturday Boardings'!AK19+'Total Sunday-Holiday Boardings'!AK19</f>
        <v>43333</v>
      </c>
      <c r="AL19" s="18">
        <f>'Total Weekday Boardings'!AL19+'Total Saturday Boardings'!AL19+'Total Sunday-Holiday Boardings'!AL19</f>
        <v>43644</v>
      </c>
      <c r="AM19" s="18">
        <f>'Total Weekday Boardings'!AM19+'Total Saturday Boardings'!AM19+'Total Sunday-Holiday Boardings'!AM19</f>
        <v>46795</v>
      </c>
      <c r="AN19" s="18">
        <f>'Total Weekday Boardings'!AN19+'Total Saturday Boardings'!AN19+'Total Sunday-Holiday Boardings'!AN19</f>
        <v>44546</v>
      </c>
      <c r="AO19" s="18">
        <f>'Total Weekday Boardings'!AO19+'Total Saturday Boardings'!AO19+'Total Sunday-Holiday Boardings'!AO19</f>
        <v>49548</v>
      </c>
      <c r="AP19" s="18">
        <f>'Total Weekday Boardings'!AP19+'Total Saturday Boardings'!AP19+'Total Sunday-Holiday Boardings'!AP19</f>
        <v>49607</v>
      </c>
      <c r="AQ19" s="18">
        <f>'Total Weekday Boardings'!AQ19+'Total Saturday Boardings'!AQ19+'Total Sunday-Holiday Boardings'!AQ19</f>
        <v>49320</v>
      </c>
      <c r="AR19" s="19">
        <f>'Total Weekday Boardings'!AR19+'Total Saturday Boardings'!AR19+'Total Sunday-Holiday Boardings'!AR19</f>
        <v>43746</v>
      </c>
      <c r="AS19" s="17">
        <f>'Total Weekday Boardings'!AS19+'Total Saturday Boardings'!AS19+'Total Sunday-Holiday Boardings'!AS19</f>
        <v>42425</v>
      </c>
      <c r="AT19" s="18">
        <f>'Total Weekday Boardings'!AT19+'Total Saturday Boardings'!AT19+'Total Sunday-Holiday Boardings'!AT19</f>
        <v>49395</v>
      </c>
      <c r="AU19" s="18">
        <f>'Total Weekday Boardings'!AU19+'Total Saturday Boardings'!AU19+'Total Sunday-Holiday Boardings'!AU19</f>
        <v>49164</v>
      </c>
      <c r="AV19" s="18">
        <f>'Total Weekday Boardings'!AV19+'Total Saturday Boardings'!AV19+'Total Sunday-Holiday Boardings'!AV19</f>
        <v>57046</v>
      </c>
      <c r="AW19" s="18">
        <f>'Total Weekday Boardings'!AW19+'Total Saturday Boardings'!AW19+'Total Sunday-Holiday Boardings'!AW19</f>
        <v>49944</v>
      </c>
      <c r="AX19" s="18">
        <f>'Total Weekday Boardings'!AX19+'Total Saturday Boardings'!AX19+'Total Sunday-Holiday Boardings'!AX19</f>
        <v>46548</v>
      </c>
      <c r="AY19" s="18">
        <f>'Total Weekday Boardings'!AY19+'Total Saturday Boardings'!AY19+'Total Sunday-Holiday Boardings'!AY19</f>
        <v>49217</v>
      </c>
      <c r="AZ19" s="18">
        <f>'Total Weekday Boardings'!AZ19+'Total Saturday Boardings'!AZ19+'Total Sunday-Holiday Boardings'!AZ19</f>
        <v>48233</v>
      </c>
      <c r="BA19" s="18">
        <f>'Total Weekday Boardings'!BA19+'Total Saturday Boardings'!BA19+'Total Sunday-Holiday Boardings'!BA19</f>
        <v>51527</v>
      </c>
      <c r="BB19" s="18">
        <f>'Total Weekday Boardings'!BB19+'Total Saturday Boardings'!BB19+'Total Sunday-Holiday Boardings'!BB19</f>
        <v>52128</v>
      </c>
      <c r="BC19" s="18">
        <f>'Total Weekday Boardings'!BC19+'Total Saturday Boardings'!BC19+'Total Sunday-Holiday Boardings'!BC19</f>
        <v>49239</v>
      </c>
      <c r="BD19" s="19">
        <f>'Total Weekday Boardings'!BD19+'Total Saturday Boardings'!BD19+'Total Sunday-Holiday Boardings'!BD19</f>
        <v>44195</v>
      </c>
      <c r="BE19" s="17">
        <f>'Total Weekday Boardings'!BE19+'Total Saturday Boardings'!BE19+'Total Sunday-Holiday Boardings'!BE19</f>
        <v>45320</v>
      </c>
      <c r="BF19" s="18">
        <f>'Total Weekday Boardings'!BF19+'Total Saturday Boardings'!BF19+'Total Sunday-Holiday Boardings'!BF19</f>
        <v>50506</v>
      </c>
      <c r="BG19" s="18">
        <f>'Total Weekday Boardings'!BG19+'Total Saturday Boardings'!BG19+'Total Sunday-Holiday Boardings'!BG19</f>
        <v>49841</v>
      </c>
      <c r="BH19" s="18">
        <f>'Total Weekday Boardings'!BH19+'Total Saturday Boardings'!BH19+'Total Sunday-Holiday Boardings'!BH19</f>
        <v>54267</v>
      </c>
      <c r="BI19" s="18">
        <f>'Total Weekday Boardings'!BI19+'Total Saturday Boardings'!BI19+'Total Sunday-Holiday Boardings'!BI19</f>
        <v>48336.791819918995</v>
      </c>
      <c r="BJ19" s="18">
        <f>'Total Weekday Boardings'!BJ19+'Total Saturday Boardings'!BJ19+'Total Sunday-Holiday Boardings'!BJ19</f>
        <v>46058</v>
      </c>
      <c r="BK19" s="18">
        <f>'Total Weekday Boardings'!BK19+'Total Saturday Boardings'!BK19+'Total Sunday-Holiday Boardings'!BK19</f>
        <v>52197</v>
      </c>
      <c r="BL19" s="18">
        <f>'Total Weekday Boardings'!BL19+'Total Saturday Boardings'!BL19+'Total Sunday-Holiday Boardings'!BL19</f>
        <v>49557</v>
      </c>
      <c r="BM19" s="18">
        <f>'Total Weekday Boardings'!BM19+'Total Saturday Boardings'!BM19+'Total Sunday-Holiday Boardings'!BM19</f>
        <v>53155</v>
      </c>
      <c r="BN19" s="18">
        <f>'Total Weekday Boardings'!BN19+'Total Saturday Boardings'!BN19+'Total Sunday-Holiday Boardings'!BN19</f>
        <v>52918</v>
      </c>
      <c r="BO19" s="18">
        <f>'Total Weekday Boardings'!BO19+'Total Saturday Boardings'!BO19+'Total Sunday-Holiday Boardings'!BO19</f>
        <v>49756</v>
      </c>
      <c r="BP19" s="19">
        <f>'Total Weekday Boardings'!BP19+'Total Saturday Boardings'!BP19+'Total Sunday-Holiday Boardings'!BP19</f>
        <v>46502</v>
      </c>
      <c r="BQ19" s="17">
        <f>'Total Weekday Boardings'!BQ19+'Total Saturday Boardings'!BQ19+'Total Sunday-Holiday Boardings'!BQ19</f>
        <v>45502</v>
      </c>
      <c r="BR19" s="18">
        <f>'Total Weekday Boardings'!BR19+'Total Saturday Boardings'!BR19+'Total Sunday-Holiday Boardings'!BR19</f>
        <v>49376</v>
      </c>
      <c r="BS19" s="18">
        <f>'Total Weekday Boardings'!BS19+'Total Saturday Boardings'!BS19+'Total Sunday-Holiday Boardings'!BS19</f>
        <v>50323</v>
      </c>
      <c r="BT19" s="18">
        <f>'Total Weekday Boardings'!BT19+'Total Saturday Boardings'!BT19+'Total Sunday-Holiday Boardings'!BT19</f>
        <v>57889</v>
      </c>
      <c r="BU19" s="18">
        <f>'Total Weekday Boardings'!BU19+'Total Saturday Boardings'!BU19+'Total Sunday-Holiday Boardings'!BU19</f>
        <v>49526</v>
      </c>
      <c r="BV19" s="18">
        <f>'Total Weekday Boardings'!BV19+'Total Saturday Boardings'!BV19+'Total Sunday-Holiday Boardings'!BV19</f>
        <v>49288</v>
      </c>
      <c r="BW19" s="18">
        <f>'Total Weekday Boardings'!BW19+'Total Saturday Boardings'!BW19+'Total Sunday-Holiday Boardings'!BW19</f>
        <v>55802</v>
      </c>
      <c r="BX19" s="18">
        <f>'Total Weekday Boardings'!BX19+'Total Saturday Boardings'!BX19+'Total Sunday-Holiday Boardings'!BX19</f>
        <v>49434</v>
      </c>
      <c r="BY19" s="18">
        <f>'Total Weekday Boardings'!BY19+'Total Saturday Boardings'!BY19+'Total Sunday-Holiday Boardings'!BY19</f>
        <v>54669</v>
      </c>
      <c r="BZ19" s="18">
        <f>'Total Weekday Boardings'!BZ19+'Total Saturday Boardings'!BZ19+'Total Sunday-Holiday Boardings'!BZ19</f>
        <v>51218</v>
      </c>
      <c r="CA19" s="18">
        <f>'Total Weekday Boardings'!CA19+'Total Saturday Boardings'!CA19+'Total Sunday-Holiday Boardings'!CA19</f>
        <v>49093</v>
      </c>
      <c r="CB19" s="19">
        <f>'Total Weekday Boardings'!CB19+'Total Saturday Boardings'!CB19+'Total Sunday-Holiday Boardings'!CB19</f>
        <v>46253</v>
      </c>
      <c r="CC19" s="20">
        <f>'Total Weekday Boardings'!CC19+'Total Saturday Boardings'!CC19+'Total Sunday-Holiday Boardings'!CC19</f>
        <v>47316</v>
      </c>
      <c r="CD19" s="18">
        <f>'Total Weekday Boardings'!CD19+'Total Saturday Boardings'!CD19+'Total Sunday-Holiday Boardings'!CD19</f>
        <v>50088</v>
      </c>
      <c r="CE19" s="18">
        <f>'Total Weekday Boardings'!CE19+'Total Saturday Boardings'!CE19+'Total Sunday-Holiday Boardings'!CE19</f>
        <v>53848</v>
      </c>
      <c r="CF19" s="18">
        <f>'Total Weekday Boardings'!CF19+'Total Saturday Boardings'!CF19+'Total Sunday-Holiday Boardings'!CF19</f>
        <v>57486</v>
      </c>
      <c r="CG19" s="18">
        <f>'Total Weekday Boardings'!CG19+'Total Saturday Boardings'!CG19+'Total Sunday-Holiday Boardings'!CG19</f>
        <v>50866</v>
      </c>
      <c r="CH19" s="18">
        <f>'Total Weekday Boardings'!CH19+'Total Saturday Boardings'!CH19+'Total Sunday-Holiday Boardings'!CH19</f>
        <v>48886</v>
      </c>
      <c r="CI19" s="18">
        <f>'Total Weekday Boardings'!CI19+'Total Saturday Boardings'!CI19+'Total Sunday-Holiday Boardings'!CI19</f>
        <v>53880</v>
      </c>
      <c r="CJ19" s="18">
        <f>'Total Weekday Boardings'!CJ19+'Total Saturday Boardings'!CJ19+'Total Sunday-Holiday Boardings'!CJ19</f>
        <v>52466</v>
      </c>
      <c r="CK19" s="18">
        <f>'Total Weekday Boardings'!CK19+'Total Saturday Boardings'!CK19+'Total Sunday-Holiday Boardings'!CK19</f>
        <v>57091</v>
      </c>
      <c r="CL19" s="18">
        <f>'Total Weekday Boardings'!CL19+'Total Saturday Boardings'!CL19+'Total Sunday-Holiday Boardings'!CL19</f>
        <v>56887</v>
      </c>
      <c r="CM19" s="18">
        <f>'Total Weekday Boardings'!CM19+'Total Saturday Boardings'!CM19+'Total Sunday-Holiday Boardings'!CM19</f>
        <v>52975</v>
      </c>
      <c r="CN19" s="21">
        <f>'Total Weekday Boardings'!CN19+'Total Saturday Boardings'!CN19+'Total Sunday-Holiday Boardings'!CN19</f>
        <v>50242</v>
      </c>
      <c r="CO19" s="17">
        <f>'Total Weekday Boardings'!CO19+'Total Saturday Boardings'!CO19+'Total Sunday-Holiday Boardings'!CO19</f>
        <v>48334</v>
      </c>
      <c r="CP19" s="18">
        <f>'Total Weekday Boardings'!CP19+'Total Saturday Boardings'!CP19+'Total Sunday-Holiday Boardings'!CP19</f>
        <v>54900</v>
      </c>
      <c r="CQ19" s="18">
        <f>'Total Weekday Boardings'!CQ19+'Total Saturday Boardings'!CQ19+'Total Sunday-Holiday Boardings'!CQ19</f>
        <v>52754</v>
      </c>
      <c r="CR19" s="18">
        <f>'Total Weekday Boardings'!CR19+'Total Saturday Boardings'!CR19+'Total Sunday-Holiday Boardings'!CR19</f>
        <v>54406</v>
      </c>
      <c r="CS19" s="18">
        <f>'Total Weekday Boardings'!CS19+'Total Saturday Boardings'!CS19+'Total Sunday-Holiday Boardings'!CS19</f>
        <v>50784</v>
      </c>
      <c r="CT19" s="18">
        <f>'Total Weekday Boardings'!CT19+'Total Saturday Boardings'!CT19+'Total Sunday-Holiday Boardings'!CT19</f>
        <v>48164</v>
      </c>
      <c r="CU19" s="18">
        <f>'Total Weekday Boardings'!CU19+'Total Saturday Boardings'!CU19+'Total Sunday-Holiday Boardings'!CU19</f>
        <v>50980</v>
      </c>
      <c r="CV19" s="18">
        <f>'Total Weekday Boardings'!CV19+'Total Saturday Boardings'!CV19+'Total Sunday-Holiday Boardings'!CV19</f>
        <v>48994</v>
      </c>
      <c r="CW19" s="18">
        <f>'Total Weekday Boardings'!CW19+'Total Saturday Boardings'!CW19+'Total Sunday-Holiday Boardings'!CW19</f>
        <v>56385</v>
      </c>
      <c r="CX19" s="18">
        <f>'Total Weekday Boardings'!CX19+'Total Saturday Boardings'!CX19+'Total Sunday-Holiday Boardings'!CX19</f>
        <v>57287</v>
      </c>
      <c r="CY19" s="18">
        <f>'Total Weekday Boardings'!CY19+'Total Saturday Boardings'!CY19+'Total Sunday-Holiday Boardings'!CY19</f>
        <v>52073</v>
      </c>
      <c r="CZ19" s="19">
        <f>'Total Weekday Boardings'!CZ19+'Total Saturday Boardings'!CZ19+'Total Sunday-Holiday Boardings'!CZ19</f>
        <v>47577</v>
      </c>
      <c r="DA19" s="17">
        <f>'Total Weekday Boardings'!DA19+'Total Saturday Boardings'!DA19+'Total Sunday-Holiday Boardings'!DA19</f>
        <v>39587</v>
      </c>
      <c r="DB19" s="18">
        <f>'Total Weekday Boardings'!DB19+'Total Saturday Boardings'!DB19+'Total Sunday-Holiday Boardings'!DB19</f>
        <v>36386</v>
      </c>
      <c r="DC19" s="18">
        <f>'Total Weekday Boardings'!DC19+'Total Saturday Boardings'!DC19+'Total Sunday-Holiday Boardings'!DC19</f>
        <v>34520</v>
      </c>
      <c r="DD19" s="18">
        <f>'Total Weekday Boardings'!DD19+'Total Saturday Boardings'!DD19+'Total Sunday-Holiday Boardings'!DD19</f>
        <v>38177</v>
      </c>
      <c r="DE19" s="18">
        <f>'Total Weekday Boardings'!DE19+'Total Saturday Boardings'!DE19+'Total Sunday-Holiday Boardings'!DE19</f>
        <v>34983</v>
      </c>
      <c r="DF19" s="18">
        <f>'Total Weekday Boardings'!DF19+'Total Saturday Boardings'!DF19+'Total Sunday-Holiday Boardings'!DF19</f>
        <v>33028</v>
      </c>
      <c r="DG19" s="18">
        <f>'Total Weekday Boardings'!DG19+'Total Saturday Boardings'!DG19+'Total Sunday-Holiday Boardings'!DG19</f>
        <v>35459</v>
      </c>
      <c r="DH19" s="18">
        <f>'Total Weekday Boardings'!DH19+'Total Saturday Boardings'!DH19+'Total Sunday-Holiday Boardings'!DH19</f>
        <v>33337</v>
      </c>
      <c r="DI19" s="18">
        <f>'Total Weekday Boardings'!DI19+'Total Saturday Boardings'!DI19+'Total Sunday-Holiday Boardings'!DI19</f>
        <v>36500</v>
      </c>
      <c r="DJ19" s="18">
        <f>'Total Weekday Boardings'!DJ19+'Total Saturday Boardings'!DJ19+'Total Sunday-Holiday Boardings'!DJ19</f>
        <v>34991</v>
      </c>
      <c r="DK19" s="18">
        <f>'Total Weekday Boardings'!DK19+'Total Saturday Boardings'!DK19+'Total Sunday-Holiday Boardings'!DK19</f>
        <v>33162</v>
      </c>
      <c r="DL19" s="19">
        <f>'Total Weekday Boardings'!DL19+'Total Saturday Boardings'!DL19+'Total Sunday-Holiday Boardings'!DL19</f>
        <v>33333</v>
      </c>
      <c r="DM19" s="17">
        <f>'Total Weekday Boardings'!DM19+'Total Saturday Boardings'!DM19+'Total Sunday-Holiday Boardings'!DM19</f>
        <v>38678</v>
      </c>
      <c r="DN19" s="18">
        <f>'Total Weekday Boardings'!DN19+'Total Saturday Boardings'!DN19+'Total Sunday-Holiday Boardings'!DN19</f>
        <v>46430</v>
      </c>
      <c r="DO19" s="18">
        <f>'Total Weekday Boardings'!DO19+'Total Saturday Boardings'!DO19+'Total Sunday-Holiday Boardings'!DO19</f>
        <v>44148</v>
      </c>
      <c r="DP19" s="18">
        <f>'Total Weekday Boardings'!DP19+'Total Saturday Boardings'!DP19+'Total Sunday-Holiday Boardings'!DP19</f>
        <v>50046</v>
      </c>
      <c r="DQ19" s="18">
        <f>'Total Weekday Boardings'!DQ19+'Total Saturday Boardings'!DQ19+'Total Sunday-Holiday Boardings'!DQ19</f>
        <v>44663</v>
      </c>
      <c r="DR19" s="18">
        <f>'Total Weekday Boardings'!DR19+'Total Saturday Boardings'!DR19+'Total Sunday-Holiday Boardings'!DR19</f>
        <v>41478</v>
      </c>
      <c r="DS19" s="18">
        <f>'Total Weekday Boardings'!DS19+'Total Saturday Boardings'!DS19+'Total Sunday-Holiday Boardings'!DS19</f>
        <v>46151</v>
      </c>
      <c r="DT19" s="18">
        <f>'Total Weekday Boardings'!DT19+'Total Saturday Boardings'!DT19+'Total Sunday-Holiday Boardings'!DT19</f>
        <v>42135</v>
      </c>
      <c r="DU19" s="18">
        <f>'Total Weekday Boardings'!DU19+'Total Saturday Boardings'!DU19+'Total Sunday-Holiday Boardings'!DU19</f>
        <v>45448</v>
      </c>
      <c r="DV19" s="18">
        <f>'Total Weekday Boardings'!DV19+'Total Saturday Boardings'!DV19+'Total Sunday-Holiday Boardings'!DV19</f>
        <v>44935</v>
      </c>
      <c r="DW19" s="18">
        <f>'Total Weekday Boardings'!DW19+'Total Saturday Boardings'!DW19+'Total Sunday-Holiday Boardings'!DW19</f>
        <v>42588</v>
      </c>
      <c r="DX19" s="19">
        <f>'Total Weekday Boardings'!DX19+'Total Saturday Boardings'!DX19+'Total Sunday-Holiday Boardings'!DX19</f>
        <v>39712</v>
      </c>
      <c r="DY19" s="137">
        <v>38501</v>
      </c>
      <c r="DZ19" s="18">
        <v>42943</v>
      </c>
      <c r="EA19" s="18">
        <v>43655</v>
      </c>
      <c r="EB19" s="18">
        <v>47587</v>
      </c>
      <c r="EC19" s="18">
        <v>42077</v>
      </c>
      <c r="ED19" s="18">
        <v>38341</v>
      </c>
      <c r="EE19" s="18">
        <v>41951</v>
      </c>
      <c r="EF19" s="18">
        <v>41532</v>
      </c>
      <c r="EG19" s="18">
        <v>30183</v>
      </c>
      <c r="EH19" s="18">
        <v>14821</v>
      </c>
      <c r="EI19" s="18">
        <v>14989</v>
      </c>
      <c r="EJ19" s="19">
        <v>14500</v>
      </c>
      <c r="EK19" s="100">
        <v>12798</v>
      </c>
      <c r="EL19" s="18">
        <v>13387</v>
      </c>
      <c r="EM19" s="18">
        <v>13570</v>
      </c>
      <c r="EN19" s="103">
        <v>14905</v>
      </c>
      <c r="EO19" s="18">
        <v>16620</v>
      </c>
      <c r="EP19" s="18">
        <v>10641</v>
      </c>
      <c r="EQ19" s="18">
        <v>6134</v>
      </c>
      <c r="ER19" s="18">
        <v>12447</v>
      </c>
      <c r="ES19" s="18">
        <v>16094</v>
      </c>
      <c r="ET19" s="18">
        <v>14547</v>
      </c>
      <c r="EU19" s="18">
        <v>14341</v>
      </c>
      <c r="EV19" s="19">
        <v>15909</v>
      </c>
      <c r="EW19" s="103">
        <v>16620</v>
      </c>
      <c r="EX19" s="18">
        <v>19066</v>
      </c>
      <c r="EY19" s="18">
        <v>19492</v>
      </c>
      <c r="EZ19" s="103">
        <v>20873</v>
      </c>
      <c r="FA19" s="18">
        <v>20764</v>
      </c>
      <c r="FB19" s="145">
        <v>20094</v>
      </c>
      <c r="FC19" s="18">
        <v>18069</v>
      </c>
      <c r="FD19" s="18">
        <v>21603</v>
      </c>
      <c r="FE19" s="18">
        <v>25998</v>
      </c>
      <c r="FF19" s="18">
        <v>24276</v>
      </c>
      <c r="FG19" s="13">
        <f>SUM('Total Weekday Boardings'!FG19,'Total Saturday Boardings'!FG19,'Total Sunday-Holiday Boardings'!FG19)</f>
        <v>22549</v>
      </c>
      <c r="FH19" s="13">
        <f>SUM('Total Weekday Boardings'!FH19,'Total Saturday Boardings'!FH19,'Total Sunday-Holiday Boardings'!FH19)</f>
        <v>18463</v>
      </c>
      <c r="FI19" s="13">
        <f>SUM('Total Weekday Boardings'!FI19,'Total Saturday Boardings'!FI19,'Total Sunday-Holiday Boardings'!FI19)</f>
        <v>19370</v>
      </c>
      <c r="FJ19" s="13">
        <f>SUM('Total Weekday Boardings'!FJ19,'Total Saturday Boardings'!FJ19,'Total Sunday-Holiday Boardings'!FJ19)</f>
        <v>22160</v>
      </c>
      <c r="FK19" s="13">
        <f>SUM('Total Weekday Boardings'!FK19,'Total Saturday Boardings'!FK19,'Total Sunday-Holiday Boardings'!FK19)</f>
        <v>23589</v>
      </c>
      <c r="FL19" s="13">
        <f>SUM('Total Weekday Boardings'!FL19,'Total Saturday Boardings'!FL19,'Total Sunday-Holiday Boardings'!FL19)</f>
        <v>24132</v>
      </c>
      <c r="FM19" s="13">
        <f>SUM('Total Weekday Boardings'!FM19,'Total Saturday Boardings'!FM19,'Total Sunday-Holiday Boardings'!FM19)</f>
        <v>21479</v>
      </c>
      <c r="FN19" s="13">
        <f>SUM('Total Weekday Boardings'!FN19,'Total Saturday Boardings'!FN19,'Total Sunday-Holiday Boardings'!FN19)</f>
        <v>21524</v>
      </c>
      <c r="FO19" s="13">
        <f>SUM('Total Weekday Boardings'!FO19,'Total Saturday Boardings'!FO19,'Total Sunday-Holiday Boardings'!FO19)</f>
        <v>23864</v>
      </c>
      <c r="FP19" s="13">
        <f>SUM('Total Weekday Boardings'!FP19,'Total Saturday Boardings'!FP19,'Total Sunday-Holiday Boardings'!FP19)</f>
        <v>25148</v>
      </c>
      <c r="FQ19" s="13">
        <f>SUM('Total Weekday Boardings'!FQ19,'Total Saturday Boardings'!FQ19,'Total Sunday-Holiday Boardings'!FQ19)</f>
        <v>26953</v>
      </c>
      <c r="FR19" s="13">
        <f>SUM('Total Weekday Boardings'!FR19,'Total Saturday Boardings'!FR19,'Total Sunday-Holiday Boardings'!FR19)</f>
        <v>26368</v>
      </c>
      <c r="FS19" s="13">
        <f>SUM('Total Weekday Boardings'!FS19,'Total Saturday Boardings'!FS19,'Total Sunday-Holiday Boardings'!FS19)</f>
        <v>26560</v>
      </c>
      <c r="FT19" s="16">
        <f>SUM('Total Weekday Boardings'!FT19,'Total Saturday Boardings'!FT19,'Total Sunday-Holiday Boardings'!FT19)</f>
        <v>24706</v>
      </c>
      <c r="FU19" s="171">
        <v>23825</v>
      </c>
      <c r="FV19" s="171">
        <v>26265</v>
      </c>
      <c r="FW19" s="171">
        <v>25314</v>
      </c>
      <c r="FX19" s="171">
        <v>28279</v>
      </c>
      <c r="FY19" s="171">
        <v>25334</v>
      </c>
      <c r="FZ19" s="171">
        <v>24173</v>
      </c>
      <c r="GA19" s="171">
        <v>26786</v>
      </c>
      <c r="GB19" s="52">
        <v>28326</v>
      </c>
      <c r="GC19" s="52">
        <v>29525</v>
      </c>
      <c r="GD19" s="52">
        <v>29857</v>
      </c>
      <c r="GE19" s="18">
        <v>29271</v>
      </c>
      <c r="GF19" s="52">
        <v>29424</v>
      </c>
      <c r="GG19" s="184">
        <v>30337</v>
      </c>
      <c r="GH19" s="52">
        <v>32127</v>
      </c>
      <c r="GI19" s="18">
        <v>31109</v>
      </c>
      <c r="GJ19" s="236">
        <v>29470</v>
      </c>
      <c r="GK19" s="184">
        <v>24838</v>
      </c>
      <c r="GL19" s="184">
        <v>23703</v>
      </c>
    </row>
    <row r="20" spans="1:194" ht="15" thickBot="1" x14ac:dyDescent="0.35">
      <c r="A20" s="3" t="s">
        <v>13</v>
      </c>
      <c r="B20" s="17"/>
      <c r="C20" s="18">
        <f>'Total Weekday Boardings'!C20+'Total Saturday Boardings'!C20+'Total Sunday-Holiday Boardings'!C20</f>
        <v>18837</v>
      </c>
      <c r="D20" s="18">
        <f>'Total Weekday Boardings'!D20+'Total Saturday Boardings'!D20+'Total Sunday-Holiday Boardings'!D20</f>
        <v>33356</v>
      </c>
      <c r="E20" s="18">
        <f>'Total Weekday Boardings'!E20+'Total Saturday Boardings'!E20+'Total Sunday-Holiday Boardings'!E20</f>
        <v>39638</v>
      </c>
      <c r="F20" s="18">
        <f>'Total Weekday Boardings'!F20+'Total Saturday Boardings'!F20+'Total Sunday-Holiday Boardings'!F20</f>
        <v>46434</v>
      </c>
      <c r="G20" s="18">
        <f>'Total Weekday Boardings'!G20+'Total Saturday Boardings'!G20+'Total Sunday-Holiday Boardings'!G20</f>
        <v>35686</v>
      </c>
      <c r="H20" s="19">
        <f>'Total Weekday Boardings'!H20+'Total Saturday Boardings'!H20+'Total Sunday-Holiday Boardings'!H20</f>
        <v>38323</v>
      </c>
      <c r="I20" s="17">
        <f>'Total Weekday Boardings'!I20+'Total Saturday Boardings'!I20+'Total Sunday-Holiday Boardings'!I20</f>
        <v>45232</v>
      </c>
      <c r="J20" s="18">
        <f>'Total Weekday Boardings'!J20+'Total Saturday Boardings'!J20+'Total Sunday-Holiday Boardings'!J20</f>
        <v>52972</v>
      </c>
      <c r="K20" s="18">
        <f>'Total Weekday Boardings'!K20+'Total Saturday Boardings'!K20+'Total Sunday-Holiday Boardings'!K20</f>
        <v>51795</v>
      </c>
      <c r="L20" s="18">
        <f>'Total Weekday Boardings'!L20+'Total Saturday Boardings'!L20+'Total Sunday-Holiday Boardings'!L20</f>
        <v>58536</v>
      </c>
      <c r="M20" s="18">
        <f>'Total Weekday Boardings'!M20+'Total Saturday Boardings'!M20+'Total Sunday-Holiday Boardings'!M20</f>
        <v>54361</v>
      </c>
      <c r="N20" s="18">
        <f>'Total Weekday Boardings'!N20+'Total Saturday Boardings'!N20+'Total Sunday-Holiday Boardings'!N20</f>
        <v>40414</v>
      </c>
      <c r="O20" s="62">
        <f>'Total Weekday Boardings'!O20+'Total Saturday Boardings'!O20+'Total Sunday-Holiday Boardings'!O20</f>
        <v>53318</v>
      </c>
      <c r="P20" s="62">
        <f>'Total Weekday Boardings'!P20+'Total Saturday Boardings'!P20+'Total Sunday-Holiday Boardings'!P20</f>
        <v>47180</v>
      </c>
      <c r="Q20" s="62">
        <f>'Total Weekday Boardings'!Q20+'Total Saturday Boardings'!Q20+'Total Sunday-Holiday Boardings'!Q20</f>
        <v>53464</v>
      </c>
      <c r="R20" s="62">
        <f>'Total Weekday Boardings'!R20+'Total Saturday Boardings'!R20+'Total Sunday-Holiday Boardings'!R20</f>
        <v>66708</v>
      </c>
      <c r="S20" s="62">
        <f>'Total Weekday Boardings'!S20+'Total Saturday Boardings'!S20+'Total Sunday-Holiday Boardings'!S20</f>
        <v>52407</v>
      </c>
      <c r="T20" s="63">
        <f>'Total Weekday Boardings'!T20+'Total Saturday Boardings'!T20+'Total Sunday-Holiday Boardings'!T20</f>
        <v>22468</v>
      </c>
      <c r="U20" s="64">
        <f>'Total Weekday Boardings'!U20+'Total Saturday Boardings'!U20+'Total Sunday-Holiday Boardings'!U20</f>
        <v>18771</v>
      </c>
      <c r="V20" s="62">
        <f>'Total Weekday Boardings'!V20+'Total Saturday Boardings'!V20+'Total Sunday-Holiday Boardings'!V20</f>
        <v>22025</v>
      </c>
      <c r="W20" s="62">
        <f>'Total Weekday Boardings'!W20+'Total Saturday Boardings'!W20+'Total Sunday-Holiday Boardings'!W20</f>
        <v>23067</v>
      </c>
      <c r="X20" s="62">
        <f>'Total Weekday Boardings'!X20+'Total Saturday Boardings'!X20+'Total Sunday-Holiday Boardings'!X20</f>
        <v>23744</v>
      </c>
      <c r="Y20" s="62">
        <f>'Total Weekday Boardings'!Y20+'Total Saturday Boardings'!Y20+'Total Sunday-Holiday Boardings'!Y20</f>
        <v>23097</v>
      </c>
      <c r="Z20" s="62">
        <f>'Total Weekday Boardings'!Z20+'Total Saturday Boardings'!Z20+'Total Sunday-Holiday Boardings'!Z20</f>
        <v>21523</v>
      </c>
      <c r="AA20" s="18">
        <f>'Total Weekday Boardings'!AA20+'Total Saturday Boardings'!AA20+'Total Sunday-Holiday Boardings'!AA20</f>
        <v>23543</v>
      </c>
      <c r="AB20" s="18">
        <f>'Total Weekday Boardings'!AB20+'Total Saturday Boardings'!AB20+'Total Sunday-Holiday Boardings'!AB20</f>
        <v>22448</v>
      </c>
      <c r="AC20" s="18">
        <f>'Total Weekday Boardings'!AC20+'Total Saturday Boardings'!AC20+'Total Sunday-Holiday Boardings'!AC20</f>
        <v>27179</v>
      </c>
      <c r="AD20" s="18">
        <f>'Total Weekday Boardings'!AD20+'Total Saturday Boardings'!AD20+'Total Sunday-Holiday Boardings'!AD20</f>
        <v>26859</v>
      </c>
      <c r="AE20" s="18">
        <f>'Total Weekday Boardings'!AE20+'Total Saturday Boardings'!AE20+'Total Sunday-Holiday Boardings'!AE20</f>
        <v>23622</v>
      </c>
      <c r="AF20" s="19">
        <f>'Total Weekday Boardings'!AF20+'Total Saturday Boardings'!AF20+'Total Sunday-Holiday Boardings'!AF20</f>
        <v>22656</v>
      </c>
      <c r="AG20" s="17">
        <f>'Total Weekday Boardings'!AG20+'Total Saturday Boardings'!AG20+'Total Sunday-Holiday Boardings'!AG20</f>
        <v>21868</v>
      </c>
      <c r="AH20" s="18">
        <f>'Total Weekday Boardings'!AH20+'Total Saturday Boardings'!AH20+'Total Sunday-Holiday Boardings'!AH20</f>
        <v>24000</v>
      </c>
      <c r="AI20" s="18">
        <f>'Total Weekday Boardings'!AI20+'Total Saturday Boardings'!AI20+'Total Sunday-Holiday Boardings'!AI20</f>
        <v>24084</v>
      </c>
      <c r="AJ20" s="18">
        <f>'Total Weekday Boardings'!AJ20+'Total Saturday Boardings'!AJ20+'Total Sunday-Holiday Boardings'!AJ20</f>
        <v>26002</v>
      </c>
      <c r="AK20" s="18">
        <f>'Total Weekday Boardings'!AK20+'Total Saturday Boardings'!AK20+'Total Sunday-Holiday Boardings'!AK20</f>
        <v>21361</v>
      </c>
      <c r="AL20" s="18">
        <f>'Total Weekday Boardings'!AL20+'Total Saturday Boardings'!AL20+'Total Sunday-Holiday Boardings'!AL20</f>
        <v>21307</v>
      </c>
      <c r="AM20" s="18">
        <f>'Total Weekday Boardings'!AM20+'Total Saturday Boardings'!AM20+'Total Sunday-Holiday Boardings'!AM20</f>
        <v>23034</v>
      </c>
      <c r="AN20" s="18">
        <f>'Total Weekday Boardings'!AN20+'Total Saturday Boardings'!AN20+'Total Sunday-Holiday Boardings'!AN20</f>
        <v>23474</v>
      </c>
      <c r="AO20" s="18">
        <f>'Total Weekday Boardings'!AO20+'Total Saturday Boardings'!AO20+'Total Sunday-Holiday Boardings'!AO20</f>
        <v>26839</v>
      </c>
      <c r="AP20" s="18">
        <f>'Total Weekday Boardings'!AP20+'Total Saturday Boardings'!AP20+'Total Sunday-Holiday Boardings'!AP20</f>
        <v>25985</v>
      </c>
      <c r="AQ20" s="18">
        <f>'Total Weekday Boardings'!AQ20+'Total Saturday Boardings'!AQ20+'Total Sunday-Holiday Boardings'!AQ20</f>
        <v>23457</v>
      </c>
      <c r="AR20" s="19">
        <f>'Total Weekday Boardings'!AR20+'Total Saturday Boardings'!AR20+'Total Sunday-Holiday Boardings'!AR20</f>
        <v>20867</v>
      </c>
      <c r="AS20" s="17">
        <f>'Total Weekday Boardings'!AS20+'Total Saturday Boardings'!AS20+'Total Sunday-Holiday Boardings'!AS20</f>
        <v>20520</v>
      </c>
      <c r="AT20" s="18">
        <f>'Total Weekday Boardings'!AT20+'Total Saturday Boardings'!AT20+'Total Sunday-Holiday Boardings'!AT20</f>
        <v>23706</v>
      </c>
      <c r="AU20" s="18">
        <f>'Total Weekday Boardings'!AU20+'Total Saturday Boardings'!AU20+'Total Sunday-Holiday Boardings'!AU20</f>
        <v>24820</v>
      </c>
      <c r="AV20" s="18">
        <f>'Total Weekday Boardings'!AV20+'Total Saturday Boardings'!AV20+'Total Sunday-Holiday Boardings'!AV20</f>
        <v>28220</v>
      </c>
      <c r="AW20" s="18">
        <f>'Total Weekday Boardings'!AW20+'Total Saturday Boardings'!AW20+'Total Sunday-Holiday Boardings'!AW20</f>
        <v>26223</v>
      </c>
      <c r="AX20" s="18">
        <f>'Total Weekday Boardings'!AX20+'Total Saturday Boardings'!AX20+'Total Sunday-Holiday Boardings'!AX20</f>
        <v>24210</v>
      </c>
      <c r="AY20" s="18">
        <f>'Total Weekday Boardings'!AY20+'Total Saturday Boardings'!AY20+'Total Sunday-Holiday Boardings'!AY20</f>
        <v>23877</v>
      </c>
      <c r="AZ20" s="18">
        <f>'Total Weekday Boardings'!AZ20+'Total Saturday Boardings'!AZ20+'Total Sunday-Holiday Boardings'!AZ20</f>
        <v>23564</v>
      </c>
      <c r="BA20" s="18">
        <f>'Total Weekday Boardings'!BA20+'Total Saturday Boardings'!BA20+'Total Sunday-Holiday Boardings'!BA20</f>
        <v>28048</v>
      </c>
      <c r="BB20" s="18">
        <f>'Total Weekday Boardings'!BB20+'Total Saturday Boardings'!BB20+'Total Sunday-Holiday Boardings'!BB20</f>
        <v>28169</v>
      </c>
      <c r="BC20" s="18">
        <f>'Total Weekday Boardings'!BC20+'Total Saturday Boardings'!BC20+'Total Sunday-Holiday Boardings'!BC20</f>
        <v>26584</v>
      </c>
      <c r="BD20" s="19">
        <f>'Total Weekday Boardings'!BD20+'Total Saturday Boardings'!BD20+'Total Sunday-Holiday Boardings'!BD20</f>
        <v>21947</v>
      </c>
      <c r="BE20" s="17">
        <f>'Total Weekday Boardings'!BE20+'Total Saturday Boardings'!BE20+'Total Sunday-Holiday Boardings'!BE20</f>
        <v>21745</v>
      </c>
      <c r="BF20" s="18">
        <f>'Total Weekday Boardings'!BF20+'Total Saturday Boardings'!BF20+'Total Sunday-Holiday Boardings'!BF20</f>
        <v>24573</v>
      </c>
      <c r="BG20" s="18">
        <f>'Total Weekday Boardings'!BG20+'Total Saturday Boardings'!BG20+'Total Sunday-Holiday Boardings'!BG20</f>
        <v>25560</v>
      </c>
      <c r="BH20" s="18">
        <f>'Total Weekday Boardings'!BH20+'Total Saturday Boardings'!BH20+'Total Sunday-Holiday Boardings'!BH20</f>
        <v>28634</v>
      </c>
      <c r="BI20" s="18">
        <f>'Total Weekday Boardings'!BI20+'Total Saturday Boardings'!BI20+'Total Sunday-Holiday Boardings'!BI20</f>
        <v>26881.196772354771</v>
      </c>
      <c r="BJ20" s="18">
        <f>'Total Weekday Boardings'!BJ20+'Total Saturday Boardings'!BJ20+'Total Sunday-Holiday Boardings'!BJ20</f>
        <v>25229</v>
      </c>
      <c r="BK20" s="18">
        <f>'Total Weekday Boardings'!BK20+'Total Saturday Boardings'!BK20+'Total Sunday-Holiday Boardings'!BK20</f>
        <v>29221</v>
      </c>
      <c r="BL20" s="18">
        <f>'Total Weekday Boardings'!BL20+'Total Saturday Boardings'!BL20+'Total Sunday-Holiday Boardings'!BL20</f>
        <v>26730</v>
      </c>
      <c r="BM20" s="18">
        <f>'Total Weekday Boardings'!BM20+'Total Saturday Boardings'!BM20+'Total Sunday-Holiday Boardings'!BM20</f>
        <v>36756</v>
      </c>
      <c r="BN20" s="18">
        <f>'Total Weekday Boardings'!BN20+'Total Saturday Boardings'!BN20+'Total Sunday-Holiday Boardings'!BN20</f>
        <v>28115</v>
      </c>
      <c r="BO20" s="18">
        <f>'Total Weekday Boardings'!BO20+'Total Saturday Boardings'!BO20+'Total Sunday-Holiday Boardings'!BO20</f>
        <v>27102</v>
      </c>
      <c r="BP20" s="19">
        <f>'Total Weekday Boardings'!BP20+'Total Saturday Boardings'!BP20+'Total Sunday-Holiday Boardings'!BP20</f>
        <v>24985</v>
      </c>
      <c r="BQ20" s="17">
        <f>'Total Weekday Boardings'!BQ20+'Total Saturday Boardings'!BQ20+'Total Sunday-Holiday Boardings'!BQ20</f>
        <v>23509</v>
      </c>
      <c r="BR20" s="18">
        <f>'Total Weekday Boardings'!BR20+'Total Saturday Boardings'!BR20+'Total Sunday-Holiday Boardings'!BR20</f>
        <v>26515</v>
      </c>
      <c r="BS20" s="18">
        <f>'Total Weekday Boardings'!BS20+'Total Saturday Boardings'!BS20+'Total Sunday-Holiday Boardings'!BS20</f>
        <v>27610</v>
      </c>
      <c r="BT20" s="18">
        <f>'Total Weekday Boardings'!BT20+'Total Saturday Boardings'!BT20+'Total Sunday-Holiday Boardings'!BT20</f>
        <v>30990</v>
      </c>
      <c r="BU20" s="18">
        <f>'Total Weekday Boardings'!BU20+'Total Saturday Boardings'!BU20+'Total Sunday-Holiday Boardings'!BU20</f>
        <v>27899</v>
      </c>
      <c r="BV20" s="18">
        <f>'Total Weekday Boardings'!BV20+'Total Saturday Boardings'!BV20+'Total Sunday-Holiday Boardings'!BV20</f>
        <v>25243</v>
      </c>
      <c r="BW20" s="18">
        <f>'Total Weekday Boardings'!BW20+'Total Saturday Boardings'!BW20+'Total Sunday-Holiday Boardings'!BW20</f>
        <v>32346</v>
      </c>
      <c r="BX20" s="18">
        <f>'Total Weekday Boardings'!BX20+'Total Saturday Boardings'!BX20+'Total Sunday-Holiday Boardings'!BX20</f>
        <v>29232</v>
      </c>
      <c r="BY20" s="18">
        <f>'Total Weekday Boardings'!BY20+'Total Saturday Boardings'!BY20+'Total Sunday-Holiday Boardings'!BY20</f>
        <v>33356</v>
      </c>
      <c r="BZ20" s="18">
        <f>'Total Weekday Boardings'!BZ20+'Total Saturday Boardings'!BZ20+'Total Sunday-Holiday Boardings'!BZ20</f>
        <v>31493</v>
      </c>
      <c r="CA20" s="18">
        <f>'Total Weekday Boardings'!CA20+'Total Saturday Boardings'!CA20+'Total Sunday-Holiday Boardings'!CA20</f>
        <v>29244</v>
      </c>
      <c r="CB20" s="19">
        <f>'Total Weekday Boardings'!CB20+'Total Saturday Boardings'!CB20+'Total Sunday-Holiday Boardings'!CB20</f>
        <v>25784</v>
      </c>
      <c r="CC20" s="20">
        <f>'Total Weekday Boardings'!CC20+'Total Saturday Boardings'!CC20+'Total Sunday-Holiday Boardings'!CC20</f>
        <v>27712</v>
      </c>
      <c r="CD20" s="18">
        <f>'Total Weekday Boardings'!CD20+'Total Saturday Boardings'!CD20+'Total Sunday-Holiday Boardings'!CD20</f>
        <v>29087</v>
      </c>
      <c r="CE20" s="18">
        <f>'Total Weekday Boardings'!CE20+'Total Saturday Boardings'!CE20+'Total Sunday-Holiday Boardings'!CE20</f>
        <v>30632</v>
      </c>
      <c r="CF20" s="18">
        <f>'Total Weekday Boardings'!CF20+'Total Saturday Boardings'!CF20+'Total Sunday-Holiday Boardings'!CF20</f>
        <v>32755</v>
      </c>
      <c r="CG20" s="18">
        <f>'Total Weekday Boardings'!CG20+'Total Saturday Boardings'!CG20+'Total Sunday-Holiday Boardings'!CG20</f>
        <v>31301</v>
      </c>
      <c r="CH20" s="18">
        <f>'Total Weekday Boardings'!CH20+'Total Saturday Boardings'!CH20+'Total Sunday-Holiday Boardings'!CH20</f>
        <v>28372</v>
      </c>
      <c r="CI20" s="18">
        <f>'Total Weekday Boardings'!CI20+'Total Saturday Boardings'!CI20+'Total Sunday-Holiday Boardings'!CI20</f>
        <v>28943</v>
      </c>
      <c r="CJ20" s="18">
        <f>'Total Weekday Boardings'!CJ20+'Total Saturday Boardings'!CJ20+'Total Sunday-Holiday Boardings'!CJ20</f>
        <v>29600</v>
      </c>
      <c r="CK20" s="18">
        <f>'Total Weekday Boardings'!CK20+'Total Saturday Boardings'!CK20+'Total Sunday-Holiday Boardings'!CK20</f>
        <v>33752</v>
      </c>
      <c r="CL20" s="18">
        <f>'Total Weekday Boardings'!CL20+'Total Saturday Boardings'!CL20+'Total Sunday-Holiday Boardings'!CL20</f>
        <v>33108</v>
      </c>
      <c r="CM20" s="18">
        <f>'Total Weekday Boardings'!CM20+'Total Saturday Boardings'!CM20+'Total Sunday-Holiday Boardings'!CM20</f>
        <v>28895</v>
      </c>
      <c r="CN20" s="21">
        <f>'Total Weekday Boardings'!CN20+'Total Saturday Boardings'!CN20+'Total Sunday-Holiday Boardings'!CN20</f>
        <v>26714</v>
      </c>
      <c r="CO20" s="17">
        <f>'Total Weekday Boardings'!CO20+'Total Saturday Boardings'!CO20+'Total Sunday-Holiday Boardings'!CO20</f>
        <v>26792</v>
      </c>
      <c r="CP20" s="18">
        <f>'Total Weekday Boardings'!CP20+'Total Saturday Boardings'!CP20+'Total Sunday-Holiday Boardings'!CP20</f>
        <v>29729</v>
      </c>
      <c r="CQ20" s="18">
        <f>'Total Weekday Boardings'!CQ20+'Total Saturday Boardings'!CQ20+'Total Sunday-Holiday Boardings'!CQ20</f>
        <v>28867</v>
      </c>
      <c r="CR20" s="18">
        <f>'Total Weekday Boardings'!CR20+'Total Saturday Boardings'!CR20+'Total Sunday-Holiday Boardings'!CR20</f>
        <v>30515</v>
      </c>
      <c r="CS20" s="18">
        <f>'Total Weekday Boardings'!CS20+'Total Saturday Boardings'!CS20+'Total Sunday-Holiday Boardings'!CS20</f>
        <v>28485</v>
      </c>
      <c r="CT20" s="18">
        <f>'Total Weekday Boardings'!CT20+'Total Saturday Boardings'!CT20+'Total Sunday-Holiday Boardings'!CT20</f>
        <v>28178</v>
      </c>
      <c r="CU20" s="18">
        <f>'Total Weekday Boardings'!CU20+'Total Saturday Boardings'!CU20+'Total Sunday-Holiday Boardings'!CU20</f>
        <v>28646</v>
      </c>
      <c r="CV20" s="18">
        <f>'Total Weekday Boardings'!CV20+'Total Saturday Boardings'!CV20+'Total Sunday-Holiday Boardings'!CV20</f>
        <v>28630</v>
      </c>
      <c r="CW20" s="18">
        <f>'Total Weekday Boardings'!CW20+'Total Saturday Boardings'!CW20+'Total Sunday-Holiday Boardings'!CW20</f>
        <v>35973</v>
      </c>
      <c r="CX20" s="18">
        <f>'Total Weekday Boardings'!CX20+'Total Saturday Boardings'!CX20+'Total Sunday-Holiday Boardings'!CX20</f>
        <v>41953</v>
      </c>
      <c r="CY20" s="18">
        <f>'Total Weekday Boardings'!CY20+'Total Saturday Boardings'!CY20+'Total Sunday-Holiday Boardings'!CY20</f>
        <v>31028</v>
      </c>
      <c r="CZ20" s="19">
        <f>'Total Weekday Boardings'!CZ20+'Total Saturday Boardings'!CZ20+'Total Sunday-Holiday Boardings'!CZ20</f>
        <v>27025</v>
      </c>
      <c r="DA20" s="17">
        <f>'Total Weekday Boardings'!DA20+'Total Saturday Boardings'!DA20+'Total Sunday-Holiday Boardings'!DA20</f>
        <v>26383</v>
      </c>
      <c r="DB20" s="18">
        <f>'Total Weekday Boardings'!DB20+'Total Saturday Boardings'!DB20+'Total Sunday-Holiday Boardings'!DB20</f>
        <v>30977</v>
      </c>
      <c r="DC20" s="18">
        <f>'Total Weekday Boardings'!DC20+'Total Saturday Boardings'!DC20+'Total Sunday-Holiday Boardings'!DC20</f>
        <v>29133</v>
      </c>
      <c r="DD20" s="18">
        <f>'Total Weekday Boardings'!DD20+'Total Saturday Boardings'!DD20+'Total Sunday-Holiday Boardings'!DD20</f>
        <v>32023</v>
      </c>
      <c r="DE20" s="18">
        <f>'Total Weekday Boardings'!DE20+'Total Saturday Boardings'!DE20+'Total Sunday-Holiday Boardings'!DE20</f>
        <v>28847</v>
      </c>
      <c r="DF20" s="18">
        <f>'Total Weekday Boardings'!DF20+'Total Saturday Boardings'!DF20+'Total Sunday-Holiday Boardings'!DF20</f>
        <v>26775</v>
      </c>
      <c r="DG20" s="18">
        <f>'Total Weekday Boardings'!DG20+'Total Saturday Boardings'!DG20+'Total Sunday-Holiday Boardings'!DG20</f>
        <v>29227</v>
      </c>
      <c r="DH20" s="18">
        <f>'Total Weekday Boardings'!DH20+'Total Saturday Boardings'!DH20+'Total Sunday-Holiday Boardings'!DH20</f>
        <v>27718</v>
      </c>
      <c r="DI20" s="18">
        <f>'Total Weekday Boardings'!DI20+'Total Saturday Boardings'!DI20+'Total Sunday-Holiday Boardings'!DI20</f>
        <v>32156</v>
      </c>
      <c r="DJ20" s="18">
        <f>'Total Weekday Boardings'!DJ20+'Total Saturday Boardings'!DJ20+'Total Sunday-Holiday Boardings'!DJ20</f>
        <v>29947</v>
      </c>
      <c r="DK20" s="18">
        <f>'Total Weekday Boardings'!DK20+'Total Saturday Boardings'!DK20+'Total Sunday-Holiday Boardings'!DK20</f>
        <v>28370</v>
      </c>
      <c r="DL20" s="19">
        <f>'Total Weekday Boardings'!DL20+'Total Saturday Boardings'!DL20+'Total Sunday-Holiday Boardings'!DL20</f>
        <v>25638</v>
      </c>
      <c r="DM20" s="17">
        <f>'Total Weekday Boardings'!DM20+'Total Saturday Boardings'!DM20+'Total Sunday-Holiday Boardings'!DM20</f>
        <v>25121</v>
      </c>
      <c r="DN20" s="18">
        <f>'Total Weekday Boardings'!DN20+'Total Saturday Boardings'!DN20+'Total Sunday-Holiday Boardings'!DN20</f>
        <v>27892</v>
      </c>
      <c r="DO20" s="18">
        <f>'Total Weekday Boardings'!DO20+'Total Saturday Boardings'!DO20+'Total Sunday-Holiday Boardings'!DO20</f>
        <v>25962</v>
      </c>
      <c r="DP20" s="18">
        <f>'Total Weekday Boardings'!DP20+'Total Saturday Boardings'!DP20+'Total Sunday-Holiday Boardings'!DP20</f>
        <v>28672</v>
      </c>
      <c r="DQ20" s="18">
        <f>'Total Weekday Boardings'!DQ20+'Total Saturday Boardings'!DQ20+'Total Sunday-Holiday Boardings'!DQ20</f>
        <v>26730</v>
      </c>
      <c r="DR20" s="18">
        <f>'Total Weekday Boardings'!DR20+'Total Saturday Boardings'!DR20+'Total Sunday-Holiday Boardings'!DR20</f>
        <v>25520</v>
      </c>
      <c r="DS20" s="18">
        <f>'Total Weekday Boardings'!DS20+'Total Saturday Boardings'!DS20+'Total Sunday-Holiday Boardings'!DS20</f>
        <v>27182</v>
      </c>
      <c r="DT20" s="18">
        <f>'Total Weekday Boardings'!DT20+'Total Saturday Boardings'!DT20+'Total Sunday-Holiday Boardings'!DT20</f>
        <v>24713</v>
      </c>
      <c r="DU20" s="18">
        <f>'Total Weekday Boardings'!DU20+'Total Saturday Boardings'!DU20+'Total Sunday-Holiday Boardings'!DU20</f>
        <v>30240</v>
      </c>
      <c r="DV20" s="18">
        <f>'Total Weekday Boardings'!DV20+'Total Saturday Boardings'!DV20+'Total Sunday-Holiday Boardings'!DV20</f>
        <v>27480</v>
      </c>
      <c r="DW20" s="18">
        <f>'Total Weekday Boardings'!DW20+'Total Saturday Boardings'!DW20+'Total Sunday-Holiday Boardings'!DW20</f>
        <v>26187</v>
      </c>
      <c r="DX20" s="19">
        <f>'Total Weekday Boardings'!DX20+'Total Saturday Boardings'!DX20+'Total Sunday-Holiday Boardings'!DX20</f>
        <v>23649</v>
      </c>
      <c r="DY20" s="137">
        <v>21663</v>
      </c>
      <c r="DZ20" s="18">
        <v>24752</v>
      </c>
      <c r="EA20" s="18">
        <v>24525</v>
      </c>
      <c r="EB20" s="18">
        <v>26826</v>
      </c>
      <c r="EC20" s="18">
        <v>26230</v>
      </c>
      <c r="ED20" s="18">
        <v>23766</v>
      </c>
      <c r="EE20" s="18">
        <v>26463</v>
      </c>
      <c r="EF20" s="18">
        <v>26185</v>
      </c>
      <c r="EG20" s="18">
        <v>21500</v>
      </c>
      <c r="EH20" s="18">
        <v>10665</v>
      </c>
      <c r="EI20" s="18">
        <v>11159</v>
      </c>
      <c r="EJ20" s="19">
        <v>9911</v>
      </c>
      <c r="EK20" s="100">
        <v>9365</v>
      </c>
      <c r="EL20" s="18">
        <v>10033</v>
      </c>
      <c r="EM20" s="18">
        <v>10441</v>
      </c>
      <c r="EN20" s="103">
        <v>11253</v>
      </c>
      <c r="EO20" s="18">
        <v>12425</v>
      </c>
      <c r="EP20" s="18">
        <v>8647</v>
      </c>
      <c r="EQ20" s="18">
        <v>4782</v>
      </c>
      <c r="ER20" s="18">
        <v>9147</v>
      </c>
      <c r="ES20" s="18">
        <v>10989</v>
      </c>
      <c r="ET20" s="18">
        <v>11793</v>
      </c>
      <c r="EU20" s="18">
        <v>11909</v>
      </c>
      <c r="EV20" s="19">
        <v>12384</v>
      </c>
      <c r="EW20" s="103">
        <v>12425</v>
      </c>
      <c r="EX20" s="18">
        <v>13678</v>
      </c>
      <c r="EY20" s="18">
        <v>13638</v>
      </c>
      <c r="EZ20" s="103">
        <v>15033</v>
      </c>
      <c r="FA20" s="18">
        <v>14471</v>
      </c>
      <c r="FB20" s="145">
        <v>14730</v>
      </c>
      <c r="FC20" s="18">
        <v>12902</v>
      </c>
      <c r="FD20" s="18">
        <v>15867</v>
      </c>
      <c r="FE20" s="18">
        <v>21059</v>
      </c>
      <c r="FF20" s="18">
        <v>23478</v>
      </c>
      <c r="FG20" s="13">
        <f>SUM('Total Weekday Boardings'!FG20,'Total Saturday Boardings'!FG20,'Total Sunday-Holiday Boardings'!FG20)</f>
        <v>22103</v>
      </c>
      <c r="FH20" s="13">
        <f>SUM('Total Weekday Boardings'!FH20,'Total Saturday Boardings'!FH20,'Total Sunday-Holiday Boardings'!FH20)</f>
        <v>15019</v>
      </c>
      <c r="FI20" s="13">
        <f>SUM('Total Weekday Boardings'!FI20,'Total Saturday Boardings'!FI20,'Total Sunday-Holiday Boardings'!FI20)</f>
        <v>13462</v>
      </c>
      <c r="FJ20" s="13">
        <f>SUM('Total Weekday Boardings'!FJ20,'Total Saturday Boardings'!FJ20,'Total Sunday-Holiday Boardings'!FJ20)</f>
        <v>15035</v>
      </c>
      <c r="FK20" s="13">
        <f>SUM('Total Weekday Boardings'!FK20,'Total Saturday Boardings'!FK20,'Total Sunday-Holiday Boardings'!FK20)</f>
        <v>16842.75</v>
      </c>
      <c r="FL20" s="13">
        <f>SUM('Total Weekday Boardings'!FL20,'Total Saturday Boardings'!FL20,'Total Sunday-Holiday Boardings'!FL20)</f>
        <v>16903</v>
      </c>
      <c r="FM20" s="13">
        <f>SUM('Total Weekday Boardings'!FM20,'Total Saturday Boardings'!FM20,'Total Sunday-Holiday Boardings'!FM20)</f>
        <v>15718</v>
      </c>
      <c r="FN20" s="13">
        <f>SUM('Total Weekday Boardings'!FN20,'Total Saturday Boardings'!FN20,'Total Sunday-Holiday Boardings'!FN20)</f>
        <v>15318</v>
      </c>
      <c r="FO20" s="13">
        <f>SUM('Total Weekday Boardings'!FO20,'Total Saturday Boardings'!FO20,'Total Sunday-Holiday Boardings'!FO20)</f>
        <v>16217</v>
      </c>
      <c r="FP20" s="13">
        <f>SUM('Total Weekday Boardings'!FP20,'Total Saturday Boardings'!FP20,'Total Sunday-Holiday Boardings'!FP20)</f>
        <v>24911</v>
      </c>
      <c r="FQ20" s="13">
        <f>SUM('Total Weekday Boardings'!FQ20,'Total Saturday Boardings'!FQ20,'Total Sunday-Holiday Boardings'!FQ20)</f>
        <v>21090</v>
      </c>
      <c r="FR20" s="13">
        <f>SUM('Total Weekday Boardings'!FR20,'Total Saturday Boardings'!FR20,'Total Sunday-Holiday Boardings'!FR20)</f>
        <v>19869</v>
      </c>
      <c r="FS20" s="13">
        <f>SUM('Total Weekday Boardings'!FS20,'Total Saturday Boardings'!FS20,'Total Sunday-Holiday Boardings'!FS20)</f>
        <v>20422</v>
      </c>
      <c r="FT20" s="16">
        <f>SUM('Total Weekday Boardings'!FT20,'Total Saturday Boardings'!FT20,'Total Sunday-Holiday Boardings'!FT20)</f>
        <v>17986</v>
      </c>
      <c r="FU20" s="171">
        <v>16937</v>
      </c>
      <c r="FV20" s="171">
        <v>17628</v>
      </c>
      <c r="FW20" s="171">
        <v>17565</v>
      </c>
      <c r="FX20" s="171">
        <v>21342</v>
      </c>
      <c r="FY20" s="171">
        <v>19758</v>
      </c>
      <c r="FZ20" s="171">
        <v>19175</v>
      </c>
      <c r="GA20" s="171">
        <v>21501</v>
      </c>
      <c r="GB20" s="52">
        <v>20788</v>
      </c>
      <c r="GC20" s="52">
        <v>22413</v>
      </c>
      <c r="GD20" s="52">
        <v>24080</v>
      </c>
      <c r="GE20" s="18">
        <v>20357</v>
      </c>
      <c r="GF20" s="52">
        <v>19149</v>
      </c>
      <c r="GG20" s="184">
        <v>19115</v>
      </c>
      <c r="GH20" s="52">
        <v>20231</v>
      </c>
      <c r="GI20" s="18">
        <v>20054</v>
      </c>
      <c r="GJ20" s="236">
        <v>19959</v>
      </c>
      <c r="GK20" s="184">
        <v>18832</v>
      </c>
      <c r="GL20" s="184">
        <v>17279</v>
      </c>
    </row>
    <row r="21" spans="1:194" ht="15" thickBot="1" x14ac:dyDescent="0.35">
      <c r="A21" s="3" t="s">
        <v>34</v>
      </c>
      <c r="B21" s="17"/>
      <c r="C21" s="18">
        <f>'Total Weekday Boardings'!C21+'Total Saturday Boardings'!C21+'Total Sunday-Holiday Boardings'!C21</f>
        <v>31903</v>
      </c>
      <c r="D21" s="18">
        <f>'Total Weekday Boardings'!D21+'Total Saturday Boardings'!D21+'Total Sunday-Holiday Boardings'!D21</f>
        <v>34623</v>
      </c>
      <c r="E21" s="18">
        <f>'Total Weekday Boardings'!E21+'Total Saturday Boardings'!E21+'Total Sunday-Holiday Boardings'!E21</f>
        <v>35357</v>
      </c>
      <c r="F21" s="18">
        <f>'Total Weekday Boardings'!F21+'Total Saturday Boardings'!F21+'Total Sunday-Holiday Boardings'!F21</f>
        <v>37488</v>
      </c>
      <c r="G21" s="18">
        <f>'Total Weekday Boardings'!G21+'Total Saturday Boardings'!G21+'Total Sunday-Holiday Boardings'!G21</f>
        <v>29496</v>
      </c>
      <c r="H21" s="19">
        <f>'Total Weekday Boardings'!H21+'Total Saturday Boardings'!H21+'Total Sunday-Holiday Boardings'!H21</f>
        <v>33290</v>
      </c>
      <c r="I21" s="17">
        <f>'Total Weekday Boardings'!I21+'Total Saturday Boardings'!I21+'Total Sunday-Holiday Boardings'!I21</f>
        <v>28068</v>
      </c>
      <c r="J21" s="18">
        <f>'Total Weekday Boardings'!J21+'Total Saturday Boardings'!J21+'Total Sunday-Holiday Boardings'!J21</f>
        <v>30392</v>
      </c>
      <c r="K21" s="18">
        <f>'Total Weekday Boardings'!K21+'Total Saturday Boardings'!K21+'Total Sunday-Holiday Boardings'!K21</f>
        <v>29534</v>
      </c>
      <c r="L21" s="18">
        <f>'Total Weekday Boardings'!L21+'Total Saturday Boardings'!L21+'Total Sunday-Holiday Boardings'!L21</f>
        <v>30980</v>
      </c>
      <c r="M21" s="18">
        <f>'Total Weekday Boardings'!M21+'Total Saturday Boardings'!M21+'Total Sunday-Holiday Boardings'!M21</f>
        <v>34697</v>
      </c>
      <c r="N21" s="18">
        <f>'Total Weekday Boardings'!N21+'Total Saturday Boardings'!N21+'Total Sunday-Holiday Boardings'!N21</f>
        <v>30458</v>
      </c>
      <c r="O21" s="62">
        <f>'Total Weekday Boardings'!O21+'Total Saturday Boardings'!O21+'Total Sunday-Holiday Boardings'!O21</f>
        <v>30191</v>
      </c>
      <c r="P21" s="62">
        <f>'Total Weekday Boardings'!P21+'Total Saturday Boardings'!P21+'Total Sunday-Holiday Boardings'!P21</f>
        <v>32546</v>
      </c>
      <c r="Q21" s="62">
        <f>'Total Weekday Boardings'!Q21+'Total Saturday Boardings'!Q21+'Total Sunday-Holiday Boardings'!Q21</f>
        <v>35518</v>
      </c>
      <c r="R21" s="62">
        <f>'Total Weekday Boardings'!R21+'Total Saturday Boardings'!R21+'Total Sunday-Holiday Boardings'!R21</f>
        <v>34550</v>
      </c>
      <c r="S21" s="62">
        <f>'Total Weekday Boardings'!S21+'Total Saturday Boardings'!S21+'Total Sunday-Holiday Boardings'!S21</f>
        <v>29752</v>
      </c>
      <c r="T21" s="63">
        <f>'Total Weekday Boardings'!T21+'Total Saturday Boardings'!T21+'Total Sunday-Holiday Boardings'!T21</f>
        <v>29359</v>
      </c>
      <c r="U21" s="64">
        <f>'Total Weekday Boardings'!U21+'Total Saturday Boardings'!U21+'Total Sunday-Holiday Boardings'!U21</f>
        <v>27191</v>
      </c>
      <c r="V21" s="62">
        <f>'Total Weekday Boardings'!V21+'Total Saturday Boardings'!V21+'Total Sunday-Holiday Boardings'!V21</f>
        <v>39591</v>
      </c>
      <c r="W21" s="62">
        <f>'Total Weekday Boardings'!W21+'Total Saturday Boardings'!W21+'Total Sunday-Holiday Boardings'!W21</f>
        <v>49544</v>
      </c>
      <c r="X21" s="62">
        <f>'Total Weekday Boardings'!X21+'Total Saturday Boardings'!X21+'Total Sunday-Holiday Boardings'!X21</f>
        <v>47121</v>
      </c>
      <c r="Y21" s="62">
        <f>'Total Weekday Boardings'!Y21+'Total Saturday Boardings'!Y21+'Total Sunday-Holiday Boardings'!Y21</f>
        <v>42959</v>
      </c>
      <c r="Z21" s="62">
        <f>'Total Weekday Boardings'!Z21+'Total Saturday Boardings'!Z21+'Total Sunday-Holiday Boardings'!Z21</f>
        <v>30735</v>
      </c>
      <c r="AA21" s="18">
        <f>'Total Weekday Boardings'!AA21+'Total Saturday Boardings'!AA21+'Total Sunday-Holiday Boardings'!AA21</f>
        <v>38112</v>
      </c>
      <c r="AB21" s="18">
        <f>'Total Weekday Boardings'!AB21+'Total Saturday Boardings'!AB21+'Total Sunday-Holiday Boardings'!AB21</f>
        <v>41135</v>
      </c>
      <c r="AC21" s="18">
        <f>'Total Weekday Boardings'!AC21+'Total Saturday Boardings'!AC21+'Total Sunday-Holiday Boardings'!AC21</f>
        <v>42868</v>
      </c>
      <c r="AD21" s="18">
        <f>'Total Weekday Boardings'!AD21+'Total Saturday Boardings'!AD21+'Total Sunday-Holiday Boardings'!AD21</f>
        <v>41334</v>
      </c>
      <c r="AE21" s="18">
        <f>'Total Weekday Boardings'!AE21+'Total Saturday Boardings'!AE21+'Total Sunday-Holiday Boardings'!AE21</f>
        <v>30468</v>
      </c>
      <c r="AF21" s="19">
        <f>'Total Weekday Boardings'!AF21+'Total Saturday Boardings'!AF21+'Total Sunday-Holiday Boardings'!AF21</f>
        <v>28556</v>
      </c>
      <c r="AG21" s="17">
        <f>'Total Weekday Boardings'!AG21+'Total Saturday Boardings'!AG21+'Total Sunday-Holiday Boardings'!AG21</f>
        <v>29588</v>
      </c>
      <c r="AH21" s="18">
        <f>'Total Weekday Boardings'!AH21+'Total Saturday Boardings'!AH21+'Total Sunday-Holiday Boardings'!AH21</f>
        <v>42715</v>
      </c>
      <c r="AI21" s="18">
        <f>'Total Weekday Boardings'!AI21+'Total Saturday Boardings'!AI21+'Total Sunday-Holiday Boardings'!AI21</f>
        <v>51252</v>
      </c>
      <c r="AJ21" s="18">
        <f>'Total Weekday Boardings'!AJ21+'Total Saturday Boardings'!AJ21+'Total Sunday-Holiday Boardings'!AJ21</f>
        <v>50579</v>
      </c>
      <c r="AK21" s="18">
        <f>'Total Weekday Boardings'!AK21+'Total Saturday Boardings'!AK21+'Total Sunday-Holiday Boardings'!AK21</f>
        <v>43151</v>
      </c>
      <c r="AL21" s="18">
        <f>'Total Weekday Boardings'!AL21+'Total Saturday Boardings'!AL21+'Total Sunday-Holiday Boardings'!AL21</f>
        <v>33675</v>
      </c>
      <c r="AM21" s="18">
        <f>'Total Weekday Boardings'!AM21+'Total Saturday Boardings'!AM21+'Total Sunday-Holiday Boardings'!AM21</f>
        <v>51065</v>
      </c>
      <c r="AN21" s="18">
        <f>'Total Weekday Boardings'!AN21+'Total Saturday Boardings'!AN21+'Total Sunday-Holiday Boardings'!AN21</f>
        <v>50055</v>
      </c>
      <c r="AO21" s="18">
        <f>'Total Weekday Boardings'!AO21+'Total Saturday Boardings'!AO21+'Total Sunday-Holiday Boardings'!AO21</f>
        <v>53096</v>
      </c>
      <c r="AP21" s="18">
        <f>'Total Weekday Boardings'!AP21+'Total Saturday Boardings'!AP21+'Total Sunday-Holiday Boardings'!AP21</f>
        <v>54627</v>
      </c>
      <c r="AQ21" s="18">
        <f>'Total Weekday Boardings'!AQ21+'Total Saturday Boardings'!AQ21+'Total Sunday-Holiday Boardings'!AQ21</f>
        <v>52637</v>
      </c>
      <c r="AR21" s="19">
        <f>'Total Weekday Boardings'!AR21+'Total Saturday Boardings'!AR21+'Total Sunday-Holiday Boardings'!AR21</f>
        <v>46556</v>
      </c>
      <c r="AS21" s="17">
        <f>'Total Weekday Boardings'!AS21+'Total Saturday Boardings'!AS21+'Total Sunday-Holiday Boardings'!AS21</f>
        <v>45098</v>
      </c>
      <c r="AT21" s="18">
        <f>'Total Weekday Boardings'!AT21+'Total Saturday Boardings'!AT21+'Total Sunday-Holiday Boardings'!AT21</f>
        <v>56038</v>
      </c>
      <c r="AU21" s="18">
        <f>'Total Weekday Boardings'!AU21+'Total Saturday Boardings'!AU21+'Total Sunday-Holiday Boardings'!AU21</f>
        <v>46979</v>
      </c>
      <c r="AV21" s="18">
        <f>'Total Weekday Boardings'!AV21+'Total Saturday Boardings'!AV21+'Total Sunday-Holiday Boardings'!AV21</f>
        <v>62292</v>
      </c>
      <c r="AW21" s="18">
        <f>'Total Weekday Boardings'!AW21+'Total Saturday Boardings'!AW21+'Total Sunday-Holiday Boardings'!AW21</f>
        <v>56151</v>
      </c>
      <c r="AX21" s="18">
        <f>'Total Weekday Boardings'!AX21+'Total Saturday Boardings'!AX21+'Total Sunday-Holiday Boardings'!AX21</f>
        <v>50343</v>
      </c>
      <c r="AY21" s="18">
        <f>'Total Weekday Boardings'!AY21+'Total Saturday Boardings'!AY21+'Total Sunday-Holiday Boardings'!AY21</f>
        <v>54203</v>
      </c>
      <c r="AZ21" s="18">
        <f>'Total Weekday Boardings'!AZ21+'Total Saturday Boardings'!AZ21+'Total Sunday-Holiday Boardings'!AZ21</f>
        <v>53485</v>
      </c>
      <c r="BA21" s="18">
        <f>'Total Weekday Boardings'!BA21+'Total Saturday Boardings'!BA21+'Total Sunday-Holiday Boardings'!BA21</f>
        <v>54791</v>
      </c>
      <c r="BB21" s="18">
        <f>'Total Weekday Boardings'!BB21+'Total Saturday Boardings'!BB21+'Total Sunday-Holiday Boardings'!BB21</f>
        <v>57231</v>
      </c>
      <c r="BC21" s="18">
        <f>'Total Weekday Boardings'!BC21+'Total Saturday Boardings'!BC21+'Total Sunday-Holiday Boardings'!BC21</f>
        <v>53486</v>
      </c>
      <c r="BD21" s="19">
        <f>'Total Weekday Boardings'!BD21+'Total Saturday Boardings'!BD21+'Total Sunday-Holiday Boardings'!BD21</f>
        <v>46301</v>
      </c>
      <c r="BE21" s="17">
        <f>'Total Weekday Boardings'!BE21+'Total Saturday Boardings'!BE21+'Total Sunday-Holiday Boardings'!BE21</f>
        <v>46683</v>
      </c>
      <c r="BF21" s="18">
        <f>'Total Weekday Boardings'!BF21+'Total Saturday Boardings'!BF21+'Total Sunday-Holiday Boardings'!BF21</f>
        <v>56983</v>
      </c>
      <c r="BG21" s="18">
        <f>'Total Weekday Boardings'!BG21+'Total Saturday Boardings'!BG21+'Total Sunday-Holiday Boardings'!BG21</f>
        <v>57400</v>
      </c>
      <c r="BH21" s="18">
        <f>'Total Weekday Boardings'!BH21+'Total Saturday Boardings'!BH21+'Total Sunday-Holiday Boardings'!BH21</f>
        <v>61472</v>
      </c>
      <c r="BI21" s="18">
        <f>'Total Weekday Boardings'!BI21+'Total Saturday Boardings'!BI21+'Total Sunday-Holiday Boardings'!BI21</f>
        <v>54076.325547754204</v>
      </c>
      <c r="BJ21" s="18">
        <f>'Total Weekday Boardings'!BJ21+'Total Saturday Boardings'!BJ21+'Total Sunday-Holiday Boardings'!BJ21</f>
        <v>50327</v>
      </c>
      <c r="BK21" s="18">
        <f>'Total Weekday Boardings'!BK21+'Total Saturday Boardings'!BK21+'Total Sunday-Holiday Boardings'!BK21</f>
        <v>57713</v>
      </c>
      <c r="BL21" s="18">
        <f>'Total Weekday Boardings'!BL21+'Total Saturday Boardings'!BL21+'Total Sunday-Holiday Boardings'!BL21</f>
        <v>54878</v>
      </c>
      <c r="BM21" s="18">
        <f>'Total Weekday Boardings'!BM21+'Total Saturday Boardings'!BM21+'Total Sunday-Holiday Boardings'!BM21</f>
        <v>58083</v>
      </c>
      <c r="BN21" s="18">
        <f>'Total Weekday Boardings'!BN21+'Total Saturday Boardings'!BN21+'Total Sunday-Holiday Boardings'!BN21</f>
        <v>57746</v>
      </c>
      <c r="BO21" s="18">
        <f>'Total Weekday Boardings'!BO21+'Total Saturday Boardings'!BO21+'Total Sunday-Holiday Boardings'!BO21</f>
        <v>54672</v>
      </c>
      <c r="BP21" s="19">
        <f>'Total Weekday Boardings'!BP21+'Total Saturday Boardings'!BP21+'Total Sunday-Holiday Boardings'!BP21</f>
        <v>48824</v>
      </c>
      <c r="BQ21" s="17">
        <f>'Total Weekday Boardings'!BQ21+'Total Saturday Boardings'!BQ21+'Total Sunday-Holiday Boardings'!BQ21</f>
        <v>48009</v>
      </c>
      <c r="BR21" s="18">
        <f>'Total Weekday Boardings'!BR21+'Total Saturday Boardings'!BR21+'Total Sunday-Holiday Boardings'!BR21</f>
        <v>55392</v>
      </c>
      <c r="BS21" s="18">
        <f>'Total Weekday Boardings'!BS21+'Total Saturday Boardings'!BS21+'Total Sunday-Holiday Boardings'!BS21</f>
        <v>57226</v>
      </c>
      <c r="BT21" s="18">
        <f>'Total Weekday Boardings'!BT21+'Total Saturday Boardings'!BT21+'Total Sunday-Holiday Boardings'!BT21</f>
        <v>62583</v>
      </c>
      <c r="BU21" s="18">
        <f>'Total Weekday Boardings'!BU21+'Total Saturday Boardings'!BU21+'Total Sunday-Holiday Boardings'!BU21</f>
        <v>53933</v>
      </c>
      <c r="BV21" s="18">
        <f>'Total Weekday Boardings'!BV21+'Total Saturday Boardings'!BV21+'Total Sunday-Holiday Boardings'!BV21</f>
        <v>52337</v>
      </c>
      <c r="BW21" s="18">
        <f>'Total Weekday Boardings'!BW21+'Total Saturday Boardings'!BW21+'Total Sunday-Holiday Boardings'!BW21</f>
        <v>62470</v>
      </c>
      <c r="BX21" s="18">
        <f>'Total Weekday Boardings'!BX21+'Total Saturday Boardings'!BX21+'Total Sunday-Holiday Boardings'!BX21</f>
        <v>54371</v>
      </c>
      <c r="BY21" s="18">
        <f>'Total Weekday Boardings'!BY21+'Total Saturday Boardings'!BY21+'Total Sunday-Holiday Boardings'!BY21</f>
        <v>57107</v>
      </c>
      <c r="BZ21" s="18">
        <f>'Total Weekday Boardings'!BZ21+'Total Saturday Boardings'!BZ21+'Total Sunday-Holiday Boardings'!BZ21</f>
        <v>55367</v>
      </c>
      <c r="CA21" s="18">
        <f>'Total Weekday Boardings'!CA21+'Total Saturday Boardings'!CA21+'Total Sunday-Holiday Boardings'!CA21</f>
        <v>50126</v>
      </c>
      <c r="CB21" s="19">
        <f>'Total Weekday Boardings'!CB21+'Total Saturday Boardings'!CB21+'Total Sunday-Holiday Boardings'!CB21</f>
        <v>47563</v>
      </c>
      <c r="CC21" s="20">
        <f>'Total Weekday Boardings'!CC21+'Total Saturday Boardings'!CC21+'Total Sunday-Holiday Boardings'!CC21</f>
        <v>48351</v>
      </c>
      <c r="CD21" s="18">
        <f>'Total Weekday Boardings'!CD21+'Total Saturday Boardings'!CD21+'Total Sunday-Holiday Boardings'!CD21</f>
        <v>53663</v>
      </c>
      <c r="CE21" s="18">
        <f>'Total Weekday Boardings'!CE21+'Total Saturday Boardings'!CE21+'Total Sunday-Holiday Boardings'!CE21</f>
        <v>60079</v>
      </c>
      <c r="CF21" s="18">
        <f>'Total Weekday Boardings'!CF21+'Total Saturday Boardings'!CF21+'Total Sunday-Holiday Boardings'!CF21</f>
        <v>61550</v>
      </c>
      <c r="CG21" s="18">
        <f>'Total Weekday Boardings'!CG21+'Total Saturday Boardings'!CG21+'Total Sunday-Holiday Boardings'!CG21</f>
        <v>55121</v>
      </c>
      <c r="CH21" s="18">
        <f>'Total Weekday Boardings'!CH21+'Total Saturday Boardings'!CH21+'Total Sunday-Holiday Boardings'!CH21</f>
        <v>52658</v>
      </c>
      <c r="CI21" s="18">
        <f>'Total Weekday Boardings'!CI21+'Total Saturday Boardings'!CI21+'Total Sunday-Holiday Boardings'!CI21</f>
        <v>56020</v>
      </c>
      <c r="CJ21" s="18">
        <f>'Total Weekday Boardings'!CJ21+'Total Saturday Boardings'!CJ21+'Total Sunday-Holiday Boardings'!CJ21</f>
        <v>56461</v>
      </c>
      <c r="CK21" s="18">
        <f>'Total Weekday Boardings'!CK21+'Total Saturday Boardings'!CK21+'Total Sunday-Holiday Boardings'!CK21</f>
        <v>59082</v>
      </c>
      <c r="CL21" s="18">
        <f>'Total Weekday Boardings'!CL21+'Total Saturday Boardings'!CL21+'Total Sunday-Holiday Boardings'!CL21</f>
        <v>60981</v>
      </c>
      <c r="CM21" s="18">
        <f>'Total Weekday Boardings'!CM21+'Total Saturday Boardings'!CM21+'Total Sunday-Holiday Boardings'!CM21</f>
        <v>34826</v>
      </c>
      <c r="CN21" s="21">
        <f>'Total Weekday Boardings'!CN21+'Total Saturday Boardings'!CN21+'Total Sunday-Holiday Boardings'!CN21</f>
        <v>54428</v>
      </c>
      <c r="CO21" s="17">
        <f>'Total Weekday Boardings'!CO21+'Total Saturday Boardings'!CO21+'Total Sunday-Holiday Boardings'!CO21</f>
        <v>51599</v>
      </c>
      <c r="CP21" s="18">
        <f>'Total Weekday Boardings'!CP21+'Total Saturday Boardings'!CP21+'Total Sunday-Holiday Boardings'!CP21</f>
        <v>64154</v>
      </c>
      <c r="CQ21" s="18">
        <f>'Total Weekday Boardings'!CQ21+'Total Saturday Boardings'!CQ21+'Total Sunday-Holiday Boardings'!CQ21</f>
        <v>61754</v>
      </c>
      <c r="CR21" s="18">
        <f>'Total Weekday Boardings'!CR21+'Total Saturday Boardings'!CR21+'Total Sunday-Holiday Boardings'!CR21</f>
        <v>62106</v>
      </c>
      <c r="CS21" s="18">
        <f>'Total Weekday Boardings'!CS21+'Total Saturday Boardings'!CS21+'Total Sunday-Holiday Boardings'!CS21</f>
        <v>60322</v>
      </c>
      <c r="CT21" s="18">
        <f>'Total Weekday Boardings'!CT21+'Total Saturday Boardings'!CT21+'Total Sunday-Holiday Boardings'!CT21</f>
        <v>56116</v>
      </c>
      <c r="CU21" s="18">
        <f>'Total Weekday Boardings'!CU21+'Total Saturday Boardings'!CU21+'Total Sunday-Holiday Boardings'!CU21</f>
        <v>59600</v>
      </c>
      <c r="CV21" s="18">
        <f>'Total Weekday Boardings'!CV21+'Total Saturday Boardings'!CV21+'Total Sunday-Holiday Boardings'!CV21</f>
        <v>56295</v>
      </c>
      <c r="CW21" s="18">
        <f>'Total Weekday Boardings'!CW21+'Total Saturday Boardings'!CW21+'Total Sunday-Holiday Boardings'!CW21</f>
        <v>62796</v>
      </c>
      <c r="CX21" s="18">
        <f>'Total Weekday Boardings'!CX21+'Total Saturday Boardings'!CX21+'Total Sunday-Holiday Boardings'!CX21</f>
        <v>60158</v>
      </c>
      <c r="CY21" s="18">
        <f>'Total Weekday Boardings'!CY21+'Total Saturday Boardings'!CY21+'Total Sunday-Holiday Boardings'!CY21</f>
        <v>57144</v>
      </c>
      <c r="CZ21" s="19">
        <f>'Total Weekday Boardings'!CZ21+'Total Saturday Boardings'!CZ21+'Total Sunday-Holiday Boardings'!CZ21</f>
        <v>51607</v>
      </c>
      <c r="DA21" s="17">
        <f>'Total Weekday Boardings'!DA21+'Total Saturday Boardings'!DA21+'Total Sunday-Holiday Boardings'!DA21</f>
        <v>32792</v>
      </c>
      <c r="DB21" s="18">
        <f>'Total Weekday Boardings'!DB21+'Total Saturday Boardings'!DB21+'Total Sunday-Holiday Boardings'!DB21</f>
        <v>58344</v>
      </c>
      <c r="DC21" s="18">
        <f>'Total Weekday Boardings'!DC21+'Total Saturday Boardings'!DC21+'Total Sunday-Holiday Boardings'!DC21</f>
        <v>54514</v>
      </c>
      <c r="DD21" s="18">
        <f>'Total Weekday Boardings'!DD21+'Total Saturday Boardings'!DD21+'Total Sunday-Holiday Boardings'!DD21</f>
        <v>58778</v>
      </c>
      <c r="DE21" s="18">
        <f>'Total Weekday Boardings'!DE21+'Total Saturday Boardings'!DE21+'Total Sunday-Holiday Boardings'!DE21</f>
        <v>53833</v>
      </c>
      <c r="DF21" s="18">
        <f>'Total Weekday Boardings'!DF21+'Total Saturday Boardings'!DF21+'Total Sunday-Holiday Boardings'!DF21</f>
        <v>50280</v>
      </c>
      <c r="DG21" s="18">
        <f>'Total Weekday Boardings'!DG21+'Total Saturday Boardings'!DG21+'Total Sunday-Holiday Boardings'!DG21</f>
        <v>56101</v>
      </c>
      <c r="DH21" s="18">
        <f>'Total Weekday Boardings'!DH21+'Total Saturday Boardings'!DH21+'Total Sunday-Holiday Boardings'!DH21</f>
        <v>52984</v>
      </c>
      <c r="DI21" s="18">
        <f>'Total Weekday Boardings'!DI21+'Total Saturday Boardings'!DI21+'Total Sunday-Holiday Boardings'!DI21</f>
        <v>56024</v>
      </c>
      <c r="DJ21" s="18">
        <f>'Total Weekday Boardings'!DJ21+'Total Saturday Boardings'!DJ21+'Total Sunday-Holiday Boardings'!DJ21</f>
        <v>55519</v>
      </c>
      <c r="DK21" s="18">
        <f>'Total Weekday Boardings'!DK21+'Total Saturday Boardings'!DK21+'Total Sunday-Holiday Boardings'!DK21</f>
        <v>52721</v>
      </c>
      <c r="DL21" s="19">
        <f>'Total Weekday Boardings'!DL21+'Total Saturday Boardings'!DL21+'Total Sunday-Holiday Boardings'!DL21</f>
        <v>47545</v>
      </c>
      <c r="DM21" s="17">
        <f>'Total Weekday Boardings'!DM21+'Total Saturday Boardings'!DM21+'Total Sunday-Holiday Boardings'!DM21</f>
        <v>47446</v>
      </c>
      <c r="DN21" s="18">
        <f>'Total Weekday Boardings'!DN21+'Total Saturday Boardings'!DN21+'Total Sunday-Holiday Boardings'!DN21</f>
        <v>56438</v>
      </c>
      <c r="DO21" s="18">
        <f>'Total Weekday Boardings'!DO21+'Total Saturday Boardings'!DO21+'Total Sunday-Holiday Boardings'!DO21</f>
        <v>53106</v>
      </c>
      <c r="DP21" s="18">
        <f>'Total Weekday Boardings'!DP21+'Total Saturday Boardings'!DP21+'Total Sunday-Holiday Boardings'!DP21</f>
        <v>58123</v>
      </c>
      <c r="DQ21" s="18">
        <f>'Total Weekday Boardings'!DQ21+'Total Saturday Boardings'!DQ21+'Total Sunday-Holiday Boardings'!DQ21</f>
        <v>53054</v>
      </c>
      <c r="DR21" s="18">
        <f>'Total Weekday Boardings'!DR21+'Total Saturday Boardings'!DR21+'Total Sunday-Holiday Boardings'!DR21</f>
        <v>47059</v>
      </c>
      <c r="DS21" s="18">
        <f>'Total Weekday Boardings'!DS21+'Total Saturday Boardings'!DS21+'Total Sunday-Holiday Boardings'!DS21</f>
        <v>53819</v>
      </c>
      <c r="DT21" s="18">
        <f>'Total Weekday Boardings'!DT21+'Total Saturday Boardings'!DT21+'Total Sunday-Holiday Boardings'!DT21</f>
        <v>49384</v>
      </c>
      <c r="DU21" s="18">
        <f>'Total Weekday Boardings'!DU21+'Total Saturday Boardings'!DU21+'Total Sunday-Holiday Boardings'!DU21</f>
        <v>52562</v>
      </c>
      <c r="DV21" s="18">
        <f>'Total Weekday Boardings'!DV21+'Total Saturday Boardings'!DV21+'Total Sunday-Holiday Boardings'!DV21</f>
        <v>31222</v>
      </c>
      <c r="DW21" s="18">
        <f>'Total Weekday Boardings'!DW21+'Total Saturday Boardings'!DW21+'Total Sunday-Holiday Boardings'!DW21</f>
        <v>48283</v>
      </c>
      <c r="DX21" s="19">
        <f>'Total Weekday Boardings'!DX21+'Total Saturday Boardings'!DX21+'Total Sunday-Holiday Boardings'!DX21</f>
        <v>43128</v>
      </c>
      <c r="DY21" s="137">
        <v>43093</v>
      </c>
      <c r="DZ21" s="18">
        <v>50295</v>
      </c>
      <c r="EA21" s="18">
        <v>50908</v>
      </c>
      <c r="EB21" s="18">
        <v>53610</v>
      </c>
      <c r="EC21" s="18">
        <v>47009</v>
      </c>
      <c r="ED21" s="18">
        <v>40634</v>
      </c>
      <c r="EE21" s="18">
        <v>43981</v>
      </c>
      <c r="EF21" s="18">
        <v>43975</v>
      </c>
      <c r="EG21" s="18">
        <v>34190</v>
      </c>
      <c r="EH21" s="18">
        <v>19448</v>
      </c>
      <c r="EI21" s="18">
        <v>18846</v>
      </c>
      <c r="EJ21" s="19">
        <v>16917</v>
      </c>
      <c r="EK21" s="100">
        <v>16709</v>
      </c>
      <c r="EL21" s="18">
        <v>17543</v>
      </c>
      <c r="EM21" s="18">
        <v>17269</v>
      </c>
      <c r="EN21" s="103">
        <v>18711</v>
      </c>
      <c r="EO21" s="18">
        <v>16375</v>
      </c>
      <c r="EP21" s="18">
        <v>11615</v>
      </c>
      <c r="EQ21" s="18">
        <v>7243</v>
      </c>
      <c r="ER21" s="18">
        <v>6754</v>
      </c>
      <c r="ES21" s="18">
        <v>17256</v>
      </c>
      <c r="ET21" s="18">
        <v>16557</v>
      </c>
      <c r="EU21" s="18">
        <v>15806</v>
      </c>
      <c r="EV21" s="19">
        <v>16230</v>
      </c>
      <c r="EW21" s="103">
        <v>16375</v>
      </c>
      <c r="EX21" s="18">
        <v>19949</v>
      </c>
      <c r="EY21" s="18">
        <v>21026</v>
      </c>
      <c r="EZ21" s="103">
        <v>20905</v>
      </c>
      <c r="FA21" s="18">
        <v>20946</v>
      </c>
      <c r="FB21" s="145">
        <v>19416</v>
      </c>
      <c r="FC21" s="18">
        <v>18155</v>
      </c>
      <c r="FD21" s="18">
        <v>21499</v>
      </c>
      <c r="FE21" s="18">
        <v>25283</v>
      </c>
      <c r="FF21" s="18">
        <v>13421</v>
      </c>
      <c r="FG21" s="13">
        <f>SUM('Total Weekday Boardings'!FG21,'Total Saturday Boardings'!FG21,'Total Sunday-Holiday Boardings'!FG21)</f>
        <v>18627</v>
      </c>
      <c r="FH21" s="13">
        <f>SUM('Total Weekday Boardings'!FH21,'Total Saturday Boardings'!FH21,'Total Sunday-Holiday Boardings'!FH21)</f>
        <v>26579</v>
      </c>
      <c r="FI21" s="13">
        <f>SUM('Total Weekday Boardings'!FI21,'Total Saturday Boardings'!FI21,'Total Sunday-Holiday Boardings'!FI21)</f>
        <v>17188</v>
      </c>
      <c r="FJ21" s="13">
        <f>SUM('Total Weekday Boardings'!FJ21,'Total Saturday Boardings'!FJ21,'Total Sunday-Holiday Boardings'!FJ21)</f>
        <v>13898</v>
      </c>
      <c r="FK21" s="13">
        <f>SUM('Total Weekday Boardings'!FK21,'Total Saturday Boardings'!FK21,'Total Sunday-Holiday Boardings'!FK21)</f>
        <v>16836.25</v>
      </c>
      <c r="FL21" s="13">
        <f>SUM('Total Weekday Boardings'!FL21,'Total Saturday Boardings'!FL21,'Total Sunday-Holiday Boardings'!FL21)</f>
        <v>15716</v>
      </c>
      <c r="FM21" s="13">
        <f>SUM('Total Weekday Boardings'!FM21,'Total Saturday Boardings'!FM21,'Total Sunday-Holiday Boardings'!FM21)</f>
        <v>14357</v>
      </c>
      <c r="FN21" s="13">
        <f>SUM('Total Weekday Boardings'!FN21,'Total Saturday Boardings'!FN21,'Total Sunday-Holiday Boardings'!FN21)</f>
        <v>12026</v>
      </c>
      <c r="FO21" s="13">
        <f>SUM('Total Weekday Boardings'!FO21,'Total Saturday Boardings'!FO21,'Total Sunday-Holiday Boardings'!FO21)</f>
        <v>15743</v>
      </c>
      <c r="FP21" s="13">
        <f>SUM('Total Weekday Boardings'!FP21,'Total Saturday Boardings'!FP21,'Total Sunday-Holiday Boardings'!FP21)</f>
        <v>13167</v>
      </c>
      <c r="FQ21" s="13">
        <f>SUM('Total Weekday Boardings'!FQ21,'Total Saturday Boardings'!FQ21,'Total Sunday-Holiday Boardings'!FQ21)</f>
        <v>16310</v>
      </c>
      <c r="FR21" s="13">
        <f>SUM('Total Weekday Boardings'!FR21,'Total Saturday Boardings'!FR21,'Total Sunday-Holiday Boardings'!FR21)</f>
        <v>15616</v>
      </c>
      <c r="FS21" s="13">
        <f>SUM('Total Weekday Boardings'!FS21,'Total Saturday Boardings'!FS21,'Total Sunday-Holiday Boardings'!FS21)</f>
        <v>14266</v>
      </c>
      <c r="FT21" s="16">
        <f>SUM('Total Weekday Boardings'!FT21,'Total Saturday Boardings'!FT21,'Total Sunday-Holiday Boardings'!FT21)</f>
        <v>13545</v>
      </c>
      <c r="FU21" s="171">
        <v>12952</v>
      </c>
      <c r="FV21" s="171">
        <v>22893</v>
      </c>
      <c r="FW21" s="171">
        <v>16057</v>
      </c>
      <c r="FX21" s="171">
        <v>17021</v>
      </c>
      <c r="FY21" s="171">
        <v>15847</v>
      </c>
      <c r="FZ21" s="171">
        <v>13341</v>
      </c>
      <c r="GA21" s="171">
        <v>13640</v>
      </c>
      <c r="GB21" s="52">
        <v>16281</v>
      </c>
      <c r="GC21" s="52">
        <v>15536</v>
      </c>
      <c r="GD21" s="52">
        <v>15125</v>
      </c>
      <c r="GE21" s="18">
        <v>14489</v>
      </c>
      <c r="GF21" s="52">
        <v>13063</v>
      </c>
      <c r="GG21" s="184">
        <v>13605</v>
      </c>
      <c r="GH21" s="52">
        <v>15869</v>
      </c>
      <c r="GI21" s="18">
        <v>16323</v>
      </c>
      <c r="GJ21" s="236">
        <v>16668</v>
      </c>
      <c r="GK21" s="184">
        <v>14679</v>
      </c>
      <c r="GL21" s="184">
        <v>12725</v>
      </c>
    </row>
    <row r="22" spans="1:194" ht="15" thickBot="1" x14ac:dyDescent="0.35">
      <c r="A22" s="3" t="s">
        <v>35</v>
      </c>
      <c r="B22" s="17"/>
      <c r="C22" s="18">
        <f>'Total Weekday Boardings'!C22+'Total Saturday Boardings'!C22+'Total Sunday-Holiday Boardings'!C22</f>
        <v>20464</v>
      </c>
      <c r="D22" s="18">
        <f>'Total Weekday Boardings'!D22+'Total Saturday Boardings'!D22+'Total Sunday-Holiday Boardings'!D22</f>
        <v>26506</v>
      </c>
      <c r="E22" s="18">
        <f>'Total Weekday Boardings'!E22+'Total Saturday Boardings'!E22+'Total Sunday-Holiday Boardings'!E22</f>
        <v>22809</v>
      </c>
      <c r="F22" s="18">
        <f>'Total Weekday Boardings'!F22+'Total Saturday Boardings'!F22+'Total Sunday-Holiday Boardings'!F22</f>
        <v>27946</v>
      </c>
      <c r="G22" s="18">
        <f>'Total Weekday Boardings'!G22+'Total Saturday Boardings'!G22+'Total Sunday-Holiday Boardings'!G22</f>
        <v>19746</v>
      </c>
      <c r="H22" s="19">
        <f>'Total Weekday Boardings'!H22+'Total Saturday Boardings'!H22+'Total Sunday-Holiday Boardings'!H22</f>
        <v>15744</v>
      </c>
      <c r="I22" s="17">
        <f>'Total Weekday Boardings'!I22+'Total Saturday Boardings'!I22+'Total Sunday-Holiday Boardings'!I22</f>
        <v>14529</v>
      </c>
      <c r="J22" s="18">
        <f>'Total Weekday Boardings'!J22+'Total Saturday Boardings'!J22+'Total Sunday-Holiday Boardings'!J22</f>
        <v>17085</v>
      </c>
      <c r="K22" s="18">
        <f>'Total Weekday Boardings'!K22+'Total Saturday Boardings'!K22+'Total Sunday-Holiday Boardings'!K22</f>
        <v>19679</v>
      </c>
      <c r="L22" s="18">
        <f>'Total Weekday Boardings'!L22+'Total Saturday Boardings'!L22+'Total Sunday-Holiday Boardings'!L22</f>
        <v>28483</v>
      </c>
      <c r="M22" s="18">
        <f>'Total Weekday Boardings'!M22+'Total Saturday Boardings'!M22+'Total Sunday-Holiday Boardings'!M22</f>
        <v>26118</v>
      </c>
      <c r="N22" s="18">
        <f>'Total Weekday Boardings'!N22+'Total Saturday Boardings'!N22+'Total Sunday-Holiday Boardings'!N22</f>
        <v>25205</v>
      </c>
      <c r="O22" s="62">
        <f>'Total Weekday Boardings'!O22+'Total Saturday Boardings'!O22+'Total Sunday-Holiday Boardings'!O22</f>
        <v>26515</v>
      </c>
      <c r="P22" s="62">
        <f>'Total Weekday Boardings'!P22+'Total Saturday Boardings'!P22+'Total Sunday-Holiday Boardings'!P22</f>
        <v>24903</v>
      </c>
      <c r="Q22" s="62">
        <f>'Total Weekday Boardings'!Q22+'Total Saturday Boardings'!Q22+'Total Sunday-Holiday Boardings'!Q22</f>
        <v>26305</v>
      </c>
      <c r="R22" s="62">
        <f>'Total Weekday Boardings'!R22+'Total Saturday Boardings'!R22+'Total Sunday-Holiday Boardings'!R22</f>
        <v>31893</v>
      </c>
      <c r="S22" s="62">
        <f>'Total Weekday Boardings'!S22+'Total Saturday Boardings'!S22+'Total Sunday-Holiday Boardings'!S22</f>
        <v>26046</v>
      </c>
      <c r="T22" s="63">
        <f>'Total Weekday Boardings'!T22+'Total Saturday Boardings'!T22+'Total Sunday-Holiday Boardings'!T22</f>
        <v>46106</v>
      </c>
      <c r="U22" s="64">
        <f>'Total Weekday Boardings'!U22+'Total Saturday Boardings'!U22+'Total Sunday-Holiday Boardings'!U22</f>
        <v>39022</v>
      </c>
      <c r="V22" s="62">
        <f>'Total Weekday Boardings'!V22+'Total Saturday Boardings'!V22+'Total Sunday-Holiday Boardings'!V22</f>
        <v>50234</v>
      </c>
      <c r="W22" s="62">
        <f>'Total Weekday Boardings'!W22+'Total Saturday Boardings'!W22+'Total Sunday-Holiday Boardings'!W22</f>
        <v>52753</v>
      </c>
      <c r="X22" s="62">
        <f>'Total Weekday Boardings'!X22+'Total Saturday Boardings'!X22+'Total Sunday-Holiday Boardings'!X22</f>
        <v>50461</v>
      </c>
      <c r="Y22" s="62">
        <f>'Total Weekday Boardings'!Y22+'Total Saturday Boardings'!Y22+'Total Sunday-Holiday Boardings'!Y22</f>
        <v>46049</v>
      </c>
      <c r="Z22" s="62">
        <f>'Total Weekday Boardings'!Z22+'Total Saturday Boardings'!Z22+'Total Sunday-Holiday Boardings'!Z22</f>
        <v>40617</v>
      </c>
      <c r="AA22" s="18">
        <f>'Total Weekday Boardings'!AA22+'Total Saturday Boardings'!AA22+'Total Sunday-Holiday Boardings'!AA22</f>
        <v>44839</v>
      </c>
      <c r="AB22" s="18">
        <f>'Total Weekday Boardings'!AB22+'Total Saturday Boardings'!AB22+'Total Sunday-Holiday Boardings'!AB22</f>
        <v>44679</v>
      </c>
      <c r="AC22" s="18">
        <f>'Total Weekday Boardings'!AC22+'Total Saturday Boardings'!AC22+'Total Sunday-Holiday Boardings'!AC22</f>
        <v>48253</v>
      </c>
      <c r="AD22" s="18">
        <f>'Total Weekday Boardings'!AD22+'Total Saturday Boardings'!AD22+'Total Sunday-Holiday Boardings'!AD22</f>
        <v>46393</v>
      </c>
      <c r="AE22" s="18">
        <f>'Total Weekday Boardings'!AE22+'Total Saturday Boardings'!AE22+'Total Sunday-Holiday Boardings'!AE22</f>
        <v>40784</v>
      </c>
      <c r="AF22" s="19">
        <f>'Total Weekday Boardings'!AF22+'Total Saturday Boardings'!AF22+'Total Sunday-Holiday Boardings'!AF22</f>
        <v>36798</v>
      </c>
      <c r="AG22" s="17">
        <f>'Total Weekday Boardings'!AG22+'Total Saturday Boardings'!AG22+'Total Sunday-Holiday Boardings'!AG22</f>
        <v>37700</v>
      </c>
      <c r="AH22" s="18">
        <f>'Total Weekday Boardings'!AH22+'Total Saturday Boardings'!AH22+'Total Sunday-Holiday Boardings'!AH22</f>
        <v>48457</v>
      </c>
      <c r="AI22" s="18">
        <f>'Total Weekday Boardings'!AI22+'Total Saturday Boardings'!AI22+'Total Sunday-Holiday Boardings'!AI22</f>
        <v>51032</v>
      </c>
      <c r="AJ22" s="18">
        <f>'Total Weekday Boardings'!AJ22+'Total Saturday Boardings'!AJ22+'Total Sunday-Holiday Boardings'!AJ22</f>
        <v>52694</v>
      </c>
      <c r="AK22" s="18">
        <f>'Total Weekday Boardings'!AK22+'Total Saturday Boardings'!AK22+'Total Sunday-Holiday Boardings'!AK22</f>
        <v>46029</v>
      </c>
      <c r="AL22" s="18">
        <f>'Total Weekday Boardings'!AL22+'Total Saturday Boardings'!AL22+'Total Sunday-Holiday Boardings'!AL22</f>
        <v>43321</v>
      </c>
      <c r="AM22" s="18">
        <f>'Total Weekday Boardings'!AM22+'Total Saturday Boardings'!AM22+'Total Sunday-Holiday Boardings'!AM22</f>
        <v>44656</v>
      </c>
      <c r="AN22" s="18">
        <f>'Total Weekday Boardings'!AN22+'Total Saturday Boardings'!AN22+'Total Sunday-Holiday Boardings'!AN22</f>
        <v>45042</v>
      </c>
      <c r="AO22" s="18">
        <f>'Total Weekday Boardings'!AO22+'Total Saturday Boardings'!AO22+'Total Sunday-Holiday Boardings'!AO22</f>
        <v>43247</v>
      </c>
      <c r="AP22" s="18">
        <f>'Total Weekday Boardings'!AP22+'Total Saturday Boardings'!AP22+'Total Sunday-Holiday Boardings'!AP22</f>
        <v>42717</v>
      </c>
      <c r="AQ22" s="18">
        <f>'Total Weekday Boardings'!AQ22+'Total Saturday Boardings'!AQ22+'Total Sunday-Holiday Boardings'!AQ22</f>
        <v>32565</v>
      </c>
      <c r="AR22" s="19">
        <f>'Total Weekday Boardings'!AR22+'Total Saturday Boardings'!AR22+'Total Sunday-Holiday Boardings'!AR22</f>
        <v>30365</v>
      </c>
      <c r="AS22" s="17">
        <f>'Total Weekday Boardings'!AS22+'Total Saturday Boardings'!AS22+'Total Sunday-Holiday Boardings'!AS22</f>
        <v>29218</v>
      </c>
      <c r="AT22" s="18">
        <f>'Total Weekday Boardings'!AT22+'Total Saturday Boardings'!AT22+'Total Sunday-Holiday Boardings'!AT22</f>
        <v>41882</v>
      </c>
      <c r="AU22" s="18">
        <f>'Total Weekday Boardings'!AU22+'Total Saturday Boardings'!AU22+'Total Sunday-Holiday Boardings'!AU22</f>
        <v>55029</v>
      </c>
      <c r="AV22" s="18">
        <f>'Total Weekday Boardings'!AV22+'Total Saturday Boardings'!AV22+'Total Sunday-Holiday Boardings'!AV22</f>
        <v>53468</v>
      </c>
      <c r="AW22" s="18">
        <f>'Total Weekday Boardings'!AW22+'Total Saturday Boardings'!AW22+'Total Sunday-Holiday Boardings'!AW22</f>
        <v>45081</v>
      </c>
      <c r="AX22" s="18">
        <f>'Total Weekday Boardings'!AX22+'Total Saturday Boardings'!AX22+'Total Sunday-Holiday Boardings'!AX22</f>
        <v>35412</v>
      </c>
      <c r="AY22" s="18">
        <f>'Total Weekday Boardings'!AY22+'Total Saturday Boardings'!AY22+'Total Sunday-Holiday Boardings'!AY22</f>
        <v>43908</v>
      </c>
      <c r="AZ22" s="18">
        <f>'Total Weekday Boardings'!AZ22+'Total Saturday Boardings'!AZ22+'Total Sunday-Holiday Boardings'!AZ22</f>
        <v>43114</v>
      </c>
      <c r="BA22" s="18">
        <f>'Total Weekday Boardings'!BA22+'Total Saturday Boardings'!BA22+'Total Sunday-Holiday Boardings'!BA22</f>
        <v>41067</v>
      </c>
      <c r="BB22" s="18">
        <f>'Total Weekday Boardings'!BB22+'Total Saturday Boardings'!BB22+'Total Sunday-Holiday Boardings'!BB22</f>
        <v>44601</v>
      </c>
      <c r="BC22" s="18">
        <f>'Total Weekday Boardings'!BC22+'Total Saturday Boardings'!BC22+'Total Sunday-Holiday Boardings'!BC22</f>
        <v>34309</v>
      </c>
      <c r="BD22" s="19">
        <f>'Total Weekday Boardings'!BD22+'Total Saturday Boardings'!BD22+'Total Sunday-Holiday Boardings'!BD22</f>
        <v>30247</v>
      </c>
      <c r="BE22" s="17">
        <f>'Total Weekday Boardings'!BE22+'Total Saturday Boardings'!BE22+'Total Sunday-Holiday Boardings'!BE22</f>
        <v>30648</v>
      </c>
      <c r="BF22" s="18">
        <f>'Total Weekday Boardings'!BF22+'Total Saturday Boardings'!BF22+'Total Sunday-Holiday Boardings'!BF22</f>
        <v>39057</v>
      </c>
      <c r="BG22" s="18">
        <f>'Total Weekday Boardings'!BG22+'Total Saturday Boardings'!BG22+'Total Sunday-Holiday Boardings'!BG22</f>
        <v>48980</v>
      </c>
      <c r="BH22" s="18">
        <f>'Total Weekday Boardings'!BH22+'Total Saturday Boardings'!BH22+'Total Sunday-Holiday Boardings'!BH22</f>
        <v>47698</v>
      </c>
      <c r="BI22" s="18">
        <f>'Total Weekday Boardings'!BI22+'Total Saturday Boardings'!BI22+'Total Sunday-Holiday Boardings'!BI22</f>
        <v>42004.813515772228</v>
      </c>
      <c r="BJ22" s="18">
        <f>'Total Weekday Boardings'!BJ22+'Total Saturday Boardings'!BJ22+'Total Sunday-Holiday Boardings'!BJ22</f>
        <v>33686</v>
      </c>
      <c r="BK22" s="18">
        <f>'Total Weekday Boardings'!BK22+'Total Saturday Boardings'!BK22+'Total Sunday-Holiday Boardings'!BK22</f>
        <v>43592</v>
      </c>
      <c r="BL22" s="18">
        <f>'Total Weekday Boardings'!BL22+'Total Saturday Boardings'!BL22+'Total Sunday-Holiday Boardings'!BL22</f>
        <v>41394</v>
      </c>
      <c r="BM22" s="18">
        <f>'Total Weekday Boardings'!BM22+'Total Saturday Boardings'!BM22+'Total Sunday-Holiday Boardings'!BM22</f>
        <v>41108</v>
      </c>
      <c r="BN22" s="18">
        <f>'Total Weekday Boardings'!BN22+'Total Saturday Boardings'!BN22+'Total Sunday-Holiday Boardings'!BN22</f>
        <v>41655</v>
      </c>
      <c r="BO22" s="18">
        <f>'Total Weekday Boardings'!BO22+'Total Saturday Boardings'!BO22+'Total Sunday-Holiday Boardings'!BO22</f>
        <v>32289</v>
      </c>
      <c r="BP22" s="19">
        <f>'Total Weekday Boardings'!BP22+'Total Saturday Boardings'!BP22+'Total Sunday-Holiday Boardings'!BP22</f>
        <v>30148</v>
      </c>
      <c r="BQ22" s="17">
        <f>'Total Weekday Boardings'!BQ22+'Total Saturday Boardings'!BQ22+'Total Sunday-Holiday Boardings'!BQ22</f>
        <v>29775</v>
      </c>
      <c r="BR22" s="18">
        <f>'Total Weekday Boardings'!BR22+'Total Saturday Boardings'!BR22+'Total Sunday-Holiday Boardings'!BR22</f>
        <v>38455</v>
      </c>
      <c r="BS22" s="18">
        <f>'Total Weekday Boardings'!BS22+'Total Saturday Boardings'!BS22+'Total Sunday-Holiday Boardings'!BS22</f>
        <v>46337</v>
      </c>
      <c r="BT22" s="18">
        <f>'Total Weekday Boardings'!BT22+'Total Saturday Boardings'!BT22+'Total Sunday-Holiday Boardings'!BT22</f>
        <v>47209</v>
      </c>
      <c r="BU22" s="18">
        <f>'Total Weekday Boardings'!BU22+'Total Saturday Boardings'!BU22+'Total Sunday-Holiday Boardings'!BU22</f>
        <v>40496</v>
      </c>
      <c r="BV22" s="18">
        <f>'Total Weekday Boardings'!BV22+'Total Saturday Boardings'!BV22+'Total Sunday-Holiday Boardings'!BV22</f>
        <v>32849</v>
      </c>
      <c r="BW22" s="18">
        <f>'Total Weekday Boardings'!BW22+'Total Saturday Boardings'!BW22+'Total Sunday-Holiday Boardings'!BW22</f>
        <v>45301</v>
      </c>
      <c r="BX22" s="18">
        <f>'Total Weekday Boardings'!BX22+'Total Saturday Boardings'!BX22+'Total Sunday-Holiday Boardings'!BX22</f>
        <v>41488</v>
      </c>
      <c r="BY22" s="18">
        <f>'Total Weekday Boardings'!BY22+'Total Saturday Boardings'!BY22+'Total Sunday-Holiday Boardings'!BY22</f>
        <v>41886</v>
      </c>
      <c r="BZ22" s="18">
        <f>'Total Weekday Boardings'!BZ22+'Total Saturday Boardings'!BZ22+'Total Sunday-Holiday Boardings'!BZ22</f>
        <v>40109</v>
      </c>
      <c r="CA22" s="18">
        <f>'Total Weekday Boardings'!CA22+'Total Saturday Boardings'!CA22+'Total Sunday-Holiday Boardings'!CA22</f>
        <v>32015</v>
      </c>
      <c r="CB22" s="19">
        <f>'Total Weekday Boardings'!CB22+'Total Saturday Boardings'!CB22+'Total Sunday-Holiday Boardings'!CB22</f>
        <v>32956</v>
      </c>
      <c r="CC22" s="20">
        <f>'Total Weekday Boardings'!CC22+'Total Saturday Boardings'!CC22+'Total Sunday-Holiday Boardings'!CC22</f>
        <v>31744</v>
      </c>
      <c r="CD22" s="18">
        <f>'Total Weekday Boardings'!CD22+'Total Saturday Boardings'!CD22+'Total Sunday-Holiday Boardings'!CD22</f>
        <v>39385</v>
      </c>
      <c r="CE22" s="18">
        <f>'Total Weekday Boardings'!CE22+'Total Saturday Boardings'!CE22+'Total Sunday-Holiday Boardings'!CE22</f>
        <v>45381</v>
      </c>
      <c r="CF22" s="18">
        <f>'Total Weekday Boardings'!CF22+'Total Saturday Boardings'!CF22+'Total Sunday-Holiday Boardings'!CF22</f>
        <v>42542</v>
      </c>
      <c r="CG22" s="18">
        <f>'Total Weekday Boardings'!CG22+'Total Saturday Boardings'!CG22+'Total Sunday-Holiday Boardings'!CG22</f>
        <v>37582</v>
      </c>
      <c r="CH22" s="18">
        <f>'Total Weekday Boardings'!CH22+'Total Saturday Boardings'!CH22+'Total Sunday-Holiday Boardings'!CH22</f>
        <v>29993</v>
      </c>
      <c r="CI22" s="18">
        <f>'Total Weekday Boardings'!CI22+'Total Saturday Boardings'!CI22+'Total Sunday-Holiday Boardings'!CI22</f>
        <v>37417</v>
      </c>
      <c r="CJ22" s="18">
        <f>'Total Weekday Boardings'!CJ22+'Total Saturday Boardings'!CJ22+'Total Sunday-Holiday Boardings'!CJ22</f>
        <v>37525</v>
      </c>
      <c r="CK22" s="18">
        <f>'Total Weekday Boardings'!CK22+'Total Saturday Boardings'!CK22+'Total Sunday-Holiday Boardings'!CK22</f>
        <v>39361</v>
      </c>
      <c r="CL22" s="18">
        <f>'Total Weekday Boardings'!CL22+'Total Saturday Boardings'!CL22+'Total Sunday-Holiday Boardings'!CL22</f>
        <v>37868</v>
      </c>
      <c r="CM22" s="18">
        <f>'Total Weekday Boardings'!CM22+'Total Saturday Boardings'!CM22+'Total Sunday-Holiday Boardings'!CM22</f>
        <v>52610</v>
      </c>
      <c r="CN22" s="21">
        <f>'Total Weekday Boardings'!CN22+'Total Saturday Boardings'!CN22+'Total Sunday-Holiday Boardings'!CN22</f>
        <v>29625</v>
      </c>
      <c r="CO22" s="17">
        <f>'Total Weekday Boardings'!CO22+'Total Saturday Boardings'!CO22+'Total Sunday-Holiday Boardings'!CO22</f>
        <v>28269</v>
      </c>
      <c r="CP22" s="18">
        <f>'Total Weekday Boardings'!CP22+'Total Saturday Boardings'!CP22+'Total Sunday-Holiday Boardings'!CP22</f>
        <v>37715</v>
      </c>
      <c r="CQ22" s="18">
        <f>'Total Weekday Boardings'!CQ22+'Total Saturday Boardings'!CQ22+'Total Sunday-Holiday Boardings'!CQ22</f>
        <v>42481</v>
      </c>
      <c r="CR22" s="18">
        <f>'Total Weekday Boardings'!CR22+'Total Saturday Boardings'!CR22+'Total Sunday-Holiday Boardings'!CR22</f>
        <v>38959</v>
      </c>
      <c r="CS22" s="18">
        <f>'Total Weekday Boardings'!CS22+'Total Saturday Boardings'!CS22+'Total Sunday-Holiday Boardings'!CS22</f>
        <v>36707</v>
      </c>
      <c r="CT22" s="18">
        <f>'Total Weekday Boardings'!CT22+'Total Saturday Boardings'!CT22+'Total Sunday-Holiday Boardings'!CT22</f>
        <v>29378</v>
      </c>
      <c r="CU22" s="18">
        <f>'Total Weekday Boardings'!CU22+'Total Saturday Boardings'!CU22+'Total Sunday-Holiday Boardings'!CU22</f>
        <v>36445</v>
      </c>
      <c r="CV22" s="18">
        <f>'Total Weekday Boardings'!CV22+'Total Saturday Boardings'!CV22+'Total Sunday-Holiday Boardings'!CV22</f>
        <v>35275</v>
      </c>
      <c r="CW22" s="18">
        <f>'Total Weekday Boardings'!CW22+'Total Saturday Boardings'!CW22+'Total Sunday-Holiday Boardings'!CW22</f>
        <v>37497</v>
      </c>
      <c r="CX22" s="18">
        <f>'Total Weekday Boardings'!CX22+'Total Saturday Boardings'!CX22+'Total Sunday-Holiday Boardings'!CX22</f>
        <v>36148</v>
      </c>
      <c r="CY22" s="18">
        <f>'Total Weekday Boardings'!CY22+'Total Saturday Boardings'!CY22+'Total Sunday-Holiday Boardings'!CY22</f>
        <v>31520</v>
      </c>
      <c r="CZ22" s="19">
        <f>'Total Weekday Boardings'!CZ22+'Total Saturday Boardings'!CZ22+'Total Sunday-Holiday Boardings'!CZ22</f>
        <v>30476</v>
      </c>
      <c r="DA22" s="17">
        <f>'Total Weekday Boardings'!DA22+'Total Saturday Boardings'!DA22+'Total Sunday-Holiday Boardings'!DA22</f>
        <v>44973</v>
      </c>
      <c r="DB22" s="18">
        <f>'Total Weekday Boardings'!DB22+'Total Saturday Boardings'!DB22+'Total Sunday-Holiday Boardings'!DB22</f>
        <v>39507</v>
      </c>
      <c r="DC22" s="18">
        <f>'Total Weekday Boardings'!DC22+'Total Saturday Boardings'!DC22+'Total Sunday-Holiday Boardings'!DC22</f>
        <v>39188</v>
      </c>
      <c r="DD22" s="18">
        <f>'Total Weekday Boardings'!DD22+'Total Saturday Boardings'!DD22+'Total Sunday-Holiday Boardings'!DD22</f>
        <v>39721</v>
      </c>
      <c r="DE22" s="18">
        <f>'Total Weekday Boardings'!DE22+'Total Saturday Boardings'!DE22+'Total Sunday-Holiday Boardings'!DE22</f>
        <v>35342</v>
      </c>
      <c r="DF22" s="18">
        <f>'Total Weekday Boardings'!DF22+'Total Saturday Boardings'!DF22+'Total Sunday-Holiday Boardings'!DF22</f>
        <v>30007</v>
      </c>
      <c r="DG22" s="18">
        <f>'Total Weekday Boardings'!DG22+'Total Saturday Boardings'!DG22+'Total Sunday-Holiday Boardings'!DG22</f>
        <v>37085</v>
      </c>
      <c r="DH22" s="18">
        <f>'Total Weekday Boardings'!DH22+'Total Saturday Boardings'!DH22+'Total Sunday-Holiday Boardings'!DH22</f>
        <v>34223</v>
      </c>
      <c r="DI22" s="18">
        <f>'Total Weekday Boardings'!DI22+'Total Saturday Boardings'!DI22+'Total Sunday-Holiday Boardings'!DI22</f>
        <v>35273</v>
      </c>
      <c r="DJ22" s="18">
        <f>'Total Weekday Boardings'!DJ22+'Total Saturday Boardings'!DJ22+'Total Sunday-Holiday Boardings'!DJ22</f>
        <v>35463</v>
      </c>
      <c r="DK22" s="18">
        <f>'Total Weekday Boardings'!DK22+'Total Saturday Boardings'!DK22+'Total Sunday-Holiday Boardings'!DK22</f>
        <v>30105</v>
      </c>
      <c r="DL22" s="19">
        <f>'Total Weekday Boardings'!DL22+'Total Saturday Boardings'!DL22+'Total Sunday-Holiday Boardings'!DL22</f>
        <v>28635</v>
      </c>
      <c r="DM22" s="17">
        <f>'Total Weekday Boardings'!DM22+'Total Saturday Boardings'!DM22+'Total Sunday-Holiday Boardings'!DM22</f>
        <v>28145</v>
      </c>
      <c r="DN22" s="18">
        <f>'Total Weekday Boardings'!DN22+'Total Saturday Boardings'!DN22+'Total Sunday-Holiday Boardings'!DN22</f>
        <v>34951</v>
      </c>
      <c r="DO22" s="18">
        <f>'Total Weekday Boardings'!DO22+'Total Saturday Boardings'!DO22+'Total Sunday-Holiday Boardings'!DO22</f>
        <v>36266</v>
      </c>
      <c r="DP22" s="18">
        <f>'Total Weekday Boardings'!DP22+'Total Saturday Boardings'!DP22+'Total Sunday-Holiday Boardings'!DP22</f>
        <v>37393</v>
      </c>
      <c r="DQ22" s="18">
        <f>'Total Weekday Boardings'!DQ22+'Total Saturday Boardings'!DQ22+'Total Sunday-Holiday Boardings'!DQ22</f>
        <v>34424</v>
      </c>
      <c r="DR22" s="18">
        <f>'Total Weekday Boardings'!DR22+'Total Saturday Boardings'!DR22+'Total Sunday-Holiday Boardings'!DR22</f>
        <v>27874</v>
      </c>
      <c r="DS22" s="18">
        <f>'Total Weekday Boardings'!DS22+'Total Saturday Boardings'!DS22+'Total Sunday-Holiday Boardings'!DS22</f>
        <v>35074</v>
      </c>
      <c r="DT22" s="18">
        <f>'Total Weekday Boardings'!DT22+'Total Saturday Boardings'!DT22+'Total Sunday-Holiday Boardings'!DT22</f>
        <v>30568</v>
      </c>
      <c r="DU22" s="18">
        <f>'Total Weekday Boardings'!DU22+'Total Saturday Boardings'!DU22+'Total Sunday-Holiday Boardings'!DU22</f>
        <v>32622</v>
      </c>
      <c r="DV22" s="18">
        <f>'Total Weekday Boardings'!DV22+'Total Saturday Boardings'!DV22+'Total Sunday-Holiday Boardings'!DV22</f>
        <v>51826</v>
      </c>
      <c r="DW22" s="18">
        <f>'Total Weekday Boardings'!DW22+'Total Saturday Boardings'!DW22+'Total Sunday-Holiday Boardings'!DW22</f>
        <v>26719</v>
      </c>
      <c r="DX22" s="19">
        <f>'Total Weekday Boardings'!DX22+'Total Saturday Boardings'!DX22+'Total Sunday-Holiday Boardings'!DX22</f>
        <v>24866</v>
      </c>
      <c r="DY22" s="137">
        <v>26129</v>
      </c>
      <c r="DZ22" s="18">
        <v>31034</v>
      </c>
      <c r="EA22" s="18">
        <v>33166</v>
      </c>
      <c r="EB22" s="18">
        <v>35996</v>
      </c>
      <c r="EC22" s="18">
        <v>32492</v>
      </c>
      <c r="ED22" s="18">
        <v>27925</v>
      </c>
      <c r="EE22" s="18">
        <v>32811</v>
      </c>
      <c r="EF22" s="18">
        <v>31853</v>
      </c>
      <c r="EG22" s="18">
        <v>22810</v>
      </c>
      <c r="EH22" s="18">
        <v>13551</v>
      </c>
      <c r="EI22" s="18">
        <v>13557</v>
      </c>
      <c r="EJ22" s="19">
        <v>12812</v>
      </c>
      <c r="EK22" s="100">
        <v>12991</v>
      </c>
      <c r="EL22" s="18">
        <v>14257</v>
      </c>
      <c r="EM22" s="18">
        <v>13865</v>
      </c>
      <c r="EN22" s="103">
        <v>14824</v>
      </c>
      <c r="EO22" s="18">
        <v>11701</v>
      </c>
      <c r="EP22" s="18">
        <v>9259</v>
      </c>
      <c r="EQ22" s="18">
        <v>4439</v>
      </c>
      <c r="ER22" s="18">
        <v>14072</v>
      </c>
      <c r="ES22" s="18">
        <v>6912</v>
      </c>
      <c r="ET22" s="18">
        <v>11061</v>
      </c>
      <c r="EU22" s="18">
        <v>9861</v>
      </c>
      <c r="EV22" s="19">
        <v>10521</v>
      </c>
      <c r="EW22" s="103">
        <v>11701</v>
      </c>
      <c r="EX22" s="18">
        <v>14277</v>
      </c>
      <c r="EY22" s="18">
        <v>16240</v>
      </c>
      <c r="EZ22" s="103">
        <v>15935</v>
      </c>
      <c r="FA22" s="18">
        <v>15667</v>
      </c>
      <c r="FB22" s="145">
        <v>13834</v>
      </c>
      <c r="FC22" s="18">
        <v>12978</v>
      </c>
      <c r="FD22" s="18">
        <v>16004</v>
      </c>
      <c r="FE22" s="18">
        <v>17972</v>
      </c>
      <c r="FF22" s="18">
        <v>23117</v>
      </c>
      <c r="FG22" s="13">
        <f>SUM('Total Weekday Boardings'!FG22,'Total Saturday Boardings'!FG22,'Total Sunday-Holiday Boardings'!FG22)</f>
        <v>12694</v>
      </c>
      <c r="FH22" s="13">
        <f>SUM('Total Weekday Boardings'!FH22,'Total Saturday Boardings'!FH22,'Total Sunday-Holiday Boardings'!FH22)</f>
        <v>0</v>
      </c>
      <c r="FI22" s="13">
        <f>SUM('Total Weekday Boardings'!FI22,'Total Saturday Boardings'!FI22,'Total Sunday-Holiday Boardings'!FI22)</f>
        <v>10992</v>
      </c>
      <c r="FJ22" s="13">
        <f>SUM('Total Weekday Boardings'!FJ22,'Total Saturday Boardings'!FJ22,'Total Sunday-Holiday Boardings'!FJ22)</f>
        <v>20385</v>
      </c>
      <c r="FK22" s="13">
        <f>SUM('Total Weekday Boardings'!FK22,'Total Saturday Boardings'!FK22,'Total Sunday-Holiday Boardings'!FK22)</f>
        <v>22697.25</v>
      </c>
      <c r="FL22" s="13">
        <f>SUM('Total Weekday Boardings'!FL22,'Total Saturday Boardings'!FL22,'Total Sunday-Holiday Boardings'!FL22)</f>
        <v>22308</v>
      </c>
      <c r="FM22" s="13">
        <f>SUM('Total Weekday Boardings'!FM22,'Total Saturday Boardings'!FM22,'Total Sunday-Holiday Boardings'!FM22)</f>
        <v>19966</v>
      </c>
      <c r="FN22" s="13">
        <f>SUM('Total Weekday Boardings'!FN22,'Total Saturday Boardings'!FN22,'Total Sunday-Holiday Boardings'!FN22)</f>
        <v>18559</v>
      </c>
      <c r="FO22" s="13">
        <f>SUM('Total Weekday Boardings'!FO22,'Total Saturday Boardings'!FO22,'Total Sunday-Holiday Boardings'!FO22)</f>
        <v>21270</v>
      </c>
      <c r="FP22" s="13">
        <f>SUM('Total Weekday Boardings'!FP22,'Total Saturday Boardings'!FP22,'Total Sunday-Holiday Boardings'!FP22)</f>
        <v>20997</v>
      </c>
      <c r="FQ22" s="13">
        <f>SUM('Total Weekday Boardings'!FQ22,'Total Saturday Boardings'!FQ22,'Total Sunday-Holiday Boardings'!FQ22)</f>
        <v>23602</v>
      </c>
      <c r="FR22" s="13">
        <f>SUM('Total Weekday Boardings'!FR22,'Total Saturday Boardings'!FR22,'Total Sunday-Holiday Boardings'!FR22)</f>
        <v>23360</v>
      </c>
      <c r="FS22" s="13">
        <f>SUM('Total Weekday Boardings'!FS22,'Total Saturday Boardings'!FS22,'Total Sunday-Holiday Boardings'!FS22)</f>
        <v>23180</v>
      </c>
      <c r="FT22" s="16">
        <f>SUM('Total Weekday Boardings'!FT22,'Total Saturday Boardings'!FT22,'Total Sunday-Holiday Boardings'!FT22)</f>
        <v>20624</v>
      </c>
      <c r="FU22" s="171">
        <v>18961</v>
      </c>
      <c r="FV22" s="171">
        <v>14338</v>
      </c>
      <c r="FW22" s="171">
        <v>21581</v>
      </c>
      <c r="FX22" s="171">
        <v>23570</v>
      </c>
      <c r="FY22" s="171">
        <v>22983</v>
      </c>
      <c r="FZ22" s="171">
        <v>20464</v>
      </c>
      <c r="GA22" s="171">
        <v>23095</v>
      </c>
      <c r="GB22" s="52">
        <v>23439</v>
      </c>
      <c r="GC22" s="52">
        <v>23338</v>
      </c>
      <c r="GD22" s="52">
        <v>22667</v>
      </c>
      <c r="GE22" s="18">
        <v>22109</v>
      </c>
      <c r="GF22" s="52">
        <v>20253</v>
      </c>
      <c r="GG22" s="184">
        <v>21051</v>
      </c>
      <c r="GH22" s="52">
        <v>23968</v>
      </c>
      <c r="GI22" s="18">
        <v>23381</v>
      </c>
      <c r="GJ22" s="236">
        <v>24321</v>
      </c>
      <c r="GK22" s="184">
        <v>19872</v>
      </c>
      <c r="GL22" s="184">
        <v>18282</v>
      </c>
    </row>
    <row r="23" spans="1:194" ht="15" thickBot="1" x14ac:dyDescent="0.35">
      <c r="A23" s="3" t="s">
        <v>36</v>
      </c>
      <c r="B23" s="17"/>
      <c r="C23" s="18">
        <f>'Total Weekday Boardings'!C23+'Total Saturday Boardings'!C23+'Total Sunday-Holiday Boardings'!C23</f>
        <v>10102</v>
      </c>
      <c r="D23" s="18">
        <f>'Total Weekday Boardings'!D23+'Total Saturday Boardings'!D23+'Total Sunday-Holiday Boardings'!D23</f>
        <v>30282</v>
      </c>
      <c r="E23" s="18">
        <f>'Total Weekday Boardings'!E23+'Total Saturday Boardings'!E23+'Total Sunday-Holiday Boardings'!E23</f>
        <v>30411</v>
      </c>
      <c r="F23" s="18">
        <f>'Total Weekday Boardings'!F23+'Total Saturday Boardings'!F23+'Total Sunday-Holiday Boardings'!F23</f>
        <v>30998</v>
      </c>
      <c r="G23" s="18">
        <f>'Total Weekday Boardings'!G23+'Total Saturday Boardings'!G23+'Total Sunday-Holiday Boardings'!G23</f>
        <v>27283</v>
      </c>
      <c r="H23" s="19">
        <f>'Total Weekday Boardings'!H23+'Total Saturday Boardings'!H23+'Total Sunday-Holiday Boardings'!H23</f>
        <v>27788</v>
      </c>
      <c r="I23" s="17">
        <f>'Total Weekday Boardings'!I23+'Total Saturday Boardings'!I23+'Total Sunday-Holiday Boardings'!I23</f>
        <v>27542</v>
      </c>
      <c r="J23" s="18">
        <f>'Total Weekday Boardings'!J23+'Total Saturday Boardings'!J23+'Total Sunday-Holiday Boardings'!J23</f>
        <v>29715</v>
      </c>
      <c r="K23" s="18">
        <f>'Total Weekday Boardings'!K23+'Total Saturday Boardings'!K23+'Total Sunday-Holiday Boardings'!K23</f>
        <v>36511</v>
      </c>
      <c r="L23" s="18">
        <f>'Total Weekday Boardings'!L23+'Total Saturday Boardings'!L23+'Total Sunday-Holiday Boardings'!L23</f>
        <v>37666</v>
      </c>
      <c r="M23" s="18">
        <f>'Total Weekday Boardings'!M23+'Total Saturday Boardings'!M23+'Total Sunday-Holiday Boardings'!M23</f>
        <v>32314</v>
      </c>
      <c r="N23" s="18">
        <f>'Total Weekday Boardings'!N23+'Total Saturday Boardings'!N23+'Total Sunday-Holiday Boardings'!N23</f>
        <v>39115</v>
      </c>
      <c r="O23" s="62">
        <f>'Total Weekday Boardings'!O23+'Total Saturday Boardings'!O23+'Total Sunday-Holiday Boardings'!O23</f>
        <v>33386</v>
      </c>
      <c r="P23" s="62">
        <f>'Total Weekday Boardings'!P23+'Total Saturday Boardings'!P23+'Total Sunday-Holiday Boardings'!P23</f>
        <v>37712</v>
      </c>
      <c r="Q23" s="62">
        <f>'Total Weekday Boardings'!Q23+'Total Saturday Boardings'!Q23+'Total Sunday-Holiday Boardings'!Q23</f>
        <v>42136</v>
      </c>
      <c r="R23" s="62">
        <f>'Total Weekday Boardings'!R23+'Total Saturday Boardings'!R23+'Total Sunday-Holiday Boardings'!R23</f>
        <v>42628</v>
      </c>
      <c r="S23" s="62">
        <f>'Total Weekday Boardings'!S23+'Total Saturday Boardings'!S23+'Total Sunday-Holiday Boardings'!S23</f>
        <v>33949</v>
      </c>
      <c r="T23" s="63">
        <f>'Total Weekday Boardings'!T23+'Total Saturday Boardings'!T23+'Total Sunday-Holiday Boardings'!T23</f>
        <v>16841</v>
      </c>
      <c r="U23" s="64">
        <f>'Total Weekday Boardings'!U23+'Total Saturday Boardings'!U23+'Total Sunday-Holiday Boardings'!U23</f>
        <v>13664</v>
      </c>
      <c r="V23" s="62">
        <f>'Total Weekday Boardings'!V23+'Total Saturday Boardings'!V23+'Total Sunday-Holiday Boardings'!V23</f>
        <v>15515</v>
      </c>
      <c r="W23" s="62">
        <f>'Total Weekday Boardings'!W23+'Total Saturday Boardings'!W23+'Total Sunday-Holiday Boardings'!W23</f>
        <v>17189</v>
      </c>
      <c r="X23" s="62">
        <f>'Total Weekday Boardings'!X23+'Total Saturday Boardings'!X23+'Total Sunday-Holiday Boardings'!X23</f>
        <v>19474</v>
      </c>
      <c r="Y23" s="62">
        <f>'Total Weekday Boardings'!Y23+'Total Saturday Boardings'!Y23+'Total Sunday-Holiday Boardings'!Y23</f>
        <v>19226</v>
      </c>
      <c r="Z23" s="62">
        <f>'Total Weekday Boardings'!Z23+'Total Saturday Boardings'!Z23+'Total Sunday-Holiday Boardings'!Z23</f>
        <v>18727</v>
      </c>
      <c r="AA23" s="18">
        <f>'Total Weekday Boardings'!AA23+'Total Saturday Boardings'!AA23+'Total Sunday-Holiday Boardings'!AA23</f>
        <v>19441</v>
      </c>
      <c r="AB23" s="18">
        <f>'Total Weekday Boardings'!AB23+'Total Saturday Boardings'!AB23+'Total Sunday-Holiday Boardings'!AB23</f>
        <v>19017</v>
      </c>
      <c r="AC23" s="18">
        <f>'Total Weekday Boardings'!AC23+'Total Saturday Boardings'!AC23+'Total Sunday-Holiday Boardings'!AC23</f>
        <v>21996</v>
      </c>
      <c r="AD23" s="18">
        <f>'Total Weekday Boardings'!AD23+'Total Saturday Boardings'!AD23+'Total Sunday-Holiday Boardings'!AD23</f>
        <v>23127</v>
      </c>
      <c r="AE23" s="18">
        <f>'Total Weekday Boardings'!AE23+'Total Saturday Boardings'!AE23+'Total Sunday-Holiday Boardings'!AE23</f>
        <v>20490</v>
      </c>
      <c r="AF23" s="19">
        <f>'Total Weekday Boardings'!AF23+'Total Saturday Boardings'!AF23+'Total Sunday-Holiday Boardings'!AF23</f>
        <v>20031</v>
      </c>
      <c r="AG23" s="17">
        <f>'Total Weekday Boardings'!AG23+'Total Saturday Boardings'!AG23+'Total Sunday-Holiday Boardings'!AG23</f>
        <v>19067</v>
      </c>
      <c r="AH23" s="18">
        <f>'Total Weekday Boardings'!AH23+'Total Saturday Boardings'!AH23+'Total Sunday-Holiday Boardings'!AH23</f>
        <v>21937</v>
      </c>
      <c r="AI23" s="18">
        <f>'Total Weekday Boardings'!AI23+'Total Saturday Boardings'!AI23+'Total Sunday-Holiday Boardings'!AI23</f>
        <v>22201</v>
      </c>
      <c r="AJ23" s="18">
        <f>'Total Weekday Boardings'!AJ23+'Total Saturday Boardings'!AJ23+'Total Sunday-Holiday Boardings'!AJ23</f>
        <v>23988</v>
      </c>
      <c r="AK23" s="18">
        <f>'Total Weekday Boardings'!AK23+'Total Saturday Boardings'!AK23+'Total Sunday-Holiday Boardings'!AK23</f>
        <v>19206</v>
      </c>
      <c r="AL23" s="18">
        <f>'Total Weekday Boardings'!AL23+'Total Saturday Boardings'!AL23+'Total Sunday-Holiday Boardings'!AL23</f>
        <v>19336</v>
      </c>
      <c r="AM23" s="18">
        <f>'Total Weekday Boardings'!AM23+'Total Saturday Boardings'!AM23+'Total Sunday-Holiday Boardings'!AM23</f>
        <v>21205</v>
      </c>
      <c r="AN23" s="18">
        <f>'Total Weekday Boardings'!AN23+'Total Saturday Boardings'!AN23+'Total Sunday-Holiday Boardings'!AN23</f>
        <v>22440</v>
      </c>
      <c r="AO23" s="18">
        <f>'Total Weekday Boardings'!AO23+'Total Saturday Boardings'!AO23+'Total Sunday-Holiday Boardings'!AO23</f>
        <v>22936</v>
      </c>
      <c r="AP23" s="18">
        <f>'Total Weekday Boardings'!AP23+'Total Saturday Boardings'!AP23+'Total Sunday-Holiday Boardings'!AP23</f>
        <v>22891</v>
      </c>
      <c r="AQ23" s="18">
        <f>'Total Weekday Boardings'!AQ23+'Total Saturday Boardings'!AQ23+'Total Sunday-Holiday Boardings'!AQ23</f>
        <v>22905</v>
      </c>
      <c r="AR23" s="19">
        <f>'Total Weekday Boardings'!AR23+'Total Saturday Boardings'!AR23+'Total Sunday-Holiday Boardings'!AR23</f>
        <v>21375</v>
      </c>
      <c r="AS23" s="17">
        <f>'Total Weekday Boardings'!AS23+'Total Saturday Boardings'!AS23+'Total Sunday-Holiday Boardings'!AS23</f>
        <v>20489</v>
      </c>
      <c r="AT23" s="18">
        <f>'Total Weekday Boardings'!AT23+'Total Saturday Boardings'!AT23+'Total Sunday-Holiday Boardings'!AT23</f>
        <v>21972</v>
      </c>
      <c r="AU23" s="18">
        <f>'Total Weekday Boardings'!AU23+'Total Saturday Boardings'!AU23+'Total Sunday-Holiday Boardings'!AU23</f>
        <v>25990</v>
      </c>
      <c r="AV23" s="18">
        <f>'Total Weekday Boardings'!AV23+'Total Saturday Boardings'!AV23+'Total Sunday-Holiday Boardings'!AV23</f>
        <v>25915</v>
      </c>
      <c r="AW23" s="18">
        <f>'Total Weekday Boardings'!AW23+'Total Saturday Boardings'!AW23+'Total Sunday-Holiday Boardings'!AW23</f>
        <v>22338</v>
      </c>
      <c r="AX23" s="18">
        <f>'Total Weekday Boardings'!AX23+'Total Saturday Boardings'!AX23+'Total Sunday-Holiday Boardings'!AX23</f>
        <v>20501</v>
      </c>
      <c r="AY23" s="18">
        <f>'Total Weekday Boardings'!AY23+'Total Saturday Boardings'!AY23+'Total Sunday-Holiday Boardings'!AY23</f>
        <v>21762</v>
      </c>
      <c r="AZ23" s="18">
        <f>'Total Weekday Boardings'!AZ23+'Total Saturday Boardings'!AZ23+'Total Sunday-Holiday Boardings'!AZ23</f>
        <v>22176</v>
      </c>
      <c r="BA23" s="18">
        <f>'Total Weekday Boardings'!BA23+'Total Saturday Boardings'!BA23+'Total Sunday-Holiday Boardings'!BA23</f>
        <v>23249</v>
      </c>
      <c r="BB23" s="18">
        <f>'Total Weekday Boardings'!BB23+'Total Saturday Boardings'!BB23+'Total Sunday-Holiday Boardings'!BB23</f>
        <v>23776</v>
      </c>
      <c r="BC23" s="18">
        <f>'Total Weekday Boardings'!BC23+'Total Saturday Boardings'!BC23+'Total Sunday-Holiday Boardings'!BC23</f>
        <v>23136</v>
      </c>
      <c r="BD23" s="19">
        <f>'Total Weekday Boardings'!BD23+'Total Saturday Boardings'!BD23+'Total Sunday-Holiday Boardings'!BD23</f>
        <v>19569</v>
      </c>
      <c r="BE23" s="17">
        <f>'Total Weekday Boardings'!BE23+'Total Saturday Boardings'!BE23+'Total Sunday-Holiday Boardings'!BE23</f>
        <v>19767</v>
      </c>
      <c r="BF23" s="18">
        <f>'Total Weekday Boardings'!BF23+'Total Saturday Boardings'!BF23+'Total Sunday-Holiday Boardings'!BF23</f>
        <v>21233</v>
      </c>
      <c r="BG23" s="18">
        <f>'Total Weekday Boardings'!BG23+'Total Saturday Boardings'!BG23+'Total Sunday-Holiday Boardings'!BG23</f>
        <v>22397</v>
      </c>
      <c r="BH23" s="18">
        <f>'Total Weekday Boardings'!BH23+'Total Saturday Boardings'!BH23+'Total Sunday-Holiday Boardings'!BH23</f>
        <v>24527</v>
      </c>
      <c r="BI23" s="18">
        <f>'Total Weekday Boardings'!BI23+'Total Saturday Boardings'!BI23+'Total Sunday-Holiday Boardings'!BI23</f>
        <v>21472.367035122479</v>
      </c>
      <c r="BJ23" s="18">
        <f>'Total Weekday Boardings'!BJ23+'Total Saturday Boardings'!BJ23+'Total Sunday-Holiday Boardings'!BJ23</f>
        <v>20991</v>
      </c>
      <c r="BK23" s="18">
        <f>'Total Weekday Boardings'!BK23+'Total Saturday Boardings'!BK23+'Total Sunday-Holiday Boardings'!BK23</f>
        <v>23605</v>
      </c>
      <c r="BL23" s="18">
        <f>'Total Weekday Boardings'!BL23+'Total Saturday Boardings'!BL23+'Total Sunday-Holiday Boardings'!BL23</f>
        <v>22434</v>
      </c>
      <c r="BM23" s="18">
        <f>'Total Weekday Boardings'!BM23+'Total Saturday Boardings'!BM23+'Total Sunday-Holiday Boardings'!BM23</f>
        <v>23369</v>
      </c>
      <c r="BN23" s="18">
        <f>'Total Weekday Boardings'!BN23+'Total Saturday Boardings'!BN23+'Total Sunday-Holiday Boardings'!BN23</f>
        <v>23528</v>
      </c>
      <c r="BO23" s="18">
        <f>'Total Weekday Boardings'!BO23+'Total Saturday Boardings'!BO23+'Total Sunday-Holiday Boardings'!BO23</f>
        <v>21844</v>
      </c>
      <c r="BP23" s="19">
        <f>'Total Weekday Boardings'!BP23+'Total Saturday Boardings'!BP23+'Total Sunday-Holiday Boardings'!BP23</f>
        <v>21030</v>
      </c>
      <c r="BQ23" s="17">
        <f>'Total Weekday Boardings'!BQ23+'Total Saturday Boardings'!BQ23+'Total Sunday-Holiday Boardings'!BQ23</f>
        <v>20919</v>
      </c>
      <c r="BR23" s="18">
        <f>'Total Weekday Boardings'!BR23+'Total Saturday Boardings'!BR23+'Total Sunday-Holiday Boardings'!BR23</f>
        <v>21120</v>
      </c>
      <c r="BS23" s="18">
        <f>'Total Weekday Boardings'!BS23+'Total Saturday Boardings'!BS23+'Total Sunday-Holiday Boardings'!BS23</f>
        <v>21187</v>
      </c>
      <c r="BT23" s="18">
        <f>'Total Weekday Boardings'!BT23+'Total Saturday Boardings'!BT23+'Total Sunday-Holiday Boardings'!BT23</f>
        <v>23968</v>
      </c>
      <c r="BU23" s="18">
        <f>'Total Weekday Boardings'!BU23+'Total Saturday Boardings'!BU23+'Total Sunday-Holiday Boardings'!BU23</f>
        <v>19466</v>
      </c>
      <c r="BV23" s="18">
        <f>'Total Weekday Boardings'!BV23+'Total Saturday Boardings'!BV23+'Total Sunday-Holiday Boardings'!BV23</f>
        <v>20846</v>
      </c>
      <c r="BW23" s="18">
        <f>'Total Weekday Boardings'!BW23+'Total Saturday Boardings'!BW23+'Total Sunday-Holiday Boardings'!BW23</f>
        <v>22883</v>
      </c>
      <c r="BX23" s="18">
        <f>'Total Weekday Boardings'!BX23+'Total Saturday Boardings'!BX23+'Total Sunday-Holiday Boardings'!BX23</f>
        <v>20060</v>
      </c>
      <c r="BY23" s="18">
        <f>'Total Weekday Boardings'!BY23+'Total Saturday Boardings'!BY23+'Total Sunday-Holiday Boardings'!BY23</f>
        <v>22002</v>
      </c>
      <c r="BZ23" s="18">
        <f>'Total Weekday Boardings'!BZ23+'Total Saturday Boardings'!BZ23+'Total Sunday-Holiday Boardings'!BZ23</f>
        <v>21615</v>
      </c>
      <c r="CA23" s="18">
        <f>'Total Weekday Boardings'!CA23+'Total Saturday Boardings'!CA23+'Total Sunday-Holiday Boardings'!CA23</f>
        <v>20523</v>
      </c>
      <c r="CB23" s="19">
        <f>'Total Weekday Boardings'!CB23+'Total Saturday Boardings'!CB23+'Total Sunday-Holiday Boardings'!CB23</f>
        <v>20110</v>
      </c>
      <c r="CC23" s="20">
        <f>'Total Weekday Boardings'!CC23+'Total Saturday Boardings'!CC23+'Total Sunday-Holiday Boardings'!CC23</f>
        <v>20600</v>
      </c>
      <c r="CD23" s="18">
        <f>'Total Weekday Boardings'!CD23+'Total Saturday Boardings'!CD23+'Total Sunday-Holiday Boardings'!CD23</f>
        <v>20188</v>
      </c>
      <c r="CE23" s="18">
        <f>'Total Weekday Boardings'!CE23+'Total Saturday Boardings'!CE23+'Total Sunday-Holiday Boardings'!CE23</f>
        <v>22810</v>
      </c>
      <c r="CF23" s="18">
        <f>'Total Weekday Boardings'!CF23+'Total Saturday Boardings'!CF23+'Total Sunday-Holiday Boardings'!CF23</f>
        <v>25296</v>
      </c>
      <c r="CG23" s="18">
        <f>'Total Weekday Boardings'!CG23+'Total Saturday Boardings'!CG23+'Total Sunday-Holiday Boardings'!CG23</f>
        <v>20987</v>
      </c>
      <c r="CH23" s="18">
        <f>'Total Weekday Boardings'!CH23+'Total Saturday Boardings'!CH23+'Total Sunday-Holiday Boardings'!CH23</f>
        <v>22513</v>
      </c>
      <c r="CI23" s="18">
        <f>'Total Weekday Boardings'!CI23+'Total Saturday Boardings'!CI23+'Total Sunday-Holiday Boardings'!CI23</f>
        <v>24023</v>
      </c>
      <c r="CJ23" s="18">
        <f>'Total Weekday Boardings'!CJ23+'Total Saturday Boardings'!CJ23+'Total Sunday-Holiday Boardings'!CJ23</f>
        <v>22816</v>
      </c>
      <c r="CK23" s="18">
        <f>'Total Weekday Boardings'!CK23+'Total Saturday Boardings'!CK23+'Total Sunday-Holiday Boardings'!CK23</f>
        <v>31259</v>
      </c>
      <c r="CL23" s="18">
        <f>'Total Weekday Boardings'!CL23+'Total Saturday Boardings'!CL23+'Total Sunday-Holiday Boardings'!CL23</f>
        <v>30490</v>
      </c>
      <c r="CM23" s="18">
        <f>'Total Weekday Boardings'!CM23+'Total Saturday Boardings'!CM23+'Total Sunday-Holiday Boardings'!CM23</f>
        <v>24482</v>
      </c>
      <c r="CN23" s="21">
        <f>'Total Weekday Boardings'!CN23+'Total Saturday Boardings'!CN23+'Total Sunday-Holiday Boardings'!CN23</f>
        <v>27877</v>
      </c>
      <c r="CO23" s="17">
        <f>'Total Weekday Boardings'!CO23+'Total Saturday Boardings'!CO23+'Total Sunday-Holiday Boardings'!CO23</f>
        <v>20820</v>
      </c>
      <c r="CP23" s="18">
        <f>'Total Weekday Boardings'!CP23+'Total Saturday Boardings'!CP23+'Total Sunday-Holiday Boardings'!CP23</f>
        <v>21442</v>
      </c>
      <c r="CQ23" s="18">
        <f>'Total Weekday Boardings'!CQ23+'Total Saturday Boardings'!CQ23+'Total Sunday-Holiday Boardings'!CQ23</f>
        <v>20348</v>
      </c>
      <c r="CR23" s="18">
        <f>'Total Weekday Boardings'!CR23+'Total Saturday Boardings'!CR23+'Total Sunday-Holiday Boardings'!CR23</f>
        <v>21621</v>
      </c>
      <c r="CS23" s="18">
        <f>'Total Weekday Boardings'!CS23+'Total Saturday Boardings'!CS23+'Total Sunday-Holiday Boardings'!CS23</f>
        <v>20041</v>
      </c>
      <c r="CT23" s="18">
        <f>'Total Weekday Boardings'!CT23+'Total Saturday Boardings'!CT23+'Total Sunday-Holiday Boardings'!CT23</f>
        <v>20954</v>
      </c>
      <c r="CU23" s="18">
        <f>'Total Weekday Boardings'!CU23+'Total Saturday Boardings'!CU23+'Total Sunday-Holiday Boardings'!CU23</f>
        <v>21226</v>
      </c>
      <c r="CV23" s="18">
        <f>'Total Weekday Boardings'!CV23+'Total Saturday Boardings'!CV23+'Total Sunday-Holiday Boardings'!CV23</f>
        <v>19258</v>
      </c>
      <c r="CW23" s="18">
        <f>'Total Weekday Boardings'!CW23+'Total Saturday Boardings'!CW23+'Total Sunday-Holiday Boardings'!CW23</f>
        <v>23584</v>
      </c>
      <c r="CX23" s="18">
        <f>'Total Weekday Boardings'!CX23+'Total Saturday Boardings'!CX23+'Total Sunday-Holiday Boardings'!CX23</f>
        <v>23418</v>
      </c>
      <c r="CY23" s="18">
        <f>'Total Weekday Boardings'!CY23+'Total Saturday Boardings'!CY23+'Total Sunday-Holiday Boardings'!CY23</f>
        <v>21458</v>
      </c>
      <c r="CZ23" s="19">
        <f>'Total Weekday Boardings'!CZ23+'Total Saturday Boardings'!CZ23+'Total Sunday-Holiday Boardings'!CZ23</f>
        <v>19599</v>
      </c>
      <c r="DA23" s="17">
        <f>'Total Weekday Boardings'!DA23+'Total Saturday Boardings'!DA23+'Total Sunday-Holiday Boardings'!DA23</f>
        <v>18519</v>
      </c>
      <c r="DB23" s="18">
        <f>'Total Weekday Boardings'!DB23+'Total Saturday Boardings'!DB23+'Total Sunday-Holiday Boardings'!DB23</f>
        <v>21743</v>
      </c>
      <c r="DC23" s="18">
        <f>'Total Weekday Boardings'!DC23+'Total Saturday Boardings'!DC23+'Total Sunday-Holiday Boardings'!DC23</f>
        <v>20059</v>
      </c>
      <c r="DD23" s="18">
        <f>'Total Weekday Boardings'!DD23+'Total Saturday Boardings'!DD23+'Total Sunday-Holiday Boardings'!DD23</f>
        <v>21225</v>
      </c>
      <c r="DE23" s="18">
        <f>'Total Weekday Boardings'!DE23+'Total Saturday Boardings'!DE23+'Total Sunday-Holiday Boardings'!DE23</f>
        <v>19409</v>
      </c>
      <c r="DF23" s="18">
        <f>'Total Weekday Boardings'!DF23+'Total Saturday Boardings'!DF23+'Total Sunday-Holiday Boardings'!DF23</f>
        <v>19113</v>
      </c>
      <c r="DG23" s="18">
        <f>'Total Weekday Boardings'!DG23+'Total Saturday Boardings'!DG23+'Total Sunday-Holiday Boardings'!DG23</f>
        <v>27535</v>
      </c>
      <c r="DH23" s="18">
        <f>'Total Weekday Boardings'!DH23+'Total Saturday Boardings'!DH23+'Total Sunday-Holiday Boardings'!DH23</f>
        <v>24111</v>
      </c>
      <c r="DI23" s="18">
        <f>'Total Weekday Boardings'!DI23+'Total Saturday Boardings'!DI23+'Total Sunday-Holiday Boardings'!DI23</f>
        <v>28610</v>
      </c>
      <c r="DJ23" s="18">
        <f>'Total Weekday Boardings'!DJ23+'Total Saturday Boardings'!DJ23+'Total Sunday-Holiday Boardings'!DJ23</f>
        <v>29680</v>
      </c>
      <c r="DK23" s="18">
        <f>'Total Weekday Boardings'!DK23+'Total Saturday Boardings'!DK23+'Total Sunday-Holiday Boardings'!DK23</f>
        <v>28518</v>
      </c>
      <c r="DL23" s="19">
        <f>'Total Weekday Boardings'!DL23+'Total Saturday Boardings'!DL23+'Total Sunday-Holiday Boardings'!DL23</f>
        <v>24152</v>
      </c>
      <c r="DM23" s="17">
        <f>'Total Weekday Boardings'!DM23+'Total Saturday Boardings'!DM23+'Total Sunday-Holiday Boardings'!DM23</f>
        <v>23614</v>
      </c>
      <c r="DN23" s="18">
        <f>'Total Weekday Boardings'!DN23+'Total Saturday Boardings'!DN23+'Total Sunday-Holiday Boardings'!DN23</f>
        <v>26016</v>
      </c>
      <c r="DO23" s="18">
        <f>'Total Weekday Boardings'!DO23+'Total Saturday Boardings'!DO23+'Total Sunday-Holiday Boardings'!DO23</f>
        <v>24553</v>
      </c>
      <c r="DP23" s="18">
        <f>'Total Weekday Boardings'!DP23+'Total Saturday Boardings'!DP23+'Total Sunday-Holiday Boardings'!DP23</f>
        <v>27277</v>
      </c>
      <c r="DQ23" s="18">
        <f>'Total Weekday Boardings'!DQ23+'Total Saturday Boardings'!DQ23+'Total Sunday-Holiday Boardings'!DQ23</f>
        <v>26721</v>
      </c>
      <c r="DR23" s="18">
        <f>'Total Weekday Boardings'!DR23+'Total Saturday Boardings'!DR23+'Total Sunday-Holiday Boardings'!DR23</f>
        <v>25556</v>
      </c>
      <c r="DS23" s="18">
        <f>'Total Weekday Boardings'!DS23+'Total Saturday Boardings'!DS23+'Total Sunday-Holiday Boardings'!DS23</f>
        <v>26851</v>
      </c>
      <c r="DT23" s="18">
        <f>'Total Weekday Boardings'!DT23+'Total Saturday Boardings'!DT23+'Total Sunday-Holiday Boardings'!DT23</f>
        <v>22860</v>
      </c>
      <c r="DU23" s="18">
        <f>'Total Weekday Boardings'!DU23+'Total Saturday Boardings'!DU23+'Total Sunday-Holiday Boardings'!DU23</f>
        <v>26692</v>
      </c>
      <c r="DV23" s="18">
        <f>'Total Weekday Boardings'!DV23+'Total Saturday Boardings'!DV23+'Total Sunday-Holiday Boardings'!DV23</f>
        <v>20665</v>
      </c>
      <c r="DW23" s="18">
        <f>'Total Weekday Boardings'!DW23+'Total Saturday Boardings'!DW23+'Total Sunday-Holiday Boardings'!DW23</f>
        <v>27662</v>
      </c>
      <c r="DX23" s="19">
        <f>'Total Weekday Boardings'!DX23+'Total Saturday Boardings'!DX23+'Total Sunday-Holiday Boardings'!DX23</f>
        <v>24065</v>
      </c>
      <c r="DY23" s="137">
        <v>24459</v>
      </c>
      <c r="DZ23" s="18">
        <v>27405</v>
      </c>
      <c r="EA23" s="18">
        <v>24843</v>
      </c>
      <c r="EB23" s="18">
        <v>28269</v>
      </c>
      <c r="EC23" s="18">
        <v>26857</v>
      </c>
      <c r="ED23" s="18">
        <v>26572</v>
      </c>
      <c r="EE23" s="18">
        <v>27866</v>
      </c>
      <c r="EF23" s="18">
        <v>26859</v>
      </c>
      <c r="EG23" s="18">
        <v>20955</v>
      </c>
      <c r="EH23" s="18">
        <v>10420</v>
      </c>
      <c r="EI23" s="18">
        <v>10223</v>
      </c>
      <c r="EJ23" s="19">
        <v>9830</v>
      </c>
      <c r="EK23" s="100">
        <v>9470</v>
      </c>
      <c r="EL23" s="18">
        <v>10701</v>
      </c>
      <c r="EM23" s="18">
        <v>11003</v>
      </c>
      <c r="EN23" s="103">
        <v>12506</v>
      </c>
      <c r="EO23" s="18">
        <v>13921</v>
      </c>
      <c r="EP23" s="18">
        <v>5196</v>
      </c>
      <c r="EQ23" s="18">
        <v>4538</v>
      </c>
      <c r="ER23" s="18">
        <v>4390</v>
      </c>
      <c r="ES23" s="18">
        <v>3711</v>
      </c>
      <c r="ET23" s="18">
        <v>11787</v>
      </c>
      <c r="EU23" s="18">
        <v>11309</v>
      </c>
      <c r="EV23" s="19">
        <v>12780</v>
      </c>
      <c r="EW23" s="103">
        <v>13921</v>
      </c>
      <c r="EX23" s="18">
        <v>13198</v>
      </c>
      <c r="EY23" s="18">
        <v>12666</v>
      </c>
      <c r="EZ23" s="103">
        <v>13690</v>
      </c>
      <c r="FA23" s="18">
        <v>14527</v>
      </c>
      <c r="FB23" s="145">
        <v>14232</v>
      </c>
      <c r="FC23" s="18">
        <v>11967</v>
      </c>
      <c r="FD23" s="18">
        <v>14632</v>
      </c>
      <c r="FE23" s="18">
        <v>17362</v>
      </c>
      <c r="FF23" s="18">
        <v>9091</v>
      </c>
      <c r="FG23" s="13">
        <f>SUM('Total Weekday Boardings'!FG23,'Total Saturday Boardings'!FG23,'Total Sunday-Holiday Boardings'!FG23)</f>
        <v>13497</v>
      </c>
      <c r="FH23" s="13">
        <f>SUM('Total Weekday Boardings'!FH23,'Total Saturday Boardings'!FH23,'Total Sunday-Holiday Boardings'!FH23)</f>
        <v>20391</v>
      </c>
      <c r="FI23" s="13">
        <f>SUM('Total Weekday Boardings'!FI23,'Total Saturday Boardings'!FI23,'Total Sunday-Holiday Boardings'!FI23)</f>
        <v>13315</v>
      </c>
      <c r="FJ23" s="13">
        <f>SUM('Total Weekday Boardings'!FJ23,'Total Saturday Boardings'!FJ23,'Total Sunday-Holiday Boardings'!FJ23)</f>
        <v>8789</v>
      </c>
      <c r="FK23" s="13">
        <f>SUM('Total Weekday Boardings'!FK23,'Total Saturday Boardings'!FK23,'Total Sunday-Holiday Boardings'!FK23)</f>
        <v>8816.25</v>
      </c>
      <c r="FL23" s="13">
        <f>SUM('Total Weekday Boardings'!FL23,'Total Saturday Boardings'!FL23,'Total Sunday-Holiday Boardings'!FL23)</f>
        <v>9146</v>
      </c>
      <c r="FM23" s="13">
        <f>SUM('Total Weekday Boardings'!FM23,'Total Saturday Boardings'!FM23,'Total Sunday-Holiday Boardings'!FM23)</f>
        <v>8781</v>
      </c>
      <c r="FN23" s="13">
        <f>SUM('Total Weekday Boardings'!FN23,'Total Saturday Boardings'!FN23,'Total Sunday-Holiday Boardings'!FN23)</f>
        <v>8484</v>
      </c>
      <c r="FO23" s="13">
        <f>SUM('Total Weekday Boardings'!FO23,'Total Saturday Boardings'!FO23,'Total Sunday-Holiday Boardings'!FO23)</f>
        <v>9426</v>
      </c>
      <c r="FP23" s="13">
        <f>SUM('Total Weekday Boardings'!FP23,'Total Saturday Boardings'!FP23,'Total Sunday-Holiday Boardings'!FP23)</f>
        <v>8819</v>
      </c>
      <c r="FQ23" s="13">
        <f>SUM('Total Weekday Boardings'!FQ23,'Total Saturday Boardings'!FQ23,'Total Sunday-Holiday Boardings'!FQ23)</f>
        <v>11520</v>
      </c>
      <c r="FR23" s="13">
        <f>SUM('Total Weekday Boardings'!FR23,'Total Saturday Boardings'!FR23,'Total Sunday-Holiday Boardings'!FR23)</f>
        <v>11100</v>
      </c>
      <c r="FS23" s="13">
        <f>SUM('Total Weekday Boardings'!FS23,'Total Saturday Boardings'!FS23,'Total Sunday-Holiday Boardings'!FS23)</f>
        <v>11466</v>
      </c>
      <c r="FT23" s="16">
        <f>SUM('Total Weekday Boardings'!FT23,'Total Saturday Boardings'!FT23,'Total Sunday-Holiday Boardings'!FT23)</f>
        <v>10389</v>
      </c>
      <c r="FU23" s="171">
        <v>10431</v>
      </c>
      <c r="FV23" s="171">
        <v>16058</v>
      </c>
      <c r="FW23" s="171">
        <v>9897</v>
      </c>
      <c r="FX23" s="171">
        <v>11911</v>
      </c>
      <c r="FY23" s="171">
        <v>10632</v>
      </c>
      <c r="FZ23" s="171">
        <v>9443</v>
      </c>
      <c r="GA23" s="171">
        <v>9040</v>
      </c>
      <c r="GB23" s="52">
        <v>10292</v>
      </c>
      <c r="GC23" s="52">
        <v>10729</v>
      </c>
      <c r="GD23" s="52">
        <v>10264</v>
      </c>
      <c r="GE23" s="18">
        <v>10522</v>
      </c>
      <c r="GF23" s="52">
        <v>9538</v>
      </c>
      <c r="GG23" s="184">
        <v>9398</v>
      </c>
      <c r="GH23" s="52">
        <v>10070</v>
      </c>
      <c r="GI23" s="18">
        <v>10090</v>
      </c>
      <c r="GJ23" s="236">
        <v>9833</v>
      </c>
      <c r="GK23" s="184">
        <v>9699</v>
      </c>
      <c r="GL23" s="184">
        <v>9029</v>
      </c>
    </row>
    <row r="24" spans="1:194" ht="15" thickBot="1" x14ac:dyDescent="0.35">
      <c r="A24" s="3" t="s">
        <v>37</v>
      </c>
      <c r="B24" s="17"/>
      <c r="C24" s="18">
        <f>'Total Weekday Boardings'!C24+'Total Saturday Boardings'!C24+'Total Sunday-Holiday Boardings'!C24</f>
        <v>9683</v>
      </c>
      <c r="D24" s="18">
        <f>'Total Weekday Boardings'!D24+'Total Saturday Boardings'!D24+'Total Sunday-Holiday Boardings'!D24</f>
        <v>14297</v>
      </c>
      <c r="E24" s="18">
        <f>'Total Weekday Boardings'!E24+'Total Saturday Boardings'!E24+'Total Sunday-Holiday Boardings'!E24</f>
        <v>9631</v>
      </c>
      <c r="F24" s="18">
        <f>'Total Weekday Boardings'!F24+'Total Saturday Boardings'!F24+'Total Sunday-Holiday Boardings'!F24</f>
        <v>12163</v>
      </c>
      <c r="G24" s="18">
        <f>'Total Weekday Boardings'!G24+'Total Saturday Boardings'!G24+'Total Sunday-Holiday Boardings'!G24</f>
        <v>10342</v>
      </c>
      <c r="H24" s="19">
        <f>'Total Weekday Boardings'!H24+'Total Saturday Boardings'!H24+'Total Sunday-Holiday Boardings'!H24</f>
        <v>10089</v>
      </c>
      <c r="I24" s="17">
        <f>'Total Weekday Boardings'!I24+'Total Saturday Boardings'!I24+'Total Sunday-Holiday Boardings'!I24</f>
        <v>11299</v>
      </c>
      <c r="J24" s="18">
        <f>'Total Weekday Boardings'!J24+'Total Saturday Boardings'!J24+'Total Sunday-Holiday Boardings'!J24</f>
        <v>12963</v>
      </c>
      <c r="K24" s="18">
        <f>'Total Weekday Boardings'!K24+'Total Saturday Boardings'!K24+'Total Sunday-Holiday Boardings'!K24</f>
        <v>11817</v>
      </c>
      <c r="L24" s="18">
        <f>'Total Weekday Boardings'!L24+'Total Saturday Boardings'!L24+'Total Sunday-Holiday Boardings'!L24</f>
        <v>13085</v>
      </c>
      <c r="M24" s="18">
        <f>'Total Weekday Boardings'!M24+'Total Saturday Boardings'!M24+'Total Sunday-Holiday Boardings'!M24</f>
        <v>15301</v>
      </c>
      <c r="N24" s="18">
        <f>'Total Weekday Boardings'!N24+'Total Saturday Boardings'!N24+'Total Sunday-Holiday Boardings'!N24</f>
        <v>12809</v>
      </c>
      <c r="O24" s="62">
        <f>'Total Weekday Boardings'!O24+'Total Saturday Boardings'!O24+'Total Sunday-Holiday Boardings'!O24</f>
        <v>12136</v>
      </c>
      <c r="P24" s="62">
        <f>'Total Weekday Boardings'!P24+'Total Saturday Boardings'!P24+'Total Sunday-Holiday Boardings'!P24</f>
        <v>13317</v>
      </c>
      <c r="Q24" s="62">
        <f>'Total Weekday Boardings'!Q24+'Total Saturday Boardings'!Q24+'Total Sunday-Holiday Boardings'!Q24</f>
        <v>14403</v>
      </c>
      <c r="R24" s="62">
        <f>'Total Weekday Boardings'!R24+'Total Saturday Boardings'!R24+'Total Sunday-Holiday Boardings'!R24</f>
        <v>14578</v>
      </c>
      <c r="S24" s="62">
        <f>'Total Weekday Boardings'!S24+'Total Saturday Boardings'!S24+'Total Sunday-Holiday Boardings'!S24</f>
        <v>12938</v>
      </c>
      <c r="T24" s="63">
        <f>'Total Weekday Boardings'!T24+'Total Saturday Boardings'!T24+'Total Sunday-Holiday Boardings'!T24</f>
        <v>19113</v>
      </c>
      <c r="U24" s="64">
        <f>'Total Weekday Boardings'!U24+'Total Saturday Boardings'!U24+'Total Sunday-Holiday Boardings'!U24</f>
        <v>17470</v>
      </c>
      <c r="V24" s="62">
        <f>'Total Weekday Boardings'!V24+'Total Saturday Boardings'!V24+'Total Sunday-Holiday Boardings'!V24</f>
        <v>20093</v>
      </c>
      <c r="W24" s="62">
        <f>'Total Weekday Boardings'!W24+'Total Saturday Boardings'!W24+'Total Sunday-Holiday Boardings'!W24</f>
        <v>21195</v>
      </c>
      <c r="X24" s="62">
        <f>'Total Weekday Boardings'!X24+'Total Saturday Boardings'!X24+'Total Sunday-Holiday Boardings'!X24</f>
        <v>23196</v>
      </c>
      <c r="Y24" s="62">
        <f>'Total Weekday Boardings'!Y24+'Total Saturday Boardings'!Y24+'Total Sunday-Holiday Boardings'!Y24</f>
        <v>23916</v>
      </c>
      <c r="Z24" s="62">
        <f>'Total Weekday Boardings'!Z24+'Total Saturday Boardings'!Z24+'Total Sunday-Holiday Boardings'!Z24</f>
        <v>21589</v>
      </c>
      <c r="AA24" s="18">
        <f>'Total Weekday Boardings'!AA24+'Total Saturday Boardings'!AA24+'Total Sunday-Holiday Boardings'!AA24</f>
        <v>24387</v>
      </c>
      <c r="AB24" s="18">
        <f>'Total Weekday Boardings'!AB24+'Total Saturday Boardings'!AB24+'Total Sunday-Holiday Boardings'!AB24</f>
        <v>24878</v>
      </c>
      <c r="AC24" s="18">
        <f>'Total Weekday Boardings'!AC24+'Total Saturday Boardings'!AC24+'Total Sunday-Holiday Boardings'!AC24</f>
        <v>27147</v>
      </c>
      <c r="AD24" s="18">
        <f>'Total Weekday Boardings'!AD24+'Total Saturday Boardings'!AD24+'Total Sunday-Holiday Boardings'!AD24</f>
        <v>25844</v>
      </c>
      <c r="AE24" s="18">
        <f>'Total Weekday Boardings'!AE24+'Total Saturday Boardings'!AE24+'Total Sunday-Holiday Boardings'!AE24</f>
        <v>24485</v>
      </c>
      <c r="AF24" s="19">
        <f>'Total Weekday Boardings'!AF24+'Total Saturday Boardings'!AF24+'Total Sunday-Holiday Boardings'!AF24</f>
        <v>25017</v>
      </c>
      <c r="AG24" s="17">
        <f>'Total Weekday Boardings'!AG24+'Total Saturday Boardings'!AG24+'Total Sunday-Holiday Boardings'!AG24</f>
        <v>23412</v>
      </c>
      <c r="AH24" s="18">
        <f>'Total Weekday Boardings'!AH24+'Total Saturday Boardings'!AH24+'Total Sunday-Holiday Boardings'!AH24</f>
        <v>24320</v>
      </c>
      <c r="AI24" s="18">
        <f>'Total Weekday Boardings'!AI24+'Total Saturday Boardings'!AI24+'Total Sunday-Holiday Boardings'!AI24</f>
        <v>24948</v>
      </c>
      <c r="AJ24" s="18">
        <f>'Total Weekday Boardings'!AJ24+'Total Saturday Boardings'!AJ24+'Total Sunday-Holiday Boardings'!AJ24</f>
        <v>26728</v>
      </c>
      <c r="AK24" s="18">
        <f>'Total Weekday Boardings'!AK24+'Total Saturday Boardings'!AK24+'Total Sunday-Holiday Boardings'!AK24</f>
        <v>22495</v>
      </c>
      <c r="AL24" s="18">
        <f>'Total Weekday Boardings'!AL24+'Total Saturday Boardings'!AL24+'Total Sunday-Holiday Boardings'!AL24</f>
        <v>23378</v>
      </c>
      <c r="AM24" s="18">
        <f>'Total Weekday Boardings'!AM24+'Total Saturday Boardings'!AM24+'Total Sunday-Holiday Boardings'!AM24</f>
        <v>25143</v>
      </c>
      <c r="AN24" s="18">
        <f>'Total Weekday Boardings'!AN24+'Total Saturday Boardings'!AN24+'Total Sunday-Holiday Boardings'!AN24</f>
        <v>26426</v>
      </c>
      <c r="AO24" s="18">
        <f>'Total Weekday Boardings'!AO24+'Total Saturday Boardings'!AO24+'Total Sunday-Holiday Boardings'!AO24</f>
        <v>29402</v>
      </c>
      <c r="AP24" s="18">
        <f>'Total Weekday Boardings'!AP24+'Total Saturday Boardings'!AP24+'Total Sunday-Holiday Boardings'!AP24</f>
        <v>28169</v>
      </c>
      <c r="AQ24" s="18">
        <f>'Total Weekday Boardings'!AQ24+'Total Saturday Boardings'!AQ24+'Total Sunday-Holiday Boardings'!AQ24</f>
        <v>29070</v>
      </c>
      <c r="AR24" s="19">
        <f>'Total Weekday Boardings'!AR24+'Total Saturday Boardings'!AR24+'Total Sunday-Holiday Boardings'!AR24</f>
        <v>26232</v>
      </c>
      <c r="AS24" s="17">
        <f>'Total Weekday Boardings'!AS24+'Total Saturday Boardings'!AS24+'Total Sunday-Holiday Boardings'!AS24</f>
        <v>25461</v>
      </c>
      <c r="AT24" s="18">
        <f>'Total Weekday Boardings'!AT24+'Total Saturday Boardings'!AT24+'Total Sunday-Holiday Boardings'!AT24</f>
        <v>27369</v>
      </c>
      <c r="AU24" s="18">
        <f>'Total Weekday Boardings'!AU24+'Total Saturday Boardings'!AU24+'Total Sunday-Holiday Boardings'!AU24</f>
        <v>21773</v>
      </c>
      <c r="AV24" s="18">
        <f>'Total Weekday Boardings'!AV24+'Total Saturday Boardings'!AV24+'Total Sunday-Holiday Boardings'!AV24</f>
        <v>29011</v>
      </c>
      <c r="AW24" s="18">
        <f>'Total Weekday Boardings'!AW24+'Total Saturday Boardings'!AW24+'Total Sunday-Holiday Boardings'!AW24</f>
        <v>27170</v>
      </c>
      <c r="AX24" s="18">
        <f>'Total Weekday Boardings'!AX24+'Total Saturday Boardings'!AX24+'Total Sunday-Holiday Boardings'!AX24</f>
        <v>25481</v>
      </c>
      <c r="AY24" s="18">
        <f>'Total Weekday Boardings'!AY24+'Total Saturday Boardings'!AY24+'Total Sunday-Holiday Boardings'!AY24</f>
        <v>25044</v>
      </c>
      <c r="AZ24" s="18">
        <f>'Total Weekday Boardings'!AZ24+'Total Saturday Boardings'!AZ24+'Total Sunday-Holiday Boardings'!AZ24</f>
        <v>25212</v>
      </c>
      <c r="BA24" s="18">
        <f>'Total Weekday Boardings'!BA24+'Total Saturday Boardings'!BA24+'Total Sunday-Holiday Boardings'!BA24</f>
        <v>28732</v>
      </c>
      <c r="BB24" s="18">
        <f>'Total Weekday Boardings'!BB24+'Total Saturday Boardings'!BB24+'Total Sunday-Holiday Boardings'!BB24</f>
        <v>28303</v>
      </c>
      <c r="BC24" s="18">
        <f>'Total Weekday Boardings'!BC24+'Total Saturday Boardings'!BC24+'Total Sunday-Holiday Boardings'!BC24</f>
        <v>28706</v>
      </c>
      <c r="BD24" s="19">
        <f>'Total Weekday Boardings'!BD24+'Total Saturday Boardings'!BD24+'Total Sunday-Holiday Boardings'!BD24</f>
        <v>24024</v>
      </c>
      <c r="BE24" s="17">
        <f>'Total Weekday Boardings'!BE24+'Total Saturday Boardings'!BE24+'Total Sunday-Holiday Boardings'!BE24</f>
        <v>24407</v>
      </c>
      <c r="BF24" s="18">
        <f>'Total Weekday Boardings'!BF24+'Total Saturday Boardings'!BF24+'Total Sunday-Holiday Boardings'!BF24</f>
        <v>26715</v>
      </c>
      <c r="BG24" s="18">
        <f>'Total Weekday Boardings'!BG24+'Total Saturday Boardings'!BG24+'Total Sunday-Holiday Boardings'!BG24</f>
        <v>27596</v>
      </c>
      <c r="BH24" s="18">
        <f>'Total Weekday Boardings'!BH24+'Total Saturday Boardings'!BH24+'Total Sunday-Holiday Boardings'!BH24</f>
        <v>31256</v>
      </c>
      <c r="BI24" s="18">
        <f>'Total Weekday Boardings'!BI24+'Total Saturday Boardings'!BI24+'Total Sunday-Holiday Boardings'!BI24</f>
        <v>27114.407451370804</v>
      </c>
      <c r="BJ24" s="18">
        <f>'Total Weekday Boardings'!BJ24+'Total Saturday Boardings'!BJ24+'Total Sunday-Holiday Boardings'!BJ24</f>
        <v>28646</v>
      </c>
      <c r="BK24" s="18">
        <f>'Total Weekday Boardings'!BK24+'Total Saturday Boardings'!BK24+'Total Sunday-Holiday Boardings'!BK24</f>
        <v>31819</v>
      </c>
      <c r="BL24" s="18">
        <f>'Total Weekday Boardings'!BL24+'Total Saturday Boardings'!BL24+'Total Sunday-Holiday Boardings'!BL24</f>
        <v>29240</v>
      </c>
      <c r="BM24" s="18">
        <f>'Total Weekday Boardings'!BM24+'Total Saturday Boardings'!BM24+'Total Sunday-Holiday Boardings'!BM24</f>
        <v>31722</v>
      </c>
      <c r="BN24" s="18">
        <f>'Total Weekday Boardings'!BN24+'Total Saturday Boardings'!BN24+'Total Sunday-Holiday Boardings'!BN24</f>
        <v>29411</v>
      </c>
      <c r="BO24" s="18">
        <f>'Total Weekday Boardings'!BO24+'Total Saturday Boardings'!BO24+'Total Sunday-Holiday Boardings'!BO24</f>
        <v>29515</v>
      </c>
      <c r="BP24" s="19">
        <f>'Total Weekday Boardings'!BP24+'Total Saturday Boardings'!BP24+'Total Sunday-Holiday Boardings'!BP24</f>
        <v>27787</v>
      </c>
      <c r="BQ24" s="17">
        <f>'Total Weekday Boardings'!BQ24+'Total Saturday Boardings'!BQ24+'Total Sunday-Holiday Boardings'!BQ24</f>
        <v>25808</v>
      </c>
      <c r="BR24" s="18">
        <f>'Total Weekday Boardings'!BR24+'Total Saturday Boardings'!BR24+'Total Sunday-Holiday Boardings'!BR24</f>
        <v>26912</v>
      </c>
      <c r="BS24" s="18">
        <f>'Total Weekday Boardings'!BS24+'Total Saturday Boardings'!BS24+'Total Sunday-Holiday Boardings'!BS24</f>
        <v>26970</v>
      </c>
      <c r="BT24" s="18">
        <f>'Total Weekday Boardings'!BT24+'Total Saturday Boardings'!BT24+'Total Sunday-Holiday Boardings'!BT24</f>
        <v>30979</v>
      </c>
      <c r="BU24" s="18">
        <f>'Total Weekday Boardings'!BU24+'Total Saturday Boardings'!BU24+'Total Sunday-Holiday Boardings'!BU24</f>
        <v>26923</v>
      </c>
      <c r="BV24" s="18">
        <f>'Total Weekday Boardings'!BV24+'Total Saturday Boardings'!BV24+'Total Sunday-Holiday Boardings'!BV24</f>
        <v>28623</v>
      </c>
      <c r="BW24" s="18">
        <f>'Total Weekday Boardings'!BW24+'Total Saturday Boardings'!BW24+'Total Sunday-Holiday Boardings'!BW24</f>
        <v>59626</v>
      </c>
      <c r="BX24" s="18">
        <f>'Total Weekday Boardings'!BX24+'Total Saturday Boardings'!BX24+'Total Sunday-Holiday Boardings'!BX24</f>
        <v>30369</v>
      </c>
      <c r="BY24" s="18">
        <f>'Total Weekday Boardings'!BY24+'Total Saturday Boardings'!BY24+'Total Sunday-Holiday Boardings'!BY24</f>
        <v>30144</v>
      </c>
      <c r="BZ24" s="18">
        <f>'Total Weekday Boardings'!BZ24+'Total Saturday Boardings'!BZ24+'Total Sunday-Holiday Boardings'!BZ24</f>
        <v>29047</v>
      </c>
      <c r="CA24" s="18">
        <f>'Total Weekday Boardings'!CA24+'Total Saturday Boardings'!CA24+'Total Sunday-Holiday Boardings'!CA24</f>
        <v>28258</v>
      </c>
      <c r="CB24" s="19">
        <f>'Total Weekday Boardings'!CB24+'Total Saturday Boardings'!CB24+'Total Sunday-Holiday Boardings'!CB24</f>
        <v>27367</v>
      </c>
      <c r="CC24" s="20">
        <f>'Total Weekday Boardings'!CC24+'Total Saturday Boardings'!CC24+'Total Sunday-Holiday Boardings'!CC24</f>
        <v>27501</v>
      </c>
      <c r="CD24" s="18">
        <f>'Total Weekday Boardings'!CD24+'Total Saturday Boardings'!CD24+'Total Sunday-Holiday Boardings'!CD24</f>
        <v>27236</v>
      </c>
      <c r="CE24" s="18">
        <f>'Total Weekday Boardings'!CE24+'Total Saturday Boardings'!CE24+'Total Sunday-Holiday Boardings'!CE24</f>
        <v>25893</v>
      </c>
      <c r="CF24" s="18">
        <f>'Total Weekday Boardings'!CF24+'Total Saturday Boardings'!CF24+'Total Sunday-Holiday Boardings'!CF24</f>
        <v>28722</v>
      </c>
      <c r="CG24" s="18">
        <f>'Total Weekday Boardings'!CG24+'Total Saturday Boardings'!CG24+'Total Sunday-Holiday Boardings'!CG24</f>
        <v>25149</v>
      </c>
      <c r="CH24" s="18">
        <f>'Total Weekday Boardings'!CH24+'Total Saturday Boardings'!CH24+'Total Sunday-Holiday Boardings'!CH24</f>
        <v>26979</v>
      </c>
      <c r="CI24" s="18">
        <f>'Total Weekday Boardings'!CI24+'Total Saturday Boardings'!CI24+'Total Sunday-Holiday Boardings'!CI24</f>
        <v>30185</v>
      </c>
      <c r="CJ24" s="18">
        <f>'Total Weekday Boardings'!CJ24+'Total Saturday Boardings'!CJ24+'Total Sunday-Holiday Boardings'!CJ24</f>
        <v>25989</v>
      </c>
      <c r="CK24" s="18">
        <f>'Total Weekday Boardings'!CK24+'Total Saturday Boardings'!CK24+'Total Sunday-Holiday Boardings'!CK24</f>
        <v>23536</v>
      </c>
      <c r="CL24" s="18">
        <f>'Total Weekday Boardings'!CL24+'Total Saturday Boardings'!CL24+'Total Sunday-Holiday Boardings'!CL24</f>
        <v>23757</v>
      </c>
      <c r="CM24" s="18">
        <f>'Total Weekday Boardings'!CM24+'Total Saturday Boardings'!CM24+'Total Sunday-Holiday Boardings'!CM24</f>
        <v>26994</v>
      </c>
      <c r="CN24" s="21">
        <f>'Total Weekday Boardings'!CN24+'Total Saturday Boardings'!CN24+'Total Sunday-Holiday Boardings'!CN24</f>
        <v>21925</v>
      </c>
      <c r="CO24" s="17">
        <f>'Total Weekday Boardings'!CO24+'Total Saturday Boardings'!CO24+'Total Sunday-Holiday Boardings'!CO24</f>
        <v>25790</v>
      </c>
      <c r="CP24" s="18">
        <f>'Total Weekday Boardings'!CP24+'Total Saturday Boardings'!CP24+'Total Sunday-Holiday Boardings'!CP24</f>
        <v>27388</v>
      </c>
      <c r="CQ24" s="18">
        <f>'Total Weekday Boardings'!CQ24+'Total Saturday Boardings'!CQ24+'Total Sunday-Holiday Boardings'!CQ24</f>
        <v>26691</v>
      </c>
      <c r="CR24" s="18">
        <f>'Total Weekday Boardings'!CR24+'Total Saturday Boardings'!CR24+'Total Sunday-Holiday Boardings'!CR24</f>
        <v>27630</v>
      </c>
      <c r="CS24" s="18">
        <f>'Total Weekday Boardings'!CS24+'Total Saturday Boardings'!CS24+'Total Sunday-Holiday Boardings'!CS24</f>
        <v>26971</v>
      </c>
      <c r="CT24" s="18">
        <f>'Total Weekday Boardings'!CT24+'Total Saturday Boardings'!CT24+'Total Sunday-Holiday Boardings'!CT24</f>
        <v>27775</v>
      </c>
      <c r="CU24" s="18">
        <f>'Total Weekday Boardings'!CU24+'Total Saturday Boardings'!CU24+'Total Sunday-Holiday Boardings'!CU24</f>
        <v>27529</v>
      </c>
      <c r="CV24" s="18">
        <f>'Total Weekday Boardings'!CV24+'Total Saturday Boardings'!CV24+'Total Sunday-Holiday Boardings'!CV24</f>
        <v>24712</v>
      </c>
      <c r="CW24" s="18">
        <f>'Total Weekday Boardings'!CW24+'Total Saturday Boardings'!CW24+'Total Sunday-Holiday Boardings'!CW24</f>
        <v>29910</v>
      </c>
      <c r="CX24" s="18">
        <f>'Total Weekday Boardings'!CX24+'Total Saturday Boardings'!CX24+'Total Sunday-Holiday Boardings'!CX24</f>
        <v>30045</v>
      </c>
      <c r="CY24" s="18">
        <f>'Total Weekday Boardings'!CY24+'Total Saturday Boardings'!CY24+'Total Sunday-Holiday Boardings'!CY24</f>
        <v>30707</v>
      </c>
      <c r="CZ24" s="19">
        <f>'Total Weekday Boardings'!CZ24+'Total Saturday Boardings'!CZ24+'Total Sunday-Holiday Boardings'!CZ24</f>
        <v>26649</v>
      </c>
      <c r="DA24" s="17">
        <f>'Total Weekday Boardings'!DA24+'Total Saturday Boardings'!DA24+'Total Sunday-Holiday Boardings'!DA24</f>
        <v>24763</v>
      </c>
      <c r="DB24" s="18">
        <f>'Total Weekday Boardings'!DB24+'Total Saturday Boardings'!DB24+'Total Sunday-Holiday Boardings'!DB24</f>
        <v>28477</v>
      </c>
      <c r="DC24" s="18">
        <f>'Total Weekday Boardings'!DC24+'Total Saturday Boardings'!DC24+'Total Sunday-Holiday Boardings'!DC24</f>
        <v>25994</v>
      </c>
      <c r="DD24" s="18">
        <f>'Total Weekday Boardings'!DD24+'Total Saturday Boardings'!DD24+'Total Sunday-Holiday Boardings'!DD24</f>
        <v>27621</v>
      </c>
      <c r="DE24" s="18">
        <f>'Total Weekday Boardings'!DE24+'Total Saturday Boardings'!DE24+'Total Sunday-Holiday Boardings'!DE24</f>
        <v>26323</v>
      </c>
      <c r="DF24" s="18">
        <f>'Total Weekday Boardings'!DF24+'Total Saturday Boardings'!DF24+'Total Sunday-Holiday Boardings'!DF24</f>
        <v>25989</v>
      </c>
      <c r="DG24" s="18">
        <f>'Total Weekday Boardings'!DG24+'Total Saturday Boardings'!DG24+'Total Sunday-Holiday Boardings'!DG24</f>
        <v>21517</v>
      </c>
      <c r="DH24" s="18">
        <f>'Total Weekday Boardings'!DH24+'Total Saturday Boardings'!DH24+'Total Sunday-Holiday Boardings'!DH24</f>
        <v>19066</v>
      </c>
      <c r="DI24" s="18">
        <f>'Total Weekday Boardings'!DI24+'Total Saturday Boardings'!DI24+'Total Sunday-Holiday Boardings'!DI24</f>
        <v>23172</v>
      </c>
      <c r="DJ24" s="18">
        <f>'Total Weekday Boardings'!DJ24+'Total Saturday Boardings'!DJ24+'Total Sunday-Holiday Boardings'!DJ24</f>
        <v>25888</v>
      </c>
      <c r="DK24" s="18">
        <f>'Total Weekday Boardings'!DK24+'Total Saturday Boardings'!DK24+'Total Sunday-Holiday Boardings'!DK24</f>
        <v>22365</v>
      </c>
      <c r="DL24" s="19">
        <f>'Total Weekday Boardings'!DL24+'Total Saturday Boardings'!DL24+'Total Sunday-Holiday Boardings'!DL24</f>
        <v>19500</v>
      </c>
      <c r="DM24" s="17">
        <f>'Total Weekday Boardings'!DM24+'Total Saturday Boardings'!DM24+'Total Sunday-Holiday Boardings'!DM24</f>
        <v>18526</v>
      </c>
      <c r="DN24" s="18">
        <f>'Total Weekday Boardings'!DN24+'Total Saturday Boardings'!DN24+'Total Sunday-Holiday Boardings'!DN24</f>
        <v>19994</v>
      </c>
      <c r="DO24" s="18">
        <f>'Total Weekday Boardings'!DO24+'Total Saturday Boardings'!DO24+'Total Sunday-Holiday Boardings'!DO24</f>
        <v>18132</v>
      </c>
      <c r="DP24" s="18">
        <f>'Total Weekday Boardings'!DP24+'Total Saturday Boardings'!DP24+'Total Sunday-Holiday Boardings'!DP24</f>
        <v>21006</v>
      </c>
      <c r="DQ24" s="18">
        <f>'Total Weekday Boardings'!DQ24+'Total Saturday Boardings'!DQ24+'Total Sunday-Holiday Boardings'!DQ24</f>
        <v>19941</v>
      </c>
      <c r="DR24" s="18">
        <f>'Total Weekday Boardings'!DR24+'Total Saturday Boardings'!DR24+'Total Sunday-Holiday Boardings'!DR24</f>
        <v>18935</v>
      </c>
      <c r="DS24" s="18">
        <f>'Total Weekday Boardings'!DS24+'Total Saturday Boardings'!DS24+'Total Sunday-Holiday Boardings'!DS24</f>
        <v>20954</v>
      </c>
      <c r="DT24" s="18">
        <f>'Total Weekday Boardings'!DT24+'Total Saturday Boardings'!DT24+'Total Sunday-Holiday Boardings'!DT24</f>
        <v>18152</v>
      </c>
      <c r="DU24" s="18">
        <f>'Total Weekday Boardings'!DU24+'Total Saturday Boardings'!DU24+'Total Sunday-Holiday Boardings'!DU24</f>
        <v>20854</v>
      </c>
      <c r="DV24" s="18">
        <f>'Total Weekday Boardings'!DV24+'Total Saturday Boardings'!DV24+'Total Sunday-Holiday Boardings'!DV24</f>
        <v>25602</v>
      </c>
      <c r="DW24" s="18">
        <f>'Total Weekday Boardings'!DW24+'Total Saturday Boardings'!DW24+'Total Sunday-Holiday Boardings'!DW24</f>
        <v>19920</v>
      </c>
      <c r="DX24" s="19">
        <f>'Total Weekday Boardings'!DX24+'Total Saturday Boardings'!DX24+'Total Sunday-Holiday Boardings'!DX24</f>
        <v>17731</v>
      </c>
      <c r="DY24" s="137">
        <v>16780</v>
      </c>
      <c r="DZ24" s="18">
        <v>19506</v>
      </c>
      <c r="EA24" s="18">
        <v>17717</v>
      </c>
      <c r="EB24" s="18">
        <v>19737</v>
      </c>
      <c r="EC24" s="18">
        <v>17623</v>
      </c>
      <c r="ED24" s="18">
        <v>16682</v>
      </c>
      <c r="EE24" s="18">
        <v>17679</v>
      </c>
      <c r="EF24" s="18">
        <v>17155</v>
      </c>
      <c r="EG24" s="18">
        <v>13154</v>
      </c>
      <c r="EH24" s="18">
        <v>6563</v>
      </c>
      <c r="EI24" s="18">
        <v>6111</v>
      </c>
      <c r="EJ24" s="19">
        <v>6061</v>
      </c>
      <c r="EK24" s="100">
        <v>5934</v>
      </c>
      <c r="EL24" s="18">
        <v>6042</v>
      </c>
      <c r="EM24" s="18">
        <v>6665</v>
      </c>
      <c r="EN24" s="103">
        <v>7025</v>
      </c>
      <c r="EO24" s="18">
        <v>7196</v>
      </c>
      <c r="EP24" s="18">
        <v>9149</v>
      </c>
      <c r="EQ24" s="18">
        <v>2899</v>
      </c>
      <c r="ER24" s="18">
        <v>8326</v>
      </c>
      <c r="ES24" s="18">
        <v>12817</v>
      </c>
      <c r="ET24" s="18">
        <v>6714</v>
      </c>
      <c r="EU24" s="18">
        <v>6300</v>
      </c>
      <c r="EV24" s="19">
        <v>7029</v>
      </c>
      <c r="EW24" s="103">
        <v>7196</v>
      </c>
      <c r="EX24" s="18">
        <v>7304</v>
      </c>
      <c r="EY24" s="18">
        <v>7185</v>
      </c>
      <c r="EZ24" s="103">
        <v>7599</v>
      </c>
      <c r="FA24" s="18">
        <v>7849</v>
      </c>
      <c r="FB24" s="145">
        <v>8250</v>
      </c>
      <c r="FC24" s="18">
        <v>7257</v>
      </c>
      <c r="FD24" s="18">
        <v>8276</v>
      </c>
      <c r="FE24" s="18">
        <v>10769</v>
      </c>
      <c r="FF24" s="18">
        <v>14737</v>
      </c>
      <c r="FG24" s="13">
        <f>SUM('Total Weekday Boardings'!FG24,'Total Saturday Boardings'!FG24,'Total Sunday-Holiday Boardings'!FG24)</f>
        <v>9103</v>
      </c>
      <c r="FH24" s="13">
        <f>SUM('Total Weekday Boardings'!FH24,'Total Saturday Boardings'!FH24,'Total Sunday-Holiday Boardings'!FH24)</f>
        <v>0</v>
      </c>
      <c r="FI24" s="13">
        <f>SUM('Total Weekday Boardings'!FI24,'Total Saturday Boardings'!FI24,'Total Sunday-Holiday Boardings'!FI24)</f>
        <v>7157</v>
      </c>
      <c r="FJ24" s="13">
        <f>SUM('Total Weekday Boardings'!FJ24,'Total Saturday Boardings'!FJ24,'Total Sunday-Holiday Boardings'!FJ24)</f>
        <v>13841</v>
      </c>
      <c r="FK24" s="13">
        <f>SUM('Total Weekday Boardings'!FK24,'Total Saturday Boardings'!FK24,'Total Sunday-Holiday Boardings'!FK24)</f>
        <v>15311</v>
      </c>
      <c r="FL24" s="13">
        <f>SUM('Total Weekday Boardings'!FL24,'Total Saturday Boardings'!FL24,'Total Sunday-Holiday Boardings'!FL24)</f>
        <v>15075</v>
      </c>
      <c r="FM24" s="13">
        <f>SUM('Total Weekday Boardings'!FM24,'Total Saturday Boardings'!FM24,'Total Sunday-Holiday Boardings'!FM24)</f>
        <v>14385</v>
      </c>
      <c r="FN24" s="13">
        <f>SUM('Total Weekday Boardings'!FN24,'Total Saturday Boardings'!FN24,'Total Sunday-Holiday Boardings'!FN24)</f>
        <v>14553</v>
      </c>
      <c r="FO24" s="13">
        <f>SUM('Total Weekday Boardings'!FO24,'Total Saturday Boardings'!FO24,'Total Sunday-Holiday Boardings'!FO24)</f>
        <v>15899</v>
      </c>
      <c r="FP24" s="13">
        <f>SUM('Total Weekday Boardings'!FP24,'Total Saturday Boardings'!FP24,'Total Sunday-Holiday Boardings'!FP24)</f>
        <v>18047</v>
      </c>
      <c r="FQ24" s="13">
        <f>SUM('Total Weekday Boardings'!FQ24,'Total Saturday Boardings'!FQ24,'Total Sunday-Holiday Boardings'!FQ24)</f>
        <v>19557</v>
      </c>
      <c r="FR24" s="13">
        <f>SUM('Total Weekday Boardings'!FR24,'Total Saturday Boardings'!FR24,'Total Sunday-Holiday Boardings'!FR24)</f>
        <v>18385</v>
      </c>
      <c r="FS24" s="13">
        <f>SUM('Total Weekday Boardings'!FS24,'Total Saturday Boardings'!FS24,'Total Sunday-Holiday Boardings'!FS24)</f>
        <v>19278</v>
      </c>
      <c r="FT24" s="16">
        <f>SUM('Total Weekday Boardings'!FT24,'Total Saturday Boardings'!FT24,'Total Sunday-Holiday Boardings'!FT24)</f>
        <v>17752</v>
      </c>
      <c r="FU24" s="171">
        <v>17543</v>
      </c>
      <c r="FV24" s="171">
        <v>12209</v>
      </c>
      <c r="FW24" s="171">
        <v>15852</v>
      </c>
      <c r="FX24" s="171">
        <v>19876</v>
      </c>
      <c r="FY24" s="171">
        <v>18238</v>
      </c>
      <c r="FZ24" s="171">
        <v>17334</v>
      </c>
      <c r="GA24" s="171">
        <v>19658</v>
      </c>
      <c r="GB24" s="52">
        <v>18973</v>
      </c>
      <c r="GC24" s="52">
        <v>20175</v>
      </c>
      <c r="GD24" s="52">
        <v>20432</v>
      </c>
      <c r="GE24" s="18">
        <v>19805</v>
      </c>
      <c r="GF24" s="52">
        <v>18100</v>
      </c>
      <c r="GG24" s="184">
        <v>18233</v>
      </c>
      <c r="GH24" s="52">
        <v>19052</v>
      </c>
      <c r="GI24" s="18">
        <v>18052</v>
      </c>
      <c r="GJ24" s="236">
        <v>18882</v>
      </c>
      <c r="GK24" s="184">
        <v>17389</v>
      </c>
      <c r="GL24" s="184">
        <v>16485</v>
      </c>
    </row>
    <row r="25" spans="1:194" ht="15" thickBot="1" x14ac:dyDescent="0.35">
      <c r="A25" s="3" t="s">
        <v>38</v>
      </c>
      <c r="B25" s="17"/>
      <c r="C25" s="18">
        <f>'Total Weekday Boardings'!C25+'Total Saturday Boardings'!C25+'Total Sunday-Holiday Boardings'!C25</f>
        <v>32135</v>
      </c>
      <c r="D25" s="18">
        <f>'Total Weekday Boardings'!D25+'Total Saturday Boardings'!D25+'Total Sunday-Holiday Boardings'!D25</f>
        <v>36637</v>
      </c>
      <c r="E25" s="18">
        <f>'Total Weekday Boardings'!E25+'Total Saturday Boardings'!E25+'Total Sunday-Holiday Boardings'!E25</f>
        <v>36556</v>
      </c>
      <c r="F25" s="18">
        <f>'Total Weekday Boardings'!F25+'Total Saturday Boardings'!F25+'Total Sunday-Holiday Boardings'!F25</f>
        <v>54248</v>
      </c>
      <c r="G25" s="18">
        <f>'Total Weekday Boardings'!G25+'Total Saturday Boardings'!G25+'Total Sunday-Holiday Boardings'!G25</f>
        <v>37844</v>
      </c>
      <c r="H25" s="19">
        <f>'Total Weekday Boardings'!H25+'Total Saturday Boardings'!H25+'Total Sunday-Holiday Boardings'!H25</f>
        <v>34578</v>
      </c>
      <c r="I25" s="17">
        <f>'Total Weekday Boardings'!I25+'Total Saturday Boardings'!I25+'Total Sunday-Holiday Boardings'!I25</f>
        <v>17412</v>
      </c>
      <c r="J25" s="18">
        <f>'Total Weekday Boardings'!J25+'Total Saturday Boardings'!J25+'Total Sunday-Holiday Boardings'!J25</f>
        <v>19763</v>
      </c>
      <c r="K25" s="18">
        <f>'Total Weekday Boardings'!K25+'Total Saturday Boardings'!K25+'Total Sunday-Holiday Boardings'!K25</f>
        <v>43107</v>
      </c>
      <c r="L25" s="18">
        <f>'Total Weekday Boardings'!L25+'Total Saturday Boardings'!L25+'Total Sunday-Holiday Boardings'!L25</f>
        <v>19615</v>
      </c>
      <c r="M25" s="18">
        <f>'Total Weekday Boardings'!M25+'Total Saturday Boardings'!M25+'Total Sunday-Holiday Boardings'!M25</f>
        <v>22900</v>
      </c>
      <c r="N25" s="18">
        <f>'Total Weekday Boardings'!N25+'Total Saturday Boardings'!N25+'Total Sunday-Holiday Boardings'!N25</f>
        <v>17293</v>
      </c>
      <c r="O25" s="62">
        <f>'Total Weekday Boardings'!O25+'Total Saturday Boardings'!O25+'Total Sunday-Holiday Boardings'!O25</f>
        <v>23315</v>
      </c>
      <c r="P25" s="62">
        <f>'Total Weekday Boardings'!P25+'Total Saturday Boardings'!P25+'Total Sunday-Holiday Boardings'!P25</f>
        <v>26086</v>
      </c>
      <c r="Q25" s="62">
        <f>'Total Weekday Boardings'!Q25+'Total Saturday Boardings'!Q25+'Total Sunday-Holiday Boardings'!Q25</f>
        <v>31768</v>
      </c>
      <c r="R25" s="62">
        <f>'Total Weekday Boardings'!R25+'Total Saturday Boardings'!R25+'Total Sunday-Holiday Boardings'!R25</f>
        <v>29506</v>
      </c>
      <c r="S25" s="62">
        <f>'Total Weekday Boardings'!S25+'Total Saturday Boardings'!S25+'Total Sunday-Holiday Boardings'!S25</f>
        <v>24667</v>
      </c>
      <c r="T25" s="63">
        <f>'Total Weekday Boardings'!T25+'Total Saturday Boardings'!T25+'Total Sunday-Holiday Boardings'!T25</f>
        <v>30223</v>
      </c>
      <c r="U25" s="64">
        <f>'Total Weekday Boardings'!U25+'Total Saturday Boardings'!U25+'Total Sunday-Holiday Boardings'!U25</f>
        <v>24374</v>
      </c>
      <c r="V25" s="62">
        <f>'Total Weekday Boardings'!V25+'Total Saturday Boardings'!V25+'Total Sunday-Holiday Boardings'!V25</f>
        <v>22496</v>
      </c>
      <c r="W25" s="62">
        <f>'Total Weekday Boardings'!W25+'Total Saturday Boardings'!W25+'Total Sunday-Holiday Boardings'!W25</f>
        <v>21928</v>
      </c>
      <c r="X25" s="62">
        <f>'Total Weekday Boardings'!X25+'Total Saturday Boardings'!X25+'Total Sunday-Holiday Boardings'!X25</f>
        <v>16555</v>
      </c>
      <c r="Y25" s="62">
        <f>'Total Weekday Boardings'!Y25+'Total Saturday Boardings'!Y25+'Total Sunday-Holiday Boardings'!Y25</f>
        <v>20638</v>
      </c>
      <c r="Z25" s="62">
        <f>'Total Weekday Boardings'!Z25+'Total Saturday Boardings'!Z25+'Total Sunday-Holiday Boardings'!Z25</f>
        <v>14941</v>
      </c>
      <c r="AA25" s="18">
        <f>'Total Weekday Boardings'!AA25+'Total Saturday Boardings'!AA25+'Total Sunday-Holiday Boardings'!AA25</f>
        <v>28658</v>
      </c>
      <c r="AB25" s="18">
        <f>'Total Weekday Boardings'!AB25+'Total Saturday Boardings'!AB25+'Total Sunday-Holiday Boardings'!AB25</f>
        <v>24811</v>
      </c>
      <c r="AC25" s="18">
        <f>'Total Weekday Boardings'!AC25+'Total Saturday Boardings'!AC25+'Total Sunday-Holiday Boardings'!AC25</f>
        <v>29422</v>
      </c>
      <c r="AD25" s="18">
        <f>'Total Weekday Boardings'!AD25+'Total Saturday Boardings'!AD25+'Total Sunday-Holiday Boardings'!AD25</f>
        <v>42111</v>
      </c>
      <c r="AE25" s="18">
        <f>'Total Weekday Boardings'!AE25+'Total Saturday Boardings'!AE25+'Total Sunday-Holiday Boardings'!AE25</f>
        <v>33598</v>
      </c>
      <c r="AF25" s="19">
        <f>'Total Weekday Boardings'!AF25+'Total Saturday Boardings'!AF25+'Total Sunday-Holiday Boardings'!AF25</f>
        <v>33395</v>
      </c>
      <c r="AG25" s="17">
        <f>'Total Weekday Boardings'!AG25+'Total Saturday Boardings'!AG25+'Total Sunday-Holiday Boardings'!AG25</f>
        <v>38785</v>
      </c>
      <c r="AH25" s="18">
        <f>'Total Weekday Boardings'!AH25+'Total Saturday Boardings'!AH25+'Total Sunday-Holiday Boardings'!AH25</f>
        <v>34800</v>
      </c>
      <c r="AI25" s="18">
        <f>'Total Weekday Boardings'!AI25+'Total Saturday Boardings'!AI25+'Total Sunday-Holiday Boardings'!AI25</f>
        <v>34111</v>
      </c>
      <c r="AJ25" s="18">
        <f>'Total Weekday Boardings'!AJ25+'Total Saturday Boardings'!AJ25+'Total Sunday-Holiday Boardings'!AJ25</f>
        <v>24208</v>
      </c>
      <c r="AK25" s="18">
        <f>'Total Weekday Boardings'!AK25+'Total Saturday Boardings'!AK25+'Total Sunday-Holiday Boardings'!AK25</f>
        <v>14761</v>
      </c>
      <c r="AL25" s="18">
        <f>'Total Weekday Boardings'!AL25+'Total Saturday Boardings'!AL25+'Total Sunday-Holiday Boardings'!AL25</f>
        <v>18105</v>
      </c>
      <c r="AM25" s="18">
        <f>'Total Weekday Boardings'!AM25+'Total Saturday Boardings'!AM25+'Total Sunday-Holiday Boardings'!AM25</f>
        <v>26872</v>
      </c>
      <c r="AN25" s="18">
        <f>'Total Weekday Boardings'!AN25+'Total Saturday Boardings'!AN25+'Total Sunday-Holiday Boardings'!AN25</f>
        <v>26537</v>
      </c>
      <c r="AO25" s="18">
        <f>'Total Weekday Boardings'!AO25+'Total Saturday Boardings'!AO25+'Total Sunday-Holiday Boardings'!AO25</f>
        <v>29648</v>
      </c>
      <c r="AP25" s="18">
        <f>'Total Weekday Boardings'!AP25+'Total Saturday Boardings'!AP25+'Total Sunday-Holiday Boardings'!AP25</f>
        <v>43318</v>
      </c>
      <c r="AQ25" s="18">
        <f>'Total Weekday Boardings'!AQ25+'Total Saturday Boardings'!AQ25+'Total Sunday-Holiday Boardings'!AQ25</f>
        <v>37478</v>
      </c>
      <c r="AR25" s="19">
        <f>'Total Weekday Boardings'!AR25+'Total Saturday Boardings'!AR25+'Total Sunday-Holiday Boardings'!AR25</f>
        <v>33452</v>
      </c>
      <c r="AS25" s="17">
        <f>'Total Weekday Boardings'!AS25+'Total Saturday Boardings'!AS25+'Total Sunday-Holiday Boardings'!AS25</f>
        <v>33289</v>
      </c>
      <c r="AT25" s="18">
        <f>'Total Weekday Boardings'!AT25+'Total Saturday Boardings'!AT25+'Total Sunday-Holiday Boardings'!AT25</f>
        <v>26573</v>
      </c>
      <c r="AU25" s="18">
        <f>'Total Weekday Boardings'!AU25+'Total Saturday Boardings'!AU25+'Total Sunday-Holiday Boardings'!AU25</f>
        <v>21379</v>
      </c>
      <c r="AV25" s="18">
        <f>'Total Weekday Boardings'!AV25+'Total Saturday Boardings'!AV25+'Total Sunday-Holiday Boardings'!AV25</f>
        <v>26879</v>
      </c>
      <c r="AW25" s="18">
        <f>'Total Weekday Boardings'!AW25+'Total Saturday Boardings'!AW25+'Total Sunday-Holiday Boardings'!AW25</f>
        <v>21997</v>
      </c>
      <c r="AX25" s="18">
        <f>'Total Weekday Boardings'!AX25+'Total Saturday Boardings'!AX25+'Total Sunday-Holiday Boardings'!AX25</f>
        <v>19243</v>
      </c>
      <c r="AY25" s="18">
        <f>'Total Weekday Boardings'!AY25+'Total Saturday Boardings'!AY25+'Total Sunday-Holiday Boardings'!AY25</f>
        <v>27590</v>
      </c>
      <c r="AZ25" s="18">
        <f>'Total Weekday Boardings'!AZ25+'Total Saturday Boardings'!AZ25+'Total Sunday-Holiday Boardings'!AZ25</f>
        <v>22768</v>
      </c>
      <c r="BA25" s="18">
        <f>'Total Weekday Boardings'!BA25+'Total Saturday Boardings'!BA25+'Total Sunday-Holiday Boardings'!BA25</f>
        <v>32019</v>
      </c>
      <c r="BB25" s="18">
        <f>'Total Weekday Boardings'!BB25+'Total Saturday Boardings'!BB25+'Total Sunday-Holiday Boardings'!BB25</f>
        <v>39883</v>
      </c>
      <c r="BC25" s="18">
        <f>'Total Weekday Boardings'!BC25+'Total Saturday Boardings'!BC25+'Total Sunday-Holiday Boardings'!BC25</f>
        <v>37714</v>
      </c>
      <c r="BD25" s="19">
        <f>'Total Weekday Boardings'!BD25+'Total Saturday Boardings'!BD25+'Total Sunday-Holiday Boardings'!BD25</f>
        <v>25945</v>
      </c>
      <c r="BE25" s="17">
        <f>'Total Weekday Boardings'!BE25+'Total Saturday Boardings'!BE25+'Total Sunday-Holiday Boardings'!BE25</f>
        <v>30212</v>
      </c>
      <c r="BF25" s="18">
        <f>'Total Weekday Boardings'!BF25+'Total Saturday Boardings'!BF25+'Total Sunday-Holiday Boardings'!BF25</f>
        <v>26306</v>
      </c>
      <c r="BG25" s="18">
        <f>'Total Weekday Boardings'!BG25+'Total Saturday Boardings'!BG25+'Total Sunday-Holiday Boardings'!BG25</f>
        <v>26287</v>
      </c>
      <c r="BH25" s="18">
        <f>'Total Weekday Boardings'!BH25+'Total Saturday Boardings'!BH25+'Total Sunday-Holiday Boardings'!BH25</f>
        <v>20358</v>
      </c>
      <c r="BI25" s="18">
        <f>'Total Weekday Boardings'!BI25+'Total Saturday Boardings'!BI25+'Total Sunday-Holiday Boardings'!BI25</f>
        <v>21053.880184780952</v>
      </c>
      <c r="BJ25" s="18">
        <f>'Total Weekday Boardings'!BJ25+'Total Saturday Boardings'!BJ25+'Total Sunday-Holiday Boardings'!BJ25</f>
        <v>18869</v>
      </c>
      <c r="BK25" s="18">
        <f>'Total Weekday Boardings'!BK25+'Total Saturday Boardings'!BK25+'Total Sunday-Holiday Boardings'!BK25</f>
        <v>27442</v>
      </c>
      <c r="BL25" s="18">
        <f>'Total Weekday Boardings'!BL25+'Total Saturday Boardings'!BL25+'Total Sunday-Holiday Boardings'!BL25</f>
        <v>29736</v>
      </c>
      <c r="BM25" s="18">
        <f>'Total Weekday Boardings'!BM25+'Total Saturday Boardings'!BM25+'Total Sunday-Holiday Boardings'!BM25</f>
        <v>33068</v>
      </c>
      <c r="BN25" s="18">
        <f>'Total Weekday Boardings'!BN25+'Total Saturday Boardings'!BN25+'Total Sunday-Holiday Boardings'!BN25</f>
        <v>37544</v>
      </c>
      <c r="BO25" s="18">
        <f>'Total Weekday Boardings'!BO25+'Total Saturday Boardings'!BO25+'Total Sunday-Holiday Boardings'!BO25</f>
        <v>27411</v>
      </c>
      <c r="BP25" s="19">
        <f>'Total Weekday Boardings'!BP25+'Total Saturday Boardings'!BP25+'Total Sunday-Holiday Boardings'!BP25</f>
        <v>38249</v>
      </c>
      <c r="BQ25" s="17">
        <f>'Total Weekday Boardings'!BQ25+'Total Saturday Boardings'!BQ25+'Total Sunday-Holiday Boardings'!BQ25</f>
        <v>23151</v>
      </c>
      <c r="BR25" s="18">
        <f>'Total Weekday Boardings'!BR25+'Total Saturday Boardings'!BR25+'Total Sunday-Holiday Boardings'!BR25</f>
        <v>27243</v>
      </c>
      <c r="BS25" s="18">
        <f>'Total Weekday Boardings'!BS25+'Total Saturday Boardings'!BS25+'Total Sunday-Holiday Boardings'!BS25</f>
        <v>23868</v>
      </c>
      <c r="BT25" s="18">
        <f>'Total Weekday Boardings'!BT25+'Total Saturday Boardings'!BT25+'Total Sunday-Holiday Boardings'!BT25</f>
        <v>20944</v>
      </c>
      <c r="BU25" s="18">
        <f>'Total Weekday Boardings'!BU25+'Total Saturday Boardings'!BU25+'Total Sunday-Holiday Boardings'!BU25</f>
        <v>21181</v>
      </c>
      <c r="BV25" s="18">
        <f>'Total Weekday Boardings'!BV25+'Total Saturday Boardings'!BV25+'Total Sunday-Holiday Boardings'!BV25</f>
        <v>19442</v>
      </c>
      <c r="BW25" s="18">
        <f>'Total Weekday Boardings'!BW25+'Total Saturday Boardings'!BW25+'Total Sunday-Holiday Boardings'!BW25</f>
        <v>69786</v>
      </c>
      <c r="BX25" s="18">
        <f>'Total Weekday Boardings'!BX25+'Total Saturday Boardings'!BX25+'Total Sunday-Holiday Boardings'!BX25</f>
        <v>31000</v>
      </c>
      <c r="BY25" s="18">
        <f>'Total Weekday Boardings'!BY25+'Total Saturday Boardings'!BY25+'Total Sunday-Holiday Boardings'!BY25</f>
        <v>25976</v>
      </c>
      <c r="BZ25" s="18">
        <f>'Total Weekday Boardings'!BZ25+'Total Saturday Boardings'!BZ25+'Total Sunday-Holiday Boardings'!BZ25</f>
        <v>35446</v>
      </c>
      <c r="CA25" s="18">
        <f>'Total Weekday Boardings'!CA25+'Total Saturday Boardings'!CA25+'Total Sunday-Holiday Boardings'!CA25</f>
        <v>37625</v>
      </c>
      <c r="CB25" s="19">
        <f>'Total Weekday Boardings'!CB25+'Total Saturday Boardings'!CB25+'Total Sunday-Holiday Boardings'!CB25</f>
        <v>27164</v>
      </c>
      <c r="CC25" s="20">
        <f>'Total Weekday Boardings'!CC25+'Total Saturday Boardings'!CC25+'Total Sunday-Holiday Boardings'!CC25</f>
        <v>27277</v>
      </c>
      <c r="CD25" s="18">
        <f>'Total Weekday Boardings'!CD25+'Total Saturday Boardings'!CD25+'Total Sunday-Holiday Boardings'!CD25</f>
        <v>24272</v>
      </c>
      <c r="CE25" s="18">
        <f>'Total Weekday Boardings'!CE25+'Total Saturday Boardings'!CE25+'Total Sunday-Holiday Boardings'!CE25</f>
        <v>24735</v>
      </c>
      <c r="CF25" s="18">
        <f>'Total Weekday Boardings'!CF25+'Total Saturday Boardings'!CF25+'Total Sunday-Holiday Boardings'!CF25</f>
        <v>31503</v>
      </c>
      <c r="CG25" s="18">
        <f>'Total Weekday Boardings'!CG25+'Total Saturday Boardings'!CG25+'Total Sunday-Holiday Boardings'!CG25</f>
        <v>22444</v>
      </c>
      <c r="CH25" s="18">
        <f>'Total Weekday Boardings'!CH25+'Total Saturday Boardings'!CH25+'Total Sunday-Holiday Boardings'!CH25</f>
        <v>21270</v>
      </c>
      <c r="CI25" s="18">
        <f>'Total Weekday Boardings'!CI25+'Total Saturday Boardings'!CI25+'Total Sunday-Holiday Boardings'!CI25</f>
        <v>29321</v>
      </c>
      <c r="CJ25" s="18">
        <f>'Total Weekday Boardings'!CJ25+'Total Saturday Boardings'!CJ25+'Total Sunday-Holiday Boardings'!CJ25</f>
        <v>25347</v>
      </c>
      <c r="CK25" s="18">
        <f>'Total Weekday Boardings'!CK25+'Total Saturday Boardings'!CK25+'Total Sunday-Holiday Boardings'!CK25</f>
        <v>26848</v>
      </c>
      <c r="CL25" s="18">
        <f>'Total Weekday Boardings'!CL25+'Total Saturday Boardings'!CL25+'Total Sunday-Holiday Boardings'!CL25</f>
        <v>43277</v>
      </c>
      <c r="CM25" s="18">
        <f>'Total Weekday Boardings'!CM25+'Total Saturday Boardings'!CM25+'Total Sunday-Holiday Boardings'!CM25</f>
        <v>34274</v>
      </c>
      <c r="CN25" s="21">
        <f>'Total Weekday Boardings'!CN25+'Total Saturday Boardings'!CN25+'Total Sunday-Holiday Boardings'!CN25</f>
        <v>37158</v>
      </c>
      <c r="CO25" s="17">
        <f>'Total Weekday Boardings'!CO25+'Total Saturday Boardings'!CO25+'Total Sunday-Holiday Boardings'!CO25</f>
        <v>24025</v>
      </c>
      <c r="CP25" s="18">
        <f>'Total Weekday Boardings'!CP25+'Total Saturday Boardings'!CP25+'Total Sunday-Holiday Boardings'!CP25</f>
        <v>24598</v>
      </c>
      <c r="CQ25" s="18">
        <f>'Total Weekday Boardings'!CQ25+'Total Saturday Boardings'!CQ25+'Total Sunday-Holiday Boardings'!CQ25</f>
        <v>22363</v>
      </c>
      <c r="CR25" s="18">
        <f>'Total Weekday Boardings'!CR25+'Total Saturday Boardings'!CR25+'Total Sunday-Holiday Boardings'!CR25</f>
        <v>22585</v>
      </c>
      <c r="CS25" s="18">
        <f>'Total Weekday Boardings'!CS25+'Total Saturday Boardings'!CS25+'Total Sunday-Holiday Boardings'!CS25</f>
        <v>19425</v>
      </c>
      <c r="CT25" s="18">
        <f>'Total Weekday Boardings'!CT25+'Total Saturday Boardings'!CT25+'Total Sunday-Holiday Boardings'!CT25</f>
        <v>18138</v>
      </c>
      <c r="CU25" s="18">
        <f>'Total Weekday Boardings'!CU25+'Total Saturday Boardings'!CU25+'Total Sunday-Holiday Boardings'!CU25</f>
        <v>20314</v>
      </c>
      <c r="CV25" s="18">
        <f>'Total Weekday Boardings'!CV25+'Total Saturday Boardings'!CV25+'Total Sunday-Holiday Boardings'!CV25</f>
        <v>20423</v>
      </c>
      <c r="CW25" s="18">
        <f>'Total Weekday Boardings'!CW25+'Total Saturday Boardings'!CW25+'Total Sunday-Holiday Boardings'!CW25</f>
        <v>27701</v>
      </c>
      <c r="CX25" s="18">
        <f>'Total Weekday Boardings'!CX25+'Total Saturday Boardings'!CX25+'Total Sunday-Holiday Boardings'!CX25</f>
        <v>43637</v>
      </c>
      <c r="CY25" s="18">
        <f>'Total Weekday Boardings'!CY25+'Total Saturday Boardings'!CY25+'Total Sunday-Holiday Boardings'!CY25</f>
        <v>35663</v>
      </c>
      <c r="CZ25" s="19">
        <f>'Total Weekday Boardings'!CZ25+'Total Saturday Boardings'!CZ25+'Total Sunday-Holiday Boardings'!CZ25</f>
        <v>24912</v>
      </c>
      <c r="DA25" s="17">
        <f>'Total Weekday Boardings'!DA25+'Total Saturday Boardings'!DA25+'Total Sunday-Holiday Boardings'!DA25</f>
        <v>22753</v>
      </c>
      <c r="DB25" s="18">
        <f>'Total Weekday Boardings'!DB25+'Total Saturday Boardings'!DB25+'Total Sunday-Holiday Boardings'!DB25</f>
        <v>27155</v>
      </c>
      <c r="DC25" s="18">
        <f>'Total Weekday Boardings'!DC25+'Total Saturday Boardings'!DC25+'Total Sunday-Holiday Boardings'!DC25</f>
        <v>23191</v>
      </c>
      <c r="DD25" s="18">
        <f>'Total Weekday Boardings'!DD25+'Total Saturday Boardings'!DD25+'Total Sunday-Holiday Boardings'!DD25</f>
        <v>22185</v>
      </c>
      <c r="DE25" s="18">
        <f>'Total Weekday Boardings'!DE25+'Total Saturday Boardings'!DE25+'Total Sunday-Holiday Boardings'!DE25</f>
        <v>20369</v>
      </c>
      <c r="DF25" s="18">
        <f>'Total Weekday Boardings'!DF25+'Total Saturday Boardings'!DF25+'Total Sunday-Holiday Boardings'!DF25</f>
        <v>17062</v>
      </c>
      <c r="DG25" s="18">
        <f>'Total Weekday Boardings'!DG25+'Total Saturday Boardings'!DG25+'Total Sunday-Holiday Boardings'!DG25</f>
        <v>13058</v>
      </c>
      <c r="DH25" s="18">
        <f>'Total Weekday Boardings'!DH25+'Total Saturday Boardings'!DH25+'Total Sunday-Holiday Boardings'!DH25</f>
        <v>12772</v>
      </c>
      <c r="DI25" s="18">
        <f>'Total Weekday Boardings'!DI25+'Total Saturday Boardings'!DI25+'Total Sunday-Holiday Boardings'!DI25</f>
        <v>18025</v>
      </c>
      <c r="DJ25" s="18">
        <f>'Total Weekday Boardings'!DJ25+'Total Saturday Boardings'!DJ25+'Total Sunday-Holiday Boardings'!DJ25</f>
        <v>20835</v>
      </c>
      <c r="DK25" s="18">
        <f>'Total Weekday Boardings'!DK25+'Total Saturday Boardings'!DK25+'Total Sunday-Holiday Boardings'!DK25</f>
        <v>24062</v>
      </c>
      <c r="DL25" s="19">
        <f>'Total Weekday Boardings'!DL25+'Total Saturday Boardings'!DL25+'Total Sunday-Holiday Boardings'!DL25</f>
        <v>19669</v>
      </c>
      <c r="DM25" s="17">
        <f>'Total Weekday Boardings'!DM25+'Total Saturday Boardings'!DM25+'Total Sunday-Holiday Boardings'!DM25</f>
        <v>17596</v>
      </c>
      <c r="DN25" s="18">
        <f>'Total Weekday Boardings'!DN25+'Total Saturday Boardings'!DN25+'Total Sunday-Holiday Boardings'!DN25</f>
        <v>16647</v>
      </c>
      <c r="DO25" s="18">
        <f>'Total Weekday Boardings'!DO25+'Total Saturday Boardings'!DO25+'Total Sunday-Holiday Boardings'!DO25</f>
        <v>17674</v>
      </c>
      <c r="DP25" s="18">
        <f>'Total Weekday Boardings'!DP25+'Total Saturday Boardings'!DP25+'Total Sunday-Holiday Boardings'!DP25</f>
        <v>14397</v>
      </c>
      <c r="DQ25" s="18">
        <f>'Total Weekday Boardings'!DQ25+'Total Saturday Boardings'!DQ25+'Total Sunday-Holiday Boardings'!DQ25</f>
        <v>13941</v>
      </c>
      <c r="DR25" s="18">
        <f>'Total Weekday Boardings'!DR25+'Total Saturday Boardings'!DR25+'Total Sunday-Holiday Boardings'!DR25</f>
        <v>12747</v>
      </c>
      <c r="DS25" s="18">
        <f>'Total Weekday Boardings'!DS25+'Total Saturday Boardings'!DS25+'Total Sunday-Holiday Boardings'!DS25</f>
        <v>15761</v>
      </c>
      <c r="DT25" s="18">
        <f>'Total Weekday Boardings'!DT25+'Total Saturday Boardings'!DT25+'Total Sunday-Holiday Boardings'!DT25</f>
        <v>11958</v>
      </c>
      <c r="DU25" s="18">
        <f>'Total Weekday Boardings'!DU25+'Total Saturday Boardings'!DU25+'Total Sunday-Holiday Boardings'!DU25</f>
        <v>17051</v>
      </c>
      <c r="DV25" s="18">
        <f>'Total Weekday Boardings'!DV25+'Total Saturday Boardings'!DV25+'Total Sunday-Holiday Boardings'!DV25</f>
        <v>21126</v>
      </c>
      <c r="DW25" s="18">
        <f>'Total Weekday Boardings'!DW25+'Total Saturday Boardings'!DW25+'Total Sunday-Holiday Boardings'!DW25</f>
        <v>30097</v>
      </c>
      <c r="DX25" s="19">
        <f>'Total Weekday Boardings'!DX25+'Total Saturday Boardings'!DX25+'Total Sunday-Holiday Boardings'!DX25</f>
        <v>25045</v>
      </c>
      <c r="DY25" s="137">
        <v>19229</v>
      </c>
      <c r="DZ25" s="18">
        <v>28107</v>
      </c>
      <c r="EA25" s="18">
        <v>23615</v>
      </c>
      <c r="EB25" s="18">
        <v>17506</v>
      </c>
      <c r="EC25" s="18">
        <v>21899</v>
      </c>
      <c r="ED25" s="18">
        <v>17161</v>
      </c>
      <c r="EE25" s="18">
        <v>20491</v>
      </c>
      <c r="EF25" s="18">
        <v>19415</v>
      </c>
      <c r="EG25" s="18">
        <v>8960</v>
      </c>
      <c r="EH25" s="18">
        <v>4810</v>
      </c>
      <c r="EI25" s="18">
        <v>4478</v>
      </c>
      <c r="EJ25" s="19">
        <v>5105</v>
      </c>
      <c r="EK25" s="100">
        <v>5481</v>
      </c>
      <c r="EL25" s="18">
        <v>6255</v>
      </c>
      <c r="EM25" s="18">
        <v>6452</v>
      </c>
      <c r="EN25" s="103">
        <v>4604</v>
      </c>
      <c r="EO25" s="18">
        <v>15721</v>
      </c>
      <c r="EP25" s="18">
        <v>4475</v>
      </c>
      <c r="EQ25" s="18">
        <v>1461</v>
      </c>
      <c r="ER25" s="18">
        <v>1762</v>
      </c>
      <c r="ES25" s="18">
        <v>3856</v>
      </c>
      <c r="ET25" s="18">
        <v>9510</v>
      </c>
      <c r="EU25" s="18">
        <v>10138</v>
      </c>
      <c r="EV25" s="19">
        <v>12637</v>
      </c>
      <c r="EW25" s="103">
        <v>15721</v>
      </c>
      <c r="EX25" s="18">
        <v>10824</v>
      </c>
      <c r="EY25" s="18">
        <v>11769</v>
      </c>
      <c r="EZ25" s="103">
        <v>10989</v>
      </c>
      <c r="FA25" s="18">
        <v>11128</v>
      </c>
      <c r="FB25" s="145">
        <v>12371</v>
      </c>
      <c r="FC25" s="18">
        <v>10337</v>
      </c>
      <c r="FD25" s="18">
        <v>12301</v>
      </c>
      <c r="FE25" s="18">
        <v>13782</v>
      </c>
      <c r="FF25" s="18">
        <v>22001</v>
      </c>
      <c r="FG25" s="13">
        <f>SUM('Total Weekday Boardings'!FG25,'Total Saturday Boardings'!FG25,'Total Sunday-Holiday Boardings'!FG25)</f>
        <v>10278</v>
      </c>
      <c r="FH25" s="13">
        <f>SUM('Total Weekday Boardings'!FH25,'Total Saturday Boardings'!FH25,'Total Sunday-Holiday Boardings'!FH25)</f>
        <v>0</v>
      </c>
      <c r="FI25" s="13">
        <f>SUM('Total Weekday Boardings'!FI25,'Total Saturday Boardings'!FI25,'Total Sunday-Holiday Boardings'!FI25)</f>
        <v>11059</v>
      </c>
      <c r="FJ25" s="13">
        <f>SUM('Total Weekday Boardings'!FJ25,'Total Saturday Boardings'!FJ25,'Total Sunday-Holiday Boardings'!FJ25)</f>
        <v>11634</v>
      </c>
      <c r="FK25" s="13">
        <f>SUM('Total Weekday Boardings'!FK25,'Total Saturday Boardings'!FK25,'Total Sunday-Holiday Boardings'!FK25)</f>
        <v>15498</v>
      </c>
      <c r="FL25" s="13">
        <f>SUM('Total Weekday Boardings'!FL25,'Total Saturday Boardings'!FL25,'Total Sunday-Holiday Boardings'!FL25)</f>
        <v>10834</v>
      </c>
      <c r="FM25" s="13">
        <f>SUM('Total Weekday Boardings'!FM25,'Total Saturday Boardings'!FM25,'Total Sunday-Holiday Boardings'!FM25)</f>
        <v>15554</v>
      </c>
      <c r="FN25" s="13">
        <f>SUM('Total Weekday Boardings'!FN25,'Total Saturday Boardings'!FN25,'Total Sunday-Holiday Boardings'!FN25)</f>
        <v>11524</v>
      </c>
      <c r="FO25" s="13">
        <f>SUM('Total Weekday Boardings'!FO25,'Total Saturday Boardings'!FO25,'Total Sunday-Holiday Boardings'!FO25)</f>
        <v>12162</v>
      </c>
      <c r="FP25" s="13">
        <f>SUM('Total Weekday Boardings'!FP25,'Total Saturday Boardings'!FP25,'Total Sunday-Holiday Boardings'!FP25)</f>
        <v>21018</v>
      </c>
      <c r="FQ25" s="13">
        <f>SUM('Total Weekday Boardings'!FQ25,'Total Saturday Boardings'!FQ25,'Total Sunday-Holiday Boardings'!FQ25)</f>
        <v>20661</v>
      </c>
      <c r="FR25" s="13">
        <f>SUM('Total Weekday Boardings'!FR25,'Total Saturday Boardings'!FR25,'Total Sunday-Holiday Boardings'!FR25)</f>
        <v>21170</v>
      </c>
      <c r="FS25" s="13">
        <f>SUM('Total Weekday Boardings'!FS25,'Total Saturday Boardings'!FS25,'Total Sunday-Holiday Boardings'!FS25)</f>
        <v>18785</v>
      </c>
      <c r="FT25" s="16">
        <f>SUM('Total Weekday Boardings'!FT25,'Total Saturday Boardings'!FT25,'Total Sunday-Holiday Boardings'!FT25)</f>
        <v>20073</v>
      </c>
      <c r="FU25" s="171">
        <v>17503</v>
      </c>
      <c r="FV25" s="171">
        <v>10685</v>
      </c>
      <c r="FW25" s="171">
        <v>16081</v>
      </c>
      <c r="FX25" s="171">
        <v>28807</v>
      </c>
      <c r="FY25" s="171">
        <v>16685</v>
      </c>
      <c r="FZ25" s="171">
        <v>15666</v>
      </c>
      <c r="GA25" s="171">
        <v>13289</v>
      </c>
      <c r="GB25" s="52">
        <v>10319</v>
      </c>
      <c r="GC25" s="52">
        <v>20051</v>
      </c>
      <c r="GD25" s="52">
        <v>24141</v>
      </c>
      <c r="GE25" s="18">
        <v>21977</v>
      </c>
      <c r="GF25" s="52">
        <v>19758</v>
      </c>
      <c r="GG25" s="184">
        <v>16679</v>
      </c>
      <c r="GH25" s="52">
        <v>18188</v>
      </c>
      <c r="GI25" s="18">
        <v>21005</v>
      </c>
      <c r="GJ25" s="236">
        <v>14506</v>
      </c>
      <c r="GK25" s="184">
        <v>16324</v>
      </c>
      <c r="GL25" s="184">
        <v>14186</v>
      </c>
    </row>
    <row r="26" spans="1:194" ht="15" thickBot="1" x14ac:dyDescent="0.35">
      <c r="A26" s="3" t="s">
        <v>39</v>
      </c>
      <c r="B26" s="17"/>
      <c r="C26" s="18">
        <f>'Total Weekday Boardings'!C26+'Total Saturday Boardings'!C26+'Total Sunday-Holiday Boardings'!C26</f>
        <v>17355</v>
      </c>
      <c r="D26" s="18">
        <f>'Total Weekday Boardings'!D26+'Total Saturday Boardings'!D26+'Total Sunday-Holiday Boardings'!D26</f>
        <v>24425</v>
      </c>
      <c r="E26" s="18">
        <f>'Total Weekday Boardings'!E26+'Total Saturday Boardings'!E26+'Total Sunday-Holiday Boardings'!E26</f>
        <v>22108</v>
      </c>
      <c r="F26" s="18">
        <f>'Total Weekday Boardings'!F26+'Total Saturday Boardings'!F26+'Total Sunday-Holiday Boardings'!F26</f>
        <v>35021</v>
      </c>
      <c r="G26" s="18">
        <f>'Total Weekday Boardings'!G26+'Total Saturday Boardings'!G26+'Total Sunday-Holiday Boardings'!G26</f>
        <v>30387</v>
      </c>
      <c r="H26" s="19">
        <f>'Total Weekday Boardings'!H26+'Total Saturday Boardings'!H26+'Total Sunday-Holiday Boardings'!H26</f>
        <v>23785</v>
      </c>
      <c r="I26" s="17">
        <f>'Total Weekday Boardings'!I26+'Total Saturday Boardings'!I26+'Total Sunday-Holiday Boardings'!I26</f>
        <v>11679</v>
      </c>
      <c r="J26" s="18">
        <f>'Total Weekday Boardings'!J26+'Total Saturday Boardings'!J26+'Total Sunday-Holiday Boardings'!J26</f>
        <v>13909</v>
      </c>
      <c r="K26" s="18">
        <f>'Total Weekday Boardings'!K26+'Total Saturday Boardings'!K26+'Total Sunday-Holiday Boardings'!K26</f>
        <v>26945</v>
      </c>
      <c r="L26" s="18">
        <f>'Total Weekday Boardings'!L26+'Total Saturday Boardings'!L26+'Total Sunday-Holiday Boardings'!L26</f>
        <v>14540</v>
      </c>
      <c r="M26" s="18">
        <f>'Total Weekday Boardings'!M26+'Total Saturday Boardings'!M26+'Total Sunday-Holiday Boardings'!M26</f>
        <v>15068</v>
      </c>
      <c r="N26" s="18">
        <f>'Total Weekday Boardings'!N26+'Total Saturday Boardings'!N26+'Total Sunday-Holiday Boardings'!N26</f>
        <v>17624</v>
      </c>
      <c r="O26" s="62">
        <f>'Total Weekday Boardings'!O26+'Total Saturday Boardings'!O26+'Total Sunday-Holiday Boardings'!O26</f>
        <v>15512</v>
      </c>
      <c r="P26" s="62">
        <f>'Total Weekday Boardings'!P26+'Total Saturday Boardings'!P26+'Total Sunday-Holiday Boardings'!P26</f>
        <v>22234</v>
      </c>
      <c r="Q26" s="62">
        <f>'Total Weekday Boardings'!Q26+'Total Saturday Boardings'!Q26+'Total Sunday-Holiday Boardings'!Q26</f>
        <v>27730</v>
      </c>
      <c r="R26" s="62">
        <f>'Total Weekday Boardings'!R26+'Total Saturday Boardings'!R26+'Total Sunday-Holiday Boardings'!R26</f>
        <v>20146</v>
      </c>
      <c r="S26" s="62">
        <f>'Total Weekday Boardings'!S26+'Total Saturday Boardings'!S26+'Total Sunday-Holiday Boardings'!S26</f>
        <v>20880</v>
      </c>
      <c r="T26" s="63">
        <f>'Total Weekday Boardings'!T26+'Total Saturday Boardings'!T26+'Total Sunday-Holiday Boardings'!T26</f>
        <v>34564</v>
      </c>
      <c r="U26" s="64">
        <f>'Total Weekday Boardings'!U26+'Total Saturday Boardings'!U26+'Total Sunday-Holiday Boardings'!U26</f>
        <v>24976</v>
      </c>
      <c r="V26" s="62">
        <f>'Total Weekday Boardings'!V26+'Total Saturday Boardings'!V26+'Total Sunday-Holiday Boardings'!V26</f>
        <v>22968</v>
      </c>
      <c r="W26" s="62">
        <f>'Total Weekday Boardings'!W26+'Total Saturday Boardings'!W26+'Total Sunday-Holiday Boardings'!W26</f>
        <v>23503</v>
      </c>
      <c r="X26" s="62">
        <f>'Total Weekday Boardings'!X26+'Total Saturday Boardings'!X26+'Total Sunday-Holiday Boardings'!X26</f>
        <v>18553</v>
      </c>
      <c r="Y26" s="62">
        <f>'Total Weekday Boardings'!Y26+'Total Saturday Boardings'!Y26+'Total Sunday-Holiday Boardings'!Y26</f>
        <v>19803</v>
      </c>
      <c r="Z26" s="62">
        <f>'Total Weekday Boardings'!Z26+'Total Saturday Boardings'!Z26+'Total Sunday-Holiday Boardings'!Z26</f>
        <v>18511</v>
      </c>
      <c r="AA26" s="18">
        <f>'Total Weekday Boardings'!AA26+'Total Saturday Boardings'!AA26+'Total Sunday-Holiday Boardings'!AA26</f>
        <v>16897</v>
      </c>
      <c r="AB26" s="18">
        <f>'Total Weekday Boardings'!AB26+'Total Saturday Boardings'!AB26+'Total Sunday-Holiday Boardings'!AB26</f>
        <v>14069</v>
      </c>
      <c r="AC26" s="18">
        <f>'Total Weekday Boardings'!AC26+'Total Saturday Boardings'!AC26+'Total Sunday-Holiday Boardings'!AC26</f>
        <v>16708</v>
      </c>
      <c r="AD26" s="18">
        <f>'Total Weekday Boardings'!AD26+'Total Saturday Boardings'!AD26+'Total Sunday-Holiday Boardings'!AD26</f>
        <v>24350</v>
      </c>
      <c r="AE26" s="18">
        <f>'Total Weekday Boardings'!AE26+'Total Saturday Boardings'!AE26+'Total Sunday-Holiday Boardings'!AE26</f>
        <v>20152</v>
      </c>
      <c r="AF26" s="19">
        <f>'Total Weekday Boardings'!AF26+'Total Saturday Boardings'!AF26+'Total Sunday-Holiday Boardings'!AF26</f>
        <v>23578</v>
      </c>
      <c r="AG26" s="17">
        <f>'Total Weekday Boardings'!AG26+'Total Saturday Boardings'!AG26+'Total Sunday-Holiday Boardings'!AG26</f>
        <v>26361</v>
      </c>
      <c r="AH26" s="18">
        <f>'Total Weekday Boardings'!AH26+'Total Saturday Boardings'!AH26+'Total Sunday-Holiday Boardings'!AH26</f>
        <v>25070</v>
      </c>
      <c r="AI26" s="18">
        <f>'Total Weekday Boardings'!AI26+'Total Saturday Boardings'!AI26+'Total Sunday-Holiday Boardings'!AI26</f>
        <v>23834</v>
      </c>
      <c r="AJ26" s="18">
        <f>'Total Weekday Boardings'!AJ26+'Total Saturday Boardings'!AJ26+'Total Sunday-Holiday Boardings'!AJ26</f>
        <v>18191</v>
      </c>
      <c r="AK26" s="18">
        <f>'Total Weekday Boardings'!AK26+'Total Saturday Boardings'!AK26+'Total Sunday-Holiday Boardings'!AK26</f>
        <v>11041</v>
      </c>
      <c r="AL26" s="18">
        <f>'Total Weekday Boardings'!AL26+'Total Saturday Boardings'!AL26+'Total Sunday-Holiday Boardings'!AL26</f>
        <v>11723</v>
      </c>
      <c r="AM26" s="18">
        <f>'Total Weekday Boardings'!AM26+'Total Saturday Boardings'!AM26+'Total Sunday-Holiday Boardings'!AM26</f>
        <v>17676</v>
      </c>
      <c r="AN26" s="18">
        <f>'Total Weekday Boardings'!AN26+'Total Saturday Boardings'!AN26+'Total Sunday-Holiday Boardings'!AN26</f>
        <v>17761</v>
      </c>
      <c r="AO26" s="18">
        <f>'Total Weekday Boardings'!AO26+'Total Saturday Boardings'!AO26+'Total Sunday-Holiday Boardings'!AO26</f>
        <v>20493</v>
      </c>
      <c r="AP26" s="18">
        <f>'Total Weekday Boardings'!AP26+'Total Saturday Boardings'!AP26+'Total Sunday-Holiday Boardings'!AP26</f>
        <v>26955</v>
      </c>
      <c r="AQ26" s="18">
        <f>'Total Weekday Boardings'!AQ26+'Total Saturday Boardings'!AQ26+'Total Sunday-Holiday Boardings'!AQ26</f>
        <v>24467</v>
      </c>
      <c r="AR26" s="19">
        <f>'Total Weekday Boardings'!AR26+'Total Saturday Boardings'!AR26+'Total Sunday-Holiday Boardings'!AR26</f>
        <v>21576</v>
      </c>
      <c r="AS26" s="17">
        <f>'Total Weekday Boardings'!AS26+'Total Saturday Boardings'!AS26+'Total Sunday-Holiday Boardings'!AS26</f>
        <v>21545</v>
      </c>
      <c r="AT26" s="18">
        <f>'Total Weekday Boardings'!AT26+'Total Saturday Boardings'!AT26+'Total Sunday-Holiday Boardings'!AT26</f>
        <v>17587</v>
      </c>
      <c r="AU26" s="18">
        <f>'Total Weekday Boardings'!AU26+'Total Saturday Boardings'!AU26+'Total Sunday-Holiday Boardings'!AU26</f>
        <v>26448</v>
      </c>
      <c r="AV26" s="18">
        <f>'Total Weekday Boardings'!AV26+'Total Saturday Boardings'!AV26+'Total Sunday-Holiday Boardings'!AV26</f>
        <v>16358</v>
      </c>
      <c r="AW26" s="18">
        <f>'Total Weekday Boardings'!AW26+'Total Saturday Boardings'!AW26+'Total Sunday-Holiday Boardings'!AW26</f>
        <v>12632</v>
      </c>
      <c r="AX26" s="18">
        <f>'Total Weekday Boardings'!AX26+'Total Saturday Boardings'!AX26+'Total Sunday-Holiday Boardings'!AX26</f>
        <v>10995</v>
      </c>
      <c r="AY26" s="18">
        <f>'Total Weekday Boardings'!AY26+'Total Saturday Boardings'!AY26+'Total Sunday-Holiday Boardings'!AY26</f>
        <v>14971</v>
      </c>
      <c r="AZ26" s="18">
        <f>'Total Weekday Boardings'!AZ26+'Total Saturday Boardings'!AZ26+'Total Sunday-Holiday Boardings'!AZ26</f>
        <v>12666</v>
      </c>
      <c r="BA26" s="18">
        <f>'Total Weekday Boardings'!BA26+'Total Saturday Boardings'!BA26+'Total Sunday-Holiday Boardings'!BA26</f>
        <v>16740</v>
      </c>
      <c r="BB26" s="18">
        <f>'Total Weekday Boardings'!BB26+'Total Saturday Boardings'!BB26+'Total Sunday-Holiday Boardings'!BB26</f>
        <v>23390</v>
      </c>
      <c r="BC26" s="18">
        <f>'Total Weekday Boardings'!BC26+'Total Saturday Boardings'!BC26+'Total Sunday-Holiday Boardings'!BC26</f>
        <v>26086</v>
      </c>
      <c r="BD26" s="19">
        <f>'Total Weekday Boardings'!BD26+'Total Saturday Boardings'!BD26+'Total Sunday-Holiday Boardings'!BD26</f>
        <v>17050</v>
      </c>
      <c r="BE26" s="17">
        <f>'Total Weekday Boardings'!BE26+'Total Saturday Boardings'!BE26+'Total Sunday-Holiday Boardings'!BE26</f>
        <v>19148</v>
      </c>
      <c r="BF26" s="18">
        <f>'Total Weekday Boardings'!BF26+'Total Saturday Boardings'!BF26+'Total Sunday-Holiday Boardings'!BF26</f>
        <v>16380</v>
      </c>
      <c r="BG26" s="18">
        <f>'Total Weekday Boardings'!BG26+'Total Saturday Boardings'!BG26+'Total Sunday-Holiday Boardings'!BG26</f>
        <v>16341</v>
      </c>
      <c r="BH26" s="18">
        <f>'Total Weekday Boardings'!BH26+'Total Saturday Boardings'!BH26+'Total Sunday-Holiday Boardings'!BH26</f>
        <v>11960</v>
      </c>
      <c r="BI26" s="18">
        <f>'Total Weekday Boardings'!BI26+'Total Saturday Boardings'!BI26+'Total Sunday-Holiday Boardings'!BI26</f>
        <v>11245.631438903632</v>
      </c>
      <c r="BJ26" s="18">
        <f>'Total Weekday Boardings'!BJ26+'Total Saturday Boardings'!BJ26+'Total Sunday-Holiday Boardings'!BJ26</f>
        <v>10359</v>
      </c>
      <c r="BK26" s="18">
        <f>'Total Weekday Boardings'!BK26+'Total Saturday Boardings'!BK26+'Total Sunday-Holiday Boardings'!BK26</f>
        <v>15305</v>
      </c>
      <c r="BL26" s="18">
        <f>'Total Weekday Boardings'!BL26+'Total Saturday Boardings'!BL26+'Total Sunday-Holiday Boardings'!BL26</f>
        <v>15757</v>
      </c>
      <c r="BM26" s="18">
        <f>'Total Weekday Boardings'!BM26+'Total Saturday Boardings'!BM26+'Total Sunday-Holiday Boardings'!BM26</f>
        <v>20184</v>
      </c>
      <c r="BN26" s="18">
        <f>'Total Weekday Boardings'!BN26+'Total Saturday Boardings'!BN26+'Total Sunday-Holiday Boardings'!BN26</f>
        <v>21689</v>
      </c>
      <c r="BO26" s="18">
        <f>'Total Weekday Boardings'!BO26+'Total Saturday Boardings'!BO26+'Total Sunday-Holiday Boardings'!BO26</f>
        <v>17535</v>
      </c>
      <c r="BP26" s="19">
        <f>'Total Weekday Boardings'!BP26+'Total Saturday Boardings'!BP26+'Total Sunday-Holiday Boardings'!BP26</f>
        <v>26140</v>
      </c>
      <c r="BQ26" s="17">
        <f>'Total Weekday Boardings'!BQ26+'Total Saturday Boardings'!BQ26+'Total Sunday-Holiday Boardings'!BQ26</f>
        <v>14494</v>
      </c>
      <c r="BR26" s="18">
        <f>'Total Weekday Boardings'!BR26+'Total Saturday Boardings'!BR26+'Total Sunday-Holiday Boardings'!BR26</f>
        <v>17422</v>
      </c>
      <c r="BS26" s="18">
        <f>'Total Weekday Boardings'!BS26+'Total Saturday Boardings'!BS26+'Total Sunday-Holiday Boardings'!BS26</f>
        <v>14340</v>
      </c>
      <c r="BT26" s="18">
        <f>'Total Weekday Boardings'!BT26+'Total Saturday Boardings'!BT26+'Total Sunday-Holiday Boardings'!BT26</f>
        <v>12981</v>
      </c>
      <c r="BU26" s="18">
        <f>'Total Weekday Boardings'!BU26+'Total Saturday Boardings'!BU26+'Total Sunday-Holiday Boardings'!BU26</f>
        <v>12099</v>
      </c>
      <c r="BV26" s="18">
        <f>'Total Weekday Boardings'!BV26+'Total Saturday Boardings'!BV26+'Total Sunday-Holiday Boardings'!BV26</f>
        <v>11239</v>
      </c>
      <c r="BW26" s="18">
        <f>'Total Weekday Boardings'!BW26+'Total Saturday Boardings'!BW26+'Total Sunday-Holiday Boardings'!BW26</f>
        <v>24596</v>
      </c>
      <c r="BX26" s="18">
        <f>'Total Weekday Boardings'!BX26+'Total Saturday Boardings'!BX26+'Total Sunday-Holiday Boardings'!BX26</f>
        <v>16674</v>
      </c>
      <c r="BY26" s="18">
        <f>'Total Weekday Boardings'!BY26+'Total Saturday Boardings'!BY26+'Total Sunday-Holiday Boardings'!BY26</f>
        <v>15332</v>
      </c>
      <c r="BZ26" s="18">
        <f>'Total Weekday Boardings'!BZ26+'Total Saturday Boardings'!BZ26+'Total Sunday-Holiday Boardings'!BZ26</f>
        <v>21764</v>
      </c>
      <c r="CA26" s="18">
        <f>'Total Weekday Boardings'!CA26+'Total Saturday Boardings'!CA26+'Total Sunday-Holiday Boardings'!CA26</f>
        <v>26758</v>
      </c>
      <c r="CB26" s="19">
        <f>'Total Weekday Boardings'!CB26+'Total Saturday Boardings'!CB26+'Total Sunday-Holiday Boardings'!CB26</f>
        <v>19530</v>
      </c>
      <c r="CC26" s="20">
        <f>'Total Weekday Boardings'!CC26+'Total Saturday Boardings'!CC26+'Total Sunday-Holiday Boardings'!CC26</f>
        <v>17748</v>
      </c>
      <c r="CD26" s="18">
        <f>'Total Weekday Boardings'!CD26+'Total Saturday Boardings'!CD26+'Total Sunday-Holiday Boardings'!CD26</f>
        <v>18183</v>
      </c>
      <c r="CE26" s="18">
        <f>'Total Weekday Boardings'!CE26+'Total Saturday Boardings'!CE26+'Total Sunday-Holiday Boardings'!CE26</f>
        <v>14960</v>
      </c>
      <c r="CF26" s="18">
        <f>'Total Weekday Boardings'!CF26+'Total Saturday Boardings'!CF26+'Total Sunday-Holiday Boardings'!CF26</f>
        <v>19421</v>
      </c>
      <c r="CG26" s="18">
        <f>'Total Weekday Boardings'!CG26+'Total Saturday Boardings'!CG26+'Total Sunday-Holiday Boardings'!CG26</f>
        <v>12441</v>
      </c>
      <c r="CH26" s="18">
        <f>'Total Weekday Boardings'!CH26+'Total Saturday Boardings'!CH26+'Total Sunday-Holiday Boardings'!CH26</f>
        <v>11351</v>
      </c>
      <c r="CI26" s="18">
        <f>'Total Weekday Boardings'!CI26+'Total Saturday Boardings'!CI26+'Total Sunday-Holiday Boardings'!CI26</f>
        <v>15154</v>
      </c>
      <c r="CJ26" s="18">
        <f>'Total Weekday Boardings'!CJ26+'Total Saturday Boardings'!CJ26+'Total Sunday-Holiday Boardings'!CJ26</f>
        <v>13607</v>
      </c>
      <c r="CK26" s="18">
        <f>'Total Weekday Boardings'!CK26+'Total Saturday Boardings'!CK26+'Total Sunday-Holiday Boardings'!CK26</f>
        <v>14609</v>
      </c>
      <c r="CL26" s="18">
        <f>'Total Weekday Boardings'!CL26+'Total Saturday Boardings'!CL26+'Total Sunday-Holiday Boardings'!CL26</f>
        <v>26757</v>
      </c>
      <c r="CM26" s="18">
        <f>'Total Weekday Boardings'!CM26+'Total Saturday Boardings'!CM26+'Total Sunday-Holiday Boardings'!CM26</f>
        <v>22240</v>
      </c>
      <c r="CN26" s="21">
        <f>'Total Weekday Boardings'!CN26+'Total Saturday Boardings'!CN26+'Total Sunday-Holiday Boardings'!CN26</f>
        <v>26111</v>
      </c>
      <c r="CO26" s="17">
        <f>'Total Weekday Boardings'!CO26+'Total Saturday Boardings'!CO26+'Total Sunday-Holiday Boardings'!CO26</f>
        <v>16633</v>
      </c>
      <c r="CP26" s="18">
        <f>'Total Weekday Boardings'!CP26+'Total Saturday Boardings'!CP26+'Total Sunday-Holiday Boardings'!CP26</f>
        <v>17534</v>
      </c>
      <c r="CQ26" s="18">
        <f>'Total Weekday Boardings'!CQ26+'Total Saturday Boardings'!CQ26+'Total Sunday-Holiday Boardings'!CQ26</f>
        <v>16275</v>
      </c>
      <c r="CR26" s="18">
        <f>'Total Weekday Boardings'!CR26+'Total Saturday Boardings'!CR26+'Total Sunday-Holiday Boardings'!CR26</f>
        <v>15657</v>
      </c>
      <c r="CS26" s="18">
        <f>'Total Weekday Boardings'!CS26+'Total Saturday Boardings'!CS26+'Total Sunday-Holiday Boardings'!CS26</f>
        <v>12822</v>
      </c>
      <c r="CT26" s="18">
        <f>'Total Weekday Boardings'!CT26+'Total Saturday Boardings'!CT26+'Total Sunday-Holiday Boardings'!CT26</f>
        <v>11344</v>
      </c>
      <c r="CU26" s="18">
        <f>'Total Weekday Boardings'!CU26+'Total Saturday Boardings'!CU26+'Total Sunday-Holiday Boardings'!CU26</f>
        <v>12510</v>
      </c>
      <c r="CV26" s="18">
        <f>'Total Weekday Boardings'!CV26+'Total Saturday Boardings'!CV26+'Total Sunday-Holiday Boardings'!CV26</f>
        <v>12894</v>
      </c>
      <c r="CW26" s="18">
        <f>'Total Weekday Boardings'!CW26+'Total Saturday Boardings'!CW26+'Total Sunday-Holiday Boardings'!CW26</f>
        <v>17412</v>
      </c>
      <c r="CX26" s="18">
        <f>'Total Weekday Boardings'!CX26+'Total Saturday Boardings'!CX26+'Total Sunday-Holiday Boardings'!CX26</f>
        <v>28204</v>
      </c>
      <c r="CY26" s="18">
        <f>'Total Weekday Boardings'!CY26+'Total Saturday Boardings'!CY26+'Total Sunday-Holiday Boardings'!CY26</f>
        <v>27677</v>
      </c>
      <c r="CZ26" s="19">
        <f>'Total Weekday Boardings'!CZ26+'Total Saturday Boardings'!CZ26+'Total Sunday-Holiday Boardings'!CZ26</f>
        <v>20655</v>
      </c>
      <c r="DA26" s="17">
        <f>'Total Weekday Boardings'!DA26+'Total Saturday Boardings'!DA26+'Total Sunday-Holiday Boardings'!DA26</f>
        <v>17797</v>
      </c>
      <c r="DB26" s="18">
        <f>'Total Weekday Boardings'!DB26+'Total Saturday Boardings'!DB26+'Total Sunday-Holiday Boardings'!DB26</f>
        <v>19082</v>
      </c>
      <c r="DC26" s="18">
        <f>'Total Weekday Boardings'!DC26+'Total Saturday Boardings'!DC26+'Total Sunday-Holiday Boardings'!DC26</f>
        <v>18268</v>
      </c>
      <c r="DD26" s="18">
        <f>'Total Weekday Boardings'!DD26+'Total Saturday Boardings'!DD26+'Total Sunday-Holiday Boardings'!DD26</f>
        <v>17050</v>
      </c>
      <c r="DE26" s="18">
        <f>'Total Weekday Boardings'!DE26+'Total Saturday Boardings'!DE26+'Total Sunday-Holiday Boardings'!DE26</f>
        <v>14356</v>
      </c>
      <c r="DF26" s="18">
        <f>'Total Weekday Boardings'!DF26+'Total Saturday Boardings'!DF26+'Total Sunday-Holiday Boardings'!DF26</f>
        <v>13595</v>
      </c>
      <c r="DG26" s="18">
        <f>'Total Weekday Boardings'!DG26+'Total Saturday Boardings'!DG26+'Total Sunday-Holiday Boardings'!DG26</f>
        <v>18653</v>
      </c>
      <c r="DH26" s="18">
        <f>'Total Weekday Boardings'!DH26+'Total Saturday Boardings'!DH26+'Total Sunday-Holiday Boardings'!DH26</f>
        <v>17762</v>
      </c>
      <c r="DI26" s="18">
        <f>'Total Weekday Boardings'!DI26+'Total Saturday Boardings'!DI26+'Total Sunday-Holiday Boardings'!DI26</f>
        <v>26883</v>
      </c>
      <c r="DJ26" s="18">
        <f>'Total Weekday Boardings'!DJ26+'Total Saturday Boardings'!DJ26+'Total Sunday-Holiday Boardings'!DJ26</f>
        <v>28259</v>
      </c>
      <c r="DK26" s="18">
        <f>'Total Weekday Boardings'!DK26+'Total Saturday Boardings'!DK26+'Total Sunday-Holiday Boardings'!DK26</f>
        <v>33814</v>
      </c>
      <c r="DL26" s="19">
        <f>'Total Weekday Boardings'!DL26+'Total Saturday Boardings'!DL26+'Total Sunday-Holiday Boardings'!DL26</f>
        <v>24280</v>
      </c>
      <c r="DM26" s="17">
        <f>'Total Weekday Boardings'!DM26+'Total Saturday Boardings'!DM26+'Total Sunday-Holiday Boardings'!DM26</f>
        <v>23688</v>
      </c>
      <c r="DN26" s="18">
        <f>'Total Weekday Boardings'!DN26+'Total Saturday Boardings'!DN26+'Total Sunday-Holiday Boardings'!DN26</f>
        <v>22296</v>
      </c>
      <c r="DO26" s="18">
        <f>'Total Weekday Boardings'!DO26+'Total Saturday Boardings'!DO26+'Total Sunday-Holiday Boardings'!DO26</f>
        <v>23166</v>
      </c>
      <c r="DP26" s="18">
        <f>'Total Weekday Boardings'!DP26+'Total Saturday Boardings'!DP26+'Total Sunday-Holiday Boardings'!DP26</f>
        <v>18943</v>
      </c>
      <c r="DQ26" s="18">
        <f>'Total Weekday Boardings'!DQ26+'Total Saturday Boardings'!DQ26+'Total Sunday-Holiday Boardings'!DQ26</f>
        <v>18521</v>
      </c>
      <c r="DR26" s="18">
        <f>'Total Weekday Boardings'!DR26+'Total Saturday Boardings'!DR26+'Total Sunday-Holiday Boardings'!DR26</f>
        <v>16593</v>
      </c>
      <c r="DS26" s="18">
        <f>'Total Weekday Boardings'!DS26+'Total Saturday Boardings'!DS26+'Total Sunday-Holiday Boardings'!DS26</f>
        <v>21346</v>
      </c>
      <c r="DT26" s="18">
        <f>'Total Weekday Boardings'!DT26+'Total Saturday Boardings'!DT26+'Total Sunday-Holiday Boardings'!DT26</f>
        <v>17065</v>
      </c>
      <c r="DU26" s="18">
        <f>'Total Weekday Boardings'!DU26+'Total Saturday Boardings'!DU26+'Total Sunday-Holiday Boardings'!DU26</f>
        <v>22794</v>
      </c>
      <c r="DV26" s="18">
        <f>'Total Weekday Boardings'!DV26+'Total Saturday Boardings'!DV26+'Total Sunday-Holiday Boardings'!DV26</f>
        <v>29315</v>
      </c>
      <c r="DW26" s="18">
        <f>'Total Weekday Boardings'!DW26+'Total Saturday Boardings'!DW26+'Total Sunday-Holiday Boardings'!DW26</f>
        <v>21607</v>
      </c>
      <c r="DX26" s="19">
        <f>'Total Weekday Boardings'!DX26+'Total Saturday Boardings'!DX26+'Total Sunday-Holiday Boardings'!DX26</f>
        <v>18456</v>
      </c>
      <c r="DY26" s="137">
        <v>14399</v>
      </c>
      <c r="DZ26" s="18">
        <v>21025</v>
      </c>
      <c r="EA26" s="18">
        <v>17068</v>
      </c>
      <c r="EB26" s="18">
        <v>12417</v>
      </c>
      <c r="EC26" s="18">
        <v>14770</v>
      </c>
      <c r="ED26" s="18">
        <v>12826</v>
      </c>
      <c r="EE26" s="18">
        <v>13403</v>
      </c>
      <c r="EF26" s="18">
        <v>13567</v>
      </c>
      <c r="EG26" s="18">
        <v>12471</v>
      </c>
      <c r="EH26" s="18">
        <v>5469</v>
      </c>
      <c r="EI26" s="18">
        <v>5710</v>
      </c>
      <c r="EJ26" s="19">
        <v>5521</v>
      </c>
      <c r="EK26" s="100">
        <v>5271</v>
      </c>
      <c r="EL26" s="18">
        <v>6083</v>
      </c>
      <c r="EM26" s="18">
        <v>5921</v>
      </c>
      <c r="EN26" s="103">
        <v>6267</v>
      </c>
      <c r="EO26" s="18">
        <v>10111</v>
      </c>
      <c r="EP26" s="18">
        <v>3584</v>
      </c>
      <c r="EQ26" s="18">
        <v>2269</v>
      </c>
      <c r="ER26" s="18">
        <v>6569</v>
      </c>
      <c r="ES26" s="18">
        <v>6647</v>
      </c>
      <c r="ET26" s="18">
        <v>6962</v>
      </c>
      <c r="EU26" s="18">
        <v>6725</v>
      </c>
      <c r="EV26" s="19">
        <v>8650</v>
      </c>
      <c r="EW26" s="103">
        <v>10111</v>
      </c>
      <c r="EX26" s="18">
        <v>7385</v>
      </c>
      <c r="EY26" s="18">
        <v>7516</v>
      </c>
      <c r="EZ26" s="103">
        <v>7636</v>
      </c>
      <c r="FA26" s="18">
        <v>7802</v>
      </c>
      <c r="FB26" s="145">
        <v>7851</v>
      </c>
      <c r="FC26" s="18">
        <v>6529</v>
      </c>
      <c r="FD26" s="18">
        <v>7914</v>
      </c>
      <c r="FE26" s="18">
        <v>9000</v>
      </c>
      <c r="FF26" s="18">
        <v>6074</v>
      </c>
      <c r="FG26" s="13">
        <f>SUM('Total Weekday Boardings'!FG26,'Total Saturday Boardings'!FG26,'Total Sunday-Holiday Boardings'!FG26)</f>
        <v>20743</v>
      </c>
      <c r="FH26" s="13">
        <f>SUM('Total Weekday Boardings'!FH26,'Total Saturday Boardings'!FH26,'Total Sunday-Holiday Boardings'!FH26)</f>
        <v>17631</v>
      </c>
      <c r="FI26" s="13">
        <f>SUM('Total Weekday Boardings'!FI26,'Total Saturday Boardings'!FI26,'Total Sunday-Holiday Boardings'!FI26)</f>
        <v>8486</v>
      </c>
      <c r="FJ26" s="13">
        <f>SUM('Total Weekday Boardings'!FJ26,'Total Saturday Boardings'!FJ26,'Total Sunday-Holiday Boardings'!FJ26)</f>
        <v>7889</v>
      </c>
      <c r="FK26" s="13">
        <f>SUM('Total Weekday Boardings'!FK26,'Total Saturday Boardings'!FK26,'Total Sunday-Holiday Boardings'!FK26)</f>
        <v>11183.25</v>
      </c>
      <c r="FL26" s="13">
        <f>SUM('Total Weekday Boardings'!FL26,'Total Saturday Boardings'!FL26,'Total Sunday-Holiday Boardings'!FL26)</f>
        <v>7923</v>
      </c>
      <c r="FM26" s="13">
        <f>SUM('Total Weekday Boardings'!FM26,'Total Saturday Boardings'!FM26,'Total Sunday-Holiday Boardings'!FM26)</f>
        <v>10576</v>
      </c>
      <c r="FN26" s="13">
        <f>SUM('Total Weekday Boardings'!FN26,'Total Saturday Boardings'!FN26,'Total Sunday-Holiday Boardings'!FN26)</f>
        <v>7984</v>
      </c>
      <c r="FO26" s="13">
        <f>SUM('Total Weekday Boardings'!FO26,'Total Saturday Boardings'!FO26,'Total Sunday-Holiday Boardings'!FO26)</f>
        <v>8036</v>
      </c>
      <c r="FP26" s="13">
        <f>SUM('Total Weekday Boardings'!FP26,'Total Saturday Boardings'!FP26,'Total Sunday-Holiday Boardings'!FP26)</f>
        <v>13215</v>
      </c>
      <c r="FQ26" s="13">
        <f>SUM('Total Weekday Boardings'!FQ26,'Total Saturday Boardings'!FQ26,'Total Sunday-Holiday Boardings'!FQ26)</f>
        <v>12969</v>
      </c>
      <c r="FR26" s="13">
        <f>SUM('Total Weekday Boardings'!FR26,'Total Saturday Boardings'!FR26,'Total Sunday-Holiday Boardings'!FR26)</f>
        <v>14428</v>
      </c>
      <c r="FS26" s="13">
        <f>SUM('Total Weekday Boardings'!FS26,'Total Saturday Boardings'!FS26,'Total Sunday-Holiday Boardings'!FS26)</f>
        <v>13670</v>
      </c>
      <c r="FT26" s="16">
        <f>SUM('Total Weekday Boardings'!FT26,'Total Saturday Boardings'!FT26,'Total Sunday-Holiday Boardings'!FT26)</f>
        <v>14153</v>
      </c>
      <c r="FU26" s="171">
        <v>11878</v>
      </c>
      <c r="FV26" s="171">
        <v>17040</v>
      </c>
      <c r="FW26" s="171">
        <v>10563</v>
      </c>
      <c r="FX26" s="171">
        <v>18422</v>
      </c>
      <c r="FY26" s="171">
        <v>11037</v>
      </c>
      <c r="FZ26" s="171">
        <v>12515</v>
      </c>
      <c r="GA26" s="171">
        <v>10737</v>
      </c>
      <c r="GB26" s="52">
        <v>15355</v>
      </c>
      <c r="GC26" s="52">
        <v>12711</v>
      </c>
      <c r="GD26" s="52">
        <v>15480</v>
      </c>
      <c r="GE26" s="18">
        <v>14053</v>
      </c>
      <c r="GF26" s="52">
        <v>13395</v>
      </c>
      <c r="GG26" s="184">
        <v>11736</v>
      </c>
      <c r="GH26" s="52">
        <v>13235</v>
      </c>
      <c r="GI26" s="18">
        <v>14939</v>
      </c>
      <c r="GJ26" s="236">
        <v>9207</v>
      </c>
      <c r="GK26" s="184">
        <v>11118</v>
      </c>
      <c r="GL26" s="184">
        <v>8499</v>
      </c>
    </row>
    <row r="27" spans="1:194" ht="15" thickBot="1" x14ac:dyDescent="0.35">
      <c r="A27" s="3" t="s">
        <v>40</v>
      </c>
      <c r="B27" s="17"/>
      <c r="C27" s="18">
        <f>'Total Weekday Boardings'!C27+'Total Saturday Boardings'!C27+'Total Sunday-Holiday Boardings'!C27</f>
        <v>8323</v>
      </c>
      <c r="D27" s="18">
        <f>'Total Weekday Boardings'!D27+'Total Saturday Boardings'!D27+'Total Sunday-Holiday Boardings'!D27</f>
        <v>7039</v>
      </c>
      <c r="E27" s="18">
        <f>'Total Weekday Boardings'!E27+'Total Saturday Boardings'!E27+'Total Sunday-Holiday Boardings'!E27</f>
        <v>6720</v>
      </c>
      <c r="F27" s="18">
        <f>'Total Weekday Boardings'!F27+'Total Saturday Boardings'!F27+'Total Sunday-Holiday Boardings'!F27</f>
        <v>7146</v>
      </c>
      <c r="G27" s="18">
        <f>'Total Weekday Boardings'!G27+'Total Saturday Boardings'!G27+'Total Sunday-Holiday Boardings'!G27</f>
        <v>6759</v>
      </c>
      <c r="H27" s="19">
        <f>'Total Weekday Boardings'!H27+'Total Saturday Boardings'!H27+'Total Sunday-Holiday Boardings'!H27</f>
        <v>7606</v>
      </c>
      <c r="I27" s="17">
        <f>'Total Weekday Boardings'!I27+'Total Saturday Boardings'!I27+'Total Sunday-Holiday Boardings'!I27</f>
        <v>6726</v>
      </c>
      <c r="J27" s="18">
        <f>'Total Weekday Boardings'!J27+'Total Saturday Boardings'!J27+'Total Sunday-Holiday Boardings'!J27</f>
        <v>7797</v>
      </c>
      <c r="K27" s="18">
        <f>'Total Weekday Boardings'!K27+'Total Saturday Boardings'!K27+'Total Sunday-Holiday Boardings'!K27</f>
        <v>7928</v>
      </c>
      <c r="L27" s="18">
        <f>'Total Weekday Boardings'!L27+'Total Saturday Boardings'!L27+'Total Sunday-Holiday Boardings'!L27</f>
        <v>6649</v>
      </c>
      <c r="M27" s="18">
        <f>'Total Weekday Boardings'!M27+'Total Saturday Boardings'!M27+'Total Sunday-Holiday Boardings'!M27</f>
        <v>7679</v>
      </c>
      <c r="N27" s="18">
        <f>'Total Weekday Boardings'!N27+'Total Saturday Boardings'!N27+'Total Sunday-Holiday Boardings'!N27</f>
        <v>9084</v>
      </c>
      <c r="O27" s="62">
        <f>'Total Weekday Boardings'!O27+'Total Saturday Boardings'!O27+'Total Sunday-Holiday Boardings'!O27</f>
        <v>6789</v>
      </c>
      <c r="P27" s="62">
        <f>'Total Weekday Boardings'!P27+'Total Saturday Boardings'!P27+'Total Sunday-Holiday Boardings'!P27</f>
        <v>9374</v>
      </c>
      <c r="Q27" s="62">
        <f>'Total Weekday Boardings'!Q27+'Total Saturday Boardings'!Q27+'Total Sunday-Holiday Boardings'!Q27</f>
        <v>10579</v>
      </c>
      <c r="R27" s="62">
        <f>'Total Weekday Boardings'!R27+'Total Saturday Boardings'!R27+'Total Sunday-Holiday Boardings'!R27</f>
        <v>7733</v>
      </c>
      <c r="S27" s="62">
        <f>'Total Weekday Boardings'!S27+'Total Saturday Boardings'!S27+'Total Sunday-Holiday Boardings'!S27</f>
        <v>6240</v>
      </c>
      <c r="T27" s="63">
        <f>'Total Weekday Boardings'!T27+'Total Saturday Boardings'!T27+'Total Sunday-Holiday Boardings'!T27</f>
        <v>6319</v>
      </c>
      <c r="U27" s="64">
        <f>'Total Weekday Boardings'!U27+'Total Saturday Boardings'!U27+'Total Sunday-Holiday Boardings'!U27</f>
        <v>5596</v>
      </c>
      <c r="V27" s="62">
        <f>'Total Weekday Boardings'!V27+'Total Saturday Boardings'!V27+'Total Sunday-Holiday Boardings'!V27</f>
        <v>6366</v>
      </c>
      <c r="W27" s="62">
        <f>'Total Weekday Boardings'!W27+'Total Saturday Boardings'!W27+'Total Sunday-Holiday Boardings'!W27</f>
        <v>7211</v>
      </c>
      <c r="X27" s="62">
        <f>'Total Weekday Boardings'!X27+'Total Saturday Boardings'!X27+'Total Sunday-Holiday Boardings'!X27</f>
        <v>6729</v>
      </c>
      <c r="Y27" s="62">
        <f>'Total Weekday Boardings'!Y27+'Total Saturday Boardings'!Y27+'Total Sunday-Holiday Boardings'!Y27</f>
        <v>7200</v>
      </c>
      <c r="Z27" s="62">
        <f>'Total Weekday Boardings'!Z27+'Total Saturday Boardings'!Z27+'Total Sunday-Holiday Boardings'!Z27</f>
        <v>6141</v>
      </c>
      <c r="AA27" s="18">
        <f>'Total Weekday Boardings'!AA27+'Total Saturday Boardings'!AA27+'Total Sunday-Holiday Boardings'!AA27</f>
        <v>9024</v>
      </c>
      <c r="AB27" s="18">
        <f>'Total Weekday Boardings'!AB27+'Total Saturday Boardings'!AB27+'Total Sunday-Holiday Boardings'!AB27</f>
        <v>8455</v>
      </c>
      <c r="AC27" s="18">
        <f>'Total Weekday Boardings'!AC27+'Total Saturday Boardings'!AC27+'Total Sunday-Holiday Boardings'!AC27</f>
        <v>9244</v>
      </c>
      <c r="AD27" s="18">
        <f>'Total Weekday Boardings'!AD27+'Total Saturday Boardings'!AD27+'Total Sunday-Holiday Boardings'!AD27</f>
        <v>9327</v>
      </c>
      <c r="AE27" s="18">
        <f>'Total Weekday Boardings'!AE27+'Total Saturday Boardings'!AE27+'Total Sunday-Holiday Boardings'!AE27</f>
        <v>8904</v>
      </c>
      <c r="AF27" s="19">
        <f>'Total Weekday Boardings'!AF27+'Total Saturday Boardings'!AF27+'Total Sunday-Holiday Boardings'!AF27</f>
        <v>8783</v>
      </c>
      <c r="AG27" s="17">
        <f>'Total Weekday Boardings'!AG27+'Total Saturday Boardings'!AG27+'Total Sunday-Holiday Boardings'!AG27</f>
        <v>8732</v>
      </c>
      <c r="AH27" s="18">
        <f>'Total Weekday Boardings'!AH27+'Total Saturday Boardings'!AH27+'Total Sunday-Holiday Boardings'!AH27</f>
        <v>8966</v>
      </c>
      <c r="AI27" s="18">
        <f>'Total Weekday Boardings'!AI27+'Total Saturday Boardings'!AI27+'Total Sunday-Holiday Boardings'!AI27</f>
        <v>9307</v>
      </c>
      <c r="AJ27" s="18">
        <f>'Total Weekday Boardings'!AJ27+'Total Saturday Boardings'!AJ27+'Total Sunday-Holiday Boardings'!AJ27</f>
        <v>9552</v>
      </c>
      <c r="AK27" s="18">
        <f>'Total Weekday Boardings'!AK27+'Total Saturday Boardings'!AK27+'Total Sunday-Holiday Boardings'!AK27</f>
        <v>8453</v>
      </c>
      <c r="AL27" s="18">
        <f>'Total Weekday Boardings'!AL27+'Total Saturday Boardings'!AL27+'Total Sunday-Holiday Boardings'!AL27</f>
        <v>9596</v>
      </c>
      <c r="AM27" s="18">
        <f>'Total Weekday Boardings'!AM27+'Total Saturday Boardings'!AM27+'Total Sunday-Holiday Boardings'!AM27</f>
        <v>9826</v>
      </c>
      <c r="AN27" s="18">
        <f>'Total Weekday Boardings'!AN27+'Total Saturday Boardings'!AN27+'Total Sunday-Holiday Boardings'!AN27</f>
        <v>9514</v>
      </c>
      <c r="AO27" s="18">
        <f>'Total Weekday Boardings'!AO27+'Total Saturday Boardings'!AO27+'Total Sunday-Holiday Boardings'!AO27</f>
        <v>10475</v>
      </c>
      <c r="AP27" s="18">
        <f>'Total Weekday Boardings'!AP27+'Total Saturday Boardings'!AP27+'Total Sunday-Holiday Boardings'!AP27</f>
        <v>10642</v>
      </c>
      <c r="AQ27" s="18">
        <f>'Total Weekday Boardings'!AQ27+'Total Saturday Boardings'!AQ27+'Total Sunday-Holiday Boardings'!AQ27</f>
        <v>11229</v>
      </c>
      <c r="AR27" s="19">
        <f>'Total Weekday Boardings'!AR27+'Total Saturday Boardings'!AR27+'Total Sunday-Holiday Boardings'!AR27</f>
        <v>9915</v>
      </c>
      <c r="AS27" s="17">
        <f>'Total Weekday Boardings'!AS27+'Total Saturday Boardings'!AS27+'Total Sunday-Holiday Boardings'!AS27</f>
        <v>10236</v>
      </c>
      <c r="AT27" s="18">
        <f>'Total Weekday Boardings'!AT27+'Total Saturday Boardings'!AT27+'Total Sunday-Holiday Boardings'!AT27</f>
        <v>10359</v>
      </c>
      <c r="AU27" s="18">
        <f>'Total Weekday Boardings'!AU27+'Total Saturday Boardings'!AU27+'Total Sunday-Holiday Boardings'!AU27</f>
        <v>8454</v>
      </c>
      <c r="AV27" s="18">
        <f>'Total Weekday Boardings'!AV27+'Total Saturday Boardings'!AV27+'Total Sunday-Holiday Boardings'!AV27</f>
        <v>11285</v>
      </c>
      <c r="AW27" s="18">
        <f>'Total Weekday Boardings'!AW27+'Total Saturday Boardings'!AW27+'Total Sunday-Holiday Boardings'!AW27</f>
        <v>10123</v>
      </c>
      <c r="AX27" s="18">
        <f>'Total Weekday Boardings'!AX27+'Total Saturday Boardings'!AX27+'Total Sunday-Holiday Boardings'!AX27</f>
        <v>10005</v>
      </c>
      <c r="AY27" s="18">
        <f>'Total Weekday Boardings'!AY27+'Total Saturday Boardings'!AY27+'Total Sunday-Holiday Boardings'!AY27</f>
        <v>10072</v>
      </c>
      <c r="AZ27" s="18">
        <f>'Total Weekday Boardings'!AZ27+'Total Saturday Boardings'!AZ27+'Total Sunday-Holiday Boardings'!AZ27</f>
        <v>9818</v>
      </c>
      <c r="BA27" s="18">
        <f>'Total Weekday Boardings'!BA27+'Total Saturday Boardings'!BA27+'Total Sunday-Holiday Boardings'!BA27</f>
        <v>10639</v>
      </c>
      <c r="BB27" s="18">
        <f>'Total Weekday Boardings'!BB27+'Total Saturday Boardings'!BB27+'Total Sunday-Holiday Boardings'!BB27</f>
        <v>10988</v>
      </c>
      <c r="BC27" s="18">
        <f>'Total Weekday Boardings'!BC27+'Total Saturday Boardings'!BC27+'Total Sunday-Holiday Boardings'!BC27</f>
        <v>11214</v>
      </c>
      <c r="BD27" s="19">
        <f>'Total Weekday Boardings'!BD27+'Total Saturday Boardings'!BD27+'Total Sunday-Holiday Boardings'!BD27</f>
        <v>9506</v>
      </c>
      <c r="BE27" s="17">
        <f>'Total Weekday Boardings'!BE27+'Total Saturday Boardings'!BE27+'Total Sunday-Holiday Boardings'!BE27</f>
        <v>9802</v>
      </c>
      <c r="BF27" s="18">
        <f>'Total Weekday Boardings'!BF27+'Total Saturday Boardings'!BF27+'Total Sunday-Holiday Boardings'!BF27</f>
        <v>10949</v>
      </c>
      <c r="BG27" s="18">
        <f>'Total Weekday Boardings'!BG27+'Total Saturday Boardings'!BG27+'Total Sunday-Holiday Boardings'!BG27</f>
        <v>10814</v>
      </c>
      <c r="BH27" s="18">
        <f>'Total Weekday Boardings'!BH27+'Total Saturday Boardings'!BH27+'Total Sunday-Holiday Boardings'!BH27</f>
        <v>11611</v>
      </c>
      <c r="BI27" s="18">
        <f>'Total Weekday Boardings'!BI27+'Total Saturday Boardings'!BI27+'Total Sunday-Holiday Boardings'!BI27</f>
        <v>10764.160016610938</v>
      </c>
      <c r="BJ27" s="18">
        <f>'Total Weekday Boardings'!BJ27+'Total Saturday Boardings'!BJ27+'Total Sunday-Holiday Boardings'!BJ27</f>
        <v>10029</v>
      </c>
      <c r="BK27" s="18">
        <f>'Total Weekday Boardings'!BK27+'Total Saturday Boardings'!BK27+'Total Sunday-Holiday Boardings'!BK27</f>
        <v>11784</v>
      </c>
      <c r="BL27" s="18">
        <f>'Total Weekday Boardings'!BL27+'Total Saturday Boardings'!BL27+'Total Sunday-Holiday Boardings'!BL27</f>
        <v>11107</v>
      </c>
      <c r="BM27" s="18">
        <f>'Total Weekday Boardings'!BM27+'Total Saturday Boardings'!BM27+'Total Sunday-Holiday Boardings'!BM27</f>
        <v>15719</v>
      </c>
      <c r="BN27" s="18">
        <f>'Total Weekday Boardings'!BN27+'Total Saturday Boardings'!BN27+'Total Sunday-Holiday Boardings'!BN27</f>
        <v>11528</v>
      </c>
      <c r="BO27" s="18">
        <f>'Total Weekday Boardings'!BO27+'Total Saturday Boardings'!BO27+'Total Sunday-Holiday Boardings'!BO27</f>
        <v>11094</v>
      </c>
      <c r="BP27" s="19">
        <f>'Total Weekday Boardings'!BP27+'Total Saturday Boardings'!BP27+'Total Sunday-Holiday Boardings'!BP27</f>
        <v>10172</v>
      </c>
      <c r="BQ27" s="17">
        <f>'Total Weekday Boardings'!BQ27+'Total Saturday Boardings'!BQ27+'Total Sunday-Holiday Boardings'!BQ27</f>
        <v>10463</v>
      </c>
      <c r="BR27" s="18">
        <f>'Total Weekday Boardings'!BR27+'Total Saturday Boardings'!BR27+'Total Sunday-Holiday Boardings'!BR27</f>
        <v>10682</v>
      </c>
      <c r="BS27" s="18">
        <f>'Total Weekday Boardings'!BS27+'Total Saturday Boardings'!BS27+'Total Sunday-Holiday Boardings'!BS27</f>
        <v>10721</v>
      </c>
      <c r="BT27" s="18">
        <f>'Total Weekday Boardings'!BT27+'Total Saturday Boardings'!BT27+'Total Sunday-Holiday Boardings'!BT27</f>
        <v>11561</v>
      </c>
      <c r="BU27" s="18">
        <f>'Total Weekday Boardings'!BU27+'Total Saturday Boardings'!BU27+'Total Sunday-Holiday Boardings'!BU27</f>
        <v>10314</v>
      </c>
      <c r="BV27" s="18">
        <f>'Total Weekday Boardings'!BV27+'Total Saturday Boardings'!BV27+'Total Sunday-Holiday Boardings'!BV27</f>
        <v>10918</v>
      </c>
      <c r="BW27" s="18">
        <f>'Total Weekday Boardings'!BW27+'Total Saturday Boardings'!BW27+'Total Sunday-Holiday Boardings'!BW27</f>
        <v>13483</v>
      </c>
      <c r="BX27" s="18">
        <f>'Total Weekday Boardings'!BX27+'Total Saturday Boardings'!BX27+'Total Sunday-Holiday Boardings'!BX27</f>
        <v>10442</v>
      </c>
      <c r="BY27" s="18">
        <f>'Total Weekday Boardings'!BY27+'Total Saturday Boardings'!BY27+'Total Sunday-Holiday Boardings'!BY27</f>
        <v>11250</v>
      </c>
      <c r="BZ27" s="18">
        <f>'Total Weekday Boardings'!BZ27+'Total Saturday Boardings'!BZ27+'Total Sunday-Holiday Boardings'!BZ27</f>
        <v>10813</v>
      </c>
      <c r="CA27" s="18">
        <f>'Total Weekday Boardings'!CA27+'Total Saturday Boardings'!CA27+'Total Sunday-Holiday Boardings'!CA27</f>
        <v>10424</v>
      </c>
      <c r="CB27" s="19">
        <f>'Total Weekday Boardings'!CB27+'Total Saturday Boardings'!CB27+'Total Sunday-Holiday Boardings'!CB27</f>
        <v>9685</v>
      </c>
      <c r="CC27" s="20">
        <f>'Total Weekday Boardings'!CC27+'Total Saturday Boardings'!CC27+'Total Sunday-Holiday Boardings'!CC27</f>
        <v>10275</v>
      </c>
      <c r="CD27" s="18">
        <f>'Total Weekday Boardings'!CD27+'Total Saturday Boardings'!CD27+'Total Sunday-Holiday Boardings'!CD27</f>
        <v>10432</v>
      </c>
      <c r="CE27" s="18">
        <f>'Total Weekday Boardings'!CE27+'Total Saturday Boardings'!CE27+'Total Sunday-Holiday Boardings'!CE27</f>
        <v>11242</v>
      </c>
      <c r="CF27" s="18">
        <f>'Total Weekday Boardings'!CF27+'Total Saturday Boardings'!CF27+'Total Sunday-Holiday Boardings'!CF27</f>
        <v>11881</v>
      </c>
      <c r="CG27" s="18">
        <f>'Total Weekday Boardings'!CG27+'Total Saturday Boardings'!CG27+'Total Sunday-Holiday Boardings'!CG27</f>
        <v>11825</v>
      </c>
      <c r="CH27" s="18">
        <f>'Total Weekday Boardings'!CH27+'Total Saturday Boardings'!CH27+'Total Sunday-Holiday Boardings'!CH27</f>
        <v>11428</v>
      </c>
      <c r="CI27" s="18">
        <f>'Total Weekday Boardings'!CI27+'Total Saturday Boardings'!CI27+'Total Sunday-Holiday Boardings'!CI27</f>
        <v>12974</v>
      </c>
      <c r="CJ27" s="18">
        <f>'Total Weekday Boardings'!CJ27+'Total Saturday Boardings'!CJ27+'Total Sunday-Holiday Boardings'!CJ27</f>
        <v>11271</v>
      </c>
      <c r="CK27" s="18">
        <f>'Total Weekday Boardings'!CK27+'Total Saturday Boardings'!CK27+'Total Sunday-Holiday Boardings'!CK27</f>
        <v>12142</v>
      </c>
      <c r="CL27" s="18">
        <f>'Total Weekday Boardings'!CL27+'Total Saturday Boardings'!CL27+'Total Sunday-Holiday Boardings'!CL27</f>
        <v>12501</v>
      </c>
      <c r="CM27" s="18">
        <f>'Total Weekday Boardings'!CM27+'Total Saturday Boardings'!CM27+'Total Sunday-Holiday Boardings'!CM27</f>
        <v>9337</v>
      </c>
      <c r="CN27" s="21">
        <f>'Total Weekday Boardings'!CN27+'Total Saturday Boardings'!CN27+'Total Sunday-Holiday Boardings'!CN27</f>
        <v>11958</v>
      </c>
      <c r="CO27" s="17">
        <f>'Total Weekday Boardings'!CO27+'Total Saturday Boardings'!CO27+'Total Sunday-Holiday Boardings'!CO27</f>
        <v>10727</v>
      </c>
      <c r="CP27" s="18">
        <f>'Total Weekday Boardings'!CP27+'Total Saturday Boardings'!CP27+'Total Sunday-Holiday Boardings'!CP27</f>
        <v>11792</v>
      </c>
      <c r="CQ27" s="18">
        <f>'Total Weekday Boardings'!CQ27+'Total Saturday Boardings'!CQ27+'Total Sunday-Holiday Boardings'!CQ27</f>
        <v>11722</v>
      </c>
      <c r="CR27" s="18">
        <f>'Total Weekday Boardings'!CR27+'Total Saturday Boardings'!CR27+'Total Sunday-Holiday Boardings'!CR27</f>
        <v>12612</v>
      </c>
      <c r="CS27" s="18">
        <f>'Total Weekday Boardings'!CS27+'Total Saturday Boardings'!CS27+'Total Sunday-Holiday Boardings'!CS27</f>
        <v>11495</v>
      </c>
      <c r="CT27" s="18">
        <f>'Total Weekday Boardings'!CT27+'Total Saturday Boardings'!CT27+'Total Sunday-Holiday Boardings'!CT27</f>
        <v>11561</v>
      </c>
      <c r="CU27" s="18">
        <f>'Total Weekday Boardings'!CU27+'Total Saturday Boardings'!CU27+'Total Sunday-Holiday Boardings'!CU27</f>
        <v>12181</v>
      </c>
      <c r="CV27" s="18">
        <f>'Total Weekday Boardings'!CV27+'Total Saturday Boardings'!CV27+'Total Sunday-Holiday Boardings'!CV27</f>
        <v>11315</v>
      </c>
      <c r="CW27" s="18">
        <f>'Total Weekday Boardings'!CW27+'Total Saturday Boardings'!CW27+'Total Sunday-Holiday Boardings'!CW27</f>
        <v>12777</v>
      </c>
      <c r="CX27" s="18">
        <f>'Total Weekday Boardings'!CX27+'Total Saturday Boardings'!CX27+'Total Sunday-Holiday Boardings'!CX27</f>
        <v>12942</v>
      </c>
      <c r="CY27" s="18">
        <f>'Total Weekday Boardings'!CY27+'Total Saturday Boardings'!CY27+'Total Sunday-Holiday Boardings'!CY27</f>
        <v>11795</v>
      </c>
      <c r="CZ27" s="19">
        <f>'Total Weekday Boardings'!CZ27+'Total Saturday Boardings'!CZ27+'Total Sunday-Holiday Boardings'!CZ27</f>
        <v>10875</v>
      </c>
      <c r="DA27" s="17">
        <f>'Total Weekday Boardings'!DA27+'Total Saturday Boardings'!DA27+'Total Sunday-Holiday Boardings'!DA27</f>
        <v>8537</v>
      </c>
      <c r="DB27" s="18">
        <f>'Total Weekday Boardings'!DB27+'Total Saturday Boardings'!DB27+'Total Sunday-Holiday Boardings'!DB27</f>
        <v>11627</v>
      </c>
      <c r="DC27" s="18">
        <f>'Total Weekday Boardings'!DC27+'Total Saturday Boardings'!DC27+'Total Sunday-Holiday Boardings'!DC27</f>
        <v>10878</v>
      </c>
      <c r="DD27" s="18">
        <f>'Total Weekday Boardings'!DD27+'Total Saturday Boardings'!DD27+'Total Sunday-Holiday Boardings'!DD27</f>
        <v>11768</v>
      </c>
      <c r="DE27" s="18">
        <f>'Total Weekday Boardings'!DE27+'Total Saturday Boardings'!DE27+'Total Sunday-Holiday Boardings'!DE27</f>
        <v>10878</v>
      </c>
      <c r="DF27" s="18">
        <f>'Total Weekday Boardings'!DF27+'Total Saturday Boardings'!DF27+'Total Sunday-Holiday Boardings'!DF27</f>
        <v>10593</v>
      </c>
      <c r="DG27" s="18">
        <f>'Total Weekday Boardings'!DG27+'Total Saturday Boardings'!DG27+'Total Sunday-Holiday Boardings'!DG27</f>
        <v>9261</v>
      </c>
      <c r="DH27" s="18">
        <f>'Total Weekday Boardings'!DH27+'Total Saturday Boardings'!DH27+'Total Sunday-Holiday Boardings'!DH27</f>
        <v>8633</v>
      </c>
      <c r="DI27" s="18">
        <f>'Total Weekday Boardings'!DI27+'Total Saturday Boardings'!DI27+'Total Sunday-Holiday Boardings'!DI27</f>
        <v>9499</v>
      </c>
      <c r="DJ27" s="18">
        <f>'Total Weekday Boardings'!DJ27+'Total Saturday Boardings'!DJ27+'Total Sunday-Holiday Boardings'!DJ27</f>
        <v>8853</v>
      </c>
      <c r="DK27" s="18">
        <f>'Total Weekday Boardings'!DK27+'Total Saturday Boardings'!DK27+'Total Sunday-Holiday Boardings'!DK27</f>
        <v>8749</v>
      </c>
      <c r="DL27" s="19">
        <f>'Total Weekday Boardings'!DL27+'Total Saturday Boardings'!DL27+'Total Sunday-Holiday Boardings'!DL27</f>
        <v>7718</v>
      </c>
      <c r="DM27" s="17">
        <f>'Total Weekday Boardings'!DM27+'Total Saturday Boardings'!DM27+'Total Sunday-Holiday Boardings'!DM27</f>
        <v>7779</v>
      </c>
      <c r="DN27" s="18">
        <f>'Total Weekday Boardings'!DN27+'Total Saturday Boardings'!DN27+'Total Sunday-Holiday Boardings'!DN27</f>
        <v>8337</v>
      </c>
      <c r="DO27" s="18">
        <f>'Total Weekday Boardings'!DO27+'Total Saturday Boardings'!DO27+'Total Sunday-Holiday Boardings'!DO27</f>
        <v>8245</v>
      </c>
      <c r="DP27" s="18">
        <f>'Total Weekday Boardings'!DP27+'Total Saturday Boardings'!DP27+'Total Sunday-Holiday Boardings'!DP27</f>
        <v>9299</v>
      </c>
      <c r="DQ27" s="18">
        <f>'Total Weekday Boardings'!DQ27+'Total Saturday Boardings'!DQ27+'Total Sunday-Holiday Boardings'!DQ27</f>
        <v>8930</v>
      </c>
      <c r="DR27" s="18">
        <f>'Total Weekday Boardings'!DR27+'Total Saturday Boardings'!DR27+'Total Sunday-Holiday Boardings'!DR27</f>
        <v>8389</v>
      </c>
      <c r="DS27" s="18">
        <f>'Total Weekday Boardings'!DS27+'Total Saturday Boardings'!DS27+'Total Sunday-Holiday Boardings'!DS27</f>
        <v>8893</v>
      </c>
      <c r="DT27" s="18">
        <f>'Total Weekday Boardings'!DT27+'Total Saturday Boardings'!DT27+'Total Sunday-Holiday Boardings'!DT27</f>
        <v>8151</v>
      </c>
      <c r="DU27" s="18">
        <f>'Total Weekday Boardings'!DU27+'Total Saturday Boardings'!DU27+'Total Sunday-Holiday Boardings'!DU27</f>
        <v>8946</v>
      </c>
      <c r="DV27" s="18">
        <f>'Total Weekday Boardings'!DV27+'Total Saturday Boardings'!DV27+'Total Sunday-Holiday Boardings'!DV27</f>
        <v>3091</v>
      </c>
      <c r="DW27" s="18">
        <f>'Total Weekday Boardings'!DW27+'Total Saturday Boardings'!DW27+'Total Sunday-Holiday Boardings'!DW27</f>
        <v>9548</v>
      </c>
      <c r="DX27" s="19">
        <f>'Total Weekday Boardings'!DX27+'Total Saturday Boardings'!DX27+'Total Sunday-Holiday Boardings'!DX27</f>
        <v>9351</v>
      </c>
      <c r="DY27" s="137">
        <v>9167</v>
      </c>
      <c r="DZ27" s="18">
        <v>9632</v>
      </c>
      <c r="EA27" s="18">
        <v>9739</v>
      </c>
      <c r="EB27" s="18">
        <v>11140</v>
      </c>
      <c r="EC27" s="18">
        <v>10411</v>
      </c>
      <c r="ED27" s="18">
        <v>9692</v>
      </c>
      <c r="EE27" s="18">
        <v>9953</v>
      </c>
      <c r="EF27" s="18">
        <v>9545</v>
      </c>
      <c r="EG27" s="18">
        <v>6699</v>
      </c>
      <c r="EH27" s="18">
        <v>4141</v>
      </c>
      <c r="EI27" s="18">
        <v>3941</v>
      </c>
      <c r="EJ27" s="19">
        <v>3746</v>
      </c>
      <c r="EK27" s="100">
        <v>3552</v>
      </c>
      <c r="EL27" s="18">
        <v>3658</v>
      </c>
      <c r="EM27" s="18">
        <v>4412</v>
      </c>
      <c r="EN27" s="103">
        <v>4058</v>
      </c>
      <c r="EO27" s="18">
        <v>3518</v>
      </c>
      <c r="EP27" s="18">
        <v>3434</v>
      </c>
      <c r="EQ27" s="18">
        <v>1688</v>
      </c>
      <c r="ER27" s="18">
        <v>3362</v>
      </c>
      <c r="ES27" s="18">
        <v>3473</v>
      </c>
      <c r="ET27" s="18">
        <v>3604</v>
      </c>
      <c r="EU27" s="18">
        <v>3482</v>
      </c>
      <c r="EV27" s="19">
        <v>3744</v>
      </c>
      <c r="EW27" s="103">
        <v>3518</v>
      </c>
      <c r="EX27" s="18">
        <v>3774</v>
      </c>
      <c r="EY27" s="18">
        <v>3841</v>
      </c>
      <c r="EZ27" s="103">
        <v>4307</v>
      </c>
      <c r="FA27" s="18">
        <v>4422</v>
      </c>
      <c r="FB27" s="145">
        <v>4543</v>
      </c>
      <c r="FC27" s="18">
        <v>3953</v>
      </c>
      <c r="FD27" s="18">
        <v>4537</v>
      </c>
      <c r="FE27" s="18">
        <v>5569</v>
      </c>
      <c r="FF27" s="18">
        <v>5330</v>
      </c>
      <c r="FG27" s="13">
        <f>SUM('Total Weekday Boardings'!FG27,'Total Saturday Boardings'!FG27,'Total Sunday-Holiday Boardings'!FG27)</f>
        <v>5700</v>
      </c>
      <c r="FH27" s="13">
        <f>SUM('Total Weekday Boardings'!FH27,'Total Saturday Boardings'!FH27,'Total Sunday-Holiday Boardings'!FH27)</f>
        <v>4615</v>
      </c>
      <c r="FI27" s="13">
        <f>SUM('Total Weekday Boardings'!FI27,'Total Saturday Boardings'!FI27,'Total Sunday-Holiday Boardings'!FI27)</f>
        <v>4126</v>
      </c>
      <c r="FJ27" s="13">
        <f>SUM('Total Weekday Boardings'!FJ27,'Total Saturday Boardings'!FJ27,'Total Sunday-Holiday Boardings'!FJ27)</f>
        <v>4494</v>
      </c>
      <c r="FK27" s="13">
        <f>SUM('Total Weekday Boardings'!FK27,'Total Saturday Boardings'!FK27,'Total Sunday-Holiday Boardings'!FK27)</f>
        <v>4659.5</v>
      </c>
      <c r="FL27" s="13">
        <f>SUM('Total Weekday Boardings'!FL27,'Total Saturday Boardings'!FL27,'Total Sunday-Holiday Boardings'!FL27)</f>
        <v>4584</v>
      </c>
      <c r="FM27" s="13">
        <f>SUM('Total Weekday Boardings'!FM27,'Total Saturday Boardings'!FM27,'Total Sunday-Holiday Boardings'!FM27)</f>
        <v>4139</v>
      </c>
      <c r="FN27" s="13">
        <f>SUM('Total Weekday Boardings'!FN27,'Total Saturday Boardings'!FN27,'Total Sunday-Holiday Boardings'!FN27)</f>
        <v>4282</v>
      </c>
      <c r="FO27" s="13">
        <f>SUM('Total Weekday Boardings'!FO27,'Total Saturday Boardings'!FO27,'Total Sunday-Holiday Boardings'!FO27)</f>
        <v>4846</v>
      </c>
      <c r="FP27" s="13">
        <f>SUM('Total Weekday Boardings'!FP27,'Total Saturday Boardings'!FP27,'Total Sunday-Holiday Boardings'!FP27)</f>
        <v>4727</v>
      </c>
      <c r="FQ27" s="13">
        <f>SUM('Total Weekday Boardings'!FQ27,'Total Saturday Boardings'!FQ27,'Total Sunday-Holiday Boardings'!FQ27)</f>
        <v>5854</v>
      </c>
      <c r="FR27" s="13">
        <f>SUM('Total Weekday Boardings'!FR27,'Total Saturday Boardings'!FR27,'Total Sunday-Holiday Boardings'!FR27)</f>
        <v>5990</v>
      </c>
      <c r="FS27" s="13">
        <f>SUM('Total Weekday Boardings'!FS27,'Total Saturday Boardings'!FS27,'Total Sunday-Holiday Boardings'!FS27)</f>
        <v>6009</v>
      </c>
      <c r="FT27" s="16">
        <f>SUM('Total Weekday Boardings'!FT27,'Total Saturday Boardings'!FT27,'Total Sunday-Holiday Boardings'!FT27)</f>
        <v>5449</v>
      </c>
      <c r="FU27" s="171">
        <v>5021</v>
      </c>
      <c r="FV27" s="171">
        <v>6113</v>
      </c>
      <c r="FW27" s="171">
        <v>5388</v>
      </c>
      <c r="FX27" s="171">
        <v>6587</v>
      </c>
      <c r="FY27" s="171">
        <v>5720</v>
      </c>
      <c r="FZ27" s="171">
        <v>5336</v>
      </c>
      <c r="GA27" s="171">
        <v>6079</v>
      </c>
      <c r="GB27" s="52">
        <v>6057</v>
      </c>
      <c r="GC27" s="52">
        <v>6000</v>
      </c>
      <c r="GD27" s="52">
        <v>5495</v>
      </c>
      <c r="GE27" s="18">
        <v>5503</v>
      </c>
      <c r="GF27" s="52">
        <v>4920</v>
      </c>
      <c r="GG27" s="184">
        <v>4625</v>
      </c>
      <c r="GH27" s="52">
        <v>5317</v>
      </c>
      <c r="GI27" s="18">
        <v>5202</v>
      </c>
      <c r="GJ27" s="236">
        <v>5216</v>
      </c>
      <c r="GK27" s="184">
        <v>4940</v>
      </c>
      <c r="GL27" s="184">
        <v>4583</v>
      </c>
    </row>
    <row r="28" spans="1:194" ht="15" thickBot="1" x14ac:dyDescent="0.35">
      <c r="A28" s="3" t="s">
        <v>41</v>
      </c>
      <c r="B28" s="17"/>
      <c r="C28" s="18">
        <f>'Total Weekday Boardings'!C28+'Total Saturday Boardings'!C28+'Total Sunday-Holiday Boardings'!C28</f>
        <v>4727</v>
      </c>
      <c r="D28" s="18">
        <f>'Total Weekday Boardings'!D28+'Total Saturday Boardings'!D28+'Total Sunday-Holiday Boardings'!D28</f>
        <v>7384</v>
      </c>
      <c r="E28" s="18">
        <f>'Total Weekday Boardings'!E28+'Total Saturday Boardings'!E28+'Total Sunday-Holiday Boardings'!E28</f>
        <v>6397</v>
      </c>
      <c r="F28" s="18">
        <f>'Total Weekday Boardings'!F28+'Total Saturday Boardings'!F28+'Total Sunday-Holiday Boardings'!F28</f>
        <v>7071</v>
      </c>
      <c r="G28" s="18">
        <f>'Total Weekday Boardings'!G28+'Total Saturday Boardings'!G28+'Total Sunday-Holiday Boardings'!G28</f>
        <v>5722</v>
      </c>
      <c r="H28" s="19">
        <f>'Total Weekday Boardings'!H28+'Total Saturday Boardings'!H28+'Total Sunday-Holiday Boardings'!H28</f>
        <v>5559</v>
      </c>
      <c r="I28" s="17">
        <f>'Total Weekday Boardings'!I28+'Total Saturday Boardings'!I28+'Total Sunday-Holiday Boardings'!I28</f>
        <v>5342</v>
      </c>
      <c r="J28" s="18">
        <f>'Total Weekday Boardings'!J28+'Total Saturday Boardings'!J28+'Total Sunday-Holiday Boardings'!J28</f>
        <v>6099</v>
      </c>
      <c r="K28" s="18">
        <f>'Total Weekday Boardings'!K28+'Total Saturday Boardings'!K28+'Total Sunday-Holiday Boardings'!K28</f>
        <v>5453</v>
      </c>
      <c r="L28" s="18">
        <f>'Total Weekday Boardings'!L28+'Total Saturday Boardings'!L28+'Total Sunday-Holiday Boardings'!L28</f>
        <v>5668</v>
      </c>
      <c r="M28" s="18">
        <f>'Total Weekday Boardings'!M28+'Total Saturday Boardings'!M28+'Total Sunday-Holiday Boardings'!M28</f>
        <v>5801</v>
      </c>
      <c r="N28" s="18">
        <f>'Total Weekday Boardings'!N28+'Total Saturday Boardings'!N28+'Total Sunday-Holiday Boardings'!N28</f>
        <v>7468</v>
      </c>
      <c r="O28" s="62">
        <f>'Total Weekday Boardings'!O28+'Total Saturday Boardings'!O28+'Total Sunday-Holiday Boardings'!O28</f>
        <v>5537</v>
      </c>
      <c r="P28" s="62">
        <f>'Total Weekday Boardings'!P28+'Total Saturday Boardings'!P28+'Total Sunday-Holiday Boardings'!P28</f>
        <v>5740</v>
      </c>
      <c r="Q28" s="62">
        <f>'Total Weekday Boardings'!Q28+'Total Saturday Boardings'!Q28+'Total Sunday-Holiday Boardings'!Q28</f>
        <v>6865</v>
      </c>
      <c r="R28" s="62">
        <f>'Total Weekday Boardings'!R28+'Total Saturday Boardings'!R28+'Total Sunday-Holiday Boardings'!R28</f>
        <v>6420</v>
      </c>
      <c r="S28" s="62">
        <f>'Total Weekday Boardings'!S28+'Total Saturday Boardings'!S28+'Total Sunday-Holiday Boardings'!S28</f>
        <v>5567</v>
      </c>
      <c r="T28" s="63">
        <f>'Total Weekday Boardings'!T28+'Total Saturday Boardings'!T28+'Total Sunday-Holiday Boardings'!T28</f>
        <v>8058</v>
      </c>
      <c r="U28" s="64">
        <f>'Total Weekday Boardings'!U28+'Total Saturday Boardings'!U28+'Total Sunday-Holiday Boardings'!U28</f>
        <v>7519</v>
      </c>
      <c r="V28" s="62">
        <f>'Total Weekday Boardings'!V28+'Total Saturday Boardings'!V28+'Total Sunday-Holiday Boardings'!V28</f>
        <v>7780</v>
      </c>
      <c r="W28" s="62">
        <f>'Total Weekday Boardings'!W28+'Total Saturday Boardings'!W28+'Total Sunday-Holiday Boardings'!W28</f>
        <v>8088</v>
      </c>
      <c r="X28" s="62">
        <f>'Total Weekday Boardings'!X28+'Total Saturday Boardings'!X28+'Total Sunday-Holiday Boardings'!X28</f>
        <v>8254</v>
      </c>
      <c r="Y28" s="62">
        <f>'Total Weekday Boardings'!Y28+'Total Saturday Boardings'!Y28+'Total Sunday-Holiday Boardings'!Y28</f>
        <v>8176</v>
      </c>
      <c r="Z28" s="62">
        <f>'Total Weekday Boardings'!Z28+'Total Saturday Boardings'!Z28+'Total Sunday-Holiday Boardings'!Z28</f>
        <v>7949</v>
      </c>
      <c r="AA28" s="18">
        <f>'Total Weekday Boardings'!AA28+'Total Saturday Boardings'!AA28+'Total Sunday-Holiday Boardings'!AA28</f>
        <v>6606</v>
      </c>
      <c r="AB28" s="18">
        <f>'Total Weekday Boardings'!AB28+'Total Saturday Boardings'!AB28+'Total Sunday-Holiday Boardings'!AB28</f>
        <v>6625</v>
      </c>
      <c r="AC28" s="18">
        <f>'Total Weekday Boardings'!AC28+'Total Saturday Boardings'!AC28+'Total Sunday-Holiday Boardings'!AC28</f>
        <v>7287</v>
      </c>
      <c r="AD28" s="18">
        <f>'Total Weekday Boardings'!AD28+'Total Saturday Boardings'!AD28+'Total Sunday-Holiday Boardings'!AD28</f>
        <v>7652</v>
      </c>
      <c r="AE28" s="18">
        <f>'Total Weekday Boardings'!AE28+'Total Saturday Boardings'!AE28+'Total Sunday-Holiday Boardings'!AE28</f>
        <v>6915</v>
      </c>
      <c r="AF28" s="19">
        <f>'Total Weekday Boardings'!AF28+'Total Saturday Boardings'!AF28+'Total Sunday-Holiday Boardings'!AF28</f>
        <v>6141</v>
      </c>
      <c r="AG28" s="17">
        <f>'Total Weekday Boardings'!AG28+'Total Saturday Boardings'!AG28+'Total Sunday-Holiday Boardings'!AG28</f>
        <v>6514</v>
      </c>
      <c r="AH28" s="18">
        <f>'Total Weekday Boardings'!AH28+'Total Saturday Boardings'!AH28+'Total Sunday-Holiday Boardings'!AH28</f>
        <v>6871</v>
      </c>
      <c r="AI28" s="18">
        <f>'Total Weekday Boardings'!AI28+'Total Saturday Boardings'!AI28+'Total Sunday-Holiday Boardings'!AI28</f>
        <v>7150</v>
      </c>
      <c r="AJ28" s="18">
        <f>'Total Weekday Boardings'!AJ28+'Total Saturday Boardings'!AJ28+'Total Sunday-Holiday Boardings'!AJ28</f>
        <v>7245</v>
      </c>
      <c r="AK28" s="18">
        <f>'Total Weekday Boardings'!AK28+'Total Saturday Boardings'!AK28+'Total Sunday-Holiday Boardings'!AK28</f>
        <v>6436</v>
      </c>
      <c r="AL28" s="18">
        <f>'Total Weekday Boardings'!AL28+'Total Saturday Boardings'!AL28+'Total Sunday-Holiday Boardings'!AL28</f>
        <v>6758</v>
      </c>
      <c r="AM28" s="18">
        <f>'Total Weekday Boardings'!AM28+'Total Saturday Boardings'!AM28+'Total Sunday-Holiday Boardings'!AM28</f>
        <v>7172</v>
      </c>
      <c r="AN28" s="18">
        <f>'Total Weekday Boardings'!AN28+'Total Saturday Boardings'!AN28+'Total Sunday-Holiday Boardings'!AN28</f>
        <v>6721</v>
      </c>
      <c r="AO28" s="18">
        <f>'Total Weekday Boardings'!AO28+'Total Saturday Boardings'!AO28+'Total Sunday-Holiday Boardings'!AO28</f>
        <v>7473</v>
      </c>
      <c r="AP28" s="18">
        <f>'Total Weekday Boardings'!AP28+'Total Saturday Boardings'!AP28+'Total Sunday-Holiday Boardings'!AP28</f>
        <v>8350</v>
      </c>
      <c r="AQ28" s="18">
        <f>'Total Weekday Boardings'!AQ28+'Total Saturday Boardings'!AQ28+'Total Sunday-Holiday Boardings'!AQ28</f>
        <v>7697</v>
      </c>
      <c r="AR28" s="19">
        <f>'Total Weekday Boardings'!AR28+'Total Saturday Boardings'!AR28+'Total Sunday-Holiday Boardings'!AR28</f>
        <v>7102</v>
      </c>
      <c r="AS28" s="17">
        <f>'Total Weekday Boardings'!AS28+'Total Saturday Boardings'!AS28+'Total Sunday-Holiday Boardings'!AS28</f>
        <v>6680</v>
      </c>
      <c r="AT28" s="18">
        <f>'Total Weekday Boardings'!AT28+'Total Saturday Boardings'!AT28+'Total Sunday-Holiday Boardings'!AT28</f>
        <v>7161</v>
      </c>
      <c r="AU28" s="18">
        <f>'Total Weekday Boardings'!AU28+'Total Saturday Boardings'!AU28+'Total Sunday-Holiday Boardings'!AU28</f>
        <v>9449</v>
      </c>
      <c r="AV28" s="18">
        <f>'Total Weekday Boardings'!AV28+'Total Saturday Boardings'!AV28+'Total Sunday-Holiday Boardings'!AV28</f>
        <v>8141</v>
      </c>
      <c r="AW28" s="18">
        <f>'Total Weekday Boardings'!AW28+'Total Saturday Boardings'!AW28+'Total Sunday-Holiday Boardings'!AW28</f>
        <v>7653</v>
      </c>
      <c r="AX28" s="18">
        <f>'Total Weekday Boardings'!AX28+'Total Saturday Boardings'!AX28+'Total Sunday-Holiday Boardings'!AX28</f>
        <v>7071</v>
      </c>
      <c r="AY28" s="18">
        <f>'Total Weekday Boardings'!AY28+'Total Saturday Boardings'!AY28+'Total Sunday-Holiday Boardings'!AY28</f>
        <v>7438</v>
      </c>
      <c r="AZ28" s="18">
        <f>'Total Weekday Boardings'!AZ28+'Total Saturday Boardings'!AZ28+'Total Sunday-Holiday Boardings'!AZ28</f>
        <v>7504</v>
      </c>
      <c r="BA28" s="18">
        <f>'Total Weekday Boardings'!BA28+'Total Saturday Boardings'!BA28+'Total Sunday-Holiday Boardings'!BA28</f>
        <v>7522</v>
      </c>
      <c r="BB28" s="18">
        <f>'Total Weekday Boardings'!BB28+'Total Saturday Boardings'!BB28+'Total Sunday-Holiday Boardings'!BB28</f>
        <v>8193</v>
      </c>
      <c r="BC28" s="18">
        <f>'Total Weekday Boardings'!BC28+'Total Saturday Boardings'!BC28+'Total Sunday-Holiday Boardings'!BC28</f>
        <v>7522</v>
      </c>
      <c r="BD28" s="19">
        <f>'Total Weekday Boardings'!BD28+'Total Saturday Boardings'!BD28+'Total Sunday-Holiday Boardings'!BD28</f>
        <v>6536</v>
      </c>
      <c r="BE28" s="17">
        <f>'Total Weekday Boardings'!BE28+'Total Saturday Boardings'!BE28+'Total Sunday-Holiday Boardings'!BE28</f>
        <v>6942</v>
      </c>
      <c r="BF28" s="18">
        <f>'Total Weekday Boardings'!BF28+'Total Saturday Boardings'!BF28+'Total Sunday-Holiday Boardings'!BF28</f>
        <v>7502</v>
      </c>
      <c r="BG28" s="18">
        <f>'Total Weekday Boardings'!BG28+'Total Saturday Boardings'!BG28+'Total Sunday-Holiday Boardings'!BG28</f>
        <v>7727</v>
      </c>
      <c r="BH28" s="18">
        <f>'Total Weekday Boardings'!BH28+'Total Saturday Boardings'!BH28+'Total Sunday-Holiday Boardings'!BH28</f>
        <v>8486</v>
      </c>
      <c r="BI28" s="18">
        <f>'Total Weekday Boardings'!BI28+'Total Saturday Boardings'!BI28+'Total Sunday-Holiday Boardings'!BI28</f>
        <v>7710.8734999592034</v>
      </c>
      <c r="BJ28" s="18">
        <f>'Total Weekday Boardings'!BJ28+'Total Saturday Boardings'!BJ28+'Total Sunday-Holiday Boardings'!BJ28</f>
        <v>7416</v>
      </c>
      <c r="BK28" s="18">
        <f>'Total Weekday Boardings'!BK28+'Total Saturday Boardings'!BK28+'Total Sunday-Holiday Boardings'!BK28</f>
        <v>8271</v>
      </c>
      <c r="BL28" s="18">
        <f>'Total Weekday Boardings'!BL28+'Total Saturday Boardings'!BL28+'Total Sunday-Holiday Boardings'!BL28</f>
        <v>8015</v>
      </c>
      <c r="BM28" s="18">
        <f>'Total Weekday Boardings'!BM28+'Total Saturday Boardings'!BM28+'Total Sunday-Holiday Boardings'!BM28</f>
        <v>9392</v>
      </c>
      <c r="BN28" s="18">
        <f>'Total Weekday Boardings'!BN28+'Total Saturday Boardings'!BN28+'Total Sunday-Holiday Boardings'!BN28</f>
        <v>9187</v>
      </c>
      <c r="BO28" s="18">
        <f>'Total Weekday Boardings'!BO28+'Total Saturday Boardings'!BO28+'Total Sunday-Holiday Boardings'!BO28</f>
        <v>8571</v>
      </c>
      <c r="BP28" s="19">
        <f>'Total Weekday Boardings'!BP28+'Total Saturday Boardings'!BP28+'Total Sunday-Holiday Boardings'!BP28</f>
        <v>7740</v>
      </c>
      <c r="BQ28" s="17">
        <f>'Total Weekday Boardings'!BQ28+'Total Saturday Boardings'!BQ28+'Total Sunday-Holiday Boardings'!BQ28</f>
        <v>7580</v>
      </c>
      <c r="BR28" s="18">
        <f>'Total Weekday Boardings'!BR28+'Total Saturday Boardings'!BR28+'Total Sunday-Holiday Boardings'!BR28</f>
        <v>8153</v>
      </c>
      <c r="BS28" s="18">
        <f>'Total Weekday Boardings'!BS28+'Total Saturday Boardings'!BS28+'Total Sunday-Holiday Boardings'!BS28</f>
        <v>8433</v>
      </c>
      <c r="BT28" s="18">
        <f>'Total Weekday Boardings'!BT28+'Total Saturday Boardings'!BT28+'Total Sunday-Holiday Boardings'!BT28</f>
        <v>9371</v>
      </c>
      <c r="BU28" s="18">
        <f>'Total Weekday Boardings'!BU28+'Total Saturday Boardings'!BU28+'Total Sunday-Holiday Boardings'!BU28</f>
        <v>7909</v>
      </c>
      <c r="BV28" s="18">
        <f>'Total Weekday Boardings'!BV28+'Total Saturday Boardings'!BV28+'Total Sunday-Holiday Boardings'!BV28</f>
        <v>7750</v>
      </c>
      <c r="BW28" s="18">
        <f>'Total Weekday Boardings'!BW28+'Total Saturday Boardings'!BW28+'Total Sunday-Holiday Boardings'!BW28</f>
        <v>8960</v>
      </c>
      <c r="BX28" s="18">
        <f>'Total Weekday Boardings'!BX28+'Total Saturday Boardings'!BX28+'Total Sunday-Holiday Boardings'!BX28</f>
        <v>7858</v>
      </c>
      <c r="BY28" s="18">
        <f>'Total Weekday Boardings'!BY28+'Total Saturday Boardings'!BY28+'Total Sunday-Holiday Boardings'!BY28</f>
        <v>8486</v>
      </c>
      <c r="BZ28" s="18">
        <f>'Total Weekday Boardings'!BZ28+'Total Saturday Boardings'!BZ28+'Total Sunday-Holiday Boardings'!BZ28</f>
        <v>8745</v>
      </c>
      <c r="CA28" s="18">
        <f>'Total Weekday Boardings'!CA28+'Total Saturday Boardings'!CA28+'Total Sunday-Holiday Boardings'!CA28</f>
        <v>8096</v>
      </c>
      <c r="CB28" s="19">
        <f>'Total Weekday Boardings'!CB28+'Total Saturday Boardings'!CB28+'Total Sunday-Holiday Boardings'!CB28</f>
        <v>7249</v>
      </c>
      <c r="CC28" s="20">
        <f>'Total Weekday Boardings'!CC28+'Total Saturday Boardings'!CC28+'Total Sunday-Holiday Boardings'!CC28</f>
        <v>7743</v>
      </c>
      <c r="CD28" s="18">
        <f>'Total Weekday Boardings'!CD28+'Total Saturday Boardings'!CD28+'Total Sunday-Holiday Boardings'!CD28</f>
        <v>8100</v>
      </c>
      <c r="CE28" s="18">
        <f>'Total Weekday Boardings'!CE28+'Total Saturday Boardings'!CE28+'Total Sunday-Holiday Boardings'!CE28</f>
        <v>9069</v>
      </c>
      <c r="CF28" s="18">
        <f>'Total Weekday Boardings'!CF28+'Total Saturday Boardings'!CF28+'Total Sunday-Holiday Boardings'!CF28</f>
        <v>9616</v>
      </c>
      <c r="CG28" s="18">
        <f>'Total Weekday Boardings'!CG28+'Total Saturday Boardings'!CG28+'Total Sunday-Holiday Boardings'!CG28</f>
        <v>8689</v>
      </c>
      <c r="CH28" s="18">
        <f>'Total Weekday Boardings'!CH28+'Total Saturday Boardings'!CH28+'Total Sunday-Holiday Boardings'!CH28</f>
        <v>8318</v>
      </c>
      <c r="CI28" s="18">
        <f>'Total Weekday Boardings'!CI28+'Total Saturday Boardings'!CI28+'Total Sunday-Holiday Boardings'!CI28</f>
        <v>8502</v>
      </c>
      <c r="CJ28" s="18">
        <f>'Total Weekday Boardings'!CJ28+'Total Saturday Boardings'!CJ28+'Total Sunday-Holiday Boardings'!CJ28</f>
        <v>8791</v>
      </c>
      <c r="CK28" s="18">
        <f>'Total Weekday Boardings'!CK28+'Total Saturday Boardings'!CK28+'Total Sunday-Holiday Boardings'!CK28</f>
        <v>9535</v>
      </c>
      <c r="CL28" s="18">
        <f>'Total Weekday Boardings'!CL28+'Total Saturday Boardings'!CL28+'Total Sunday-Holiday Boardings'!CL28</f>
        <v>9475</v>
      </c>
      <c r="CM28" s="18">
        <f>'Total Weekday Boardings'!CM28+'Total Saturday Boardings'!CM28+'Total Sunday-Holiday Boardings'!CM28</f>
        <v>11333</v>
      </c>
      <c r="CN28" s="21">
        <f>'Total Weekday Boardings'!CN28+'Total Saturday Boardings'!CN28+'Total Sunday-Holiday Boardings'!CN28</f>
        <v>8357</v>
      </c>
      <c r="CO28" s="17">
        <f>'Total Weekday Boardings'!CO28+'Total Saturday Boardings'!CO28+'Total Sunday-Holiday Boardings'!CO28</f>
        <v>8270</v>
      </c>
      <c r="CP28" s="18">
        <f>'Total Weekday Boardings'!CP28+'Total Saturday Boardings'!CP28+'Total Sunday-Holiday Boardings'!CP28</f>
        <v>9423</v>
      </c>
      <c r="CQ28" s="18">
        <f>'Total Weekday Boardings'!CQ28+'Total Saturday Boardings'!CQ28+'Total Sunday-Holiday Boardings'!CQ28</f>
        <v>9680</v>
      </c>
      <c r="CR28" s="18">
        <f>'Total Weekday Boardings'!CR28+'Total Saturday Boardings'!CR28+'Total Sunday-Holiday Boardings'!CR28</f>
        <v>10079</v>
      </c>
      <c r="CS28" s="18">
        <f>'Total Weekday Boardings'!CS28+'Total Saturday Boardings'!CS28+'Total Sunday-Holiday Boardings'!CS28</f>
        <v>9259</v>
      </c>
      <c r="CT28" s="18">
        <f>'Total Weekday Boardings'!CT28+'Total Saturday Boardings'!CT28+'Total Sunday-Holiday Boardings'!CT28</f>
        <v>9380</v>
      </c>
      <c r="CU28" s="18">
        <f>'Total Weekday Boardings'!CU28+'Total Saturday Boardings'!CU28+'Total Sunday-Holiday Boardings'!CU28</f>
        <v>9490</v>
      </c>
      <c r="CV28" s="18">
        <f>'Total Weekday Boardings'!CV28+'Total Saturday Boardings'!CV28+'Total Sunday-Holiday Boardings'!CV28</f>
        <v>8832</v>
      </c>
      <c r="CW28" s="18">
        <f>'Total Weekday Boardings'!CW28+'Total Saturday Boardings'!CW28+'Total Sunday-Holiday Boardings'!CW28</f>
        <v>9811</v>
      </c>
      <c r="CX28" s="18">
        <f>'Total Weekday Boardings'!CX28+'Total Saturday Boardings'!CX28+'Total Sunday-Holiday Boardings'!CX28</f>
        <v>9666</v>
      </c>
      <c r="CY28" s="18">
        <f>'Total Weekday Boardings'!CY28+'Total Saturday Boardings'!CY28+'Total Sunday-Holiday Boardings'!CY28</f>
        <v>8967</v>
      </c>
      <c r="CZ28" s="19">
        <f>'Total Weekday Boardings'!CZ28+'Total Saturday Boardings'!CZ28+'Total Sunday-Holiday Boardings'!CZ28</f>
        <v>8238</v>
      </c>
      <c r="DA28" s="17">
        <f>'Total Weekday Boardings'!DA28+'Total Saturday Boardings'!DA28+'Total Sunday-Holiday Boardings'!DA28</f>
        <v>9725</v>
      </c>
      <c r="DB28" s="18">
        <f>'Total Weekday Boardings'!DB28+'Total Saturday Boardings'!DB28+'Total Sunday-Holiday Boardings'!DB28</f>
        <v>8621</v>
      </c>
      <c r="DC28" s="18">
        <f>'Total Weekday Boardings'!DC28+'Total Saturday Boardings'!DC28+'Total Sunday-Holiday Boardings'!DC28</f>
        <v>8126</v>
      </c>
      <c r="DD28" s="18">
        <f>'Total Weekday Boardings'!DD28+'Total Saturday Boardings'!DD28+'Total Sunday-Holiday Boardings'!DD28</f>
        <v>9261</v>
      </c>
      <c r="DE28" s="18">
        <f>'Total Weekday Boardings'!DE28+'Total Saturday Boardings'!DE28+'Total Sunday-Holiday Boardings'!DE28</f>
        <v>8997</v>
      </c>
      <c r="DF28" s="18">
        <f>'Total Weekday Boardings'!DF28+'Total Saturday Boardings'!DF28+'Total Sunday-Holiday Boardings'!DF28</f>
        <v>8606</v>
      </c>
      <c r="DG28" s="18">
        <f>'Total Weekday Boardings'!DG28+'Total Saturday Boardings'!DG28+'Total Sunday-Holiday Boardings'!DG28</f>
        <v>11908</v>
      </c>
      <c r="DH28" s="18">
        <f>'Total Weekday Boardings'!DH28+'Total Saturday Boardings'!DH28+'Total Sunday-Holiday Boardings'!DH28</f>
        <v>10832</v>
      </c>
      <c r="DI28" s="18">
        <f>'Total Weekday Boardings'!DI28+'Total Saturday Boardings'!DI28+'Total Sunday-Holiday Boardings'!DI28</f>
        <v>11561</v>
      </c>
      <c r="DJ28" s="18">
        <f>'Total Weekday Boardings'!DJ28+'Total Saturday Boardings'!DJ28+'Total Sunday-Holiday Boardings'!DJ28</f>
        <v>11085</v>
      </c>
      <c r="DK28" s="18">
        <f>'Total Weekday Boardings'!DK28+'Total Saturday Boardings'!DK28+'Total Sunday-Holiday Boardings'!DK28</f>
        <v>11569</v>
      </c>
      <c r="DL28" s="19">
        <f>'Total Weekday Boardings'!DL28+'Total Saturday Boardings'!DL28+'Total Sunday-Holiday Boardings'!DL28</f>
        <v>10137</v>
      </c>
      <c r="DM28" s="17">
        <f>'Total Weekday Boardings'!DM28+'Total Saturday Boardings'!DM28+'Total Sunday-Holiday Boardings'!DM28</f>
        <v>10284</v>
      </c>
      <c r="DN28" s="18">
        <f>'Total Weekday Boardings'!DN28+'Total Saturday Boardings'!DN28+'Total Sunday-Holiday Boardings'!DN28</f>
        <v>10928</v>
      </c>
      <c r="DO28" s="18">
        <f>'Total Weekday Boardings'!DO28+'Total Saturday Boardings'!DO28+'Total Sunday-Holiday Boardings'!DO28</f>
        <v>10267</v>
      </c>
      <c r="DP28" s="18">
        <f>'Total Weekday Boardings'!DP28+'Total Saturday Boardings'!DP28+'Total Sunday-Holiday Boardings'!DP28</f>
        <v>11037</v>
      </c>
      <c r="DQ28" s="18">
        <f>'Total Weekday Boardings'!DQ28+'Total Saturday Boardings'!DQ28+'Total Sunday-Holiday Boardings'!DQ28</f>
        <v>10089</v>
      </c>
      <c r="DR28" s="18">
        <f>'Total Weekday Boardings'!DR28+'Total Saturday Boardings'!DR28+'Total Sunday-Holiday Boardings'!DR28</f>
        <v>10058</v>
      </c>
      <c r="DS28" s="18">
        <f>'Total Weekday Boardings'!DS28+'Total Saturday Boardings'!DS28+'Total Sunday-Holiday Boardings'!DS28</f>
        <v>10954</v>
      </c>
      <c r="DT28" s="18">
        <f>'Total Weekday Boardings'!DT28+'Total Saturday Boardings'!DT28+'Total Sunday-Holiday Boardings'!DT28</f>
        <v>9864</v>
      </c>
      <c r="DU28" s="18">
        <f>'Total Weekday Boardings'!DU28+'Total Saturday Boardings'!DU28+'Total Sunday-Holiday Boardings'!DU28</f>
        <v>10317</v>
      </c>
      <c r="DV28" s="18">
        <f>'Total Weekday Boardings'!DV28+'Total Saturday Boardings'!DV28+'Total Sunday-Holiday Boardings'!DV28</f>
        <v>8960</v>
      </c>
      <c r="DW28" s="18">
        <f>'Total Weekday Boardings'!DW28+'Total Saturday Boardings'!DW28+'Total Sunday-Holiday Boardings'!DW28</f>
        <v>8408</v>
      </c>
      <c r="DX28" s="19">
        <f>'Total Weekday Boardings'!DX28+'Total Saturday Boardings'!DX28+'Total Sunday-Holiday Boardings'!DX28</f>
        <v>7183</v>
      </c>
      <c r="DY28" s="137">
        <v>6923</v>
      </c>
      <c r="DZ28" s="18">
        <v>7567</v>
      </c>
      <c r="EA28" s="18">
        <v>8205</v>
      </c>
      <c r="EB28" s="18">
        <v>9491</v>
      </c>
      <c r="EC28" s="18">
        <v>8952</v>
      </c>
      <c r="ED28" s="18">
        <v>7969</v>
      </c>
      <c r="EE28" s="18">
        <v>8279</v>
      </c>
      <c r="EF28" s="18">
        <v>8137</v>
      </c>
      <c r="EG28" s="18">
        <v>7899</v>
      </c>
      <c r="EH28" s="18">
        <v>5438</v>
      </c>
      <c r="EI28" s="18">
        <v>5257</v>
      </c>
      <c r="EJ28" s="19">
        <v>5036</v>
      </c>
      <c r="EK28" s="100">
        <v>4195</v>
      </c>
      <c r="EL28" s="18">
        <v>4468</v>
      </c>
      <c r="EM28" s="18">
        <v>3570</v>
      </c>
      <c r="EN28" s="103">
        <v>4553</v>
      </c>
      <c r="EO28" s="18">
        <v>4606</v>
      </c>
      <c r="EP28" s="18">
        <v>3046</v>
      </c>
      <c r="EQ28" s="18">
        <v>1908</v>
      </c>
      <c r="ER28" s="18">
        <v>3840</v>
      </c>
      <c r="ES28" s="18">
        <v>4699</v>
      </c>
      <c r="ET28" s="18">
        <v>4160</v>
      </c>
      <c r="EU28" s="18">
        <v>3981</v>
      </c>
      <c r="EV28" s="19">
        <v>4367</v>
      </c>
      <c r="EW28" s="103">
        <v>4606</v>
      </c>
      <c r="EX28" s="18">
        <v>4711</v>
      </c>
      <c r="EY28" s="18">
        <v>4607</v>
      </c>
      <c r="EZ28" s="103">
        <v>5113</v>
      </c>
      <c r="FA28" s="18">
        <v>5029</v>
      </c>
      <c r="FB28" s="145">
        <v>5166</v>
      </c>
      <c r="FC28" s="18">
        <v>5020</v>
      </c>
      <c r="FD28" s="18">
        <v>5538</v>
      </c>
      <c r="FE28" s="18">
        <v>6550</v>
      </c>
      <c r="FF28" s="18">
        <v>8104</v>
      </c>
      <c r="FG28" s="13">
        <f>SUM('Total Weekday Boardings'!FG28,'Total Saturday Boardings'!FG28,'Total Sunday-Holiday Boardings'!FG28)</f>
        <v>8570</v>
      </c>
      <c r="FH28" s="13">
        <f>SUM('Total Weekday Boardings'!FH28,'Total Saturday Boardings'!FH28,'Total Sunday-Holiday Boardings'!FH28)</f>
        <v>6243</v>
      </c>
      <c r="FI28" s="13">
        <f>SUM('Total Weekday Boardings'!FI28,'Total Saturday Boardings'!FI28,'Total Sunday-Holiday Boardings'!FI28)</f>
        <v>4744</v>
      </c>
      <c r="FJ28" s="13">
        <f>SUM('Total Weekday Boardings'!FJ28,'Total Saturday Boardings'!FJ28,'Total Sunday-Holiday Boardings'!FJ28)</f>
        <v>5060</v>
      </c>
      <c r="FK28" s="13">
        <f>SUM('Total Weekday Boardings'!FK28,'Total Saturday Boardings'!FK28,'Total Sunday-Holiday Boardings'!FK28)</f>
        <v>5398</v>
      </c>
      <c r="FL28" s="13">
        <f>SUM('Total Weekday Boardings'!FL28,'Total Saturday Boardings'!FL28,'Total Sunday-Holiday Boardings'!FL28)</f>
        <v>5421</v>
      </c>
      <c r="FM28" s="13">
        <f>SUM('Total Weekday Boardings'!FM28,'Total Saturday Boardings'!FM28,'Total Sunday-Holiday Boardings'!FM28)</f>
        <v>5187</v>
      </c>
      <c r="FN28" s="13">
        <f>SUM('Total Weekday Boardings'!FN28,'Total Saturday Boardings'!FN28,'Total Sunday-Holiday Boardings'!FN28)</f>
        <v>5386</v>
      </c>
      <c r="FO28" s="13">
        <f>SUM('Total Weekday Boardings'!FO28,'Total Saturday Boardings'!FO28,'Total Sunday-Holiday Boardings'!FO28)</f>
        <v>5789</v>
      </c>
      <c r="FP28" s="13">
        <f>SUM('Total Weekday Boardings'!FP28,'Total Saturday Boardings'!FP28,'Total Sunday-Holiday Boardings'!FP28)</f>
        <v>5734</v>
      </c>
      <c r="FQ28" s="13">
        <f>SUM('Total Weekday Boardings'!FQ28,'Total Saturday Boardings'!FQ28,'Total Sunday-Holiday Boardings'!FQ28)</f>
        <v>6772</v>
      </c>
      <c r="FR28" s="13">
        <f>SUM('Total Weekday Boardings'!FR28,'Total Saturday Boardings'!FR28,'Total Sunday-Holiday Boardings'!FR28)</f>
        <v>6580</v>
      </c>
      <c r="FS28" s="13">
        <f>SUM('Total Weekday Boardings'!FS28,'Total Saturday Boardings'!FS28,'Total Sunday-Holiday Boardings'!FS28)</f>
        <v>6758</v>
      </c>
      <c r="FT28" s="16">
        <f>SUM('Total Weekday Boardings'!FT28,'Total Saturday Boardings'!FT28,'Total Sunday-Holiday Boardings'!FT28)</f>
        <v>6104</v>
      </c>
      <c r="FU28" s="171">
        <v>5801</v>
      </c>
      <c r="FV28" s="171">
        <v>5879</v>
      </c>
      <c r="FW28" s="171">
        <v>6272</v>
      </c>
      <c r="FX28" s="171">
        <v>6806</v>
      </c>
      <c r="FY28" s="171">
        <v>6089</v>
      </c>
      <c r="FZ28" s="171">
        <v>5501</v>
      </c>
      <c r="GA28" s="171">
        <v>6765</v>
      </c>
      <c r="GB28" s="52">
        <v>6339</v>
      </c>
      <c r="GC28" s="52">
        <v>6553</v>
      </c>
      <c r="GD28" s="52">
        <v>5964</v>
      </c>
      <c r="GE28" s="18">
        <v>6226</v>
      </c>
      <c r="GF28" s="52">
        <v>5970</v>
      </c>
      <c r="GG28" s="184">
        <v>6190</v>
      </c>
      <c r="GH28" s="52">
        <v>6555</v>
      </c>
      <c r="GI28" s="18">
        <v>6324</v>
      </c>
      <c r="GJ28" s="236">
        <v>6191</v>
      </c>
      <c r="GK28" s="184">
        <v>5913</v>
      </c>
      <c r="GL28" s="184">
        <v>5413</v>
      </c>
    </row>
    <row r="29" spans="1:194" ht="15" thickBot="1" x14ac:dyDescent="0.35">
      <c r="A29" s="3" t="s">
        <v>42</v>
      </c>
      <c r="B29" s="17"/>
      <c r="C29" s="18">
        <f>'Total Weekday Boardings'!C29+'Total Saturday Boardings'!C29+'Total Sunday-Holiday Boardings'!C29</f>
        <v>10765</v>
      </c>
      <c r="D29" s="18">
        <f>'Total Weekday Boardings'!D29+'Total Saturday Boardings'!D29+'Total Sunday-Holiday Boardings'!D29</f>
        <v>11797</v>
      </c>
      <c r="E29" s="18">
        <f>'Total Weekday Boardings'!E29+'Total Saturday Boardings'!E29+'Total Sunday-Holiday Boardings'!E29</f>
        <v>13948</v>
      </c>
      <c r="F29" s="18">
        <f>'Total Weekday Boardings'!F29+'Total Saturday Boardings'!F29+'Total Sunday-Holiday Boardings'!F29</f>
        <v>8385</v>
      </c>
      <c r="G29" s="18">
        <f>'Total Weekday Boardings'!G29+'Total Saturday Boardings'!G29+'Total Sunday-Holiday Boardings'!G29</f>
        <v>8253</v>
      </c>
      <c r="H29" s="19">
        <f>'Total Weekday Boardings'!H29+'Total Saturday Boardings'!H29+'Total Sunday-Holiday Boardings'!H29</f>
        <v>8396</v>
      </c>
      <c r="I29" s="17">
        <f>'Total Weekday Boardings'!I29+'Total Saturday Boardings'!I29+'Total Sunday-Holiday Boardings'!I29</f>
        <v>8777</v>
      </c>
      <c r="J29" s="18">
        <f>'Total Weekday Boardings'!J29+'Total Saturday Boardings'!J29+'Total Sunday-Holiday Boardings'!J29</f>
        <v>9964</v>
      </c>
      <c r="K29" s="18">
        <f>'Total Weekday Boardings'!K29+'Total Saturday Boardings'!K29+'Total Sunday-Holiday Boardings'!K29</f>
        <v>10732</v>
      </c>
      <c r="L29" s="18">
        <f>'Total Weekday Boardings'!L29+'Total Saturday Boardings'!L29+'Total Sunday-Holiday Boardings'!L29</f>
        <v>9969</v>
      </c>
      <c r="M29" s="18">
        <f>'Total Weekday Boardings'!M29+'Total Saturday Boardings'!M29+'Total Sunday-Holiday Boardings'!M29</f>
        <v>11326</v>
      </c>
      <c r="N29" s="18">
        <f>'Total Weekday Boardings'!N29+'Total Saturday Boardings'!N29+'Total Sunday-Holiday Boardings'!N29</f>
        <v>10887</v>
      </c>
      <c r="O29" s="62">
        <f>'Total Weekday Boardings'!O29+'Total Saturday Boardings'!O29+'Total Sunday-Holiday Boardings'!O29</f>
        <v>9764</v>
      </c>
      <c r="P29" s="62">
        <f>'Total Weekday Boardings'!P29+'Total Saturday Boardings'!P29+'Total Sunday-Holiday Boardings'!P29</f>
        <v>11037</v>
      </c>
      <c r="Q29" s="62">
        <f>'Total Weekday Boardings'!Q29+'Total Saturday Boardings'!Q29+'Total Sunday-Holiday Boardings'!Q29</f>
        <v>12261</v>
      </c>
      <c r="R29" s="62">
        <f>'Total Weekday Boardings'!R29+'Total Saturday Boardings'!R29+'Total Sunday-Holiday Boardings'!R29</f>
        <v>11047</v>
      </c>
      <c r="S29" s="62">
        <f>'Total Weekday Boardings'!S29+'Total Saturday Boardings'!S29+'Total Sunday-Holiday Boardings'!S29</f>
        <v>9514</v>
      </c>
      <c r="T29" s="63">
        <f>'Total Weekday Boardings'!T29+'Total Saturday Boardings'!T29+'Total Sunday-Holiday Boardings'!T29</f>
        <v>10309</v>
      </c>
      <c r="U29" s="64">
        <f>'Total Weekday Boardings'!U29+'Total Saturday Boardings'!U29+'Total Sunday-Holiday Boardings'!U29</f>
        <v>9752</v>
      </c>
      <c r="V29" s="62">
        <f>'Total Weekday Boardings'!V29+'Total Saturday Boardings'!V29+'Total Sunday-Holiday Boardings'!V29</f>
        <v>11142</v>
      </c>
      <c r="W29" s="62">
        <f>'Total Weekday Boardings'!W29+'Total Saturday Boardings'!W29+'Total Sunday-Holiday Boardings'!W29</f>
        <v>11897</v>
      </c>
      <c r="X29" s="62">
        <f>'Total Weekday Boardings'!X29+'Total Saturday Boardings'!X29+'Total Sunday-Holiday Boardings'!X29</f>
        <v>11532</v>
      </c>
      <c r="Y29" s="62">
        <f>'Total Weekday Boardings'!Y29+'Total Saturday Boardings'!Y29+'Total Sunday-Holiday Boardings'!Y29</f>
        <v>11558</v>
      </c>
      <c r="Z29" s="62">
        <f>'Total Weekday Boardings'!Z29+'Total Saturday Boardings'!Z29+'Total Sunday-Holiday Boardings'!Z29</f>
        <v>11057</v>
      </c>
      <c r="AA29" s="18">
        <f>'Total Weekday Boardings'!AA29+'Total Saturday Boardings'!AA29+'Total Sunday-Holiday Boardings'!AA29</f>
        <v>12489</v>
      </c>
      <c r="AB29" s="18">
        <f>'Total Weekday Boardings'!AB29+'Total Saturday Boardings'!AB29+'Total Sunday-Holiday Boardings'!AB29</f>
        <v>12051</v>
      </c>
      <c r="AC29" s="18">
        <f>'Total Weekday Boardings'!AC29+'Total Saturday Boardings'!AC29+'Total Sunday-Holiday Boardings'!AC29</f>
        <v>14021</v>
      </c>
      <c r="AD29" s="18">
        <f>'Total Weekday Boardings'!AD29+'Total Saturday Boardings'!AD29+'Total Sunday-Holiday Boardings'!AD29</f>
        <v>13798</v>
      </c>
      <c r="AE29" s="18">
        <f>'Total Weekday Boardings'!AE29+'Total Saturday Boardings'!AE29+'Total Sunday-Holiday Boardings'!AE29</f>
        <v>13340</v>
      </c>
      <c r="AF29" s="19">
        <f>'Total Weekday Boardings'!AF29+'Total Saturday Boardings'!AF29+'Total Sunday-Holiday Boardings'!AF29</f>
        <v>11816</v>
      </c>
      <c r="AG29" s="17">
        <f>'Total Weekday Boardings'!AG29+'Total Saturday Boardings'!AG29+'Total Sunday-Holiday Boardings'!AG29</f>
        <v>11483</v>
      </c>
      <c r="AH29" s="18">
        <f>'Total Weekday Boardings'!AH29+'Total Saturday Boardings'!AH29+'Total Sunday-Holiday Boardings'!AH29</f>
        <v>12773</v>
      </c>
      <c r="AI29" s="18">
        <f>'Total Weekday Boardings'!AI29+'Total Saturday Boardings'!AI29+'Total Sunday-Holiday Boardings'!AI29</f>
        <v>13348</v>
      </c>
      <c r="AJ29" s="18">
        <f>'Total Weekday Boardings'!AJ29+'Total Saturday Boardings'!AJ29+'Total Sunday-Holiday Boardings'!AJ29</f>
        <v>13653</v>
      </c>
      <c r="AK29" s="18">
        <f>'Total Weekday Boardings'!AK29+'Total Saturday Boardings'!AK29+'Total Sunday-Holiday Boardings'!AK29</f>
        <v>12518</v>
      </c>
      <c r="AL29" s="18">
        <f>'Total Weekday Boardings'!AL29+'Total Saturday Boardings'!AL29+'Total Sunday-Holiday Boardings'!AL29</f>
        <v>12457</v>
      </c>
      <c r="AM29" s="18">
        <f>'Total Weekday Boardings'!AM29+'Total Saturday Boardings'!AM29+'Total Sunday-Holiday Boardings'!AM29</f>
        <v>13321</v>
      </c>
      <c r="AN29" s="18">
        <f>'Total Weekday Boardings'!AN29+'Total Saturday Boardings'!AN29+'Total Sunday-Holiday Boardings'!AN29</f>
        <v>12822</v>
      </c>
      <c r="AO29" s="18">
        <f>'Total Weekday Boardings'!AO29+'Total Saturday Boardings'!AO29+'Total Sunday-Holiday Boardings'!AO29</f>
        <v>13504</v>
      </c>
      <c r="AP29" s="18">
        <f>'Total Weekday Boardings'!AP29+'Total Saturday Boardings'!AP29+'Total Sunday-Holiday Boardings'!AP29</f>
        <v>14718</v>
      </c>
      <c r="AQ29" s="18">
        <f>'Total Weekday Boardings'!AQ29+'Total Saturday Boardings'!AQ29+'Total Sunday-Holiday Boardings'!AQ29</f>
        <v>14208</v>
      </c>
      <c r="AR29" s="19">
        <f>'Total Weekday Boardings'!AR29+'Total Saturday Boardings'!AR29+'Total Sunday-Holiday Boardings'!AR29</f>
        <v>13545</v>
      </c>
      <c r="AS29" s="17">
        <f>'Total Weekday Boardings'!AS29+'Total Saturday Boardings'!AS29+'Total Sunday-Holiday Boardings'!AS29</f>
        <v>13215</v>
      </c>
      <c r="AT29" s="18">
        <f>'Total Weekday Boardings'!AT29+'Total Saturday Boardings'!AT29+'Total Sunday-Holiday Boardings'!AT29</f>
        <v>14607</v>
      </c>
      <c r="AU29" s="18">
        <f>'Total Weekday Boardings'!AU29+'Total Saturday Boardings'!AU29+'Total Sunday-Holiday Boardings'!AU29</f>
        <v>13963</v>
      </c>
      <c r="AV29" s="18">
        <f>'Total Weekday Boardings'!AV29+'Total Saturday Boardings'!AV29+'Total Sunday-Holiday Boardings'!AV29</f>
        <v>16868</v>
      </c>
      <c r="AW29" s="18">
        <f>'Total Weekday Boardings'!AW29+'Total Saturday Boardings'!AW29+'Total Sunday-Holiday Boardings'!AW29</f>
        <v>15709</v>
      </c>
      <c r="AX29" s="18">
        <f>'Total Weekday Boardings'!AX29+'Total Saturday Boardings'!AX29+'Total Sunday-Holiday Boardings'!AX29</f>
        <v>15178</v>
      </c>
      <c r="AY29" s="18">
        <f>'Total Weekday Boardings'!AY29+'Total Saturday Boardings'!AY29+'Total Sunday-Holiday Boardings'!AY29</f>
        <v>14922</v>
      </c>
      <c r="AZ29" s="18">
        <f>'Total Weekday Boardings'!AZ29+'Total Saturday Boardings'!AZ29+'Total Sunday-Holiday Boardings'!AZ29</f>
        <v>15209</v>
      </c>
      <c r="BA29" s="18">
        <f>'Total Weekday Boardings'!BA29+'Total Saturday Boardings'!BA29+'Total Sunday-Holiday Boardings'!BA29</f>
        <v>16057</v>
      </c>
      <c r="BB29" s="18">
        <f>'Total Weekday Boardings'!BB29+'Total Saturday Boardings'!BB29+'Total Sunday-Holiday Boardings'!BB29</f>
        <v>16059</v>
      </c>
      <c r="BC29" s="18">
        <f>'Total Weekday Boardings'!BC29+'Total Saturday Boardings'!BC29+'Total Sunday-Holiday Boardings'!BC29</f>
        <v>15752</v>
      </c>
      <c r="BD29" s="19">
        <f>'Total Weekday Boardings'!BD29+'Total Saturday Boardings'!BD29+'Total Sunday-Holiday Boardings'!BD29</f>
        <v>13501</v>
      </c>
      <c r="BE29" s="17">
        <f>'Total Weekday Boardings'!BE29+'Total Saturday Boardings'!BE29+'Total Sunday-Holiday Boardings'!BE29</f>
        <v>14518</v>
      </c>
      <c r="BF29" s="18">
        <f>'Total Weekday Boardings'!BF29+'Total Saturday Boardings'!BF29+'Total Sunday-Holiday Boardings'!BF29</f>
        <v>15588</v>
      </c>
      <c r="BG29" s="18">
        <f>'Total Weekday Boardings'!BG29+'Total Saturday Boardings'!BG29+'Total Sunday-Holiday Boardings'!BG29</f>
        <v>15626</v>
      </c>
      <c r="BH29" s="18">
        <f>'Total Weekday Boardings'!BH29+'Total Saturday Boardings'!BH29+'Total Sunday-Holiday Boardings'!BH29</f>
        <v>17654</v>
      </c>
      <c r="BI29" s="18">
        <f>'Total Weekday Boardings'!BI29+'Total Saturday Boardings'!BI29+'Total Sunday-Holiday Boardings'!BI29</f>
        <v>16581.468713941689</v>
      </c>
      <c r="BJ29" s="18">
        <f>'Total Weekday Boardings'!BJ29+'Total Saturday Boardings'!BJ29+'Total Sunday-Holiday Boardings'!BJ29</f>
        <v>15317</v>
      </c>
      <c r="BK29" s="18">
        <f>'Total Weekday Boardings'!BK29+'Total Saturday Boardings'!BK29+'Total Sunday-Holiday Boardings'!BK29</f>
        <v>16812</v>
      </c>
      <c r="BL29" s="18">
        <f>'Total Weekday Boardings'!BL29+'Total Saturday Boardings'!BL29+'Total Sunday-Holiday Boardings'!BL29</f>
        <v>15202</v>
      </c>
      <c r="BM29" s="18">
        <f>'Total Weekday Boardings'!BM29+'Total Saturday Boardings'!BM29+'Total Sunday-Holiday Boardings'!BM29</f>
        <v>16747</v>
      </c>
      <c r="BN29" s="18">
        <f>'Total Weekday Boardings'!BN29+'Total Saturday Boardings'!BN29+'Total Sunday-Holiday Boardings'!BN29</f>
        <v>16240</v>
      </c>
      <c r="BO29" s="18">
        <f>'Total Weekday Boardings'!BO29+'Total Saturday Boardings'!BO29+'Total Sunday-Holiday Boardings'!BO29</f>
        <v>15078</v>
      </c>
      <c r="BP29" s="19">
        <f>'Total Weekday Boardings'!BP29+'Total Saturday Boardings'!BP29+'Total Sunday-Holiday Boardings'!BP29</f>
        <v>13595</v>
      </c>
      <c r="BQ29" s="17">
        <f>'Total Weekday Boardings'!BQ29+'Total Saturday Boardings'!BQ29+'Total Sunday-Holiday Boardings'!BQ29</f>
        <v>14240</v>
      </c>
      <c r="BR29" s="18">
        <f>'Total Weekday Boardings'!BR29+'Total Saturday Boardings'!BR29+'Total Sunday-Holiday Boardings'!BR29</f>
        <v>15295</v>
      </c>
      <c r="BS29" s="18">
        <f>'Total Weekday Boardings'!BS29+'Total Saturday Boardings'!BS29+'Total Sunday-Holiday Boardings'!BS29</f>
        <v>15757</v>
      </c>
      <c r="BT29" s="18">
        <f>'Total Weekday Boardings'!BT29+'Total Saturday Boardings'!BT29+'Total Sunday-Holiday Boardings'!BT29</f>
        <v>17857</v>
      </c>
      <c r="BU29" s="18">
        <f>'Total Weekday Boardings'!BU29+'Total Saturday Boardings'!BU29+'Total Sunday-Holiday Boardings'!BU29</f>
        <v>15823</v>
      </c>
      <c r="BV29" s="18">
        <f>'Total Weekday Boardings'!BV29+'Total Saturday Boardings'!BV29+'Total Sunday-Holiday Boardings'!BV29</f>
        <v>15787</v>
      </c>
      <c r="BW29" s="18">
        <f>'Total Weekday Boardings'!BW29+'Total Saturday Boardings'!BW29+'Total Sunday-Holiday Boardings'!BW29</f>
        <v>16959</v>
      </c>
      <c r="BX29" s="18">
        <f>'Total Weekday Boardings'!BX29+'Total Saturday Boardings'!BX29+'Total Sunday-Holiday Boardings'!BX29</f>
        <v>15327</v>
      </c>
      <c r="BY29" s="18">
        <f>'Total Weekday Boardings'!BY29+'Total Saturday Boardings'!BY29+'Total Sunday-Holiday Boardings'!BY29</f>
        <v>16565</v>
      </c>
      <c r="BZ29" s="18">
        <f>'Total Weekday Boardings'!BZ29+'Total Saturday Boardings'!BZ29+'Total Sunday-Holiday Boardings'!BZ29</f>
        <v>16213</v>
      </c>
      <c r="CA29" s="18">
        <f>'Total Weekday Boardings'!CA29+'Total Saturday Boardings'!CA29+'Total Sunday-Holiday Boardings'!CA29</f>
        <v>14042</v>
      </c>
      <c r="CB29" s="19">
        <f>'Total Weekday Boardings'!CB29+'Total Saturday Boardings'!CB29+'Total Sunday-Holiday Boardings'!CB29</f>
        <v>13706</v>
      </c>
      <c r="CC29" s="20">
        <f>'Total Weekday Boardings'!CC29+'Total Saturday Boardings'!CC29+'Total Sunday-Holiday Boardings'!CC29</f>
        <v>14475</v>
      </c>
      <c r="CD29" s="18">
        <f>'Total Weekday Boardings'!CD29+'Total Saturday Boardings'!CD29+'Total Sunday-Holiday Boardings'!CD29</f>
        <v>14781</v>
      </c>
      <c r="CE29" s="18">
        <f>'Total Weekday Boardings'!CE29+'Total Saturday Boardings'!CE29+'Total Sunday-Holiday Boardings'!CE29</f>
        <v>16989</v>
      </c>
      <c r="CF29" s="18">
        <f>'Total Weekday Boardings'!CF29+'Total Saturday Boardings'!CF29+'Total Sunday-Holiday Boardings'!CF29</f>
        <v>18110</v>
      </c>
      <c r="CG29" s="18">
        <f>'Total Weekday Boardings'!CG29+'Total Saturday Boardings'!CG29+'Total Sunday-Holiday Boardings'!CG29</f>
        <v>16553</v>
      </c>
      <c r="CH29" s="18">
        <f>'Total Weekday Boardings'!CH29+'Total Saturday Boardings'!CH29+'Total Sunday-Holiday Boardings'!CH29</f>
        <v>16863</v>
      </c>
      <c r="CI29" s="18">
        <f>'Total Weekday Boardings'!CI29+'Total Saturday Boardings'!CI29+'Total Sunday-Holiday Boardings'!CI29</f>
        <v>16061</v>
      </c>
      <c r="CJ29" s="18">
        <f>'Total Weekday Boardings'!CJ29+'Total Saturday Boardings'!CJ29+'Total Sunday-Holiday Boardings'!CJ29</f>
        <v>16052</v>
      </c>
      <c r="CK29" s="18">
        <f>'Total Weekday Boardings'!CK29+'Total Saturday Boardings'!CK29+'Total Sunday-Holiday Boardings'!CK29</f>
        <v>17844</v>
      </c>
      <c r="CL29" s="18">
        <f>'Total Weekday Boardings'!CL29+'Total Saturday Boardings'!CL29+'Total Sunday-Holiday Boardings'!CL29</f>
        <v>17581</v>
      </c>
      <c r="CM29" s="18">
        <f>'Total Weekday Boardings'!CM29+'Total Saturday Boardings'!CM29+'Total Sunday-Holiday Boardings'!CM29</f>
        <v>16228</v>
      </c>
      <c r="CN29" s="21">
        <f>'Total Weekday Boardings'!CN29+'Total Saturday Boardings'!CN29+'Total Sunday-Holiday Boardings'!CN29</f>
        <v>17731</v>
      </c>
      <c r="CO29" s="17">
        <f>'Total Weekday Boardings'!CO29+'Total Saturday Boardings'!CO29+'Total Sunday-Holiday Boardings'!CO29</f>
        <v>14120</v>
      </c>
      <c r="CP29" s="18">
        <f>'Total Weekday Boardings'!CP29+'Total Saturday Boardings'!CP29+'Total Sunday-Holiday Boardings'!CP29</f>
        <v>15441</v>
      </c>
      <c r="CQ29" s="18">
        <f>'Total Weekday Boardings'!CQ29+'Total Saturday Boardings'!CQ29+'Total Sunday-Holiday Boardings'!CQ29</f>
        <v>15638</v>
      </c>
      <c r="CR29" s="18">
        <f>'Total Weekday Boardings'!CR29+'Total Saturday Boardings'!CR29+'Total Sunday-Holiday Boardings'!CR29</f>
        <v>16065</v>
      </c>
      <c r="CS29" s="18">
        <f>'Total Weekday Boardings'!CS29+'Total Saturday Boardings'!CS29+'Total Sunday-Holiday Boardings'!CS29</f>
        <v>14929</v>
      </c>
      <c r="CT29" s="18">
        <f>'Total Weekday Boardings'!CT29+'Total Saturday Boardings'!CT29+'Total Sunday-Holiday Boardings'!CT29</f>
        <v>15254</v>
      </c>
      <c r="CU29" s="18">
        <f>'Total Weekday Boardings'!CU29+'Total Saturday Boardings'!CU29+'Total Sunday-Holiday Boardings'!CU29</f>
        <v>14846</v>
      </c>
      <c r="CV29" s="18">
        <f>'Total Weekday Boardings'!CV29+'Total Saturday Boardings'!CV29+'Total Sunday-Holiday Boardings'!CV29</f>
        <v>13591</v>
      </c>
      <c r="CW29" s="18">
        <f>'Total Weekday Boardings'!CW29+'Total Saturday Boardings'!CW29+'Total Sunday-Holiday Boardings'!CW29</f>
        <v>14685</v>
      </c>
      <c r="CX29" s="18">
        <f>'Total Weekday Boardings'!CX29+'Total Saturday Boardings'!CX29+'Total Sunday-Holiday Boardings'!CX29</f>
        <v>14261</v>
      </c>
      <c r="CY29" s="18">
        <f>'Total Weekday Boardings'!CY29+'Total Saturday Boardings'!CY29+'Total Sunday-Holiday Boardings'!CY29</f>
        <v>13434</v>
      </c>
      <c r="CZ29" s="19">
        <f>'Total Weekday Boardings'!CZ29+'Total Saturday Boardings'!CZ29+'Total Sunday-Holiday Boardings'!CZ29</f>
        <v>12390</v>
      </c>
      <c r="DA29" s="17">
        <f>'Total Weekday Boardings'!DA29+'Total Saturday Boardings'!DA29+'Total Sunday-Holiday Boardings'!DA29</f>
        <v>12648</v>
      </c>
      <c r="DB29" s="18">
        <f>'Total Weekday Boardings'!DB29+'Total Saturday Boardings'!DB29+'Total Sunday-Holiday Boardings'!DB29</f>
        <v>14052</v>
      </c>
      <c r="DC29" s="18">
        <f>'Total Weekday Boardings'!DC29+'Total Saturday Boardings'!DC29+'Total Sunday-Holiday Boardings'!DC29</f>
        <v>13986</v>
      </c>
      <c r="DD29" s="18">
        <f>'Total Weekday Boardings'!DD29+'Total Saturday Boardings'!DD29+'Total Sunday-Holiday Boardings'!DD29</f>
        <v>14846</v>
      </c>
      <c r="DE29" s="18">
        <f>'Total Weekday Boardings'!DE29+'Total Saturday Boardings'!DE29+'Total Sunday-Holiday Boardings'!DE29</f>
        <v>13533</v>
      </c>
      <c r="DF29" s="18">
        <f>'Total Weekday Boardings'!DF29+'Total Saturday Boardings'!DF29+'Total Sunday-Holiday Boardings'!DF29</f>
        <v>13632</v>
      </c>
      <c r="DG29" s="18">
        <f>'Total Weekday Boardings'!DG29+'Total Saturday Boardings'!DG29+'Total Sunday-Holiday Boardings'!DG29</f>
        <v>13938</v>
      </c>
      <c r="DH29" s="18">
        <f>'Total Weekday Boardings'!DH29+'Total Saturday Boardings'!DH29+'Total Sunday-Holiday Boardings'!DH29</f>
        <v>13188</v>
      </c>
      <c r="DI29" s="18">
        <f>'Total Weekday Boardings'!DI29+'Total Saturday Boardings'!DI29+'Total Sunday-Holiday Boardings'!DI29</f>
        <v>14959</v>
      </c>
      <c r="DJ29" s="18">
        <f>'Total Weekday Boardings'!DJ29+'Total Saturday Boardings'!DJ29+'Total Sunday-Holiday Boardings'!DJ29</f>
        <v>14141</v>
      </c>
      <c r="DK29" s="18">
        <f>'Total Weekday Boardings'!DK29+'Total Saturday Boardings'!DK29+'Total Sunday-Holiday Boardings'!DK29</f>
        <v>14267</v>
      </c>
      <c r="DL29" s="19">
        <f>'Total Weekday Boardings'!DL29+'Total Saturday Boardings'!DL29+'Total Sunday-Holiday Boardings'!DL29</f>
        <v>13470</v>
      </c>
      <c r="DM29" s="17">
        <f>'Total Weekday Boardings'!DM29+'Total Saturday Boardings'!DM29+'Total Sunday-Holiday Boardings'!DM29</f>
        <v>12902</v>
      </c>
      <c r="DN29" s="18">
        <f>'Total Weekday Boardings'!DN29+'Total Saturday Boardings'!DN29+'Total Sunday-Holiday Boardings'!DN29</f>
        <v>13123</v>
      </c>
      <c r="DO29" s="18">
        <f>'Total Weekday Boardings'!DO29+'Total Saturday Boardings'!DO29+'Total Sunday-Holiday Boardings'!DO29</f>
        <v>12226</v>
      </c>
      <c r="DP29" s="18">
        <f>'Total Weekday Boardings'!DP29+'Total Saturday Boardings'!DP29+'Total Sunday-Holiday Boardings'!DP29</f>
        <v>13685</v>
      </c>
      <c r="DQ29" s="18">
        <f>'Total Weekday Boardings'!DQ29+'Total Saturday Boardings'!DQ29+'Total Sunday-Holiday Boardings'!DQ29</f>
        <v>13182</v>
      </c>
      <c r="DR29" s="18">
        <f>'Total Weekday Boardings'!DR29+'Total Saturday Boardings'!DR29+'Total Sunday-Holiday Boardings'!DR29</f>
        <v>13454</v>
      </c>
      <c r="DS29" s="18">
        <f>'Total Weekday Boardings'!DS29+'Total Saturday Boardings'!DS29+'Total Sunday-Holiday Boardings'!DS29</f>
        <v>13227</v>
      </c>
      <c r="DT29" s="18">
        <f>'Total Weekday Boardings'!DT29+'Total Saturday Boardings'!DT29+'Total Sunday-Holiday Boardings'!DT29</f>
        <v>12270</v>
      </c>
      <c r="DU29" s="18">
        <f>'Total Weekday Boardings'!DU29+'Total Saturday Boardings'!DU29+'Total Sunday-Holiday Boardings'!DU29</f>
        <v>12931</v>
      </c>
      <c r="DV29" s="18">
        <f>'Total Weekday Boardings'!DV29+'Total Saturday Boardings'!DV29+'Total Sunday-Holiday Boardings'!DV29</f>
        <v>12606</v>
      </c>
      <c r="DW29" s="18">
        <f>'Total Weekday Boardings'!DW29+'Total Saturday Boardings'!DW29+'Total Sunday-Holiday Boardings'!DW29</f>
        <v>11955</v>
      </c>
      <c r="DX29" s="19">
        <f>'Total Weekday Boardings'!DX29+'Total Saturday Boardings'!DX29+'Total Sunday-Holiday Boardings'!DX29</f>
        <v>10808</v>
      </c>
      <c r="DY29" s="137">
        <v>10117</v>
      </c>
      <c r="DZ29" s="18">
        <v>10940</v>
      </c>
      <c r="EA29" s="18">
        <v>11018</v>
      </c>
      <c r="EB29" s="18">
        <v>12353</v>
      </c>
      <c r="EC29" s="18">
        <v>12171</v>
      </c>
      <c r="ED29" s="18">
        <v>10953</v>
      </c>
      <c r="EE29" s="18">
        <v>12057</v>
      </c>
      <c r="EF29" s="18">
        <v>11495</v>
      </c>
      <c r="EG29" s="18">
        <v>12236</v>
      </c>
      <c r="EH29" s="18">
        <v>8235</v>
      </c>
      <c r="EI29" s="18">
        <v>8590</v>
      </c>
      <c r="EJ29" s="19">
        <v>8071</v>
      </c>
      <c r="EK29" s="100">
        <v>7358</v>
      </c>
      <c r="EL29" s="18">
        <v>7813</v>
      </c>
      <c r="EM29" s="18">
        <v>6185</v>
      </c>
      <c r="EN29" s="103">
        <v>7870</v>
      </c>
      <c r="EO29" s="18">
        <v>5614</v>
      </c>
      <c r="EP29" s="18">
        <v>4815</v>
      </c>
      <c r="EQ29" s="18">
        <v>2943</v>
      </c>
      <c r="ER29" s="18">
        <v>5419</v>
      </c>
      <c r="ES29" s="18">
        <v>5709</v>
      </c>
      <c r="ET29" s="18">
        <v>6146</v>
      </c>
      <c r="EU29" s="18">
        <v>5759</v>
      </c>
      <c r="EV29" s="19">
        <v>6123</v>
      </c>
      <c r="EW29" s="103">
        <v>5614</v>
      </c>
      <c r="EX29" s="18">
        <v>6298</v>
      </c>
      <c r="EY29" s="18">
        <v>5800</v>
      </c>
      <c r="EZ29" s="103">
        <v>6562</v>
      </c>
      <c r="FA29" s="18">
        <v>6495</v>
      </c>
      <c r="FB29" s="145">
        <v>6611</v>
      </c>
      <c r="FC29" s="18">
        <v>6199</v>
      </c>
      <c r="FD29" s="18">
        <v>7177</v>
      </c>
      <c r="FE29" s="18">
        <v>8900</v>
      </c>
      <c r="FF29" s="18">
        <v>7739</v>
      </c>
      <c r="FG29" s="13">
        <f>SUM('Total Weekday Boardings'!FG29,'Total Saturday Boardings'!FG29,'Total Sunday-Holiday Boardings'!FG29)</f>
        <v>8099</v>
      </c>
      <c r="FH29" s="13">
        <f>SUM('Total Weekday Boardings'!FH29,'Total Saturday Boardings'!FH29,'Total Sunday-Holiday Boardings'!FH29)</f>
        <v>6296</v>
      </c>
      <c r="FI29" s="13">
        <f>SUM('Total Weekday Boardings'!FI29,'Total Saturday Boardings'!FI29,'Total Sunday-Holiday Boardings'!FI29)</f>
        <v>6516</v>
      </c>
      <c r="FJ29" s="13">
        <f>SUM('Total Weekday Boardings'!FJ29,'Total Saturday Boardings'!FJ29,'Total Sunday-Holiday Boardings'!FJ29)</f>
        <v>6933</v>
      </c>
      <c r="FK29" s="13">
        <f>SUM('Total Weekday Boardings'!FK29,'Total Saturday Boardings'!FK29,'Total Sunday-Holiday Boardings'!FK29)</f>
        <v>7144</v>
      </c>
      <c r="FL29" s="13">
        <f>SUM('Total Weekday Boardings'!FL29,'Total Saturday Boardings'!FL29,'Total Sunday-Holiday Boardings'!FL29)</f>
        <v>7446</v>
      </c>
      <c r="FM29" s="13">
        <f>SUM('Total Weekday Boardings'!FM29,'Total Saturday Boardings'!FM29,'Total Sunday-Holiday Boardings'!FM29)</f>
        <v>6848</v>
      </c>
      <c r="FN29" s="13">
        <f>SUM('Total Weekday Boardings'!FN29,'Total Saturday Boardings'!FN29,'Total Sunday-Holiday Boardings'!FN29)</f>
        <v>6896</v>
      </c>
      <c r="FO29" s="13">
        <f>SUM('Total Weekday Boardings'!FO29,'Total Saturday Boardings'!FO29,'Total Sunday-Holiday Boardings'!FO29)</f>
        <v>7899</v>
      </c>
      <c r="FP29" s="13">
        <f>SUM('Total Weekday Boardings'!FP29,'Total Saturday Boardings'!FP29,'Total Sunday-Holiday Boardings'!FP29)</f>
        <v>6734</v>
      </c>
      <c r="FQ29" s="13">
        <f>SUM('Total Weekday Boardings'!FQ29,'Total Saturday Boardings'!FQ29,'Total Sunday-Holiday Boardings'!FQ29)</f>
        <v>8718</v>
      </c>
      <c r="FR29" s="13">
        <f>SUM('Total Weekday Boardings'!FR29,'Total Saturday Boardings'!FR29,'Total Sunday-Holiday Boardings'!FR29)</f>
        <v>8552</v>
      </c>
      <c r="FS29" s="13">
        <f>SUM('Total Weekday Boardings'!FS29,'Total Saturday Boardings'!FS29,'Total Sunday-Holiday Boardings'!FS29)</f>
        <v>8641</v>
      </c>
      <c r="FT29" s="16">
        <f>SUM('Total Weekday Boardings'!FT29,'Total Saturday Boardings'!FT29,'Total Sunday-Holiday Boardings'!FT29)</f>
        <v>7639</v>
      </c>
      <c r="FU29" s="171">
        <v>7908</v>
      </c>
      <c r="FV29" s="171">
        <v>10133</v>
      </c>
      <c r="FW29" s="171">
        <v>7580</v>
      </c>
      <c r="FX29" s="171">
        <v>8602</v>
      </c>
      <c r="FY29" s="171">
        <v>8013</v>
      </c>
      <c r="FZ29" s="171">
        <v>7629</v>
      </c>
      <c r="GA29" s="171">
        <v>8278</v>
      </c>
      <c r="GB29" s="52">
        <v>8429</v>
      </c>
      <c r="GC29" s="52">
        <v>8718</v>
      </c>
      <c r="GD29" s="52">
        <v>7704</v>
      </c>
      <c r="GE29" s="18">
        <v>8225</v>
      </c>
      <c r="GF29" s="52">
        <v>7679</v>
      </c>
      <c r="GG29" s="184">
        <v>7651</v>
      </c>
      <c r="GH29" s="52">
        <v>8529</v>
      </c>
      <c r="GI29" s="18">
        <v>8091</v>
      </c>
      <c r="GJ29" s="236">
        <v>8967</v>
      </c>
      <c r="GK29" s="184">
        <v>7849</v>
      </c>
      <c r="GL29" s="184">
        <v>7402</v>
      </c>
    </row>
    <row r="30" spans="1:194" ht="15" thickBot="1" x14ac:dyDescent="0.35">
      <c r="A30" s="3" t="s">
        <v>43</v>
      </c>
      <c r="B30" s="17"/>
      <c r="C30" s="18">
        <f>'Total Weekday Boardings'!C30+'Total Saturday Boardings'!C30+'Total Sunday-Holiday Boardings'!C30</f>
        <v>6015</v>
      </c>
      <c r="D30" s="18">
        <f>'Total Weekday Boardings'!D30+'Total Saturday Boardings'!D30+'Total Sunday-Holiday Boardings'!D30</f>
        <v>3224</v>
      </c>
      <c r="E30" s="18">
        <f>'Total Weekday Boardings'!E30+'Total Saturday Boardings'!E30+'Total Sunday-Holiday Boardings'!E30</f>
        <v>3084</v>
      </c>
      <c r="F30" s="18">
        <f>'Total Weekday Boardings'!F30+'Total Saturday Boardings'!F30+'Total Sunday-Holiday Boardings'!F30</f>
        <v>8060</v>
      </c>
      <c r="G30" s="18">
        <f>'Total Weekday Boardings'!G30+'Total Saturday Boardings'!G30+'Total Sunday-Holiday Boardings'!G30</f>
        <v>8407</v>
      </c>
      <c r="H30" s="19">
        <f>'Total Weekday Boardings'!H30+'Total Saturday Boardings'!H30+'Total Sunday-Holiday Boardings'!H30</f>
        <v>8277</v>
      </c>
      <c r="I30" s="17">
        <f>'Total Weekday Boardings'!I30+'Total Saturday Boardings'!I30+'Total Sunday-Holiday Boardings'!I30</f>
        <v>8330</v>
      </c>
      <c r="J30" s="18">
        <f>'Total Weekday Boardings'!J30+'Total Saturday Boardings'!J30+'Total Sunday-Holiday Boardings'!J30</f>
        <v>9552</v>
      </c>
      <c r="K30" s="18">
        <f>'Total Weekday Boardings'!K30+'Total Saturday Boardings'!K30+'Total Sunday-Holiday Boardings'!K30</f>
        <v>7369</v>
      </c>
      <c r="L30" s="18">
        <f>'Total Weekday Boardings'!L30+'Total Saturday Boardings'!L30+'Total Sunday-Holiday Boardings'!L30</f>
        <v>9536</v>
      </c>
      <c r="M30" s="18">
        <f>'Total Weekday Boardings'!M30+'Total Saturday Boardings'!M30+'Total Sunday-Holiday Boardings'!M30</f>
        <v>11002</v>
      </c>
      <c r="N30" s="18">
        <f>'Total Weekday Boardings'!N30+'Total Saturday Boardings'!N30+'Total Sunday-Holiday Boardings'!N30</f>
        <v>9573</v>
      </c>
      <c r="O30" s="62">
        <f>'Total Weekday Boardings'!O30+'Total Saturday Boardings'!O30+'Total Sunday-Holiday Boardings'!O30</f>
        <v>9624</v>
      </c>
      <c r="P30" s="62">
        <f>'Total Weekday Boardings'!P30+'Total Saturday Boardings'!P30+'Total Sunday-Holiday Boardings'!P30</f>
        <v>10077</v>
      </c>
      <c r="Q30" s="62">
        <f>'Total Weekday Boardings'!Q30+'Total Saturday Boardings'!Q30+'Total Sunday-Holiday Boardings'!Q30</f>
        <v>10969</v>
      </c>
      <c r="R30" s="62">
        <f>'Total Weekday Boardings'!R30+'Total Saturday Boardings'!R30+'Total Sunday-Holiday Boardings'!R30</f>
        <v>10935</v>
      </c>
      <c r="S30" s="62">
        <f>'Total Weekday Boardings'!S30+'Total Saturday Boardings'!S30+'Total Sunday-Holiday Boardings'!S30</f>
        <v>9471</v>
      </c>
      <c r="T30" s="63">
        <f>'Total Weekday Boardings'!T30+'Total Saturday Boardings'!T30+'Total Sunday-Holiday Boardings'!T30</f>
        <v>11439</v>
      </c>
      <c r="U30" s="64">
        <f>'Total Weekday Boardings'!U30+'Total Saturday Boardings'!U30+'Total Sunday-Holiday Boardings'!U30</f>
        <v>10323</v>
      </c>
      <c r="V30" s="62">
        <f>'Total Weekday Boardings'!V30+'Total Saturday Boardings'!V30+'Total Sunday-Holiday Boardings'!V30</f>
        <v>12058</v>
      </c>
      <c r="W30" s="62">
        <f>'Total Weekday Boardings'!W30+'Total Saturday Boardings'!W30+'Total Sunday-Holiday Boardings'!W30</f>
        <v>13995</v>
      </c>
      <c r="X30" s="62">
        <f>'Total Weekday Boardings'!X30+'Total Saturday Boardings'!X30+'Total Sunday-Holiday Boardings'!X30</f>
        <v>14296</v>
      </c>
      <c r="Y30" s="62">
        <f>'Total Weekday Boardings'!Y30+'Total Saturday Boardings'!Y30+'Total Sunday-Holiday Boardings'!Y30</f>
        <v>13834</v>
      </c>
      <c r="Z30" s="62">
        <f>'Total Weekday Boardings'!Z30+'Total Saturday Boardings'!Z30+'Total Sunday-Holiday Boardings'!Z30</f>
        <v>12996</v>
      </c>
      <c r="AA30" s="18">
        <f>'Total Weekday Boardings'!AA30+'Total Saturday Boardings'!AA30+'Total Sunday-Holiday Boardings'!AA30</f>
        <v>14861</v>
      </c>
      <c r="AB30" s="18">
        <f>'Total Weekday Boardings'!AB30+'Total Saturday Boardings'!AB30+'Total Sunday-Holiday Boardings'!AB30</f>
        <v>13506</v>
      </c>
      <c r="AC30" s="18">
        <f>'Total Weekday Boardings'!AC30+'Total Saturday Boardings'!AC30+'Total Sunday-Holiday Boardings'!AC30</f>
        <v>15465</v>
      </c>
      <c r="AD30" s="18">
        <f>'Total Weekday Boardings'!AD30+'Total Saturday Boardings'!AD30+'Total Sunday-Holiday Boardings'!AD30</f>
        <v>15230</v>
      </c>
      <c r="AE30" s="18">
        <f>'Total Weekday Boardings'!AE30+'Total Saturday Boardings'!AE30+'Total Sunday-Holiday Boardings'!AE30</f>
        <v>13207</v>
      </c>
      <c r="AF30" s="19">
        <f>'Total Weekday Boardings'!AF30+'Total Saturday Boardings'!AF30+'Total Sunday-Holiday Boardings'!AF30</f>
        <v>11974</v>
      </c>
      <c r="AG30" s="17">
        <f>'Total Weekday Boardings'!AG30+'Total Saturday Boardings'!AG30+'Total Sunday-Holiday Boardings'!AG30</f>
        <v>12341</v>
      </c>
      <c r="AH30" s="18">
        <f>'Total Weekday Boardings'!AH30+'Total Saturday Boardings'!AH30+'Total Sunday-Holiday Boardings'!AH30</f>
        <v>13885</v>
      </c>
      <c r="AI30" s="18">
        <f>'Total Weekday Boardings'!AI30+'Total Saturday Boardings'!AI30+'Total Sunday-Holiday Boardings'!AI30</f>
        <v>14015</v>
      </c>
      <c r="AJ30" s="18">
        <f>'Total Weekday Boardings'!AJ30+'Total Saturday Boardings'!AJ30+'Total Sunday-Holiday Boardings'!AJ30</f>
        <v>15002</v>
      </c>
      <c r="AK30" s="18">
        <f>'Total Weekday Boardings'!AK30+'Total Saturday Boardings'!AK30+'Total Sunday-Holiday Boardings'!AK30</f>
        <v>12924</v>
      </c>
      <c r="AL30" s="18">
        <f>'Total Weekday Boardings'!AL30+'Total Saturday Boardings'!AL30+'Total Sunday-Holiday Boardings'!AL30</f>
        <v>13082</v>
      </c>
      <c r="AM30" s="18">
        <f>'Total Weekday Boardings'!AM30+'Total Saturday Boardings'!AM30+'Total Sunday-Holiday Boardings'!AM30</f>
        <v>14935</v>
      </c>
      <c r="AN30" s="18">
        <f>'Total Weekday Boardings'!AN30+'Total Saturday Boardings'!AN30+'Total Sunday-Holiday Boardings'!AN30</f>
        <v>14074</v>
      </c>
      <c r="AO30" s="18">
        <f>'Total Weekday Boardings'!AO30+'Total Saturday Boardings'!AO30+'Total Sunday-Holiday Boardings'!AO30</f>
        <v>15846</v>
      </c>
      <c r="AP30" s="18">
        <f>'Total Weekday Boardings'!AP30+'Total Saturday Boardings'!AP30+'Total Sunday-Holiday Boardings'!AP30</f>
        <v>14756</v>
      </c>
      <c r="AQ30" s="18">
        <f>'Total Weekday Boardings'!AQ30+'Total Saturday Boardings'!AQ30+'Total Sunday-Holiday Boardings'!AQ30</f>
        <v>14505</v>
      </c>
      <c r="AR30" s="19">
        <f>'Total Weekday Boardings'!AR30+'Total Saturday Boardings'!AR30+'Total Sunday-Holiday Boardings'!AR30</f>
        <v>13082</v>
      </c>
      <c r="AS30" s="17">
        <f>'Total Weekday Boardings'!AS30+'Total Saturday Boardings'!AS30+'Total Sunday-Holiday Boardings'!AS30</f>
        <v>13191</v>
      </c>
      <c r="AT30" s="18">
        <f>'Total Weekday Boardings'!AT30+'Total Saturday Boardings'!AT30+'Total Sunday-Holiday Boardings'!AT30</f>
        <v>14559</v>
      </c>
      <c r="AU30" s="18">
        <f>'Total Weekday Boardings'!AU30+'Total Saturday Boardings'!AU30+'Total Sunday-Holiday Boardings'!AU30</f>
        <v>14769</v>
      </c>
      <c r="AV30" s="18">
        <f>'Total Weekday Boardings'!AV30+'Total Saturday Boardings'!AV30+'Total Sunday-Holiday Boardings'!AV30</f>
        <v>16289</v>
      </c>
      <c r="AW30" s="18">
        <f>'Total Weekday Boardings'!AW30+'Total Saturday Boardings'!AW30+'Total Sunday-Holiday Boardings'!AW30</f>
        <v>15900</v>
      </c>
      <c r="AX30" s="18">
        <f>'Total Weekday Boardings'!AX30+'Total Saturday Boardings'!AX30+'Total Sunday-Holiday Boardings'!AX30</f>
        <v>15084</v>
      </c>
      <c r="AY30" s="18">
        <f>'Total Weekday Boardings'!AY30+'Total Saturday Boardings'!AY30+'Total Sunday-Holiday Boardings'!AY30</f>
        <v>14978</v>
      </c>
      <c r="AZ30" s="18">
        <f>'Total Weekday Boardings'!AZ30+'Total Saturday Boardings'!AZ30+'Total Sunday-Holiday Boardings'!AZ30</f>
        <v>14710</v>
      </c>
      <c r="BA30" s="18">
        <f>'Total Weekday Boardings'!BA30+'Total Saturday Boardings'!BA30+'Total Sunday-Holiday Boardings'!BA30</f>
        <v>15198</v>
      </c>
      <c r="BB30" s="18">
        <f>'Total Weekday Boardings'!BB30+'Total Saturday Boardings'!BB30+'Total Sunday-Holiday Boardings'!BB30</f>
        <v>15378</v>
      </c>
      <c r="BC30" s="18">
        <f>'Total Weekday Boardings'!BC30+'Total Saturday Boardings'!BC30+'Total Sunday-Holiday Boardings'!BC30</f>
        <v>14933</v>
      </c>
      <c r="BD30" s="19">
        <f>'Total Weekday Boardings'!BD30+'Total Saturday Boardings'!BD30+'Total Sunday-Holiday Boardings'!BD30</f>
        <v>13701</v>
      </c>
      <c r="BE30" s="17">
        <f>'Total Weekday Boardings'!BE30+'Total Saturday Boardings'!BE30+'Total Sunday-Holiday Boardings'!BE30</f>
        <v>14788</v>
      </c>
      <c r="BF30" s="18">
        <f>'Total Weekday Boardings'!BF30+'Total Saturday Boardings'!BF30+'Total Sunday-Holiday Boardings'!BF30</f>
        <v>16404</v>
      </c>
      <c r="BG30" s="18">
        <f>'Total Weekday Boardings'!BG30+'Total Saturday Boardings'!BG30+'Total Sunday-Holiday Boardings'!BG30</f>
        <v>15998</v>
      </c>
      <c r="BH30" s="18">
        <f>'Total Weekday Boardings'!BH30+'Total Saturday Boardings'!BH30+'Total Sunday-Holiday Boardings'!BH30</f>
        <v>16902</v>
      </c>
      <c r="BI30" s="18">
        <f>'Total Weekday Boardings'!BI30+'Total Saturday Boardings'!BI30+'Total Sunday-Holiday Boardings'!BI30</f>
        <v>16027.501969096611</v>
      </c>
      <c r="BJ30" s="18">
        <f>'Total Weekday Boardings'!BJ30+'Total Saturday Boardings'!BJ30+'Total Sunday-Holiday Boardings'!BJ30</f>
        <v>15795</v>
      </c>
      <c r="BK30" s="18">
        <f>'Total Weekday Boardings'!BK30+'Total Saturday Boardings'!BK30+'Total Sunday-Holiday Boardings'!BK30</f>
        <v>17835</v>
      </c>
      <c r="BL30" s="18">
        <f>'Total Weekday Boardings'!BL30+'Total Saturday Boardings'!BL30+'Total Sunday-Holiday Boardings'!BL30</f>
        <v>15176</v>
      </c>
      <c r="BM30" s="18">
        <f>'Total Weekday Boardings'!BM30+'Total Saturday Boardings'!BM30+'Total Sunday-Holiday Boardings'!BM30</f>
        <v>17160</v>
      </c>
      <c r="BN30" s="18">
        <f>'Total Weekday Boardings'!BN30+'Total Saturday Boardings'!BN30+'Total Sunday-Holiday Boardings'!BN30</f>
        <v>15617</v>
      </c>
      <c r="BO30" s="18">
        <f>'Total Weekday Boardings'!BO30+'Total Saturday Boardings'!BO30+'Total Sunday-Holiday Boardings'!BO30</f>
        <v>15681</v>
      </c>
      <c r="BP30" s="19">
        <f>'Total Weekday Boardings'!BP30+'Total Saturday Boardings'!BP30+'Total Sunday-Holiday Boardings'!BP30</f>
        <v>14502</v>
      </c>
      <c r="BQ30" s="17">
        <f>'Total Weekday Boardings'!BQ30+'Total Saturday Boardings'!BQ30+'Total Sunday-Holiday Boardings'!BQ30</f>
        <v>14352</v>
      </c>
      <c r="BR30" s="18">
        <f>'Total Weekday Boardings'!BR30+'Total Saturday Boardings'!BR30+'Total Sunday-Holiday Boardings'!BR30</f>
        <v>15142</v>
      </c>
      <c r="BS30" s="18">
        <f>'Total Weekday Boardings'!BS30+'Total Saturday Boardings'!BS30+'Total Sunday-Holiday Boardings'!BS30</f>
        <v>15698</v>
      </c>
      <c r="BT30" s="18">
        <f>'Total Weekday Boardings'!BT30+'Total Saturday Boardings'!BT30+'Total Sunday-Holiday Boardings'!BT30</f>
        <v>16817</v>
      </c>
      <c r="BU30" s="18">
        <f>'Total Weekday Boardings'!BU30+'Total Saturday Boardings'!BU30+'Total Sunday-Holiday Boardings'!BU30</f>
        <v>14893</v>
      </c>
      <c r="BV30" s="18">
        <f>'Total Weekday Boardings'!BV30+'Total Saturday Boardings'!BV30+'Total Sunday-Holiday Boardings'!BV30</f>
        <v>15712</v>
      </c>
      <c r="BW30" s="18">
        <f>'Total Weekday Boardings'!BW30+'Total Saturday Boardings'!BW30+'Total Sunday-Holiday Boardings'!BW30</f>
        <v>17488</v>
      </c>
      <c r="BX30" s="18">
        <f>'Total Weekday Boardings'!BX30+'Total Saturday Boardings'!BX30+'Total Sunday-Holiday Boardings'!BX30</f>
        <v>15362</v>
      </c>
      <c r="BY30" s="18">
        <f>'Total Weekday Boardings'!BY30+'Total Saturday Boardings'!BY30+'Total Sunday-Holiday Boardings'!BY30</f>
        <v>16216</v>
      </c>
      <c r="BZ30" s="18">
        <f>'Total Weekday Boardings'!BZ30+'Total Saturday Boardings'!BZ30+'Total Sunday-Holiday Boardings'!BZ30</f>
        <v>15958</v>
      </c>
      <c r="CA30" s="18">
        <f>'Total Weekday Boardings'!CA30+'Total Saturday Boardings'!CA30+'Total Sunday-Holiday Boardings'!CA30</f>
        <v>15731</v>
      </c>
      <c r="CB30" s="19">
        <f>'Total Weekday Boardings'!CB30+'Total Saturday Boardings'!CB30+'Total Sunday-Holiday Boardings'!CB30</f>
        <v>15807</v>
      </c>
      <c r="CC30" s="20">
        <f>'Total Weekday Boardings'!CC30+'Total Saturday Boardings'!CC30+'Total Sunday-Holiday Boardings'!CC30</f>
        <v>15405</v>
      </c>
      <c r="CD30" s="18">
        <f>'Total Weekday Boardings'!CD30+'Total Saturday Boardings'!CD30+'Total Sunday-Holiday Boardings'!CD30</f>
        <v>16646</v>
      </c>
      <c r="CE30" s="18">
        <f>'Total Weekday Boardings'!CE30+'Total Saturday Boardings'!CE30+'Total Sunday-Holiday Boardings'!CE30</f>
        <v>16780</v>
      </c>
      <c r="CF30" s="18">
        <f>'Total Weekday Boardings'!CF30+'Total Saturday Boardings'!CF30+'Total Sunday-Holiday Boardings'!CF30</f>
        <v>17325</v>
      </c>
      <c r="CG30" s="18">
        <f>'Total Weekday Boardings'!CG30+'Total Saturday Boardings'!CG30+'Total Sunday-Holiday Boardings'!CG30</f>
        <v>16051</v>
      </c>
      <c r="CH30" s="18">
        <f>'Total Weekday Boardings'!CH30+'Total Saturday Boardings'!CH30+'Total Sunday-Holiday Boardings'!CH30</f>
        <v>16630</v>
      </c>
      <c r="CI30" s="18">
        <f>'Total Weekday Boardings'!CI30+'Total Saturday Boardings'!CI30+'Total Sunday-Holiday Boardings'!CI30</f>
        <v>17165</v>
      </c>
      <c r="CJ30" s="18">
        <f>'Total Weekday Boardings'!CJ30+'Total Saturday Boardings'!CJ30+'Total Sunday-Holiday Boardings'!CJ30</f>
        <v>16071</v>
      </c>
      <c r="CK30" s="18">
        <f>'Total Weekday Boardings'!CK30+'Total Saturday Boardings'!CK30+'Total Sunday-Holiday Boardings'!CK30</f>
        <v>16795</v>
      </c>
      <c r="CL30" s="18">
        <f>'Total Weekday Boardings'!CL30+'Total Saturday Boardings'!CL30+'Total Sunday-Holiday Boardings'!CL30</f>
        <v>15543</v>
      </c>
      <c r="CM30" s="18">
        <f>'Total Weekday Boardings'!CM30+'Total Saturday Boardings'!CM30+'Total Sunday-Holiday Boardings'!CM30</f>
        <v>17269</v>
      </c>
      <c r="CN30" s="21">
        <f>'Total Weekday Boardings'!CN30+'Total Saturday Boardings'!CN30+'Total Sunday-Holiday Boardings'!CN30</f>
        <v>14270</v>
      </c>
      <c r="CO30" s="17">
        <f>'Total Weekday Boardings'!CO30+'Total Saturday Boardings'!CO30+'Total Sunday-Holiday Boardings'!CO30</f>
        <v>16392</v>
      </c>
      <c r="CP30" s="18">
        <f>'Total Weekday Boardings'!CP30+'Total Saturday Boardings'!CP30+'Total Sunday-Holiday Boardings'!CP30</f>
        <v>17727</v>
      </c>
      <c r="CQ30" s="18">
        <f>'Total Weekday Boardings'!CQ30+'Total Saturday Boardings'!CQ30+'Total Sunday-Holiday Boardings'!CQ30</f>
        <v>17097</v>
      </c>
      <c r="CR30" s="18">
        <f>'Total Weekday Boardings'!CR30+'Total Saturday Boardings'!CR30+'Total Sunday-Holiday Boardings'!CR30</f>
        <v>17575</v>
      </c>
      <c r="CS30" s="18">
        <f>'Total Weekday Boardings'!CS30+'Total Saturday Boardings'!CS30+'Total Sunday-Holiday Boardings'!CS30</f>
        <v>16718</v>
      </c>
      <c r="CT30" s="18">
        <f>'Total Weekday Boardings'!CT30+'Total Saturday Boardings'!CT30+'Total Sunday-Holiday Boardings'!CT30</f>
        <v>17498</v>
      </c>
      <c r="CU30" s="18">
        <f>'Total Weekday Boardings'!CU30+'Total Saturday Boardings'!CU30+'Total Sunday-Holiday Boardings'!CU30</f>
        <v>17224</v>
      </c>
      <c r="CV30" s="18">
        <f>'Total Weekday Boardings'!CV30+'Total Saturday Boardings'!CV30+'Total Sunday-Holiday Boardings'!CV30</f>
        <v>15502</v>
      </c>
      <c r="CW30" s="18">
        <f>'Total Weekday Boardings'!CW30+'Total Saturday Boardings'!CW30+'Total Sunday-Holiday Boardings'!CW30</f>
        <v>17668</v>
      </c>
      <c r="CX30" s="18">
        <f>'Total Weekday Boardings'!CX30+'Total Saturday Boardings'!CX30+'Total Sunday-Holiday Boardings'!CX30</f>
        <v>17149</v>
      </c>
      <c r="CY30" s="18">
        <f>'Total Weekday Boardings'!CY30+'Total Saturday Boardings'!CY30+'Total Sunday-Holiday Boardings'!CY30</f>
        <v>16719</v>
      </c>
      <c r="CZ30" s="19">
        <f>'Total Weekday Boardings'!CZ30+'Total Saturday Boardings'!CZ30+'Total Sunday-Holiday Boardings'!CZ30</f>
        <v>15579</v>
      </c>
      <c r="DA30" s="17">
        <f>'Total Weekday Boardings'!DA30+'Total Saturday Boardings'!DA30+'Total Sunday-Holiday Boardings'!DA30</f>
        <v>17015</v>
      </c>
      <c r="DB30" s="18">
        <f>'Total Weekday Boardings'!DB30+'Total Saturday Boardings'!DB30+'Total Sunday-Holiday Boardings'!DB30</f>
        <v>18039</v>
      </c>
      <c r="DC30" s="18">
        <f>'Total Weekday Boardings'!DC30+'Total Saturday Boardings'!DC30+'Total Sunday-Holiday Boardings'!DC30</f>
        <v>17417</v>
      </c>
      <c r="DD30" s="18">
        <f>'Total Weekday Boardings'!DD30+'Total Saturday Boardings'!DD30+'Total Sunday-Holiday Boardings'!DD30</f>
        <v>17216</v>
      </c>
      <c r="DE30" s="18">
        <f>'Total Weekday Boardings'!DE30+'Total Saturday Boardings'!DE30+'Total Sunday-Holiday Boardings'!DE30</f>
        <v>15873</v>
      </c>
      <c r="DF30" s="18">
        <f>'Total Weekday Boardings'!DF30+'Total Saturday Boardings'!DF30+'Total Sunday-Holiday Boardings'!DF30</f>
        <v>16160</v>
      </c>
      <c r="DG30" s="18">
        <f>'Total Weekday Boardings'!DG30+'Total Saturday Boardings'!DG30+'Total Sunday-Holiday Boardings'!DG30</f>
        <v>16377</v>
      </c>
      <c r="DH30" s="18">
        <f>'Total Weekday Boardings'!DH30+'Total Saturday Boardings'!DH30+'Total Sunday-Holiday Boardings'!DH30</f>
        <v>15338</v>
      </c>
      <c r="DI30" s="18">
        <f>'Total Weekday Boardings'!DI30+'Total Saturday Boardings'!DI30+'Total Sunday-Holiday Boardings'!DI30</f>
        <v>17307</v>
      </c>
      <c r="DJ30" s="18">
        <f>'Total Weekday Boardings'!DJ30+'Total Saturday Boardings'!DJ30+'Total Sunday-Holiday Boardings'!DJ30</f>
        <v>16435</v>
      </c>
      <c r="DK30" s="18">
        <f>'Total Weekday Boardings'!DK30+'Total Saturday Boardings'!DK30+'Total Sunday-Holiday Boardings'!DK30</f>
        <v>16398</v>
      </c>
      <c r="DL30" s="19">
        <f>'Total Weekday Boardings'!DL30+'Total Saturday Boardings'!DL30+'Total Sunday-Holiday Boardings'!DL30</f>
        <v>15183</v>
      </c>
      <c r="DM30" s="17">
        <f>'Total Weekday Boardings'!DM30+'Total Saturday Boardings'!DM30+'Total Sunday-Holiday Boardings'!DM30</f>
        <v>15492</v>
      </c>
      <c r="DN30" s="18">
        <f>'Total Weekday Boardings'!DN30+'Total Saturday Boardings'!DN30+'Total Sunday-Holiday Boardings'!DN30</f>
        <v>16806</v>
      </c>
      <c r="DO30" s="18">
        <f>'Total Weekday Boardings'!DO30+'Total Saturday Boardings'!DO30+'Total Sunday-Holiday Boardings'!DO30</f>
        <v>15153</v>
      </c>
      <c r="DP30" s="18">
        <f>'Total Weekday Boardings'!DP30+'Total Saturday Boardings'!DP30+'Total Sunday-Holiday Boardings'!DP30</f>
        <v>16954</v>
      </c>
      <c r="DQ30" s="18">
        <f>'Total Weekday Boardings'!DQ30+'Total Saturday Boardings'!DQ30+'Total Sunday-Holiday Boardings'!DQ30</f>
        <v>16090</v>
      </c>
      <c r="DR30" s="18">
        <f>'Total Weekday Boardings'!DR30+'Total Saturday Boardings'!DR30+'Total Sunday-Holiday Boardings'!DR30</f>
        <v>16052</v>
      </c>
      <c r="DS30" s="18">
        <f>'Total Weekday Boardings'!DS30+'Total Saturday Boardings'!DS30+'Total Sunday-Holiday Boardings'!DS30</f>
        <v>16411</v>
      </c>
      <c r="DT30" s="18">
        <f>'Total Weekday Boardings'!DT30+'Total Saturday Boardings'!DT30+'Total Sunday-Holiday Boardings'!DT30</f>
        <v>14001</v>
      </c>
      <c r="DU30" s="18">
        <f>'Total Weekday Boardings'!DU30+'Total Saturday Boardings'!DU30+'Total Sunday-Holiday Boardings'!DU30</f>
        <v>15445</v>
      </c>
      <c r="DV30" s="18">
        <f>'Total Weekday Boardings'!DV30+'Total Saturday Boardings'!DV30+'Total Sunday-Holiday Boardings'!DV30</f>
        <v>4405</v>
      </c>
      <c r="DW30" s="18">
        <f>'Total Weekday Boardings'!DW30+'Total Saturday Boardings'!DW30+'Total Sunday-Holiday Boardings'!DW30</f>
        <v>14639</v>
      </c>
      <c r="DX30" s="19">
        <f>'Total Weekday Boardings'!DX30+'Total Saturday Boardings'!DX30+'Total Sunday-Holiday Boardings'!DX30</f>
        <v>13353</v>
      </c>
      <c r="DY30" s="137">
        <v>13272</v>
      </c>
      <c r="DZ30" s="18">
        <v>13822</v>
      </c>
      <c r="EA30" s="18">
        <v>13495</v>
      </c>
      <c r="EB30" s="18">
        <v>14384</v>
      </c>
      <c r="EC30" s="18">
        <v>13611</v>
      </c>
      <c r="ED30" s="18">
        <v>14468</v>
      </c>
      <c r="EE30" s="18">
        <v>15023</v>
      </c>
      <c r="EF30" s="18">
        <v>14003</v>
      </c>
      <c r="EG30" s="18">
        <v>10214</v>
      </c>
      <c r="EH30" s="18">
        <v>6795</v>
      </c>
      <c r="EI30" s="18">
        <v>6779</v>
      </c>
      <c r="EJ30" s="19">
        <v>6330</v>
      </c>
      <c r="EK30" s="100">
        <v>5927</v>
      </c>
      <c r="EL30" s="18">
        <v>5893</v>
      </c>
      <c r="EM30" s="18">
        <v>7464</v>
      </c>
      <c r="EN30" s="103">
        <v>6398</v>
      </c>
      <c r="EO30" s="18">
        <v>6937</v>
      </c>
      <c r="EP30" s="18">
        <v>5919</v>
      </c>
      <c r="EQ30" s="18">
        <v>2848</v>
      </c>
      <c r="ER30" s="18">
        <v>5252</v>
      </c>
      <c r="ES30" s="18">
        <v>6381</v>
      </c>
      <c r="ET30" s="18">
        <v>6492</v>
      </c>
      <c r="EU30" s="18">
        <v>6295</v>
      </c>
      <c r="EV30" s="19">
        <v>6703</v>
      </c>
      <c r="EW30" s="103">
        <v>6937</v>
      </c>
      <c r="EX30" s="18">
        <v>7207</v>
      </c>
      <c r="EY30" s="18">
        <v>7049</v>
      </c>
      <c r="EZ30" s="103">
        <v>8102</v>
      </c>
      <c r="FA30" s="18">
        <v>8506</v>
      </c>
      <c r="FB30" s="145">
        <v>8832</v>
      </c>
      <c r="FC30" s="18">
        <v>8113</v>
      </c>
      <c r="FD30" s="18">
        <v>9401</v>
      </c>
      <c r="FE30" s="18">
        <v>9805</v>
      </c>
      <c r="FF30" s="18">
        <v>9201</v>
      </c>
      <c r="FG30" s="13">
        <f>SUM('Total Weekday Boardings'!FG30,'Total Saturday Boardings'!FG30,'Total Sunday-Holiday Boardings'!FG30)</f>
        <v>8630</v>
      </c>
      <c r="FH30" s="13">
        <f>SUM('Total Weekday Boardings'!FH30,'Total Saturday Boardings'!FH30,'Total Sunday-Holiday Boardings'!FH30)</f>
        <v>7693</v>
      </c>
      <c r="FI30" s="13">
        <f>SUM('Total Weekday Boardings'!FI30,'Total Saturday Boardings'!FI30,'Total Sunday-Holiday Boardings'!FI30)</f>
        <v>8084</v>
      </c>
      <c r="FJ30" s="13">
        <f>SUM('Total Weekday Boardings'!FJ30,'Total Saturday Boardings'!FJ30,'Total Sunday-Holiday Boardings'!FJ30)</f>
        <v>8756</v>
      </c>
      <c r="FK30" s="13">
        <f>SUM('Total Weekday Boardings'!FK30,'Total Saturday Boardings'!FK30,'Total Sunday-Holiday Boardings'!FK30)</f>
        <v>9796.5</v>
      </c>
      <c r="FL30" s="13">
        <f>SUM('Total Weekday Boardings'!FL30,'Total Saturday Boardings'!FL30,'Total Sunday-Holiday Boardings'!FL30)</f>
        <v>9644</v>
      </c>
      <c r="FM30" s="13">
        <f>SUM('Total Weekday Boardings'!FM30,'Total Saturday Boardings'!FM30,'Total Sunday-Holiday Boardings'!FM30)</f>
        <v>8726</v>
      </c>
      <c r="FN30" s="13">
        <f>SUM('Total Weekday Boardings'!FN30,'Total Saturday Boardings'!FN30,'Total Sunday-Holiday Boardings'!FN30)</f>
        <v>9436</v>
      </c>
      <c r="FO30" s="13">
        <f>SUM('Total Weekday Boardings'!FO30,'Total Saturday Boardings'!FO30,'Total Sunday-Holiday Boardings'!FO30)</f>
        <v>10195</v>
      </c>
      <c r="FP30" s="13">
        <f>SUM('Total Weekday Boardings'!FP30,'Total Saturday Boardings'!FP30,'Total Sunday-Holiday Boardings'!FP30)</f>
        <v>9054</v>
      </c>
      <c r="FQ30" s="13">
        <f>SUM('Total Weekday Boardings'!FQ30,'Total Saturday Boardings'!FQ30,'Total Sunday-Holiday Boardings'!FQ30)</f>
        <v>11675</v>
      </c>
      <c r="FR30" s="13">
        <f>SUM('Total Weekday Boardings'!FR30,'Total Saturday Boardings'!FR30,'Total Sunday-Holiday Boardings'!FR30)</f>
        <v>11282</v>
      </c>
      <c r="FS30" s="13">
        <f>SUM('Total Weekday Boardings'!FS30,'Total Saturday Boardings'!FS30,'Total Sunday-Holiday Boardings'!FS30)</f>
        <v>11125</v>
      </c>
      <c r="FT30" s="16">
        <f>SUM('Total Weekday Boardings'!FT30,'Total Saturday Boardings'!FT30,'Total Sunday-Holiday Boardings'!FT30)</f>
        <v>10399</v>
      </c>
      <c r="FU30" s="171">
        <v>10668</v>
      </c>
      <c r="FV30" s="171">
        <v>9333</v>
      </c>
      <c r="FW30" s="171">
        <v>10644</v>
      </c>
      <c r="FX30" s="171">
        <v>11707</v>
      </c>
      <c r="FY30" s="171">
        <v>11366</v>
      </c>
      <c r="FZ30" s="171">
        <v>10092</v>
      </c>
      <c r="GA30" s="171">
        <v>11696</v>
      </c>
      <c r="GB30" s="52">
        <v>11790</v>
      </c>
      <c r="GC30" s="52">
        <v>12249</v>
      </c>
      <c r="GD30" s="52">
        <v>10920</v>
      </c>
      <c r="GE30" s="18">
        <v>11118</v>
      </c>
      <c r="GF30" s="52">
        <v>10742</v>
      </c>
      <c r="GG30" s="184">
        <v>10681</v>
      </c>
      <c r="GH30" s="52">
        <v>11186</v>
      </c>
      <c r="GI30" s="18">
        <v>10731</v>
      </c>
      <c r="GJ30" s="236">
        <v>13191</v>
      </c>
      <c r="GK30" s="184">
        <v>10123</v>
      </c>
      <c r="GL30" s="184">
        <v>9807</v>
      </c>
    </row>
    <row r="31" spans="1:194" ht="15" thickBot="1" x14ac:dyDescent="0.35">
      <c r="A31" s="3" t="s">
        <v>14</v>
      </c>
      <c r="B31" s="17"/>
      <c r="C31" s="18">
        <f>'Total Weekday Boardings'!C31+'Total Saturday Boardings'!C31+'Total Sunday-Holiday Boardings'!C31</f>
        <v>12562</v>
      </c>
      <c r="D31" s="18">
        <f>'Total Weekday Boardings'!D31+'Total Saturday Boardings'!D31+'Total Sunday-Holiday Boardings'!D31</f>
        <v>7003</v>
      </c>
      <c r="E31" s="18">
        <f>'Total Weekday Boardings'!E31+'Total Saturday Boardings'!E31+'Total Sunday-Holiday Boardings'!E31</f>
        <v>6247</v>
      </c>
      <c r="F31" s="18">
        <f>'Total Weekday Boardings'!F31+'Total Saturday Boardings'!F31+'Total Sunday-Holiday Boardings'!F31</f>
        <v>7653</v>
      </c>
      <c r="G31" s="18">
        <f>'Total Weekday Boardings'!G31+'Total Saturday Boardings'!G31+'Total Sunday-Holiday Boardings'!G31</f>
        <v>6534</v>
      </c>
      <c r="H31" s="19">
        <f>'Total Weekday Boardings'!H31+'Total Saturday Boardings'!H31+'Total Sunday-Holiday Boardings'!H31</f>
        <v>7952</v>
      </c>
      <c r="I31" s="17">
        <f>'Total Weekday Boardings'!I31+'Total Saturday Boardings'!I31+'Total Sunday-Holiday Boardings'!I31</f>
        <v>7266</v>
      </c>
      <c r="J31" s="18">
        <f>'Total Weekday Boardings'!J31+'Total Saturday Boardings'!J31+'Total Sunday-Holiday Boardings'!J31</f>
        <v>8204</v>
      </c>
      <c r="K31" s="18">
        <f>'Total Weekday Boardings'!K31+'Total Saturday Boardings'!K31+'Total Sunday-Holiday Boardings'!K31</f>
        <v>9175</v>
      </c>
      <c r="L31" s="18">
        <f>'Total Weekday Boardings'!L31+'Total Saturday Boardings'!L31+'Total Sunday-Holiday Boardings'!L31</f>
        <v>6522</v>
      </c>
      <c r="M31" s="18">
        <f>'Total Weekday Boardings'!M31+'Total Saturday Boardings'!M31+'Total Sunday-Holiday Boardings'!M31</f>
        <v>8395</v>
      </c>
      <c r="N31" s="18">
        <f>'Total Weekday Boardings'!N31+'Total Saturday Boardings'!N31+'Total Sunday-Holiday Boardings'!N31</f>
        <v>9279</v>
      </c>
      <c r="O31" s="62">
        <f>'Total Weekday Boardings'!O31+'Total Saturday Boardings'!O31+'Total Sunday-Holiday Boardings'!O31</f>
        <v>7125</v>
      </c>
      <c r="P31" s="62">
        <f>'Total Weekday Boardings'!P31+'Total Saturday Boardings'!P31+'Total Sunday-Holiday Boardings'!P31</f>
        <v>7584</v>
      </c>
      <c r="Q31" s="62">
        <f>'Total Weekday Boardings'!Q31+'Total Saturday Boardings'!Q31+'Total Sunday-Holiday Boardings'!Q31</f>
        <v>8651</v>
      </c>
      <c r="R31" s="62">
        <f>'Total Weekday Boardings'!R31+'Total Saturday Boardings'!R31+'Total Sunday-Holiday Boardings'!R31</f>
        <v>8115</v>
      </c>
      <c r="S31" s="62">
        <f>'Total Weekday Boardings'!S31+'Total Saturday Boardings'!S31+'Total Sunday-Holiday Boardings'!S31</f>
        <v>6954</v>
      </c>
      <c r="T31" s="63">
        <f>'Total Weekday Boardings'!T31+'Total Saturday Boardings'!T31+'Total Sunday-Holiday Boardings'!T31</f>
        <v>8319</v>
      </c>
      <c r="U31" s="64">
        <f>'Total Weekday Boardings'!U31+'Total Saturday Boardings'!U31+'Total Sunday-Holiday Boardings'!U31</f>
        <v>6470</v>
      </c>
      <c r="V31" s="62">
        <f>'Total Weekday Boardings'!V31+'Total Saturday Boardings'!V31+'Total Sunday-Holiday Boardings'!V31</f>
        <v>7493</v>
      </c>
      <c r="W31" s="62">
        <f>'Total Weekday Boardings'!W31+'Total Saturday Boardings'!W31+'Total Sunday-Holiday Boardings'!W31</f>
        <v>9311</v>
      </c>
      <c r="X31" s="62">
        <f>'Total Weekday Boardings'!X31+'Total Saturday Boardings'!X31+'Total Sunday-Holiday Boardings'!X31</f>
        <v>8797</v>
      </c>
      <c r="Y31" s="62">
        <f>'Total Weekday Boardings'!Y31+'Total Saturday Boardings'!Y31+'Total Sunday-Holiday Boardings'!Y31</f>
        <v>8778</v>
      </c>
      <c r="Z31" s="62">
        <f>'Total Weekday Boardings'!Z31+'Total Saturday Boardings'!Z31+'Total Sunday-Holiday Boardings'!Z31</f>
        <v>7449</v>
      </c>
      <c r="AA31" s="18">
        <f>'Total Weekday Boardings'!AA31+'Total Saturday Boardings'!AA31+'Total Sunday-Holiday Boardings'!AA31</f>
        <v>9781</v>
      </c>
      <c r="AB31" s="18">
        <f>'Total Weekday Boardings'!AB31+'Total Saturday Boardings'!AB31+'Total Sunday-Holiday Boardings'!AB31</f>
        <v>9536</v>
      </c>
      <c r="AC31" s="18">
        <f>'Total Weekday Boardings'!AC31+'Total Saturday Boardings'!AC31+'Total Sunday-Holiday Boardings'!AC31</f>
        <v>10247</v>
      </c>
      <c r="AD31" s="18">
        <f>'Total Weekday Boardings'!AD31+'Total Saturday Boardings'!AD31+'Total Sunday-Holiday Boardings'!AD31</f>
        <v>10921</v>
      </c>
      <c r="AE31" s="18">
        <f>'Total Weekday Boardings'!AE31+'Total Saturday Boardings'!AE31+'Total Sunday-Holiday Boardings'!AE31</f>
        <v>8508</v>
      </c>
      <c r="AF31" s="19">
        <f>'Total Weekday Boardings'!AF31+'Total Saturday Boardings'!AF31+'Total Sunday-Holiday Boardings'!AF31</f>
        <v>8758</v>
      </c>
      <c r="AG31" s="17">
        <f>'Total Weekday Boardings'!AG31+'Total Saturday Boardings'!AG31+'Total Sunday-Holiday Boardings'!AG31</f>
        <v>7719</v>
      </c>
      <c r="AH31" s="18">
        <f>'Total Weekday Boardings'!AH31+'Total Saturday Boardings'!AH31+'Total Sunday-Holiday Boardings'!AH31</f>
        <v>9906</v>
      </c>
      <c r="AI31" s="18">
        <f>'Total Weekday Boardings'!AI31+'Total Saturday Boardings'!AI31+'Total Sunday-Holiday Boardings'!AI31</f>
        <v>10740</v>
      </c>
      <c r="AJ31" s="18">
        <f>'Total Weekday Boardings'!AJ31+'Total Saturday Boardings'!AJ31+'Total Sunday-Holiday Boardings'!AJ31</f>
        <v>10186</v>
      </c>
      <c r="AK31" s="18">
        <f>'Total Weekday Boardings'!AK31+'Total Saturday Boardings'!AK31+'Total Sunday-Holiday Boardings'!AK31</f>
        <v>8483</v>
      </c>
      <c r="AL31" s="18">
        <f>'Total Weekday Boardings'!AL31+'Total Saturday Boardings'!AL31+'Total Sunday-Holiday Boardings'!AL31</f>
        <v>8036</v>
      </c>
      <c r="AM31" s="18">
        <f>'Total Weekday Boardings'!AM31+'Total Saturday Boardings'!AM31+'Total Sunday-Holiday Boardings'!AM31</f>
        <v>9448</v>
      </c>
      <c r="AN31" s="18">
        <f>'Total Weekday Boardings'!AN31+'Total Saturday Boardings'!AN31+'Total Sunday-Holiday Boardings'!AN31</f>
        <v>9718</v>
      </c>
      <c r="AO31" s="18">
        <f>'Total Weekday Boardings'!AO31+'Total Saturday Boardings'!AO31+'Total Sunday-Holiday Boardings'!AO31</f>
        <v>10536</v>
      </c>
      <c r="AP31" s="18">
        <f>'Total Weekday Boardings'!AP31+'Total Saturday Boardings'!AP31+'Total Sunday-Holiday Boardings'!AP31</f>
        <v>10840</v>
      </c>
      <c r="AQ31" s="18">
        <f>'Total Weekday Boardings'!AQ31+'Total Saturday Boardings'!AQ31+'Total Sunday-Holiday Boardings'!AQ31</f>
        <v>9343</v>
      </c>
      <c r="AR31" s="19">
        <f>'Total Weekday Boardings'!AR31+'Total Saturday Boardings'!AR31+'Total Sunday-Holiday Boardings'!AR31</f>
        <v>8018</v>
      </c>
      <c r="AS31" s="17">
        <f>'Total Weekday Boardings'!AS31+'Total Saturday Boardings'!AS31+'Total Sunday-Holiday Boardings'!AS31</f>
        <v>7326</v>
      </c>
      <c r="AT31" s="18">
        <f>'Total Weekday Boardings'!AT31+'Total Saturday Boardings'!AT31+'Total Sunday-Holiday Boardings'!AT31</f>
        <v>8941</v>
      </c>
      <c r="AU31" s="18">
        <f>'Total Weekday Boardings'!AU31+'Total Saturday Boardings'!AU31+'Total Sunday-Holiday Boardings'!AU31</f>
        <v>9013</v>
      </c>
      <c r="AV31" s="18">
        <f>'Total Weekday Boardings'!AV31+'Total Saturday Boardings'!AV31+'Total Sunday-Holiday Boardings'!AV31</f>
        <v>11344</v>
      </c>
      <c r="AW31" s="18">
        <f>'Total Weekday Boardings'!AW31+'Total Saturday Boardings'!AW31+'Total Sunday-Holiday Boardings'!AW31</f>
        <v>9987</v>
      </c>
      <c r="AX31" s="18">
        <f>'Total Weekday Boardings'!AX31+'Total Saturday Boardings'!AX31+'Total Sunday-Holiday Boardings'!AX31</f>
        <v>8232</v>
      </c>
      <c r="AY31" s="18">
        <f>'Total Weekday Boardings'!AY31+'Total Saturday Boardings'!AY31+'Total Sunday-Holiday Boardings'!AY31</f>
        <v>9886</v>
      </c>
      <c r="AZ31" s="18">
        <f>'Total Weekday Boardings'!AZ31+'Total Saturday Boardings'!AZ31+'Total Sunday-Holiday Boardings'!AZ31</f>
        <v>10081</v>
      </c>
      <c r="BA31" s="18">
        <f>'Total Weekday Boardings'!BA31+'Total Saturday Boardings'!BA31+'Total Sunday-Holiday Boardings'!BA31</f>
        <v>10705</v>
      </c>
      <c r="BB31" s="18">
        <f>'Total Weekday Boardings'!BB31+'Total Saturday Boardings'!BB31+'Total Sunday-Holiday Boardings'!BB31</f>
        <v>11862</v>
      </c>
      <c r="BC31" s="18">
        <f>'Total Weekday Boardings'!BC31+'Total Saturday Boardings'!BC31+'Total Sunday-Holiday Boardings'!BC31</f>
        <v>9129</v>
      </c>
      <c r="BD31" s="19">
        <f>'Total Weekday Boardings'!BD31+'Total Saturday Boardings'!BD31+'Total Sunday-Holiday Boardings'!BD31</f>
        <v>7769</v>
      </c>
      <c r="BE31" s="17">
        <f>'Total Weekday Boardings'!BE31+'Total Saturday Boardings'!BE31+'Total Sunday-Holiday Boardings'!BE31</f>
        <v>7754</v>
      </c>
      <c r="BF31" s="18">
        <f>'Total Weekday Boardings'!BF31+'Total Saturday Boardings'!BF31+'Total Sunday-Holiday Boardings'!BF31</f>
        <v>8870</v>
      </c>
      <c r="BG31" s="18">
        <f>'Total Weekday Boardings'!BG31+'Total Saturday Boardings'!BG31+'Total Sunday-Holiday Boardings'!BG31</f>
        <v>9742</v>
      </c>
      <c r="BH31" s="18">
        <f>'Total Weekday Boardings'!BH31+'Total Saturday Boardings'!BH31+'Total Sunday-Holiday Boardings'!BH31</f>
        <v>11349</v>
      </c>
      <c r="BI31" s="18">
        <f>'Total Weekday Boardings'!BI31+'Total Saturday Boardings'!BI31+'Total Sunday-Holiday Boardings'!BI31</f>
        <v>9924.2630869433269</v>
      </c>
      <c r="BJ31" s="18">
        <f>'Total Weekday Boardings'!BJ31+'Total Saturday Boardings'!BJ31+'Total Sunday-Holiday Boardings'!BJ31</f>
        <v>9416</v>
      </c>
      <c r="BK31" s="18">
        <f>'Total Weekday Boardings'!BK31+'Total Saturday Boardings'!BK31+'Total Sunday-Holiday Boardings'!BK31</f>
        <v>10631</v>
      </c>
      <c r="BL31" s="18">
        <f>'Total Weekday Boardings'!BL31+'Total Saturday Boardings'!BL31+'Total Sunday-Holiday Boardings'!BL31</f>
        <v>10640</v>
      </c>
      <c r="BM31" s="18">
        <f>'Total Weekday Boardings'!BM31+'Total Saturday Boardings'!BM31+'Total Sunday-Holiday Boardings'!BM31</f>
        <v>10981</v>
      </c>
      <c r="BN31" s="18">
        <f>'Total Weekday Boardings'!BN31+'Total Saturday Boardings'!BN31+'Total Sunday-Holiday Boardings'!BN31</f>
        <v>10783</v>
      </c>
      <c r="BO31" s="18">
        <f>'Total Weekday Boardings'!BO31+'Total Saturday Boardings'!BO31+'Total Sunday-Holiday Boardings'!BO31</f>
        <v>8034</v>
      </c>
      <c r="BP31" s="19">
        <f>'Total Weekday Boardings'!BP31+'Total Saturday Boardings'!BP31+'Total Sunday-Holiday Boardings'!BP31</f>
        <v>8829</v>
      </c>
      <c r="BQ31" s="17">
        <f>'Total Weekday Boardings'!BQ31+'Total Saturday Boardings'!BQ31+'Total Sunday-Holiday Boardings'!BQ31</f>
        <v>7446</v>
      </c>
      <c r="BR31" s="18">
        <f>'Total Weekday Boardings'!BR31+'Total Saturday Boardings'!BR31+'Total Sunday-Holiday Boardings'!BR31</f>
        <v>8711</v>
      </c>
      <c r="BS31" s="18">
        <f>'Total Weekday Boardings'!BS31+'Total Saturday Boardings'!BS31+'Total Sunday-Holiday Boardings'!BS31</f>
        <v>9331</v>
      </c>
      <c r="BT31" s="18">
        <f>'Total Weekday Boardings'!BT31+'Total Saturday Boardings'!BT31+'Total Sunday-Holiday Boardings'!BT31</f>
        <v>10064</v>
      </c>
      <c r="BU31" s="18">
        <f>'Total Weekday Boardings'!BU31+'Total Saturday Boardings'!BU31+'Total Sunday-Holiday Boardings'!BU31</f>
        <v>9478</v>
      </c>
      <c r="BV31" s="18">
        <f>'Total Weekday Boardings'!BV31+'Total Saturday Boardings'!BV31+'Total Sunday-Holiday Boardings'!BV31</f>
        <v>8991</v>
      </c>
      <c r="BW31" s="18">
        <f>'Total Weekday Boardings'!BW31+'Total Saturday Boardings'!BW31+'Total Sunday-Holiday Boardings'!BW31</f>
        <v>12311</v>
      </c>
      <c r="BX31" s="18">
        <f>'Total Weekday Boardings'!BX31+'Total Saturday Boardings'!BX31+'Total Sunday-Holiday Boardings'!BX31</f>
        <v>10599</v>
      </c>
      <c r="BY31" s="18">
        <f>'Total Weekday Boardings'!BY31+'Total Saturday Boardings'!BY31+'Total Sunday-Holiday Boardings'!BY31</f>
        <v>10555</v>
      </c>
      <c r="BZ31" s="18">
        <f>'Total Weekday Boardings'!BZ31+'Total Saturday Boardings'!BZ31+'Total Sunday-Holiday Boardings'!BZ31</f>
        <v>11712</v>
      </c>
      <c r="CA31" s="18">
        <f>'Total Weekday Boardings'!CA31+'Total Saturday Boardings'!CA31+'Total Sunday-Holiday Boardings'!CA31</f>
        <v>9826</v>
      </c>
      <c r="CB31" s="19">
        <f>'Total Weekday Boardings'!CB31+'Total Saturday Boardings'!CB31+'Total Sunday-Holiday Boardings'!CB31</f>
        <v>8377</v>
      </c>
      <c r="CC31" s="20">
        <f>'Total Weekday Boardings'!CC31+'Total Saturday Boardings'!CC31+'Total Sunday-Holiday Boardings'!CC31</f>
        <v>8748</v>
      </c>
      <c r="CD31" s="18">
        <f>'Total Weekday Boardings'!CD31+'Total Saturday Boardings'!CD31+'Total Sunday-Holiday Boardings'!CD31</f>
        <v>14206</v>
      </c>
      <c r="CE31" s="18">
        <f>'Total Weekday Boardings'!CE31+'Total Saturday Boardings'!CE31+'Total Sunday-Holiday Boardings'!CE31</f>
        <v>28259</v>
      </c>
      <c r="CF31" s="18">
        <f>'Total Weekday Boardings'!CF31+'Total Saturday Boardings'!CF31+'Total Sunday-Holiday Boardings'!CF31</f>
        <v>30206</v>
      </c>
      <c r="CG31" s="18">
        <f>'Total Weekday Boardings'!CG31+'Total Saturday Boardings'!CG31+'Total Sunday-Holiday Boardings'!CG31</f>
        <v>25858</v>
      </c>
      <c r="CH31" s="18">
        <f>'Total Weekday Boardings'!CH31+'Total Saturday Boardings'!CH31+'Total Sunday-Holiday Boardings'!CH31</f>
        <v>23859</v>
      </c>
      <c r="CI31" s="18">
        <f>'Total Weekday Boardings'!CI31+'Total Saturday Boardings'!CI31+'Total Sunday-Holiday Boardings'!CI31</f>
        <v>26417</v>
      </c>
      <c r="CJ31" s="18">
        <f>'Total Weekday Boardings'!CJ31+'Total Saturday Boardings'!CJ31+'Total Sunday-Holiday Boardings'!CJ31</f>
        <v>25487</v>
      </c>
      <c r="CK31" s="18">
        <f>'Total Weekday Boardings'!CK31+'Total Saturday Boardings'!CK31+'Total Sunday-Holiday Boardings'!CK31</f>
        <v>26423</v>
      </c>
      <c r="CL31" s="18">
        <f>'Total Weekday Boardings'!CL31+'Total Saturday Boardings'!CL31+'Total Sunday-Holiday Boardings'!CL31</f>
        <v>29012</v>
      </c>
      <c r="CM31" s="18">
        <f>'Total Weekday Boardings'!CM31+'Total Saturday Boardings'!CM31+'Total Sunday-Holiday Boardings'!CM31</f>
        <v>25030</v>
      </c>
      <c r="CN31" s="21">
        <f>'Total Weekday Boardings'!CN31+'Total Saturday Boardings'!CN31+'Total Sunday-Holiday Boardings'!CN31</f>
        <v>24960</v>
      </c>
      <c r="CO31" s="17">
        <f>'Total Weekday Boardings'!CO31+'Total Saturday Boardings'!CO31+'Total Sunday-Holiday Boardings'!CO31</f>
        <v>22053</v>
      </c>
      <c r="CP31" s="18">
        <f>'Total Weekday Boardings'!CP31+'Total Saturday Boardings'!CP31+'Total Sunday-Holiday Boardings'!CP31</f>
        <v>25658</v>
      </c>
      <c r="CQ31" s="18">
        <f>'Total Weekday Boardings'!CQ31+'Total Saturday Boardings'!CQ31+'Total Sunday-Holiday Boardings'!CQ31</f>
        <v>28338</v>
      </c>
      <c r="CR31" s="18">
        <f>'Total Weekday Boardings'!CR31+'Total Saturday Boardings'!CR31+'Total Sunday-Holiday Boardings'!CR31</f>
        <v>29916</v>
      </c>
      <c r="CS31" s="18">
        <f>'Total Weekday Boardings'!CS31+'Total Saturday Boardings'!CS31+'Total Sunday-Holiday Boardings'!CS31</f>
        <v>26394</v>
      </c>
      <c r="CT31" s="18">
        <f>'Total Weekday Boardings'!CT31+'Total Saturday Boardings'!CT31+'Total Sunday-Holiday Boardings'!CT31</f>
        <v>24431</v>
      </c>
      <c r="CU31" s="18">
        <f>'Total Weekday Boardings'!CU31+'Total Saturday Boardings'!CU31+'Total Sunday-Holiday Boardings'!CU31</f>
        <v>25907</v>
      </c>
      <c r="CV31" s="18">
        <f>'Total Weekday Boardings'!CV31+'Total Saturday Boardings'!CV31+'Total Sunday-Holiday Boardings'!CV31</f>
        <v>24086</v>
      </c>
      <c r="CW31" s="18">
        <f>'Total Weekday Boardings'!CW31+'Total Saturday Boardings'!CW31+'Total Sunday-Holiday Boardings'!CW31</f>
        <v>27241</v>
      </c>
      <c r="CX31" s="18">
        <f>'Total Weekday Boardings'!CX31+'Total Saturday Boardings'!CX31+'Total Sunday-Holiday Boardings'!CX31</f>
        <v>30003</v>
      </c>
      <c r="CY31" s="18">
        <f>'Total Weekday Boardings'!CY31+'Total Saturday Boardings'!CY31+'Total Sunday-Holiday Boardings'!CY31</f>
        <v>24826</v>
      </c>
      <c r="CZ31" s="19">
        <f>'Total Weekday Boardings'!CZ31+'Total Saturday Boardings'!CZ31+'Total Sunday-Holiday Boardings'!CZ31</f>
        <v>20741</v>
      </c>
      <c r="DA31" s="17">
        <f>'Total Weekday Boardings'!DA31+'Total Saturday Boardings'!DA31+'Total Sunday-Holiday Boardings'!DA31</f>
        <v>19828</v>
      </c>
      <c r="DB31" s="18">
        <f>'Total Weekday Boardings'!DB31+'Total Saturday Boardings'!DB31+'Total Sunday-Holiday Boardings'!DB31</f>
        <v>24930</v>
      </c>
      <c r="DC31" s="18">
        <f>'Total Weekday Boardings'!DC31+'Total Saturday Boardings'!DC31+'Total Sunday-Holiday Boardings'!DC31</f>
        <v>25050</v>
      </c>
      <c r="DD31" s="18">
        <f>'Total Weekday Boardings'!DD31+'Total Saturday Boardings'!DD31+'Total Sunday-Holiday Boardings'!DD31</f>
        <v>28611</v>
      </c>
      <c r="DE31" s="18">
        <f>'Total Weekday Boardings'!DE31+'Total Saturday Boardings'!DE31+'Total Sunday-Holiday Boardings'!DE31</f>
        <v>25330</v>
      </c>
      <c r="DF31" s="18">
        <f>'Total Weekday Boardings'!DF31+'Total Saturday Boardings'!DF31+'Total Sunday-Holiday Boardings'!DF31</f>
        <v>20846</v>
      </c>
      <c r="DG31" s="18">
        <f>'Total Weekday Boardings'!DG31+'Total Saturday Boardings'!DG31+'Total Sunday-Holiday Boardings'!DG31</f>
        <v>24003</v>
      </c>
      <c r="DH31" s="18">
        <f>'Total Weekday Boardings'!DH31+'Total Saturday Boardings'!DH31+'Total Sunday-Holiday Boardings'!DH31</f>
        <v>22382</v>
      </c>
      <c r="DI31" s="18">
        <f>'Total Weekday Boardings'!DI31+'Total Saturday Boardings'!DI31+'Total Sunday-Holiday Boardings'!DI31</f>
        <v>25724</v>
      </c>
      <c r="DJ31" s="18">
        <f>'Total Weekday Boardings'!DJ31+'Total Saturday Boardings'!DJ31+'Total Sunday-Holiday Boardings'!DJ31</f>
        <v>24475</v>
      </c>
      <c r="DK31" s="18">
        <f>'Total Weekday Boardings'!DK31+'Total Saturday Boardings'!DK31+'Total Sunday-Holiday Boardings'!DK31</f>
        <v>21787</v>
      </c>
      <c r="DL31" s="19">
        <f>'Total Weekday Boardings'!DL31+'Total Saturday Boardings'!DL31+'Total Sunday-Holiday Boardings'!DL31</f>
        <v>18841</v>
      </c>
      <c r="DM31" s="17">
        <f>'Total Weekday Boardings'!DM31+'Total Saturday Boardings'!DM31+'Total Sunday-Holiday Boardings'!DM31</f>
        <v>17841</v>
      </c>
      <c r="DN31" s="18">
        <f>'Total Weekday Boardings'!DN31+'Total Saturday Boardings'!DN31+'Total Sunday-Holiday Boardings'!DN31</f>
        <v>20523</v>
      </c>
      <c r="DO31" s="18">
        <f>'Total Weekday Boardings'!DO31+'Total Saturday Boardings'!DO31+'Total Sunday-Holiday Boardings'!DO31</f>
        <v>22667</v>
      </c>
      <c r="DP31" s="18">
        <f>'Total Weekday Boardings'!DP31+'Total Saturday Boardings'!DP31+'Total Sunday-Holiday Boardings'!DP31</f>
        <v>22911</v>
      </c>
      <c r="DQ31" s="18">
        <f>'Total Weekday Boardings'!DQ31+'Total Saturday Boardings'!DQ31+'Total Sunday-Holiday Boardings'!DQ31</f>
        <v>21392</v>
      </c>
      <c r="DR31" s="18">
        <f>'Total Weekday Boardings'!DR31+'Total Saturday Boardings'!DR31+'Total Sunday-Holiday Boardings'!DR31</f>
        <v>18981</v>
      </c>
      <c r="DS31" s="18">
        <f>'Total Weekday Boardings'!DS31+'Total Saturday Boardings'!DS31+'Total Sunday-Holiday Boardings'!DS31</f>
        <v>21898</v>
      </c>
      <c r="DT31" s="18">
        <f>'Total Weekday Boardings'!DT31+'Total Saturday Boardings'!DT31+'Total Sunday-Holiday Boardings'!DT31</f>
        <v>20041</v>
      </c>
      <c r="DU31" s="18">
        <f>'Total Weekday Boardings'!DU31+'Total Saturday Boardings'!DU31+'Total Sunday-Holiday Boardings'!DU31</f>
        <v>22985</v>
      </c>
      <c r="DV31" s="18">
        <f>'Total Weekday Boardings'!DV31+'Total Saturday Boardings'!DV31+'Total Sunday-Holiday Boardings'!DV31</f>
        <v>23513</v>
      </c>
      <c r="DW31" s="18">
        <f>'Total Weekday Boardings'!DW31+'Total Saturday Boardings'!DW31+'Total Sunday-Holiday Boardings'!DW31</f>
        <v>20690</v>
      </c>
      <c r="DX31" s="19">
        <f>'Total Weekday Boardings'!DX31+'Total Saturday Boardings'!DX31+'Total Sunday-Holiday Boardings'!DX31</f>
        <v>18747</v>
      </c>
      <c r="DY31" s="137">
        <v>17397</v>
      </c>
      <c r="DZ31" s="18">
        <v>21987</v>
      </c>
      <c r="EA31" s="18">
        <v>21758</v>
      </c>
      <c r="EB31" s="18">
        <v>24023</v>
      </c>
      <c r="EC31" s="18">
        <v>22694</v>
      </c>
      <c r="ED31" s="18">
        <v>19034</v>
      </c>
      <c r="EE31" s="18">
        <v>21639</v>
      </c>
      <c r="EF31" s="18">
        <v>21853</v>
      </c>
      <c r="EG31" s="18">
        <v>15730</v>
      </c>
      <c r="EH31" s="18">
        <v>9143</v>
      </c>
      <c r="EI31" s="18">
        <v>9028</v>
      </c>
      <c r="EJ31" s="19">
        <v>8768</v>
      </c>
      <c r="EK31" s="100">
        <v>9051</v>
      </c>
      <c r="EL31" s="18">
        <v>9226</v>
      </c>
      <c r="EM31" s="18">
        <v>9870</v>
      </c>
      <c r="EN31" s="103">
        <v>11157</v>
      </c>
      <c r="EO31" s="18">
        <v>9595</v>
      </c>
      <c r="EP31" s="18">
        <v>8432</v>
      </c>
      <c r="EQ31" s="18">
        <v>4792</v>
      </c>
      <c r="ER31" s="18">
        <v>8556</v>
      </c>
      <c r="ES31" s="18">
        <v>12092</v>
      </c>
      <c r="ET31" s="18">
        <v>10055</v>
      </c>
      <c r="EU31" s="18">
        <v>9615</v>
      </c>
      <c r="EV31" s="19">
        <v>9920</v>
      </c>
      <c r="EW31" s="103">
        <v>9595</v>
      </c>
      <c r="EX31" s="18">
        <v>10690</v>
      </c>
      <c r="EY31" s="18">
        <v>11293</v>
      </c>
      <c r="EZ31" s="103">
        <v>12240</v>
      </c>
      <c r="FA31" s="18">
        <v>11988</v>
      </c>
      <c r="FB31" s="145">
        <v>11089</v>
      </c>
      <c r="FC31" s="18">
        <v>10205</v>
      </c>
      <c r="FD31" s="18">
        <v>12235</v>
      </c>
      <c r="FE31" s="18">
        <v>14361</v>
      </c>
      <c r="FF31" s="18">
        <v>13704</v>
      </c>
      <c r="FG31" s="13">
        <f>SUM('Total Weekday Boardings'!FG31,'Total Saturday Boardings'!FG31,'Total Sunday-Holiday Boardings'!FG31)</f>
        <v>12591</v>
      </c>
      <c r="FH31" s="13">
        <f>SUM('Total Weekday Boardings'!FH31,'Total Saturday Boardings'!FH31,'Total Sunday-Holiday Boardings'!FH31)</f>
        <v>9326</v>
      </c>
      <c r="FI31" s="13">
        <f>SUM('Total Weekday Boardings'!FI31,'Total Saturday Boardings'!FI31,'Total Sunday-Holiday Boardings'!FI31)</f>
        <v>9723</v>
      </c>
      <c r="FJ31" s="13">
        <f>SUM('Total Weekday Boardings'!FJ31,'Total Saturday Boardings'!FJ31,'Total Sunday-Holiday Boardings'!FJ31)</f>
        <v>11294</v>
      </c>
      <c r="FK31" s="13">
        <f>SUM('Total Weekday Boardings'!FK31,'Total Saturday Boardings'!FK31,'Total Sunday-Holiday Boardings'!FK31)</f>
        <v>13184.25</v>
      </c>
      <c r="FL31" s="13">
        <f>SUM('Total Weekday Boardings'!FL31,'Total Saturday Boardings'!FL31,'Total Sunday-Holiday Boardings'!FL31)</f>
        <v>12663</v>
      </c>
      <c r="FM31" s="13">
        <f>SUM('Total Weekday Boardings'!FM31,'Total Saturday Boardings'!FM31,'Total Sunday-Holiday Boardings'!FM31)</f>
        <v>12285</v>
      </c>
      <c r="FN31" s="13">
        <f>SUM('Total Weekday Boardings'!FN31,'Total Saturday Boardings'!FN31,'Total Sunday-Holiday Boardings'!FN31)</f>
        <v>10254</v>
      </c>
      <c r="FO31" s="13">
        <f>SUM('Total Weekday Boardings'!FO31,'Total Saturday Boardings'!FO31,'Total Sunday-Holiday Boardings'!FO31)</f>
        <v>11964</v>
      </c>
      <c r="FP31" s="13">
        <f>SUM('Total Weekday Boardings'!FP31,'Total Saturday Boardings'!FP31,'Total Sunday-Holiday Boardings'!FP31)</f>
        <v>14052</v>
      </c>
      <c r="FQ31" s="13">
        <f>SUM('Total Weekday Boardings'!FQ31,'Total Saturday Boardings'!FQ31,'Total Sunday-Holiday Boardings'!FQ31)</f>
        <v>14393</v>
      </c>
      <c r="FR31" s="13">
        <f>SUM('Total Weekday Boardings'!FR31,'Total Saturday Boardings'!FR31,'Total Sunday-Holiday Boardings'!FR31)</f>
        <v>16456</v>
      </c>
      <c r="FS31" s="13">
        <f>SUM('Total Weekday Boardings'!FS31,'Total Saturday Boardings'!FS31,'Total Sunday-Holiday Boardings'!FS31)</f>
        <v>14045</v>
      </c>
      <c r="FT31" s="16">
        <f>SUM('Total Weekday Boardings'!FT31,'Total Saturday Boardings'!FT31,'Total Sunday-Holiday Boardings'!FT31)</f>
        <v>12659</v>
      </c>
      <c r="FU31" s="171">
        <v>11696</v>
      </c>
      <c r="FV31" s="171">
        <v>12702</v>
      </c>
      <c r="FW31" s="171">
        <v>13603</v>
      </c>
      <c r="FX31" s="171">
        <v>17449</v>
      </c>
      <c r="FY31" s="171">
        <v>13274</v>
      </c>
      <c r="FZ31" s="171">
        <v>10729</v>
      </c>
      <c r="GA31" s="171">
        <v>12914</v>
      </c>
      <c r="GB31" s="52">
        <v>13572</v>
      </c>
      <c r="GC31" s="52">
        <v>15730</v>
      </c>
      <c r="GD31" s="52">
        <v>15499</v>
      </c>
      <c r="GE31" s="18">
        <v>14006</v>
      </c>
      <c r="GF31" s="52">
        <v>12743</v>
      </c>
      <c r="GG31" s="184">
        <v>11372</v>
      </c>
      <c r="GH31" s="52">
        <v>13850</v>
      </c>
      <c r="GI31" s="18">
        <v>15593</v>
      </c>
      <c r="GJ31" s="236">
        <v>12444</v>
      </c>
      <c r="GK31" s="184">
        <v>11730</v>
      </c>
      <c r="GL31" s="184">
        <v>9956</v>
      </c>
    </row>
    <row r="32" spans="1:194" ht="15" thickBot="1" x14ac:dyDescent="0.35">
      <c r="A32" s="3" t="s">
        <v>15</v>
      </c>
      <c r="B32" s="17"/>
      <c r="C32" s="18">
        <f>'Total Weekday Boardings'!C32+'Total Saturday Boardings'!C32+'Total Sunday-Holiday Boardings'!C32</f>
        <v>36769</v>
      </c>
      <c r="D32" s="18">
        <f>'Total Weekday Boardings'!D32+'Total Saturday Boardings'!D32+'Total Sunday-Holiday Boardings'!D32</f>
        <v>41256</v>
      </c>
      <c r="E32" s="18">
        <f>'Total Weekday Boardings'!E32+'Total Saturday Boardings'!E32+'Total Sunday-Holiday Boardings'!E32</f>
        <v>39575</v>
      </c>
      <c r="F32" s="18">
        <f>'Total Weekday Boardings'!F32+'Total Saturday Boardings'!F32+'Total Sunday-Holiday Boardings'!F32</f>
        <v>47196</v>
      </c>
      <c r="G32" s="18">
        <f>'Total Weekday Boardings'!G32+'Total Saturday Boardings'!G32+'Total Sunday-Holiday Boardings'!G32</f>
        <v>37040</v>
      </c>
      <c r="H32" s="19">
        <f>'Total Weekday Boardings'!H32+'Total Saturday Boardings'!H32+'Total Sunday-Holiday Boardings'!H32</f>
        <v>43722</v>
      </c>
      <c r="I32" s="17">
        <f>'Total Weekday Boardings'!I32+'Total Saturday Boardings'!I32+'Total Sunday-Holiday Boardings'!I32</f>
        <v>35407</v>
      </c>
      <c r="J32" s="18">
        <f>'Total Weekday Boardings'!J32+'Total Saturday Boardings'!J32+'Total Sunday-Holiday Boardings'!J32</f>
        <v>39974</v>
      </c>
      <c r="K32" s="18">
        <f>'Total Weekday Boardings'!K32+'Total Saturday Boardings'!K32+'Total Sunday-Holiday Boardings'!K32</f>
        <v>53347</v>
      </c>
      <c r="L32" s="18">
        <f>'Total Weekday Boardings'!L32+'Total Saturday Boardings'!L32+'Total Sunday-Holiday Boardings'!L32</f>
        <v>57770</v>
      </c>
      <c r="M32" s="18">
        <f>'Total Weekday Boardings'!M32+'Total Saturday Boardings'!M32+'Total Sunday-Holiday Boardings'!M32</f>
        <v>55843</v>
      </c>
      <c r="N32" s="18">
        <f>'Total Weekday Boardings'!N32+'Total Saturday Boardings'!N32+'Total Sunday-Holiday Boardings'!N32</f>
        <v>39936</v>
      </c>
      <c r="O32" s="62">
        <f>'Total Weekday Boardings'!O32+'Total Saturday Boardings'!O32+'Total Sunday-Holiday Boardings'!O32</f>
        <v>53668</v>
      </c>
      <c r="P32" s="62">
        <f>'Total Weekday Boardings'!P32+'Total Saturday Boardings'!P32+'Total Sunday-Holiday Boardings'!P32</f>
        <v>41545</v>
      </c>
      <c r="Q32" s="62">
        <f>'Total Weekday Boardings'!Q32+'Total Saturday Boardings'!Q32+'Total Sunday-Holiday Boardings'!Q32</f>
        <v>47537</v>
      </c>
      <c r="R32" s="62">
        <f>'Total Weekday Boardings'!R32+'Total Saturday Boardings'!R32+'Total Sunday-Holiday Boardings'!R32</f>
        <v>66242</v>
      </c>
      <c r="S32" s="62">
        <f>'Total Weekday Boardings'!S32+'Total Saturday Boardings'!S32+'Total Sunday-Holiday Boardings'!S32</f>
        <v>62299</v>
      </c>
      <c r="T32" s="63">
        <f>'Total Weekday Boardings'!T32+'Total Saturday Boardings'!T32+'Total Sunday-Holiday Boardings'!T32</f>
        <v>28574</v>
      </c>
      <c r="U32" s="64">
        <f>'Total Weekday Boardings'!U32+'Total Saturday Boardings'!U32+'Total Sunday-Holiday Boardings'!U32</f>
        <v>23278</v>
      </c>
      <c r="V32" s="62">
        <f>'Total Weekday Boardings'!V32+'Total Saturday Boardings'!V32+'Total Sunday-Holiday Boardings'!V32</f>
        <v>26655</v>
      </c>
      <c r="W32" s="62">
        <f>'Total Weekday Boardings'!W32+'Total Saturday Boardings'!W32+'Total Sunday-Holiday Boardings'!W32</f>
        <v>30885</v>
      </c>
      <c r="X32" s="62">
        <f>'Total Weekday Boardings'!X32+'Total Saturday Boardings'!X32+'Total Sunday-Holiday Boardings'!X32</f>
        <v>30255</v>
      </c>
      <c r="Y32" s="62">
        <f>'Total Weekday Boardings'!Y32+'Total Saturday Boardings'!Y32+'Total Sunday-Holiday Boardings'!Y32</f>
        <v>29517</v>
      </c>
      <c r="Z32" s="62">
        <f>'Total Weekday Boardings'!Z32+'Total Saturday Boardings'!Z32+'Total Sunday-Holiday Boardings'!Z32</f>
        <v>26930</v>
      </c>
      <c r="AA32" s="18">
        <f>'Total Weekday Boardings'!AA32+'Total Saturday Boardings'!AA32+'Total Sunday-Holiday Boardings'!AA32</f>
        <v>29560</v>
      </c>
      <c r="AB32" s="18">
        <f>'Total Weekday Boardings'!AB32+'Total Saturday Boardings'!AB32+'Total Sunday-Holiday Boardings'!AB32</f>
        <v>29723</v>
      </c>
      <c r="AC32" s="18">
        <f>'Total Weekday Boardings'!AC32+'Total Saturday Boardings'!AC32+'Total Sunday-Holiday Boardings'!AC32</f>
        <v>33543</v>
      </c>
      <c r="AD32" s="18">
        <f>'Total Weekday Boardings'!AD32+'Total Saturday Boardings'!AD32+'Total Sunday-Holiday Boardings'!AD32</f>
        <v>33674</v>
      </c>
      <c r="AE32" s="18">
        <f>'Total Weekday Boardings'!AE32+'Total Saturday Boardings'!AE32+'Total Sunday-Holiday Boardings'!AE32</f>
        <v>30182</v>
      </c>
      <c r="AF32" s="19">
        <f>'Total Weekday Boardings'!AF32+'Total Saturday Boardings'!AF32+'Total Sunday-Holiday Boardings'!AF32</f>
        <v>29368</v>
      </c>
      <c r="AG32" s="17">
        <f>'Total Weekday Boardings'!AG32+'Total Saturday Boardings'!AG32+'Total Sunday-Holiday Boardings'!AG32</f>
        <v>28865</v>
      </c>
      <c r="AH32" s="18">
        <f>'Total Weekday Boardings'!AH32+'Total Saturday Boardings'!AH32+'Total Sunday-Holiday Boardings'!AH32</f>
        <v>33780</v>
      </c>
      <c r="AI32" s="18">
        <f>'Total Weekday Boardings'!AI32+'Total Saturday Boardings'!AI32+'Total Sunday-Holiday Boardings'!AI32</f>
        <v>33624</v>
      </c>
      <c r="AJ32" s="18">
        <f>'Total Weekday Boardings'!AJ32+'Total Saturday Boardings'!AJ32+'Total Sunday-Holiday Boardings'!AJ32</f>
        <v>34367</v>
      </c>
      <c r="AK32" s="18">
        <f>'Total Weekday Boardings'!AK32+'Total Saturday Boardings'!AK32+'Total Sunday-Holiday Boardings'!AK32</f>
        <v>29669</v>
      </c>
      <c r="AL32" s="18">
        <f>'Total Weekday Boardings'!AL32+'Total Saturday Boardings'!AL32+'Total Sunday-Holiday Boardings'!AL32</f>
        <v>29041</v>
      </c>
      <c r="AM32" s="18">
        <f>'Total Weekday Boardings'!AM32+'Total Saturday Boardings'!AM32+'Total Sunday-Holiday Boardings'!AM32</f>
        <v>32247</v>
      </c>
      <c r="AN32" s="18">
        <f>'Total Weekday Boardings'!AN32+'Total Saturday Boardings'!AN32+'Total Sunday-Holiday Boardings'!AN32</f>
        <v>31955</v>
      </c>
      <c r="AO32" s="18">
        <f>'Total Weekday Boardings'!AO32+'Total Saturday Boardings'!AO32+'Total Sunday-Holiday Boardings'!AO32</f>
        <v>35361</v>
      </c>
      <c r="AP32" s="18">
        <f>'Total Weekday Boardings'!AP32+'Total Saturday Boardings'!AP32+'Total Sunday-Holiday Boardings'!AP32</f>
        <v>36372</v>
      </c>
      <c r="AQ32" s="18">
        <f>'Total Weekday Boardings'!AQ32+'Total Saturday Boardings'!AQ32+'Total Sunday-Holiday Boardings'!AQ32</f>
        <v>34297</v>
      </c>
      <c r="AR32" s="19">
        <f>'Total Weekday Boardings'!AR32+'Total Saturday Boardings'!AR32+'Total Sunday-Holiday Boardings'!AR32</f>
        <v>31104</v>
      </c>
      <c r="AS32" s="17">
        <f>'Total Weekday Boardings'!AS32+'Total Saturday Boardings'!AS32+'Total Sunday-Holiday Boardings'!AS32</f>
        <v>29926</v>
      </c>
      <c r="AT32" s="18">
        <f>'Total Weekday Boardings'!AT32+'Total Saturday Boardings'!AT32+'Total Sunday-Holiday Boardings'!AT32</f>
        <v>33864</v>
      </c>
      <c r="AU32" s="18">
        <f>'Total Weekday Boardings'!AU32+'Total Saturday Boardings'!AU32+'Total Sunday-Holiday Boardings'!AU32</f>
        <v>36857</v>
      </c>
      <c r="AV32" s="18">
        <f>'Total Weekday Boardings'!AV32+'Total Saturday Boardings'!AV32+'Total Sunday-Holiday Boardings'!AV32</f>
        <v>42079</v>
      </c>
      <c r="AW32" s="18">
        <f>'Total Weekday Boardings'!AW32+'Total Saturday Boardings'!AW32+'Total Sunday-Holiday Boardings'!AW32</f>
        <v>35829</v>
      </c>
      <c r="AX32" s="18">
        <f>'Total Weekday Boardings'!AX32+'Total Saturday Boardings'!AX32+'Total Sunday-Holiday Boardings'!AX32</f>
        <v>32801</v>
      </c>
      <c r="AY32" s="18">
        <f>'Total Weekday Boardings'!AY32+'Total Saturday Boardings'!AY32+'Total Sunday-Holiday Boardings'!AY32</f>
        <v>35129</v>
      </c>
      <c r="AZ32" s="18">
        <f>'Total Weekday Boardings'!AZ32+'Total Saturday Boardings'!AZ32+'Total Sunday-Holiday Boardings'!AZ32</f>
        <v>33295</v>
      </c>
      <c r="BA32" s="18">
        <f>'Total Weekday Boardings'!BA32+'Total Saturday Boardings'!BA32+'Total Sunday-Holiday Boardings'!BA32</f>
        <v>36085</v>
      </c>
      <c r="BB32" s="18">
        <f>'Total Weekday Boardings'!BB32+'Total Saturday Boardings'!BB32+'Total Sunday-Holiday Boardings'!BB32</f>
        <v>43320</v>
      </c>
      <c r="BC32" s="18">
        <f>'Total Weekday Boardings'!BC32+'Total Saturday Boardings'!BC32+'Total Sunday-Holiday Boardings'!BC32</f>
        <v>40233</v>
      </c>
      <c r="BD32" s="19">
        <f>'Total Weekday Boardings'!BD32+'Total Saturday Boardings'!BD32+'Total Sunday-Holiday Boardings'!BD32</f>
        <v>34974</v>
      </c>
      <c r="BE32" s="17">
        <f>'Total Weekday Boardings'!BE32+'Total Saturday Boardings'!BE32+'Total Sunday-Holiday Boardings'!BE32</f>
        <v>37625</v>
      </c>
      <c r="BF32" s="18">
        <f>'Total Weekday Boardings'!BF32+'Total Saturday Boardings'!BF32+'Total Sunday-Holiday Boardings'!BF32</f>
        <v>38748</v>
      </c>
      <c r="BG32" s="18">
        <f>'Total Weekday Boardings'!BG32+'Total Saturday Boardings'!BG32+'Total Sunday-Holiday Boardings'!BG32</f>
        <v>41133</v>
      </c>
      <c r="BH32" s="18">
        <f>'Total Weekday Boardings'!BH32+'Total Saturday Boardings'!BH32+'Total Sunday-Holiday Boardings'!BH32</f>
        <v>44507</v>
      </c>
      <c r="BI32" s="18">
        <f>'Total Weekday Boardings'!BI32+'Total Saturday Boardings'!BI32+'Total Sunday-Holiday Boardings'!BI32</f>
        <v>40690.681753237368</v>
      </c>
      <c r="BJ32" s="18">
        <f>'Total Weekday Boardings'!BJ32+'Total Saturday Boardings'!BJ32+'Total Sunday-Holiday Boardings'!BJ32</f>
        <v>39187</v>
      </c>
      <c r="BK32" s="18">
        <f>'Total Weekday Boardings'!BK32+'Total Saturday Boardings'!BK32+'Total Sunday-Holiday Boardings'!BK32</f>
        <v>44207</v>
      </c>
      <c r="BL32" s="18">
        <f>'Total Weekday Boardings'!BL32+'Total Saturday Boardings'!BL32+'Total Sunday-Holiday Boardings'!BL32</f>
        <v>40175</v>
      </c>
      <c r="BM32" s="18">
        <f>'Total Weekday Boardings'!BM32+'Total Saturday Boardings'!BM32+'Total Sunday-Holiday Boardings'!BM32</f>
        <v>46207</v>
      </c>
      <c r="BN32" s="18">
        <f>'Total Weekday Boardings'!BN32+'Total Saturday Boardings'!BN32+'Total Sunday-Holiday Boardings'!BN32</f>
        <v>44443</v>
      </c>
      <c r="BO32" s="18">
        <f>'Total Weekday Boardings'!BO32+'Total Saturday Boardings'!BO32+'Total Sunday-Holiday Boardings'!BO32</f>
        <v>39364</v>
      </c>
      <c r="BP32" s="19">
        <f>'Total Weekday Boardings'!BP32+'Total Saturday Boardings'!BP32+'Total Sunday-Holiday Boardings'!BP32</f>
        <v>37285</v>
      </c>
      <c r="BQ32" s="17">
        <f>'Total Weekday Boardings'!BQ32+'Total Saturday Boardings'!BQ32+'Total Sunday-Holiday Boardings'!BQ32</f>
        <v>35875</v>
      </c>
      <c r="BR32" s="18">
        <f>'Total Weekday Boardings'!BR32+'Total Saturday Boardings'!BR32+'Total Sunday-Holiday Boardings'!BR32</f>
        <v>38643</v>
      </c>
      <c r="BS32" s="18">
        <f>'Total Weekday Boardings'!BS32+'Total Saturday Boardings'!BS32+'Total Sunday-Holiday Boardings'!BS32</f>
        <v>41645</v>
      </c>
      <c r="BT32" s="18">
        <f>'Total Weekday Boardings'!BT32+'Total Saturday Boardings'!BT32+'Total Sunday-Holiday Boardings'!BT32</f>
        <v>45935</v>
      </c>
      <c r="BU32" s="18">
        <f>'Total Weekday Boardings'!BU32+'Total Saturday Boardings'!BU32+'Total Sunday-Holiday Boardings'!BU32</f>
        <v>41651</v>
      </c>
      <c r="BV32" s="18">
        <f>'Total Weekday Boardings'!BV32+'Total Saturday Boardings'!BV32+'Total Sunday-Holiday Boardings'!BV32</f>
        <v>41676</v>
      </c>
      <c r="BW32" s="18">
        <f>'Total Weekday Boardings'!BW32+'Total Saturday Boardings'!BW32+'Total Sunday-Holiday Boardings'!BW32</f>
        <v>53547</v>
      </c>
      <c r="BX32" s="18">
        <f>'Total Weekday Boardings'!BX32+'Total Saturday Boardings'!BX32+'Total Sunday-Holiday Boardings'!BX32</f>
        <v>41192</v>
      </c>
      <c r="BY32" s="18">
        <f>'Total Weekday Boardings'!BY32+'Total Saturday Boardings'!BY32+'Total Sunday-Holiday Boardings'!BY32</f>
        <v>45355</v>
      </c>
      <c r="BZ32" s="18">
        <f>'Total Weekday Boardings'!BZ32+'Total Saturday Boardings'!BZ32+'Total Sunday-Holiday Boardings'!BZ32</f>
        <v>44073</v>
      </c>
      <c r="CA32" s="18">
        <f>'Total Weekday Boardings'!CA32+'Total Saturday Boardings'!CA32+'Total Sunday-Holiday Boardings'!CA32</f>
        <v>42220</v>
      </c>
      <c r="CB32" s="19">
        <f>'Total Weekday Boardings'!CB32+'Total Saturday Boardings'!CB32+'Total Sunday-Holiday Boardings'!CB32</f>
        <v>37032</v>
      </c>
      <c r="CC32" s="20">
        <f>'Total Weekday Boardings'!CC32+'Total Saturday Boardings'!CC32+'Total Sunday-Holiday Boardings'!CC32</f>
        <v>37815</v>
      </c>
      <c r="CD32" s="18">
        <f>'Total Weekday Boardings'!CD32+'Total Saturday Boardings'!CD32+'Total Sunday-Holiday Boardings'!CD32</f>
        <v>43672</v>
      </c>
      <c r="CE32" s="18">
        <f>'Total Weekday Boardings'!CE32+'Total Saturday Boardings'!CE32+'Total Sunday-Holiday Boardings'!CE32</f>
        <v>58676</v>
      </c>
      <c r="CF32" s="18">
        <f>'Total Weekday Boardings'!CF32+'Total Saturday Boardings'!CF32+'Total Sunday-Holiday Boardings'!CF32</f>
        <v>67342</v>
      </c>
      <c r="CG32" s="18">
        <f>'Total Weekday Boardings'!CG32+'Total Saturday Boardings'!CG32+'Total Sunday-Holiday Boardings'!CG32</f>
        <v>61392</v>
      </c>
      <c r="CH32" s="18">
        <f>'Total Weekday Boardings'!CH32+'Total Saturday Boardings'!CH32+'Total Sunday-Holiday Boardings'!CH32</f>
        <v>58488</v>
      </c>
      <c r="CI32" s="18">
        <f>'Total Weekday Boardings'!CI32+'Total Saturday Boardings'!CI32+'Total Sunday-Holiday Boardings'!CI32</f>
        <v>60692</v>
      </c>
      <c r="CJ32" s="18">
        <f>'Total Weekday Boardings'!CJ32+'Total Saturday Boardings'!CJ32+'Total Sunday-Holiday Boardings'!CJ32</f>
        <v>57252</v>
      </c>
      <c r="CK32" s="18">
        <f>'Total Weekday Boardings'!CK32+'Total Saturday Boardings'!CK32+'Total Sunday-Holiday Boardings'!CK32</f>
        <v>65452</v>
      </c>
      <c r="CL32" s="18">
        <f>'Total Weekday Boardings'!CL32+'Total Saturday Boardings'!CL32+'Total Sunday-Holiday Boardings'!CL32</f>
        <v>61258</v>
      </c>
      <c r="CM32" s="18">
        <f>'Total Weekday Boardings'!CM32+'Total Saturday Boardings'!CM32+'Total Sunday-Holiday Boardings'!CM32</f>
        <v>61141</v>
      </c>
      <c r="CN32" s="21">
        <f>'Total Weekday Boardings'!CN32+'Total Saturday Boardings'!CN32+'Total Sunday-Holiday Boardings'!CN32</f>
        <v>56568</v>
      </c>
      <c r="CO32" s="17">
        <f>'Total Weekday Boardings'!CO32+'Total Saturday Boardings'!CO32+'Total Sunday-Holiday Boardings'!CO32</f>
        <v>55979</v>
      </c>
      <c r="CP32" s="18">
        <f>'Total Weekday Boardings'!CP32+'Total Saturday Boardings'!CP32+'Total Sunday-Holiday Boardings'!CP32</f>
        <v>57931</v>
      </c>
      <c r="CQ32" s="18">
        <f>'Total Weekday Boardings'!CQ32+'Total Saturday Boardings'!CQ32+'Total Sunday-Holiday Boardings'!CQ32</f>
        <v>56285</v>
      </c>
      <c r="CR32" s="18">
        <f>'Total Weekday Boardings'!CR32+'Total Saturday Boardings'!CR32+'Total Sunday-Holiday Boardings'!CR32</f>
        <v>59444</v>
      </c>
      <c r="CS32" s="18">
        <f>'Total Weekday Boardings'!CS32+'Total Saturday Boardings'!CS32+'Total Sunday-Holiday Boardings'!CS32</f>
        <v>57229</v>
      </c>
      <c r="CT32" s="18">
        <f>'Total Weekday Boardings'!CT32+'Total Saturday Boardings'!CT32+'Total Sunday-Holiday Boardings'!CT32</f>
        <v>57329</v>
      </c>
      <c r="CU32" s="18">
        <f>'Total Weekday Boardings'!CU32+'Total Saturday Boardings'!CU32+'Total Sunday-Holiday Boardings'!CU32</f>
        <v>59490</v>
      </c>
      <c r="CV32" s="18">
        <f>'Total Weekday Boardings'!CV32+'Total Saturday Boardings'!CV32+'Total Sunday-Holiday Boardings'!CV32</f>
        <v>53427</v>
      </c>
      <c r="CW32" s="18">
        <f>'Total Weekday Boardings'!CW32+'Total Saturday Boardings'!CW32+'Total Sunday-Holiday Boardings'!CW32</f>
        <v>62960</v>
      </c>
      <c r="CX32" s="18">
        <f>'Total Weekday Boardings'!CX32+'Total Saturday Boardings'!CX32+'Total Sunday-Holiday Boardings'!CX32</f>
        <v>61229</v>
      </c>
      <c r="CY32" s="18">
        <f>'Total Weekday Boardings'!CY32+'Total Saturday Boardings'!CY32+'Total Sunday-Holiday Boardings'!CY32</f>
        <v>57885</v>
      </c>
      <c r="CZ32" s="19">
        <f>'Total Weekday Boardings'!CZ32+'Total Saturday Boardings'!CZ32+'Total Sunday-Holiday Boardings'!CZ32</f>
        <v>53442</v>
      </c>
      <c r="DA32" s="17">
        <f>'Total Weekday Boardings'!DA32+'Total Saturday Boardings'!DA32+'Total Sunday-Holiday Boardings'!DA32</f>
        <v>50729</v>
      </c>
      <c r="DB32" s="18">
        <f>'Total Weekday Boardings'!DB32+'Total Saturday Boardings'!DB32+'Total Sunday-Holiday Boardings'!DB32</f>
        <v>55976</v>
      </c>
      <c r="DC32" s="18">
        <f>'Total Weekday Boardings'!DC32+'Total Saturday Boardings'!DC32+'Total Sunday-Holiday Boardings'!DC32</f>
        <v>52740</v>
      </c>
      <c r="DD32" s="18">
        <f>'Total Weekday Boardings'!DD32+'Total Saturday Boardings'!DD32+'Total Sunday-Holiday Boardings'!DD32</f>
        <v>59290</v>
      </c>
      <c r="DE32" s="18">
        <f>'Total Weekday Boardings'!DE32+'Total Saturday Boardings'!DE32+'Total Sunday-Holiday Boardings'!DE32</f>
        <v>55451</v>
      </c>
      <c r="DF32" s="18">
        <f>'Total Weekday Boardings'!DF32+'Total Saturday Boardings'!DF32+'Total Sunday-Holiday Boardings'!DF32</f>
        <v>54142</v>
      </c>
      <c r="DG32" s="18">
        <f>'Total Weekday Boardings'!DG32+'Total Saturday Boardings'!DG32+'Total Sunday-Holiday Boardings'!DG32</f>
        <v>57072</v>
      </c>
      <c r="DH32" s="18">
        <f>'Total Weekday Boardings'!DH32+'Total Saturday Boardings'!DH32+'Total Sunday-Holiday Boardings'!DH32</f>
        <v>51862</v>
      </c>
      <c r="DI32" s="18">
        <f>'Total Weekday Boardings'!DI32+'Total Saturday Boardings'!DI32+'Total Sunday-Holiday Boardings'!DI32</f>
        <v>59109</v>
      </c>
      <c r="DJ32" s="18">
        <f>'Total Weekday Boardings'!DJ32+'Total Saturday Boardings'!DJ32+'Total Sunday-Holiday Boardings'!DJ32</f>
        <v>55647</v>
      </c>
      <c r="DK32" s="18">
        <f>'Total Weekday Boardings'!DK32+'Total Saturday Boardings'!DK32+'Total Sunday-Holiday Boardings'!DK32</f>
        <v>56825</v>
      </c>
      <c r="DL32" s="19">
        <f>'Total Weekday Boardings'!DL32+'Total Saturday Boardings'!DL32+'Total Sunday-Holiday Boardings'!DL32</f>
        <v>51217</v>
      </c>
      <c r="DM32" s="17">
        <f>'Total Weekday Boardings'!DM32+'Total Saturday Boardings'!DM32+'Total Sunday-Holiday Boardings'!DM32</f>
        <v>53768</v>
      </c>
      <c r="DN32" s="18">
        <f>'Total Weekday Boardings'!DN32+'Total Saturday Boardings'!DN32+'Total Sunday-Holiday Boardings'!DN32</f>
        <v>55375</v>
      </c>
      <c r="DO32" s="18">
        <f>'Total Weekday Boardings'!DO32+'Total Saturday Boardings'!DO32+'Total Sunday-Holiday Boardings'!DO32</f>
        <v>53809</v>
      </c>
      <c r="DP32" s="18">
        <f>'Total Weekday Boardings'!DP32+'Total Saturday Boardings'!DP32+'Total Sunday-Holiday Boardings'!DP32</f>
        <v>56546</v>
      </c>
      <c r="DQ32" s="18">
        <f>'Total Weekday Boardings'!DQ32+'Total Saturday Boardings'!DQ32+'Total Sunday-Holiday Boardings'!DQ32</f>
        <v>54713</v>
      </c>
      <c r="DR32" s="18">
        <f>'Total Weekday Boardings'!DR32+'Total Saturday Boardings'!DR32+'Total Sunday-Holiday Boardings'!DR32</f>
        <v>52944</v>
      </c>
      <c r="DS32" s="18">
        <f>'Total Weekday Boardings'!DS32+'Total Saturday Boardings'!DS32+'Total Sunday-Holiday Boardings'!DS32</f>
        <v>59283</v>
      </c>
      <c r="DT32" s="18">
        <f>'Total Weekday Boardings'!DT32+'Total Saturday Boardings'!DT32+'Total Sunday-Holiday Boardings'!DT32</f>
        <v>51602</v>
      </c>
      <c r="DU32" s="18">
        <f>'Total Weekday Boardings'!DU32+'Total Saturday Boardings'!DU32+'Total Sunday-Holiday Boardings'!DU32</f>
        <v>57623</v>
      </c>
      <c r="DV32" s="18">
        <f>'Total Weekday Boardings'!DV32+'Total Saturday Boardings'!DV32+'Total Sunday-Holiday Boardings'!DV32</f>
        <v>52077</v>
      </c>
      <c r="DW32" s="18">
        <f>'Total Weekday Boardings'!DW32+'Total Saturday Boardings'!DW32+'Total Sunday-Holiday Boardings'!DW32</f>
        <v>49405</v>
      </c>
      <c r="DX32" s="19">
        <f>'Total Weekday Boardings'!DX32+'Total Saturday Boardings'!DX32+'Total Sunday-Holiday Boardings'!DX32</f>
        <v>50448</v>
      </c>
      <c r="DY32" s="137">
        <v>51534</v>
      </c>
      <c r="DZ32" s="18">
        <v>57692</v>
      </c>
      <c r="EA32" s="18">
        <v>51479</v>
      </c>
      <c r="EB32" s="18">
        <v>54947</v>
      </c>
      <c r="EC32" s="18">
        <v>51206</v>
      </c>
      <c r="ED32" s="18">
        <v>51321</v>
      </c>
      <c r="EE32" s="18">
        <v>52707</v>
      </c>
      <c r="EF32" s="18">
        <v>51645</v>
      </c>
      <c r="EG32" s="18">
        <v>41844</v>
      </c>
      <c r="EH32" s="18">
        <v>22947</v>
      </c>
      <c r="EI32" s="18">
        <v>22233</v>
      </c>
      <c r="EJ32" s="19">
        <v>21490</v>
      </c>
      <c r="EK32" s="100">
        <v>22419</v>
      </c>
      <c r="EL32" s="18">
        <v>23657</v>
      </c>
      <c r="EM32" s="18">
        <v>22795</v>
      </c>
      <c r="EN32" s="103">
        <v>24458</v>
      </c>
      <c r="EO32" s="18">
        <v>27239</v>
      </c>
      <c r="EP32" s="18">
        <v>18226</v>
      </c>
      <c r="EQ32" s="18">
        <v>10674</v>
      </c>
      <c r="ER32" s="18">
        <v>19270</v>
      </c>
      <c r="ES32" s="18">
        <v>24536</v>
      </c>
      <c r="ET32" s="18">
        <v>24240</v>
      </c>
      <c r="EU32" s="18">
        <v>24222</v>
      </c>
      <c r="EV32" s="19">
        <v>26195</v>
      </c>
      <c r="EW32" s="103">
        <v>27239</v>
      </c>
      <c r="EX32" s="18">
        <v>26452</v>
      </c>
      <c r="EY32" s="18">
        <v>26320</v>
      </c>
      <c r="EZ32" s="103">
        <v>29655</v>
      </c>
      <c r="FA32" s="18">
        <v>30719</v>
      </c>
      <c r="FB32" s="145">
        <v>30744</v>
      </c>
      <c r="FC32" s="18">
        <v>27328</v>
      </c>
      <c r="FD32" s="18">
        <v>30581</v>
      </c>
      <c r="FE32" s="18">
        <v>38267</v>
      </c>
      <c r="FF32" s="18">
        <v>33486</v>
      </c>
      <c r="FG32" s="13">
        <f>SUM('Total Weekday Boardings'!FG32,'Total Saturday Boardings'!FG32,'Total Sunday-Holiday Boardings'!FG32)</f>
        <v>29600</v>
      </c>
      <c r="FH32" s="13">
        <f>SUM('Total Weekday Boardings'!FH32,'Total Saturday Boardings'!FH32,'Total Sunday-Holiday Boardings'!FH32)</f>
        <v>24033</v>
      </c>
      <c r="FI32" s="13">
        <f>SUM('Total Weekday Boardings'!FI32,'Total Saturday Boardings'!FI32,'Total Sunday-Holiday Boardings'!FI32)</f>
        <v>26944</v>
      </c>
      <c r="FJ32" s="13">
        <f>SUM('Total Weekday Boardings'!FJ32,'Total Saturday Boardings'!FJ32,'Total Sunday-Holiday Boardings'!FJ32)</f>
        <v>27866</v>
      </c>
      <c r="FK32" s="13">
        <f>SUM('Total Weekday Boardings'!FK32,'Total Saturday Boardings'!FK32,'Total Sunday-Holiday Boardings'!FK32)</f>
        <v>30072.5</v>
      </c>
      <c r="FL32" s="13">
        <f>SUM('Total Weekday Boardings'!FL32,'Total Saturday Boardings'!FL32,'Total Sunday-Holiday Boardings'!FL32)</f>
        <v>31261</v>
      </c>
      <c r="FM32" s="13">
        <f>SUM('Total Weekday Boardings'!FM32,'Total Saturday Boardings'!FM32,'Total Sunday-Holiday Boardings'!FM32)</f>
        <v>29317</v>
      </c>
      <c r="FN32" s="13">
        <f>SUM('Total Weekday Boardings'!FN32,'Total Saturday Boardings'!FN32,'Total Sunday-Holiday Boardings'!FN32)</f>
        <v>29387</v>
      </c>
      <c r="FO32" s="13">
        <f>SUM('Total Weekday Boardings'!FO32,'Total Saturday Boardings'!FO32,'Total Sunday-Holiday Boardings'!FO32)</f>
        <v>33107</v>
      </c>
      <c r="FP32" s="13">
        <f>SUM('Total Weekday Boardings'!FP32,'Total Saturday Boardings'!FP32,'Total Sunday-Holiday Boardings'!FP32)</f>
        <v>27989</v>
      </c>
      <c r="FQ32" s="13">
        <f>SUM('Total Weekday Boardings'!FQ32,'Total Saturday Boardings'!FQ32,'Total Sunday-Holiday Boardings'!FQ32)</f>
        <v>37804</v>
      </c>
      <c r="FR32" s="13">
        <f>SUM('Total Weekday Boardings'!FR32,'Total Saturday Boardings'!FR32,'Total Sunday-Holiday Boardings'!FR32)</f>
        <v>34755</v>
      </c>
      <c r="FS32" s="13">
        <f>SUM('Total Weekday Boardings'!FS32,'Total Saturday Boardings'!FS32,'Total Sunday-Holiday Boardings'!FS32)</f>
        <v>35571</v>
      </c>
      <c r="FT32" s="16">
        <f>SUM('Total Weekday Boardings'!FT32,'Total Saturday Boardings'!FT32,'Total Sunday-Holiday Boardings'!FT32)</f>
        <v>32505</v>
      </c>
      <c r="FU32" s="171">
        <v>32329</v>
      </c>
      <c r="FV32" s="171">
        <v>32944</v>
      </c>
      <c r="FW32" s="171">
        <v>32417</v>
      </c>
      <c r="FX32" s="171">
        <v>37786</v>
      </c>
      <c r="FY32" s="171">
        <v>34672</v>
      </c>
      <c r="FZ32" s="171">
        <v>36258</v>
      </c>
      <c r="GA32" s="171">
        <v>36800</v>
      </c>
      <c r="GB32" s="52">
        <v>36278</v>
      </c>
      <c r="GC32" s="52">
        <v>39287</v>
      </c>
      <c r="GD32" s="52">
        <v>36066</v>
      </c>
      <c r="GE32" s="18">
        <v>37790</v>
      </c>
      <c r="GF32" s="52">
        <v>37062</v>
      </c>
      <c r="GG32" s="184">
        <v>34977</v>
      </c>
      <c r="GH32" s="52">
        <v>35839</v>
      </c>
      <c r="GI32" s="18">
        <v>35457</v>
      </c>
      <c r="GJ32" s="236">
        <v>36527</v>
      </c>
      <c r="GK32" s="184">
        <v>35825</v>
      </c>
      <c r="GL32" s="184">
        <v>34225</v>
      </c>
    </row>
    <row r="33" spans="1:194" ht="15" thickBot="1" x14ac:dyDescent="0.35">
      <c r="A33" s="92" t="s">
        <v>71</v>
      </c>
      <c r="B33" s="17"/>
      <c r="C33" s="18"/>
      <c r="D33" s="18"/>
      <c r="E33" s="18"/>
      <c r="F33" s="18"/>
      <c r="G33" s="18"/>
      <c r="H33" s="19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  <c r="U33" s="17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7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9"/>
      <c r="AS33" s="17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9"/>
      <c r="BE33" s="17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9"/>
      <c r="BQ33" s="17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20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21"/>
      <c r="CO33" s="17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9"/>
      <c r="DA33" s="17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9"/>
      <c r="DM33" s="17"/>
      <c r="DN33" s="18"/>
      <c r="DO33" s="18"/>
      <c r="DP33" s="18"/>
      <c r="DQ33" s="18"/>
      <c r="DR33" s="18"/>
      <c r="DS33" s="18"/>
      <c r="DT33" s="18"/>
      <c r="DU33" s="18"/>
      <c r="DV33" s="18"/>
      <c r="DW33" s="18">
        <f>'Total Weekday Boardings'!DW33+'Total Saturday Boardings'!DW33+'Total Sunday-Holiday Boardings'!DW33</f>
        <v>6766</v>
      </c>
      <c r="DX33" s="19">
        <f>'Total Weekday Boardings'!DX33+'Total Saturday Boardings'!DX33+'Total Sunday-Holiday Boardings'!DX33</f>
        <v>6637</v>
      </c>
      <c r="DY33" s="137">
        <v>7444</v>
      </c>
      <c r="DZ33" s="18">
        <v>7744</v>
      </c>
      <c r="EA33" s="18">
        <v>8058</v>
      </c>
      <c r="EB33" s="18">
        <v>11386</v>
      </c>
      <c r="EC33" s="18">
        <v>11866</v>
      </c>
      <c r="ED33" s="18">
        <v>12760</v>
      </c>
      <c r="EE33" s="18">
        <v>12746</v>
      </c>
      <c r="EF33" s="18">
        <v>11510</v>
      </c>
      <c r="EG33" s="18">
        <v>9881</v>
      </c>
      <c r="EH33" s="18">
        <v>6633</v>
      </c>
      <c r="EI33" s="18">
        <v>6856</v>
      </c>
      <c r="EJ33" s="19">
        <v>6926</v>
      </c>
      <c r="EK33" s="100">
        <v>7089</v>
      </c>
      <c r="EL33" s="18">
        <v>6473</v>
      </c>
      <c r="EM33" s="18">
        <v>6448</v>
      </c>
      <c r="EN33" s="103">
        <v>7517</v>
      </c>
      <c r="EO33" s="18">
        <v>6568</v>
      </c>
      <c r="EP33" s="18">
        <v>4298</v>
      </c>
      <c r="EQ33" s="18">
        <v>3130</v>
      </c>
      <c r="ER33" s="18">
        <v>5520</v>
      </c>
      <c r="ES33" s="18">
        <v>4754</v>
      </c>
      <c r="ET33" s="18">
        <v>29342</v>
      </c>
      <c r="EU33" s="18">
        <v>5841</v>
      </c>
      <c r="EV33" s="19">
        <v>6149</v>
      </c>
      <c r="EW33" s="103">
        <v>6568</v>
      </c>
      <c r="EX33" s="18">
        <v>6962</v>
      </c>
      <c r="EY33" s="18">
        <v>6543</v>
      </c>
      <c r="EZ33" s="103">
        <v>6980</v>
      </c>
      <c r="FA33" s="18">
        <v>6711</v>
      </c>
      <c r="FB33" s="145">
        <v>6739</v>
      </c>
      <c r="FC33" s="18">
        <v>6129</v>
      </c>
      <c r="FD33" s="18">
        <v>6750</v>
      </c>
      <c r="FE33" s="18">
        <v>8424</v>
      </c>
      <c r="FF33" s="18">
        <v>7908</v>
      </c>
      <c r="FG33" s="13">
        <f>SUM('Total Weekday Boardings'!FG33,'Total Saturday Boardings'!FG33,'Total Sunday-Holiday Boardings'!FG33)</f>
        <v>19677</v>
      </c>
      <c r="FH33" s="13">
        <f>SUM('Total Weekday Boardings'!FH33,'Total Saturday Boardings'!FH33,'Total Sunday-Holiday Boardings'!FH33)</f>
        <v>6356</v>
      </c>
      <c r="FI33" s="13">
        <f>SUM('Total Weekday Boardings'!FI33,'Total Saturday Boardings'!FI33,'Total Sunday-Holiday Boardings'!FI33)</f>
        <v>6620</v>
      </c>
      <c r="FJ33" s="13">
        <f>SUM('Total Weekday Boardings'!FJ33,'Total Saturday Boardings'!FJ33,'Total Sunday-Holiday Boardings'!FJ33)</f>
        <v>6973</v>
      </c>
      <c r="FK33" s="13">
        <f>SUM('Total Weekday Boardings'!FK33,'Total Saturday Boardings'!FK33,'Total Sunday-Holiday Boardings'!FK33)</f>
        <v>7693</v>
      </c>
      <c r="FL33" s="13">
        <f>SUM('Total Weekday Boardings'!FL33,'Total Saturday Boardings'!FL33,'Total Sunday-Holiday Boardings'!FL33)</f>
        <v>7392</v>
      </c>
      <c r="FM33" s="13">
        <f>SUM('Total Weekday Boardings'!FM33,'Total Saturday Boardings'!FM33,'Total Sunday-Holiday Boardings'!FM33)</f>
        <v>7009</v>
      </c>
      <c r="FN33" s="13">
        <f>SUM('Total Weekday Boardings'!FN33,'Total Saturday Boardings'!FN33,'Total Sunday-Holiday Boardings'!FN33)</f>
        <v>7205</v>
      </c>
      <c r="FO33" s="13">
        <f>SUM('Total Weekday Boardings'!FO33,'Total Saturday Boardings'!FO33,'Total Sunday-Holiday Boardings'!FO33)</f>
        <v>8822</v>
      </c>
      <c r="FP33" s="13">
        <f>SUM('Total Weekday Boardings'!FP33,'Total Saturday Boardings'!FP33,'Total Sunday-Holiday Boardings'!FP33)</f>
        <v>7825</v>
      </c>
      <c r="FQ33" s="13">
        <f>SUM('Total Weekday Boardings'!FQ33,'Total Saturday Boardings'!FQ33,'Total Sunday-Holiday Boardings'!FQ33)</f>
        <v>9604</v>
      </c>
      <c r="FR33" s="13">
        <f>SUM('Total Weekday Boardings'!FR33,'Total Saturday Boardings'!FR33,'Total Sunday-Holiday Boardings'!FR33)</f>
        <v>9379</v>
      </c>
      <c r="FS33" s="13">
        <f>SUM('Total Weekday Boardings'!FS33,'Total Saturday Boardings'!FS33,'Total Sunday-Holiday Boardings'!FS33)</f>
        <v>9169</v>
      </c>
      <c r="FT33" s="16">
        <f>SUM('Total Weekday Boardings'!FT33,'Total Saturday Boardings'!FT33,'Total Sunday-Holiday Boardings'!FT33)</f>
        <v>8694</v>
      </c>
      <c r="FU33" s="171">
        <v>8203</v>
      </c>
      <c r="FV33" s="171">
        <v>8723</v>
      </c>
      <c r="FW33" s="171">
        <v>8009</v>
      </c>
      <c r="FX33" s="171">
        <v>8522</v>
      </c>
      <c r="FY33" s="171">
        <v>7716</v>
      </c>
      <c r="FZ33" s="171">
        <v>7484</v>
      </c>
      <c r="GA33" s="171">
        <v>8660</v>
      </c>
      <c r="GB33" s="52">
        <v>8313</v>
      </c>
      <c r="GC33" s="52">
        <v>8602</v>
      </c>
      <c r="GD33" s="52">
        <v>8318</v>
      </c>
      <c r="GE33" s="18">
        <v>8361</v>
      </c>
      <c r="GF33" s="52">
        <v>7220</v>
      </c>
      <c r="GG33" s="184">
        <v>7244</v>
      </c>
      <c r="GH33" s="52">
        <v>7634</v>
      </c>
      <c r="GI33" s="18">
        <v>7936</v>
      </c>
      <c r="GJ33" s="236">
        <v>8652</v>
      </c>
      <c r="GK33" s="184">
        <v>10131</v>
      </c>
      <c r="GL33" s="184">
        <v>9642</v>
      </c>
    </row>
    <row r="34" spans="1:194" ht="15" thickBot="1" x14ac:dyDescent="0.35">
      <c r="A34" s="3" t="s">
        <v>16</v>
      </c>
      <c r="B34" s="17"/>
      <c r="C34" s="18">
        <f>'Total Weekday Boardings'!C34+'Total Saturday Boardings'!C34+'Total Sunday-Holiday Boardings'!C34</f>
        <v>35088</v>
      </c>
      <c r="D34" s="18">
        <f>'Total Weekday Boardings'!D34+'Total Saturday Boardings'!D34+'Total Sunday-Holiday Boardings'!D34</f>
        <v>28484</v>
      </c>
      <c r="E34" s="18">
        <f>'Total Weekday Boardings'!E34+'Total Saturday Boardings'!E34+'Total Sunday-Holiday Boardings'!E34</f>
        <v>30207</v>
      </c>
      <c r="F34" s="18">
        <f>'Total Weekday Boardings'!F34+'Total Saturday Boardings'!F34+'Total Sunday-Holiday Boardings'!F34</f>
        <v>37992</v>
      </c>
      <c r="G34" s="18">
        <f>'Total Weekday Boardings'!G34+'Total Saturday Boardings'!G34+'Total Sunday-Holiday Boardings'!G34</f>
        <v>38863</v>
      </c>
      <c r="H34" s="19">
        <f>'Total Weekday Boardings'!H34+'Total Saturday Boardings'!H34+'Total Sunday-Holiday Boardings'!H34</f>
        <v>25864</v>
      </c>
      <c r="I34" s="17">
        <f>'Total Weekday Boardings'!I34+'Total Saturday Boardings'!I34+'Total Sunday-Holiday Boardings'!I34</f>
        <v>30723</v>
      </c>
      <c r="J34" s="18">
        <f>'Total Weekday Boardings'!J34+'Total Saturday Boardings'!J34+'Total Sunday-Holiday Boardings'!J34</f>
        <v>34128</v>
      </c>
      <c r="K34" s="18">
        <f>'Total Weekday Boardings'!K34+'Total Saturday Boardings'!K34+'Total Sunday-Holiday Boardings'!K34</f>
        <v>28425</v>
      </c>
      <c r="L34" s="18">
        <f>'Total Weekday Boardings'!L34+'Total Saturday Boardings'!L34+'Total Sunday-Holiday Boardings'!L34</f>
        <v>28542</v>
      </c>
      <c r="M34" s="18">
        <f>'Total Weekday Boardings'!M34+'Total Saturday Boardings'!M34+'Total Sunday-Holiday Boardings'!M34</f>
        <v>30620</v>
      </c>
      <c r="N34" s="18">
        <f>'Total Weekday Boardings'!N34+'Total Saturday Boardings'!N34+'Total Sunday-Holiday Boardings'!N34</f>
        <v>29176</v>
      </c>
      <c r="O34" s="62">
        <f>'Total Weekday Boardings'!O34+'Total Saturday Boardings'!O34+'Total Sunday-Holiday Boardings'!O34</f>
        <v>25749</v>
      </c>
      <c r="P34" s="62">
        <f>'Total Weekday Boardings'!P34+'Total Saturday Boardings'!P34+'Total Sunday-Holiday Boardings'!P34</f>
        <v>33446</v>
      </c>
      <c r="Q34" s="62">
        <f>'Total Weekday Boardings'!Q34+'Total Saturday Boardings'!Q34+'Total Sunday-Holiday Boardings'!Q34</f>
        <v>38469</v>
      </c>
      <c r="R34" s="62">
        <f>'Total Weekday Boardings'!R34+'Total Saturday Boardings'!R34+'Total Sunday-Holiday Boardings'!R34</f>
        <v>27858</v>
      </c>
      <c r="S34" s="62">
        <f>'Total Weekday Boardings'!S34+'Total Saturday Boardings'!S34+'Total Sunday-Holiday Boardings'!S34</f>
        <v>24941</v>
      </c>
      <c r="T34" s="63">
        <f>'Total Weekday Boardings'!T34+'Total Saturday Boardings'!T34+'Total Sunday-Holiday Boardings'!T34</f>
        <v>57521</v>
      </c>
      <c r="U34" s="64">
        <f>'Total Weekday Boardings'!U34+'Total Saturday Boardings'!U34+'Total Sunday-Holiday Boardings'!U34</f>
        <v>46473</v>
      </c>
      <c r="V34" s="62">
        <f>'Total Weekday Boardings'!V34+'Total Saturday Boardings'!V34+'Total Sunday-Holiday Boardings'!V34</f>
        <v>41459</v>
      </c>
      <c r="W34" s="62">
        <f>'Total Weekday Boardings'!W34+'Total Saturday Boardings'!W34+'Total Sunday-Holiday Boardings'!W34</f>
        <v>43322</v>
      </c>
      <c r="X34" s="62">
        <f>'Total Weekday Boardings'!X34+'Total Saturday Boardings'!X34+'Total Sunday-Holiday Boardings'!X34</f>
        <v>44865</v>
      </c>
      <c r="Y34" s="62">
        <f>'Total Weekday Boardings'!Y34+'Total Saturday Boardings'!Y34+'Total Sunday-Holiday Boardings'!Y34</f>
        <v>47215</v>
      </c>
      <c r="Z34" s="62">
        <f>'Total Weekday Boardings'!Z34+'Total Saturday Boardings'!Z34+'Total Sunday-Holiday Boardings'!Z34</f>
        <v>42499</v>
      </c>
      <c r="AA34" s="18">
        <f>'Total Weekday Boardings'!AA34+'Total Saturday Boardings'!AA34+'Total Sunday-Holiday Boardings'!AA34</f>
        <v>46957</v>
      </c>
      <c r="AB34" s="18">
        <f>'Total Weekday Boardings'!AB34+'Total Saturday Boardings'!AB34+'Total Sunday-Holiday Boardings'!AB34</f>
        <v>43936</v>
      </c>
      <c r="AC34" s="18">
        <f>'Total Weekday Boardings'!AC34+'Total Saturday Boardings'!AC34+'Total Sunday-Holiday Boardings'!AC34</f>
        <v>53738</v>
      </c>
      <c r="AD34" s="18">
        <f>'Total Weekday Boardings'!AD34+'Total Saturday Boardings'!AD34+'Total Sunday-Holiday Boardings'!AD34</f>
        <v>49919</v>
      </c>
      <c r="AE34" s="18">
        <f>'Total Weekday Boardings'!AE34+'Total Saturday Boardings'!AE34+'Total Sunday-Holiday Boardings'!AE34</f>
        <v>46525</v>
      </c>
      <c r="AF34" s="19">
        <f>'Total Weekday Boardings'!AF34+'Total Saturday Boardings'!AF34+'Total Sunday-Holiday Boardings'!AF34</f>
        <v>42675</v>
      </c>
      <c r="AG34" s="17">
        <f>'Total Weekday Boardings'!AG34+'Total Saturday Boardings'!AG34+'Total Sunday-Holiday Boardings'!AG34</f>
        <v>45201</v>
      </c>
      <c r="AH34" s="18">
        <f>'Total Weekday Boardings'!AH34+'Total Saturday Boardings'!AH34+'Total Sunday-Holiday Boardings'!AH34</f>
        <v>47037</v>
      </c>
      <c r="AI34" s="18">
        <f>'Total Weekday Boardings'!AI34+'Total Saturday Boardings'!AI34+'Total Sunday-Holiday Boardings'!AI34</f>
        <v>48293</v>
      </c>
      <c r="AJ34" s="18">
        <f>'Total Weekday Boardings'!AJ34+'Total Saturday Boardings'!AJ34+'Total Sunday-Holiday Boardings'!AJ34</f>
        <v>51743</v>
      </c>
      <c r="AK34" s="18">
        <f>'Total Weekday Boardings'!AK34+'Total Saturday Boardings'!AK34+'Total Sunday-Holiday Boardings'!AK34</f>
        <v>47040</v>
      </c>
      <c r="AL34" s="18">
        <f>'Total Weekday Boardings'!AL34+'Total Saturday Boardings'!AL34+'Total Sunday-Holiday Boardings'!AL34</f>
        <v>47370</v>
      </c>
      <c r="AM34" s="18">
        <f>'Total Weekday Boardings'!AM34+'Total Saturday Boardings'!AM34+'Total Sunday-Holiday Boardings'!AM34</f>
        <v>51516</v>
      </c>
      <c r="AN34" s="18">
        <f>'Total Weekday Boardings'!AN34+'Total Saturday Boardings'!AN34+'Total Sunday-Holiday Boardings'!AN34</f>
        <v>48699</v>
      </c>
      <c r="AO34" s="18">
        <f>'Total Weekday Boardings'!AO34+'Total Saturday Boardings'!AO34+'Total Sunday-Holiday Boardings'!AO34</f>
        <v>54637</v>
      </c>
      <c r="AP34" s="18">
        <f>'Total Weekday Boardings'!AP34+'Total Saturday Boardings'!AP34+'Total Sunday-Holiday Boardings'!AP34</f>
        <v>54717</v>
      </c>
      <c r="AQ34" s="18">
        <f>'Total Weekday Boardings'!AQ34+'Total Saturday Boardings'!AQ34+'Total Sunday-Holiday Boardings'!AQ34</f>
        <v>51761</v>
      </c>
      <c r="AR34" s="19">
        <f>'Total Weekday Boardings'!AR34+'Total Saturday Boardings'!AR34+'Total Sunday-Holiday Boardings'!AR34</f>
        <v>50384</v>
      </c>
      <c r="AS34" s="17">
        <f>'Total Weekday Boardings'!AS34+'Total Saturday Boardings'!AS34+'Total Sunday-Holiday Boardings'!AS34</f>
        <v>48572</v>
      </c>
      <c r="AT34" s="18">
        <f>'Total Weekday Boardings'!AT34+'Total Saturday Boardings'!AT34+'Total Sunday-Holiday Boardings'!AT34</f>
        <v>53696</v>
      </c>
      <c r="AU34" s="18">
        <f>'Total Weekday Boardings'!AU34+'Total Saturday Boardings'!AU34+'Total Sunday-Holiday Boardings'!AU34</f>
        <v>52260</v>
      </c>
      <c r="AV34" s="18">
        <f>'Total Weekday Boardings'!AV34+'Total Saturday Boardings'!AV34+'Total Sunday-Holiday Boardings'!AV34</f>
        <v>61959</v>
      </c>
      <c r="AW34" s="18">
        <f>'Total Weekday Boardings'!AW34+'Total Saturday Boardings'!AW34+'Total Sunday-Holiday Boardings'!AW34</f>
        <v>56738</v>
      </c>
      <c r="AX34" s="18">
        <f>'Total Weekday Boardings'!AX34+'Total Saturday Boardings'!AX34+'Total Sunday-Holiday Boardings'!AX34</f>
        <v>52401</v>
      </c>
      <c r="AY34" s="18">
        <f>'Total Weekday Boardings'!AY34+'Total Saturday Boardings'!AY34+'Total Sunday-Holiday Boardings'!AY34</f>
        <v>56013</v>
      </c>
      <c r="AZ34" s="18">
        <f>'Total Weekday Boardings'!AZ34+'Total Saturday Boardings'!AZ34+'Total Sunday-Holiday Boardings'!AZ34</f>
        <v>53324</v>
      </c>
      <c r="BA34" s="18">
        <f>'Total Weekday Boardings'!BA34+'Total Saturday Boardings'!BA34+'Total Sunday-Holiday Boardings'!BA34</f>
        <v>60763</v>
      </c>
      <c r="BB34" s="18">
        <f>'Total Weekday Boardings'!BB34+'Total Saturday Boardings'!BB34+'Total Sunday-Holiday Boardings'!BB34</f>
        <v>58164</v>
      </c>
      <c r="BC34" s="18">
        <f>'Total Weekday Boardings'!BC34+'Total Saturday Boardings'!BC34+'Total Sunday-Holiday Boardings'!BC34</f>
        <v>55085</v>
      </c>
      <c r="BD34" s="19">
        <f>'Total Weekday Boardings'!BD34+'Total Saturday Boardings'!BD34+'Total Sunday-Holiday Boardings'!BD34</f>
        <v>46891</v>
      </c>
      <c r="BE34" s="17">
        <f>'Total Weekday Boardings'!BE34+'Total Saturday Boardings'!BE34+'Total Sunday-Holiday Boardings'!BE34</f>
        <v>48327</v>
      </c>
      <c r="BF34" s="18">
        <f>'Total Weekday Boardings'!BF34+'Total Saturday Boardings'!BF34+'Total Sunday-Holiday Boardings'!BF34</f>
        <v>50019</v>
      </c>
      <c r="BG34" s="18">
        <f>'Total Weekday Boardings'!BG34+'Total Saturday Boardings'!BG34+'Total Sunday-Holiday Boardings'!BG34</f>
        <v>52997</v>
      </c>
      <c r="BH34" s="18">
        <f>'Total Weekday Boardings'!BH34+'Total Saturday Boardings'!BH34+'Total Sunday-Holiday Boardings'!BH34</f>
        <v>56399</v>
      </c>
      <c r="BI34" s="18">
        <f>'Total Weekday Boardings'!BI34+'Total Saturday Boardings'!BI34+'Total Sunday-Holiday Boardings'!BI34</f>
        <v>54003.353409415213</v>
      </c>
      <c r="BJ34" s="18">
        <f>'Total Weekday Boardings'!BJ34+'Total Saturday Boardings'!BJ34+'Total Sunday-Holiday Boardings'!BJ34</f>
        <v>52857</v>
      </c>
      <c r="BK34" s="18">
        <f>'Total Weekday Boardings'!BK34+'Total Saturday Boardings'!BK34+'Total Sunday-Holiday Boardings'!BK34</f>
        <v>57211</v>
      </c>
      <c r="BL34" s="18">
        <f>'Total Weekday Boardings'!BL34+'Total Saturday Boardings'!BL34+'Total Sunday-Holiday Boardings'!BL34</f>
        <v>53807</v>
      </c>
      <c r="BM34" s="18">
        <f>'Total Weekday Boardings'!BM34+'Total Saturday Boardings'!BM34+'Total Sunday-Holiday Boardings'!BM34</f>
        <v>62530</v>
      </c>
      <c r="BN34" s="18">
        <f>'Total Weekday Boardings'!BN34+'Total Saturday Boardings'!BN34+'Total Sunday-Holiday Boardings'!BN34</f>
        <v>56713</v>
      </c>
      <c r="BO34" s="18">
        <f>'Total Weekday Boardings'!BO34+'Total Saturday Boardings'!BO34+'Total Sunday-Holiday Boardings'!BO34</f>
        <v>53462</v>
      </c>
      <c r="BP34" s="19">
        <f>'Total Weekday Boardings'!BP34+'Total Saturday Boardings'!BP34+'Total Sunday-Holiday Boardings'!BP34</f>
        <v>49764</v>
      </c>
      <c r="BQ34" s="17">
        <f>'Total Weekday Boardings'!BQ34+'Total Saturday Boardings'!BQ34+'Total Sunday-Holiday Boardings'!BQ34</f>
        <v>48233</v>
      </c>
      <c r="BR34" s="18">
        <f>'Total Weekday Boardings'!BR34+'Total Saturday Boardings'!BR34+'Total Sunday-Holiday Boardings'!BR34</f>
        <v>52100</v>
      </c>
      <c r="BS34" s="18">
        <f>'Total Weekday Boardings'!BS34+'Total Saturday Boardings'!BS34+'Total Sunday-Holiday Boardings'!BS34</f>
        <v>55143</v>
      </c>
      <c r="BT34" s="18">
        <f>'Total Weekday Boardings'!BT34+'Total Saturday Boardings'!BT34+'Total Sunday-Holiday Boardings'!BT34</f>
        <v>59397</v>
      </c>
      <c r="BU34" s="18">
        <f>'Total Weekday Boardings'!BU34+'Total Saturday Boardings'!BU34+'Total Sunday-Holiday Boardings'!BU34</f>
        <v>54602</v>
      </c>
      <c r="BV34" s="18">
        <f>'Total Weekday Boardings'!BV34+'Total Saturday Boardings'!BV34+'Total Sunday-Holiday Boardings'!BV34</f>
        <v>54193</v>
      </c>
      <c r="BW34" s="18">
        <f>'Total Weekday Boardings'!BW34+'Total Saturday Boardings'!BW34+'Total Sunday-Holiday Boardings'!BW34</f>
        <v>63597</v>
      </c>
      <c r="BX34" s="18">
        <f>'Total Weekday Boardings'!BX34+'Total Saturday Boardings'!BX34+'Total Sunday-Holiday Boardings'!BX34</f>
        <v>52160</v>
      </c>
      <c r="BY34" s="18">
        <f>'Total Weekday Boardings'!BY34+'Total Saturday Boardings'!BY34+'Total Sunday-Holiday Boardings'!BY34</f>
        <v>57722</v>
      </c>
      <c r="BZ34" s="18">
        <f>'Total Weekday Boardings'!BZ34+'Total Saturday Boardings'!BZ34+'Total Sunday-Holiday Boardings'!BZ34</f>
        <v>55596</v>
      </c>
      <c r="CA34" s="18">
        <f>'Total Weekday Boardings'!CA34+'Total Saturday Boardings'!CA34+'Total Sunday-Holiday Boardings'!CA34</f>
        <v>52697</v>
      </c>
      <c r="CB34" s="19">
        <f>'Total Weekday Boardings'!CB34+'Total Saturday Boardings'!CB34+'Total Sunday-Holiday Boardings'!CB34</f>
        <v>48863</v>
      </c>
      <c r="CC34" s="20">
        <f>'Total Weekday Boardings'!CC34+'Total Saturday Boardings'!CC34+'Total Sunday-Holiday Boardings'!CC34</f>
        <v>49330</v>
      </c>
      <c r="CD34" s="18">
        <f>'Total Weekday Boardings'!CD34+'Total Saturday Boardings'!CD34+'Total Sunday-Holiday Boardings'!CD34</f>
        <v>44293</v>
      </c>
      <c r="CE34" s="18">
        <f>'Total Weekday Boardings'!CE34+'Total Saturday Boardings'!CE34+'Total Sunday-Holiday Boardings'!CE34</f>
        <v>27619</v>
      </c>
      <c r="CF34" s="18">
        <f>'Total Weekday Boardings'!CF34+'Total Saturday Boardings'!CF34+'Total Sunday-Holiday Boardings'!CF34</f>
        <v>29381</v>
      </c>
      <c r="CG34" s="18">
        <f>'Total Weekday Boardings'!CG34+'Total Saturday Boardings'!CG34+'Total Sunday-Holiday Boardings'!CG34</f>
        <v>27112</v>
      </c>
      <c r="CH34" s="18">
        <f>'Total Weekday Boardings'!CH34+'Total Saturday Boardings'!CH34+'Total Sunday-Holiday Boardings'!CH34</f>
        <v>26507</v>
      </c>
      <c r="CI34" s="18">
        <f>'Total Weekday Boardings'!CI34+'Total Saturday Boardings'!CI34+'Total Sunday-Holiday Boardings'!CI34</f>
        <v>26489</v>
      </c>
      <c r="CJ34" s="18">
        <f>'Total Weekday Boardings'!CJ34+'Total Saturday Boardings'!CJ34+'Total Sunday-Holiday Boardings'!CJ34</f>
        <v>25538</v>
      </c>
      <c r="CK34" s="18">
        <f>'Total Weekday Boardings'!CK34+'Total Saturday Boardings'!CK34+'Total Sunday-Holiday Boardings'!CK34</f>
        <v>27640</v>
      </c>
      <c r="CL34" s="18">
        <f>'Total Weekday Boardings'!CL34+'Total Saturday Boardings'!CL34+'Total Sunday-Holiday Boardings'!CL34</f>
        <v>26725</v>
      </c>
      <c r="CM34" s="18">
        <f>'Total Weekday Boardings'!CM34+'Total Saturday Boardings'!CM34+'Total Sunday-Holiday Boardings'!CM34</f>
        <v>25154</v>
      </c>
      <c r="CN34" s="21">
        <f>'Total Weekday Boardings'!CN34+'Total Saturday Boardings'!CN34+'Total Sunday-Holiday Boardings'!CN34</f>
        <v>23416</v>
      </c>
      <c r="CO34" s="17">
        <f>'Total Weekday Boardings'!CO34+'Total Saturday Boardings'!CO34+'Total Sunday-Holiday Boardings'!CO34</f>
        <v>23405</v>
      </c>
      <c r="CP34" s="18">
        <f>'Total Weekday Boardings'!CP34+'Total Saturday Boardings'!CP34+'Total Sunday-Holiday Boardings'!CP34</f>
        <v>26156</v>
      </c>
      <c r="CQ34" s="18">
        <f>'Total Weekday Boardings'!CQ34+'Total Saturday Boardings'!CQ34+'Total Sunday-Holiday Boardings'!CQ34</f>
        <v>25066</v>
      </c>
      <c r="CR34" s="18">
        <f>'Total Weekday Boardings'!CR34+'Total Saturday Boardings'!CR34+'Total Sunday-Holiday Boardings'!CR34</f>
        <v>27155</v>
      </c>
      <c r="CS34" s="18">
        <f>'Total Weekday Boardings'!CS34+'Total Saturday Boardings'!CS34+'Total Sunday-Holiday Boardings'!CS34</f>
        <v>25606</v>
      </c>
      <c r="CT34" s="18">
        <f>'Total Weekday Boardings'!CT34+'Total Saturday Boardings'!CT34+'Total Sunday-Holiday Boardings'!CT34</f>
        <v>25819</v>
      </c>
      <c r="CU34" s="18">
        <f>'Total Weekday Boardings'!CU34+'Total Saturday Boardings'!CU34+'Total Sunday-Holiday Boardings'!CU34</f>
        <v>26692</v>
      </c>
      <c r="CV34" s="18">
        <f>'Total Weekday Boardings'!CV34+'Total Saturday Boardings'!CV34+'Total Sunday-Holiday Boardings'!CV34</f>
        <v>24539</v>
      </c>
      <c r="CW34" s="18">
        <f>'Total Weekday Boardings'!CW34+'Total Saturday Boardings'!CW34+'Total Sunday-Holiday Boardings'!CW34</f>
        <v>27346</v>
      </c>
      <c r="CX34" s="18">
        <f>'Total Weekday Boardings'!CX34+'Total Saturday Boardings'!CX34+'Total Sunday-Holiday Boardings'!CX34</f>
        <v>28142</v>
      </c>
      <c r="CY34" s="18">
        <f>'Total Weekday Boardings'!CY34+'Total Saturday Boardings'!CY34+'Total Sunday-Holiday Boardings'!CY34</f>
        <v>27364</v>
      </c>
      <c r="CZ34" s="19">
        <f>'Total Weekday Boardings'!CZ34+'Total Saturday Boardings'!CZ34+'Total Sunday-Holiday Boardings'!CZ34</f>
        <v>24746</v>
      </c>
      <c r="DA34" s="17">
        <f>'Total Weekday Boardings'!DA34+'Total Saturday Boardings'!DA34+'Total Sunday-Holiday Boardings'!DA34</f>
        <v>23470</v>
      </c>
      <c r="DB34" s="18">
        <f>'Total Weekday Boardings'!DB34+'Total Saturday Boardings'!DB34+'Total Sunday-Holiday Boardings'!DB34</f>
        <v>25515</v>
      </c>
      <c r="DC34" s="18">
        <f>'Total Weekday Boardings'!DC34+'Total Saturday Boardings'!DC34+'Total Sunday-Holiday Boardings'!DC34</f>
        <v>25124</v>
      </c>
      <c r="DD34" s="18">
        <f>'Total Weekday Boardings'!DD34+'Total Saturday Boardings'!DD34+'Total Sunday-Holiday Boardings'!DD34</f>
        <v>29660</v>
      </c>
      <c r="DE34" s="18">
        <f>'Total Weekday Boardings'!DE34+'Total Saturday Boardings'!DE34+'Total Sunday-Holiday Boardings'!DE34</f>
        <v>29874</v>
      </c>
      <c r="DF34" s="18">
        <f>'Total Weekday Boardings'!DF34+'Total Saturday Boardings'!DF34+'Total Sunday-Holiday Boardings'!DF34</f>
        <v>30170</v>
      </c>
      <c r="DG34" s="18">
        <f>'Total Weekday Boardings'!DG34+'Total Saturday Boardings'!DG34+'Total Sunday-Holiday Boardings'!DG34</f>
        <v>30937</v>
      </c>
      <c r="DH34" s="18">
        <f>'Total Weekday Boardings'!DH34+'Total Saturday Boardings'!DH34+'Total Sunday-Holiday Boardings'!DH34</f>
        <v>29106</v>
      </c>
      <c r="DI34" s="18">
        <f>'Total Weekday Boardings'!DI34+'Total Saturday Boardings'!DI34+'Total Sunday-Holiday Boardings'!DI34</f>
        <v>32817</v>
      </c>
      <c r="DJ34" s="18">
        <f>'Total Weekday Boardings'!DJ34+'Total Saturday Boardings'!DJ34+'Total Sunday-Holiday Boardings'!DJ34</f>
        <v>31748</v>
      </c>
      <c r="DK34" s="18">
        <f>'Total Weekday Boardings'!DK34+'Total Saturday Boardings'!DK34+'Total Sunday-Holiday Boardings'!DK34</f>
        <v>29617</v>
      </c>
      <c r="DL34" s="19">
        <f>'Total Weekday Boardings'!DL34+'Total Saturday Boardings'!DL34+'Total Sunday-Holiday Boardings'!DL34</f>
        <v>27588</v>
      </c>
      <c r="DM34" s="17">
        <f>'Total Weekday Boardings'!DM34+'Total Saturday Boardings'!DM34+'Total Sunday-Holiday Boardings'!DM34</f>
        <v>27079</v>
      </c>
      <c r="DN34" s="18">
        <f>'Total Weekday Boardings'!DN34+'Total Saturday Boardings'!DN34+'Total Sunday-Holiday Boardings'!DN34</f>
        <v>29578</v>
      </c>
      <c r="DO34" s="18">
        <f>'Total Weekday Boardings'!DO34+'Total Saturday Boardings'!DO34+'Total Sunday-Holiday Boardings'!DO34</f>
        <v>28023</v>
      </c>
      <c r="DP34" s="18">
        <f>'Total Weekday Boardings'!DP34+'Total Saturday Boardings'!DP34+'Total Sunday-Holiday Boardings'!DP34</f>
        <v>31960</v>
      </c>
      <c r="DQ34" s="18">
        <f>'Total Weekday Boardings'!DQ34+'Total Saturday Boardings'!DQ34+'Total Sunday-Holiday Boardings'!DQ34</f>
        <v>30373</v>
      </c>
      <c r="DR34" s="18">
        <f>'Total Weekday Boardings'!DR34+'Total Saturday Boardings'!DR34+'Total Sunday-Holiday Boardings'!DR34</f>
        <v>28356</v>
      </c>
      <c r="DS34" s="18">
        <f>'Total Weekday Boardings'!DS34+'Total Saturday Boardings'!DS34+'Total Sunday-Holiday Boardings'!DS34</f>
        <v>30563</v>
      </c>
      <c r="DT34" s="18">
        <f>'Total Weekday Boardings'!DT34+'Total Saturday Boardings'!DT34+'Total Sunday-Holiday Boardings'!DT34</f>
        <v>26975</v>
      </c>
      <c r="DU34" s="18">
        <f>'Total Weekday Boardings'!DU34+'Total Saturday Boardings'!DU34+'Total Sunday-Holiday Boardings'!DU34</f>
        <v>30588</v>
      </c>
      <c r="DV34" s="18">
        <f>'Total Weekday Boardings'!DV34+'Total Saturday Boardings'!DV34+'Total Sunday-Holiday Boardings'!DV34</f>
        <v>7849</v>
      </c>
      <c r="DW34" s="18">
        <f>'Total Weekday Boardings'!DW34+'Total Saturday Boardings'!DW34+'Total Sunday-Holiday Boardings'!DW34</f>
        <v>26621</v>
      </c>
      <c r="DX34" s="19">
        <f>'Total Weekday Boardings'!DX34+'Total Saturday Boardings'!DX34+'Total Sunday-Holiday Boardings'!DX34</f>
        <v>26389</v>
      </c>
      <c r="DY34" s="137">
        <v>26248</v>
      </c>
      <c r="DZ34" s="18">
        <v>28165</v>
      </c>
      <c r="EA34" s="18">
        <v>27877</v>
      </c>
      <c r="EB34" s="18">
        <v>32436</v>
      </c>
      <c r="EC34" s="18">
        <v>30753</v>
      </c>
      <c r="ED34" s="18">
        <v>27812</v>
      </c>
      <c r="EE34" s="18">
        <v>28010</v>
      </c>
      <c r="EF34" s="18">
        <v>28589</v>
      </c>
      <c r="EG34" s="18">
        <v>24397</v>
      </c>
      <c r="EH34" s="18">
        <v>15170</v>
      </c>
      <c r="EI34" s="18">
        <v>13965</v>
      </c>
      <c r="EJ34" s="19">
        <v>12460</v>
      </c>
      <c r="EK34" s="100">
        <v>12167</v>
      </c>
      <c r="EL34" s="18">
        <v>13064</v>
      </c>
      <c r="EM34" s="18">
        <v>12833</v>
      </c>
      <c r="EN34" s="103">
        <v>14643</v>
      </c>
      <c r="EO34" s="18">
        <v>13007</v>
      </c>
      <c r="EP34" s="18">
        <v>10697</v>
      </c>
      <c r="EQ34" s="18">
        <v>6133</v>
      </c>
      <c r="ER34" s="18">
        <v>11511</v>
      </c>
      <c r="ES34" s="18">
        <v>12942</v>
      </c>
      <c r="ET34" s="18">
        <v>13192</v>
      </c>
      <c r="EU34" s="18">
        <v>12292</v>
      </c>
      <c r="EV34" s="19">
        <v>12636</v>
      </c>
      <c r="EW34" s="103">
        <v>13007</v>
      </c>
      <c r="EX34" s="18">
        <v>13416</v>
      </c>
      <c r="EY34" s="18">
        <v>13900</v>
      </c>
      <c r="EZ34" s="103">
        <v>14325</v>
      </c>
      <c r="FA34" s="18">
        <v>14467</v>
      </c>
      <c r="FB34" s="145">
        <v>13935</v>
      </c>
      <c r="FC34" s="18">
        <v>12831</v>
      </c>
      <c r="FD34" s="18">
        <v>14681</v>
      </c>
      <c r="FE34" s="18">
        <v>17162</v>
      </c>
      <c r="FF34" s="18">
        <v>15593</v>
      </c>
      <c r="FG34" s="13">
        <f>SUM('Total Weekday Boardings'!FG34,'Total Saturday Boardings'!FG34,'Total Sunday-Holiday Boardings'!FG34)</f>
        <v>14359</v>
      </c>
      <c r="FH34" s="13">
        <f>SUM('Total Weekday Boardings'!FH34,'Total Saturday Boardings'!FH34,'Total Sunday-Holiday Boardings'!FH34)</f>
        <v>12063</v>
      </c>
      <c r="FI34" s="13">
        <f>SUM('Total Weekday Boardings'!FI34,'Total Saturday Boardings'!FI34,'Total Sunday-Holiday Boardings'!FI34)</f>
        <v>13368</v>
      </c>
      <c r="FJ34" s="13">
        <f>SUM('Total Weekday Boardings'!FJ34,'Total Saturday Boardings'!FJ34,'Total Sunday-Holiday Boardings'!FJ34)</f>
        <v>13407</v>
      </c>
      <c r="FK34" s="13">
        <f>SUM('Total Weekday Boardings'!FK34,'Total Saturday Boardings'!FK34,'Total Sunday-Holiday Boardings'!FK34)</f>
        <v>14407.25</v>
      </c>
      <c r="FL34" s="13">
        <f>SUM('Total Weekday Boardings'!FL34,'Total Saturday Boardings'!FL34,'Total Sunday-Holiday Boardings'!FL34)</f>
        <v>14944</v>
      </c>
      <c r="FM34" s="13">
        <f>SUM('Total Weekday Boardings'!FM34,'Total Saturday Boardings'!FM34,'Total Sunday-Holiday Boardings'!FM34)</f>
        <v>14667</v>
      </c>
      <c r="FN34" s="13">
        <f>SUM('Total Weekday Boardings'!FN34,'Total Saturday Boardings'!FN34,'Total Sunday-Holiday Boardings'!FN34)</f>
        <v>14796</v>
      </c>
      <c r="FO34" s="13">
        <f>SUM('Total Weekday Boardings'!FO34,'Total Saturday Boardings'!FO34,'Total Sunday-Holiday Boardings'!FO34)</f>
        <v>17071</v>
      </c>
      <c r="FP34" s="13">
        <f>SUM('Total Weekday Boardings'!FP34,'Total Saturday Boardings'!FP34,'Total Sunday-Holiday Boardings'!FP34)</f>
        <v>14017</v>
      </c>
      <c r="FQ34" s="13">
        <f>SUM('Total Weekday Boardings'!FQ34,'Total Saturday Boardings'!FQ34,'Total Sunday-Holiday Boardings'!FQ34)</f>
        <v>20109</v>
      </c>
      <c r="FR34" s="13">
        <f>SUM('Total Weekday Boardings'!FR34,'Total Saturday Boardings'!FR34,'Total Sunday-Holiday Boardings'!FR34)</f>
        <v>18617</v>
      </c>
      <c r="FS34" s="13">
        <f>SUM('Total Weekday Boardings'!FS34,'Total Saturday Boardings'!FS34,'Total Sunday-Holiday Boardings'!FS34)</f>
        <v>18899</v>
      </c>
      <c r="FT34" s="16">
        <f>SUM('Total Weekday Boardings'!FT34,'Total Saturday Boardings'!FT34,'Total Sunday-Holiday Boardings'!FT34)</f>
        <v>17386</v>
      </c>
      <c r="FU34" s="171">
        <v>17362</v>
      </c>
      <c r="FV34" s="171">
        <v>18798</v>
      </c>
      <c r="FW34" s="171">
        <v>17011</v>
      </c>
      <c r="FX34" s="171">
        <v>19757</v>
      </c>
      <c r="FY34" s="171">
        <v>18219</v>
      </c>
      <c r="FZ34" s="171">
        <v>18586</v>
      </c>
      <c r="GA34" s="171">
        <v>18923</v>
      </c>
      <c r="GB34" s="52">
        <v>17890</v>
      </c>
      <c r="GC34" s="52">
        <v>19026</v>
      </c>
      <c r="GD34" s="52">
        <v>17802</v>
      </c>
      <c r="GE34" s="18">
        <v>16473</v>
      </c>
      <c r="GF34" s="52">
        <v>15419</v>
      </c>
      <c r="GG34" s="184">
        <v>16123</v>
      </c>
      <c r="GH34" s="52">
        <v>16749</v>
      </c>
      <c r="GI34" s="18">
        <v>16212</v>
      </c>
      <c r="GJ34" s="236">
        <v>16829</v>
      </c>
      <c r="GK34" s="184">
        <v>15107</v>
      </c>
      <c r="GL34" s="184">
        <v>13572</v>
      </c>
    </row>
    <row r="35" spans="1:194" ht="15" thickBot="1" x14ac:dyDescent="0.35">
      <c r="A35" s="3" t="s">
        <v>17</v>
      </c>
      <c r="B35" s="17"/>
      <c r="C35" s="18">
        <f>'Total Weekday Boardings'!C35+'Total Saturday Boardings'!C35+'Total Sunday-Holiday Boardings'!C35</f>
        <v>9513</v>
      </c>
      <c r="D35" s="18">
        <f>'Total Weekday Boardings'!D35+'Total Saturday Boardings'!D35+'Total Sunday-Holiday Boardings'!D35</f>
        <v>9300</v>
      </c>
      <c r="E35" s="18">
        <f>'Total Weekday Boardings'!E35+'Total Saturday Boardings'!E35+'Total Sunday-Holiday Boardings'!E35</f>
        <v>6722</v>
      </c>
      <c r="F35" s="18">
        <f>'Total Weekday Boardings'!F35+'Total Saturday Boardings'!F35+'Total Sunday-Holiday Boardings'!F35</f>
        <v>4835</v>
      </c>
      <c r="G35" s="18">
        <f>'Total Weekday Boardings'!G35+'Total Saturday Boardings'!G35+'Total Sunday-Holiday Boardings'!G35</f>
        <v>8110</v>
      </c>
      <c r="H35" s="19">
        <f>'Total Weekday Boardings'!H35+'Total Saturday Boardings'!H35+'Total Sunday-Holiday Boardings'!H35</f>
        <v>7026</v>
      </c>
      <c r="I35" s="17">
        <f>'Total Weekday Boardings'!I35+'Total Saturday Boardings'!I35+'Total Sunday-Holiday Boardings'!I35</f>
        <v>7625</v>
      </c>
      <c r="J35" s="18">
        <f>'Total Weekday Boardings'!J35+'Total Saturday Boardings'!J35+'Total Sunday-Holiday Boardings'!J35</f>
        <v>6903</v>
      </c>
      <c r="K35" s="18">
        <f>'Total Weekday Boardings'!K35+'Total Saturday Boardings'!K35+'Total Sunday-Holiday Boardings'!K35</f>
        <v>9159</v>
      </c>
      <c r="L35" s="18">
        <f>'Total Weekday Boardings'!L35+'Total Saturday Boardings'!L35+'Total Sunday-Holiday Boardings'!L35</f>
        <v>9126</v>
      </c>
      <c r="M35" s="18">
        <f>'Total Weekday Boardings'!M35+'Total Saturday Boardings'!M35+'Total Sunday-Holiday Boardings'!M35</f>
        <v>8150</v>
      </c>
      <c r="N35" s="18">
        <f>'Total Weekday Boardings'!N35+'Total Saturday Boardings'!N35+'Total Sunday-Holiday Boardings'!N35</f>
        <v>7379</v>
      </c>
      <c r="O35" s="62">
        <f>'Total Weekday Boardings'!O35+'Total Saturday Boardings'!O35+'Total Sunday-Holiday Boardings'!O35</f>
        <v>7092</v>
      </c>
      <c r="P35" s="62">
        <f>'Total Weekday Boardings'!P35+'Total Saturday Boardings'!P35+'Total Sunday-Holiday Boardings'!P35</f>
        <v>8810</v>
      </c>
      <c r="Q35" s="62">
        <f>'Total Weekday Boardings'!Q35+'Total Saturday Boardings'!Q35+'Total Sunday-Holiday Boardings'!Q35</f>
        <v>9651</v>
      </c>
      <c r="R35" s="62">
        <f>'Total Weekday Boardings'!R35+'Total Saturday Boardings'!R35+'Total Sunday-Holiday Boardings'!R35</f>
        <v>9111</v>
      </c>
      <c r="S35" s="62">
        <f>'Total Weekday Boardings'!S35+'Total Saturday Boardings'!S35+'Total Sunday-Holiday Boardings'!S35</f>
        <v>6823</v>
      </c>
      <c r="T35" s="63">
        <f>'Total Weekday Boardings'!T35+'Total Saturday Boardings'!T35+'Total Sunday-Holiday Boardings'!T35</f>
        <v>4878</v>
      </c>
      <c r="U35" s="64">
        <f>'Total Weekday Boardings'!U35+'Total Saturday Boardings'!U35+'Total Sunday-Holiday Boardings'!U35</f>
        <v>5410</v>
      </c>
      <c r="V35" s="62">
        <f>'Total Weekday Boardings'!V35+'Total Saturday Boardings'!V35+'Total Sunday-Holiday Boardings'!V35</f>
        <v>6166</v>
      </c>
      <c r="W35" s="62">
        <f>'Total Weekday Boardings'!W35+'Total Saturday Boardings'!W35+'Total Sunday-Holiday Boardings'!W35</f>
        <v>8484</v>
      </c>
      <c r="X35" s="62">
        <f>'Total Weekday Boardings'!X35+'Total Saturday Boardings'!X35+'Total Sunday-Holiday Boardings'!X35</f>
        <v>7918</v>
      </c>
      <c r="Y35" s="62">
        <f>'Total Weekday Boardings'!Y35+'Total Saturday Boardings'!Y35+'Total Sunday-Holiday Boardings'!Y35</f>
        <v>7148</v>
      </c>
      <c r="Z35" s="62">
        <f>'Total Weekday Boardings'!Z35+'Total Saturday Boardings'!Z35+'Total Sunday-Holiday Boardings'!Z35</f>
        <v>5666</v>
      </c>
      <c r="AA35" s="18">
        <f>'Total Weekday Boardings'!AA35+'Total Saturday Boardings'!AA35+'Total Sunday-Holiday Boardings'!AA35</f>
        <v>7233</v>
      </c>
      <c r="AB35" s="18">
        <f>'Total Weekday Boardings'!AB35+'Total Saturday Boardings'!AB35+'Total Sunday-Holiday Boardings'!AB35</f>
        <v>8021</v>
      </c>
      <c r="AC35" s="18">
        <f>'Total Weekday Boardings'!AC35+'Total Saturday Boardings'!AC35+'Total Sunday-Holiday Boardings'!AC35</f>
        <v>8551</v>
      </c>
      <c r="AD35" s="18">
        <f>'Total Weekday Boardings'!AD35+'Total Saturday Boardings'!AD35+'Total Sunday-Holiday Boardings'!AD35</f>
        <v>8494</v>
      </c>
      <c r="AE35" s="18">
        <f>'Total Weekday Boardings'!AE35+'Total Saturday Boardings'!AE35+'Total Sunday-Holiday Boardings'!AE35</f>
        <v>6428</v>
      </c>
      <c r="AF35" s="19">
        <f>'Total Weekday Boardings'!AF35+'Total Saturday Boardings'!AF35+'Total Sunday-Holiday Boardings'!AF35</f>
        <v>5235</v>
      </c>
      <c r="AG35" s="17">
        <f>'Total Weekday Boardings'!AG35+'Total Saturday Boardings'!AG35+'Total Sunday-Holiday Boardings'!AG35</f>
        <v>6088</v>
      </c>
      <c r="AH35" s="18">
        <f>'Total Weekday Boardings'!AH35+'Total Saturday Boardings'!AH35+'Total Sunday-Holiday Boardings'!AH35</f>
        <v>6865</v>
      </c>
      <c r="AI35" s="18">
        <f>'Total Weekday Boardings'!AI35+'Total Saturday Boardings'!AI35+'Total Sunday-Holiday Boardings'!AI35</f>
        <v>9368</v>
      </c>
      <c r="AJ35" s="18">
        <f>'Total Weekday Boardings'!AJ35+'Total Saturday Boardings'!AJ35+'Total Sunday-Holiday Boardings'!AJ35</f>
        <v>10127</v>
      </c>
      <c r="AK35" s="18">
        <f>'Total Weekday Boardings'!AK35+'Total Saturday Boardings'!AK35+'Total Sunday-Holiday Boardings'!AK35</f>
        <v>8426</v>
      </c>
      <c r="AL35" s="18">
        <f>'Total Weekday Boardings'!AL35+'Total Saturday Boardings'!AL35+'Total Sunday-Holiday Boardings'!AL35</f>
        <v>6756</v>
      </c>
      <c r="AM35" s="18">
        <f>'Total Weekday Boardings'!AM35+'Total Saturday Boardings'!AM35+'Total Sunday-Holiday Boardings'!AM35</f>
        <v>8873</v>
      </c>
      <c r="AN35" s="18">
        <f>'Total Weekday Boardings'!AN35+'Total Saturday Boardings'!AN35+'Total Sunday-Holiday Boardings'!AN35</f>
        <v>8157</v>
      </c>
      <c r="AO35" s="18">
        <f>'Total Weekday Boardings'!AO35+'Total Saturday Boardings'!AO35+'Total Sunday-Holiday Boardings'!AO35</f>
        <v>7846</v>
      </c>
      <c r="AP35" s="18">
        <f>'Total Weekday Boardings'!AP35+'Total Saturday Boardings'!AP35+'Total Sunday-Holiday Boardings'!AP35</f>
        <v>8163</v>
      </c>
      <c r="AQ35" s="18">
        <f>'Total Weekday Boardings'!AQ35+'Total Saturday Boardings'!AQ35+'Total Sunday-Holiday Boardings'!AQ35</f>
        <v>6206</v>
      </c>
      <c r="AR35" s="19">
        <f>'Total Weekday Boardings'!AR35+'Total Saturday Boardings'!AR35+'Total Sunday-Holiday Boardings'!AR35</f>
        <v>5536</v>
      </c>
      <c r="AS35" s="17">
        <f>'Total Weekday Boardings'!AS35+'Total Saturday Boardings'!AS35+'Total Sunday-Holiday Boardings'!AS35</f>
        <v>6155</v>
      </c>
      <c r="AT35" s="18">
        <f>'Total Weekday Boardings'!AT35+'Total Saturday Boardings'!AT35+'Total Sunday-Holiday Boardings'!AT35</f>
        <v>7151</v>
      </c>
      <c r="AU35" s="18">
        <f>'Total Weekday Boardings'!AU35+'Total Saturday Boardings'!AU35+'Total Sunday-Holiday Boardings'!AU35</f>
        <v>9020</v>
      </c>
      <c r="AV35" s="18">
        <f>'Total Weekday Boardings'!AV35+'Total Saturday Boardings'!AV35+'Total Sunday-Holiday Boardings'!AV35</f>
        <v>10582</v>
      </c>
      <c r="AW35" s="18">
        <f>'Total Weekday Boardings'!AW35+'Total Saturday Boardings'!AW35+'Total Sunday-Holiday Boardings'!AW35</f>
        <v>8704</v>
      </c>
      <c r="AX35" s="18">
        <f>'Total Weekday Boardings'!AX35+'Total Saturday Boardings'!AX35+'Total Sunday-Holiday Boardings'!AX35</f>
        <v>7475</v>
      </c>
      <c r="AY35" s="18">
        <f>'Total Weekday Boardings'!AY35+'Total Saturday Boardings'!AY35+'Total Sunday-Holiday Boardings'!AY35</f>
        <v>8637</v>
      </c>
      <c r="AZ35" s="18">
        <f>'Total Weekday Boardings'!AZ35+'Total Saturday Boardings'!AZ35+'Total Sunday-Holiday Boardings'!AZ35</f>
        <v>8659</v>
      </c>
      <c r="BA35" s="18">
        <f>'Total Weekday Boardings'!BA35+'Total Saturday Boardings'!BA35+'Total Sunday-Holiday Boardings'!BA35</f>
        <v>8897</v>
      </c>
      <c r="BB35" s="18">
        <f>'Total Weekday Boardings'!BB35+'Total Saturday Boardings'!BB35+'Total Sunday-Holiday Boardings'!BB35</f>
        <v>9992</v>
      </c>
      <c r="BC35" s="18">
        <f>'Total Weekday Boardings'!BC35+'Total Saturday Boardings'!BC35+'Total Sunday-Holiday Boardings'!BC35</f>
        <v>6787</v>
      </c>
      <c r="BD35" s="19">
        <f>'Total Weekday Boardings'!BD35+'Total Saturday Boardings'!BD35+'Total Sunday-Holiday Boardings'!BD35</f>
        <v>5345</v>
      </c>
      <c r="BE35" s="17">
        <f>'Total Weekday Boardings'!BE35+'Total Saturday Boardings'!BE35+'Total Sunday-Holiday Boardings'!BE35</f>
        <v>6566</v>
      </c>
      <c r="BF35" s="18">
        <f>'Total Weekday Boardings'!BF35+'Total Saturday Boardings'!BF35+'Total Sunday-Holiday Boardings'!BF35</f>
        <v>7166</v>
      </c>
      <c r="BG35" s="18">
        <f>'Total Weekday Boardings'!BG35+'Total Saturday Boardings'!BG35+'Total Sunday-Holiday Boardings'!BG35</f>
        <v>9547</v>
      </c>
      <c r="BH35" s="18">
        <f>'Total Weekday Boardings'!BH35+'Total Saturday Boardings'!BH35+'Total Sunday-Holiday Boardings'!BH35</f>
        <v>10833</v>
      </c>
      <c r="BI35" s="18">
        <f>'Total Weekday Boardings'!BI35+'Total Saturday Boardings'!BI35+'Total Sunday-Holiday Boardings'!BI35</f>
        <v>9703.3002403211776</v>
      </c>
      <c r="BJ35" s="18">
        <f>'Total Weekday Boardings'!BJ35+'Total Saturday Boardings'!BJ35+'Total Sunday-Holiday Boardings'!BJ35</f>
        <v>7553</v>
      </c>
      <c r="BK35" s="18">
        <f>'Total Weekday Boardings'!BK35+'Total Saturday Boardings'!BK35+'Total Sunday-Holiday Boardings'!BK35</f>
        <v>9518</v>
      </c>
      <c r="BL35" s="18">
        <f>'Total Weekday Boardings'!BL35+'Total Saturday Boardings'!BL35+'Total Sunday-Holiday Boardings'!BL35</f>
        <v>9871</v>
      </c>
      <c r="BM35" s="18">
        <f>'Total Weekday Boardings'!BM35+'Total Saturday Boardings'!BM35+'Total Sunday-Holiday Boardings'!BM35</f>
        <v>10170</v>
      </c>
      <c r="BN35" s="18">
        <f>'Total Weekday Boardings'!BN35+'Total Saturday Boardings'!BN35+'Total Sunday-Holiday Boardings'!BN35</f>
        <v>10102</v>
      </c>
      <c r="BO35" s="18">
        <f>'Total Weekday Boardings'!BO35+'Total Saturday Boardings'!BO35+'Total Sunday-Holiday Boardings'!BO35</f>
        <v>7534</v>
      </c>
      <c r="BP35" s="19">
        <f>'Total Weekday Boardings'!BP35+'Total Saturday Boardings'!BP35+'Total Sunday-Holiday Boardings'!BP35</f>
        <v>6429</v>
      </c>
      <c r="BQ35" s="17">
        <f>'Total Weekday Boardings'!BQ35+'Total Saturday Boardings'!BQ35+'Total Sunday-Holiday Boardings'!BQ35</f>
        <v>6659</v>
      </c>
      <c r="BR35" s="18">
        <f>'Total Weekday Boardings'!BR35+'Total Saturday Boardings'!BR35+'Total Sunday-Holiday Boardings'!BR35</f>
        <v>8746</v>
      </c>
      <c r="BS35" s="18">
        <f>'Total Weekday Boardings'!BS35+'Total Saturday Boardings'!BS35+'Total Sunday-Holiday Boardings'!BS35</f>
        <v>11417</v>
      </c>
      <c r="BT35" s="18">
        <f>'Total Weekday Boardings'!BT35+'Total Saturday Boardings'!BT35+'Total Sunday-Holiday Boardings'!BT35</f>
        <v>12058</v>
      </c>
      <c r="BU35" s="18">
        <f>'Total Weekday Boardings'!BU35+'Total Saturday Boardings'!BU35+'Total Sunday-Holiday Boardings'!BU35</f>
        <v>11159</v>
      </c>
      <c r="BV35" s="18">
        <f>'Total Weekday Boardings'!BV35+'Total Saturday Boardings'!BV35+'Total Sunday-Holiday Boardings'!BV35</f>
        <v>7636</v>
      </c>
      <c r="BW35" s="18">
        <f>'Total Weekday Boardings'!BW35+'Total Saturday Boardings'!BW35+'Total Sunday-Holiday Boardings'!BW35</f>
        <v>10712</v>
      </c>
      <c r="BX35" s="18">
        <f>'Total Weekday Boardings'!BX35+'Total Saturday Boardings'!BX35+'Total Sunday-Holiday Boardings'!BX35</f>
        <v>9217</v>
      </c>
      <c r="BY35" s="18">
        <f>'Total Weekday Boardings'!BY35+'Total Saturday Boardings'!BY35+'Total Sunday-Holiday Boardings'!BY35</f>
        <v>9377</v>
      </c>
      <c r="BZ35" s="18">
        <f>'Total Weekday Boardings'!BZ35+'Total Saturday Boardings'!BZ35+'Total Sunday-Holiday Boardings'!BZ35</f>
        <v>10169</v>
      </c>
      <c r="CA35" s="18">
        <f>'Total Weekday Boardings'!CA35+'Total Saturday Boardings'!CA35+'Total Sunday-Holiday Boardings'!CA35</f>
        <v>6704</v>
      </c>
      <c r="CB35" s="19">
        <f>'Total Weekday Boardings'!CB35+'Total Saturday Boardings'!CB35+'Total Sunday-Holiday Boardings'!CB35</f>
        <v>5791</v>
      </c>
      <c r="CC35" s="20">
        <f>'Total Weekday Boardings'!CC35+'Total Saturday Boardings'!CC35+'Total Sunday-Holiday Boardings'!CC35</f>
        <v>6419</v>
      </c>
      <c r="CD35" s="18">
        <f>'Total Weekday Boardings'!CD35+'Total Saturday Boardings'!CD35+'Total Sunday-Holiday Boardings'!CD35</f>
        <v>7747</v>
      </c>
      <c r="CE35" s="18">
        <f>'Total Weekday Boardings'!CE35+'Total Saturday Boardings'!CE35+'Total Sunday-Holiday Boardings'!CE35</f>
        <v>10362</v>
      </c>
      <c r="CF35" s="18">
        <f>'Total Weekday Boardings'!CF35+'Total Saturday Boardings'!CF35+'Total Sunday-Holiday Boardings'!CF35</f>
        <v>11265</v>
      </c>
      <c r="CG35" s="18">
        <f>'Total Weekday Boardings'!CG35+'Total Saturday Boardings'!CG35+'Total Sunday-Holiday Boardings'!CG35</f>
        <v>9606</v>
      </c>
      <c r="CH35" s="18">
        <f>'Total Weekday Boardings'!CH35+'Total Saturday Boardings'!CH35+'Total Sunday-Holiday Boardings'!CH35</f>
        <v>7737</v>
      </c>
      <c r="CI35" s="18">
        <f>'Total Weekday Boardings'!CI35+'Total Saturday Boardings'!CI35+'Total Sunday-Holiday Boardings'!CI35</f>
        <v>8612</v>
      </c>
      <c r="CJ35" s="18">
        <f>'Total Weekday Boardings'!CJ35+'Total Saturday Boardings'!CJ35+'Total Sunday-Holiday Boardings'!CJ35</f>
        <v>8629</v>
      </c>
      <c r="CK35" s="18">
        <f>'Total Weekday Boardings'!CK35+'Total Saturday Boardings'!CK35+'Total Sunday-Holiday Boardings'!CK35</f>
        <v>8821</v>
      </c>
      <c r="CL35" s="18">
        <f>'Total Weekday Boardings'!CL35+'Total Saturday Boardings'!CL35+'Total Sunday-Holiday Boardings'!CL35</f>
        <v>9168</v>
      </c>
      <c r="CM35" s="18">
        <f>'Total Weekday Boardings'!CM35+'Total Saturday Boardings'!CM35+'Total Sunday-Holiday Boardings'!CM35</f>
        <v>6998</v>
      </c>
      <c r="CN35" s="21">
        <f>'Total Weekday Boardings'!CN35+'Total Saturday Boardings'!CN35+'Total Sunday-Holiday Boardings'!CN35</f>
        <v>5644</v>
      </c>
      <c r="CO35" s="17">
        <f>'Total Weekday Boardings'!CO35+'Total Saturday Boardings'!CO35+'Total Sunday-Holiday Boardings'!CO35</f>
        <v>6088</v>
      </c>
      <c r="CP35" s="18">
        <f>'Total Weekday Boardings'!CP35+'Total Saturday Boardings'!CP35+'Total Sunday-Holiday Boardings'!CP35</f>
        <v>7642</v>
      </c>
      <c r="CQ35" s="18">
        <f>'Total Weekday Boardings'!CQ35+'Total Saturday Boardings'!CQ35+'Total Sunday-Holiday Boardings'!CQ35</f>
        <v>8650</v>
      </c>
      <c r="CR35" s="18">
        <f>'Total Weekday Boardings'!CR35+'Total Saturday Boardings'!CR35+'Total Sunday-Holiday Boardings'!CR35</f>
        <v>8906</v>
      </c>
      <c r="CS35" s="18">
        <f>'Total Weekday Boardings'!CS35+'Total Saturday Boardings'!CS35+'Total Sunday-Holiday Boardings'!CS35</f>
        <v>7864</v>
      </c>
      <c r="CT35" s="18">
        <f>'Total Weekday Boardings'!CT35+'Total Saturday Boardings'!CT35+'Total Sunday-Holiday Boardings'!CT35</f>
        <v>6358</v>
      </c>
      <c r="CU35" s="18">
        <f>'Total Weekday Boardings'!CU35+'Total Saturday Boardings'!CU35+'Total Sunday-Holiday Boardings'!CU35</f>
        <v>7689</v>
      </c>
      <c r="CV35" s="18">
        <f>'Total Weekday Boardings'!CV35+'Total Saturday Boardings'!CV35+'Total Sunday-Holiday Boardings'!CV35</f>
        <v>7099</v>
      </c>
      <c r="CW35" s="18">
        <f>'Total Weekday Boardings'!CW35+'Total Saturday Boardings'!CW35+'Total Sunday-Holiday Boardings'!CW35</f>
        <v>8031</v>
      </c>
      <c r="CX35" s="18">
        <f>'Total Weekday Boardings'!CX35+'Total Saturday Boardings'!CX35+'Total Sunday-Holiday Boardings'!CX35</f>
        <v>9034</v>
      </c>
      <c r="CY35" s="18">
        <f>'Total Weekday Boardings'!CY35+'Total Saturday Boardings'!CY35+'Total Sunday-Holiday Boardings'!CY35</f>
        <v>6821</v>
      </c>
      <c r="CZ35" s="19">
        <f>'Total Weekday Boardings'!CZ35+'Total Saturday Boardings'!CZ35+'Total Sunday-Holiday Boardings'!CZ35</f>
        <v>6318</v>
      </c>
      <c r="DA35" s="17">
        <f>'Total Weekday Boardings'!DA35+'Total Saturday Boardings'!DA35+'Total Sunday-Holiday Boardings'!DA35</f>
        <v>6337</v>
      </c>
      <c r="DB35" s="18">
        <f>'Total Weekday Boardings'!DB35+'Total Saturday Boardings'!DB35+'Total Sunday-Holiday Boardings'!DB35</f>
        <v>7700</v>
      </c>
      <c r="DC35" s="18">
        <f>'Total Weekday Boardings'!DC35+'Total Saturday Boardings'!DC35+'Total Sunday-Holiday Boardings'!DC35</f>
        <v>7347</v>
      </c>
      <c r="DD35" s="18">
        <f>'Total Weekday Boardings'!DD35+'Total Saturday Boardings'!DD35+'Total Sunday-Holiday Boardings'!DD35</f>
        <v>8542</v>
      </c>
      <c r="DE35" s="18">
        <f>'Total Weekday Boardings'!DE35+'Total Saturday Boardings'!DE35+'Total Sunday-Holiday Boardings'!DE35</f>
        <v>8155</v>
      </c>
      <c r="DF35" s="18">
        <f>'Total Weekday Boardings'!DF35+'Total Saturday Boardings'!DF35+'Total Sunday-Holiday Boardings'!DF35</f>
        <v>7628</v>
      </c>
      <c r="DG35" s="18">
        <f>'Total Weekday Boardings'!DG35+'Total Saturday Boardings'!DG35+'Total Sunday-Holiday Boardings'!DG35</f>
        <v>7993</v>
      </c>
      <c r="DH35" s="18">
        <f>'Total Weekday Boardings'!DH35+'Total Saturday Boardings'!DH35+'Total Sunday-Holiday Boardings'!DH35</f>
        <v>7573</v>
      </c>
      <c r="DI35" s="18">
        <f>'Total Weekday Boardings'!DI35+'Total Saturday Boardings'!DI35+'Total Sunday-Holiday Boardings'!DI35</f>
        <v>8213</v>
      </c>
      <c r="DJ35" s="18">
        <f>'Total Weekday Boardings'!DJ35+'Total Saturday Boardings'!DJ35+'Total Sunday-Holiday Boardings'!DJ35</f>
        <v>7657</v>
      </c>
      <c r="DK35" s="18">
        <f>'Total Weekday Boardings'!DK35+'Total Saturday Boardings'!DK35+'Total Sunday-Holiday Boardings'!DK35</f>
        <v>6819</v>
      </c>
      <c r="DL35" s="19">
        <f>'Total Weekday Boardings'!DL35+'Total Saturday Boardings'!DL35+'Total Sunday-Holiday Boardings'!DL35</f>
        <v>5994</v>
      </c>
      <c r="DM35" s="17">
        <f>'Total Weekday Boardings'!DM35+'Total Saturday Boardings'!DM35+'Total Sunday-Holiday Boardings'!DM35</f>
        <v>6728</v>
      </c>
      <c r="DN35" s="18">
        <f>'Total Weekday Boardings'!DN35+'Total Saturday Boardings'!DN35+'Total Sunday-Holiday Boardings'!DN35</f>
        <v>6866</v>
      </c>
      <c r="DO35" s="18">
        <f>'Total Weekday Boardings'!DO35+'Total Saturday Boardings'!DO35+'Total Sunday-Holiday Boardings'!DO35</f>
        <v>7169</v>
      </c>
      <c r="DP35" s="18">
        <f>'Total Weekday Boardings'!DP35+'Total Saturday Boardings'!DP35+'Total Sunday-Holiday Boardings'!DP35</f>
        <v>7409</v>
      </c>
      <c r="DQ35" s="18">
        <f>'Total Weekday Boardings'!DQ35+'Total Saturday Boardings'!DQ35+'Total Sunday-Holiday Boardings'!DQ35</f>
        <v>6940</v>
      </c>
      <c r="DR35" s="18">
        <f>'Total Weekday Boardings'!DR35+'Total Saturday Boardings'!DR35+'Total Sunday-Holiday Boardings'!DR35</f>
        <v>5770</v>
      </c>
      <c r="DS35" s="18">
        <f>'Total Weekday Boardings'!DS35+'Total Saturday Boardings'!DS35+'Total Sunday-Holiday Boardings'!DS35</f>
        <v>6610</v>
      </c>
      <c r="DT35" s="18">
        <f>'Total Weekday Boardings'!DT35+'Total Saturday Boardings'!DT35+'Total Sunday-Holiday Boardings'!DT35</f>
        <v>5933</v>
      </c>
      <c r="DU35" s="18">
        <f>'Total Weekday Boardings'!DU35+'Total Saturday Boardings'!DU35+'Total Sunday-Holiday Boardings'!DU35</f>
        <v>7218</v>
      </c>
      <c r="DV35" s="18">
        <f>'Total Weekday Boardings'!DV35+'Total Saturday Boardings'!DV35+'Total Sunday-Holiday Boardings'!DV35</f>
        <v>6630</v>
      </c>
      <c r="DW35" s="18">
        <f>'Total Weekday Boardings'!DW35+'Total Saturday Boardings'!DW35+'Total Sunday-Holiday Boardings'!DW35</f>
        <v>5860</v>
      </c>
      <c r="DX35" s="19">
        <f>'Total Weekday Boardings'!DX35+'Total Saturday Boardings'!DX35+'Total Sunday-Holiday Boardings'!DX35</f>
        <v>6179</v>
      </c>
      <c r="DY35" s="137">
        <v>5940</v>
      </c>
      <c r="DZ35" s="18">
        <v>9252</v>
      </c>
      <c r="EA35" s="18">
        <v>7058</v>
      </c>
      <c r="EB35" s="18">
        <v>8533</v>
      </c>
      <c r="EC35" s="18">
        <v>8579</v>
      </c>
      <c r="ED35" s="18">
        <v>7283</v>
      </c>
      <c r="EE35" s="18">
        <v>7710</v>
      </c>
      <c r="EF35" s="18">
        <v>8114</v>
      </c>
      <c r="EG35" s="18">
        <v>6683</v>
      </c>
      <c r="EH35" s="18">
        <v>4350</v>
      </c>
      <c r="EI35" s="18">
        <v>5003</v>
      </c>
      <c r="EJ35" s="19">
        <v>4265</v>
      </c>
      <c r="EK35" s="100">
        <v>3783</v>
      </c>
      <c r="EL35" s="18">
        <v>4124</v>
      </c>
      <c r="EM35" s="18">
        <v>4407</v>
      </c>
      <c r="EN35" s="103">
        <v>4654</v>
      </c>
      <c r="EO35" s="18">
        <v>3964</v>
      </c>
      <c r="EP35" s="18">
        <v>3978</v>
      </c>
      <c r="EQ35" s="18">
        <v>2272</v>
      </c>
      <c r="ER35" s="18">
        <v>3760</v>
      </c>
      <c r="ES35" s="18">
        <v>4581</v>
      </c>
      <c r="ET35" s="18">
        <v>4335</v>
      </c>
      <c r="EU35" s="18">
        <v>3503</v>
      </c>
      <c r="EV35" s="19">
        <v>3859</v>
      </c>
      <c r="EW35" s="103">
        <v>3964</v>
      </c>
      <c r="EX35" s="18">
        <v>4303</v>
      </c>
      <c r="EY35" s="18">
        <v>4926</v>
      </c>
      <c r="EZ35" s="103">
        <v>5129</v>
      </c>
      <c r="FA35" s="18">
        <v>4739</v>
      </c>
      <c r="FB35" s="145">
        <v>4217</v>
      </c>
      <c r="FC35" s="18">
        <v>4151</v>
      </c>
      <c r="FD35" s="18">
        <v>4507</v>
      </c>
      <c r="FE35" s="18">
        <v>5879</v>
      </c>
      <c r="FF35" s="18">
        <v>5723</v>
      </c>
      <c r="FG35" s="13">
        <f>SUM('Total Weekday Boardings'!FG35,'Total Saturday Boardings'!FG35,'Total Sunday-Holiday Boardings'!FG35)</f>
        <v>5083</v>
      </c>
      <c r="FH35" s="13">
        <f>SUM('Total Weekday Boardings'!FH35,'Total Saturday Boardings'!FH35,'Total Sunday-Holiday Boardings'!FH35)</f>
        <v>3563</v>
      </c>
      <c r="FI35" s="13">
        <f>SUM('Total Weekday Boardings'!FI35,'Total Saturday Boardings'!FI35,'Total Sunday-Holiday Boardings'!FI35)</f>
        <v>4058</v>
      </c>
      <c r="FJ35" s="13">
        <f>SUM('Total Weekday Boardings'!FJ35,'Total Saturday Boardings'!FJ35,'Total Sunday-Holiday Boardings'!FJ35)</f>
        <v>4695</v>
      </c>
      <c r="FK35" s="13">
        <f>SUM('Total Weekday Boardings'!FK35,'Total Saturday Boardings'!FK35,'Total Sunday-Holiday Boardings'!FK35)</f>
        <v>5774</v>
      </c>
      <c r="FL35" s="13">
        <f>SUM('Total Weekday Boardings'!FL35,'Total Saturday Boardings'!FL35,'Total Sunday-Holiday Boardings'!FL35)</f>
        <v>5052</v>
      </c>
      <c r="FM35" s="13">
        <f>SUM('Total Weekday Boardings'!FM35,'Total Saturday Boardings'!FM35,'Total Sunday-Holiday Boardings'!FM35)</f>
        <v>4747</v>
      </c>
      <c r="FN35" s="13">
        <f>SUM('Total Weekday Boardings'!FN35,'Total Saturday Boardings'!FN35,'Total Sunday-Holiday Boardings'!FN35)</f>
        <v>4588</v>
      </c>
      <c r="FO35" s="13">
        <f>SUM('Total Weekday Boardings'!FO35,'Total Saturday Boardings'!FO35,'Total Sunday-Holiday Boardings'!FO35)</f>
        <v>5693</v>
      </c>
      <c r="FP35" s="13">
        <f>SUM('Total Weekday Boardings'!FP35,'Total Saturday Boardings'!FP35,'Total Sunday-Holiday Boardings'!FP35)</f>
        <v>6252</v>
      </c>
      <c r="FQ35" s="13">
        <f>SUM('Total Weekday Boardings'!FQ35,'Total Saturday Boardings'!FQ35,'Total Sunday-Holiday Boardings'!FQ35)</f>
        <v>6424</v>
      </c>
      <c r="FR35" s="13">
        <f>SUM('Total Weekday Boardings'!FR35,'Total Saturday Boardings'!FR35,'Total Sunday-Holiday Boardings'!FR35)</f>
        <v>5665</v>
      </c>
      <c r="FS35" s="13">
        <f>SUM('Total Weekday Boardings'!FS35,'Total Saturday Boardings'!FS35,'Total Sunday-Holiday Boardings'!FS35)</f>
        <v>5921</v>
      </c>
      <c r="FT35" s="16">
        <f>SUM('Total Weekday Boardings'!FT35,'Total Saturday Boardings'!FT35,'Total Sunday-Holiday Boardings'!FT35)</f>
        <v>5252</v>
      </c>
      <c r="FU35" s="171">
        <v>4630</v>
      </c>
      <c r="FV35" s="171">
        <v>5714</v>
      </c>
      <c r="FW35" s="171">
        <v>5331</v>
      </c>
      <c r="FX35" s="171">
        <v>6411</v>
      </c>
      <c r="FY35" s="171">
        <v>5782</v>
      </c>
      <c r="FZ35" s="171">
        <v>5022</v>
      </c>
      <c r="GA35" s="171">
        <v>5852</v>
      </c>
      <c r="GB35" s="52">
        <v>5740</v>
      </c>
      <c r="GC35" s="52">
        <v>5747</v>
      </c>
      <c r="GD35" s="52">
        <v>5013</v>
      </c>
      <c r="GE35" s="18">
        <v>4932</v>
      </c>
      <c r="GF35" s="52">
        <v>4447</v>
      </c>
      <c r="GG35" s="184">
        <v>4995</v>
      </c>
      <c r="GH35" s="52">
        <v>5455</v>
      </c>
      <c r="GI35" s="18">
        <v>5468</v>
      </c>
      <c r="GJ35" s="236">
        <v>5587</v>
      </c>
      <c r="GK35" s="184">
        <v>6067</v>
      </c>
      <c r="GL35" s="184">
        <v>4483</v>
      </c>
    </row>
    <row r="36" spans="1:194" ht="15" thickBot="1" x14ac:dyDescent="0.35">
      <c r="A36" s="3" t="s">
        <v>18</v>
      </c>
      <c r="B36" s="17"/>
      <c r="C36" s="18">
        <f>'Total Weekday Boardings'!C36+'Total Saturday Boardings'!C36+'Total Sunday-Holiday Boardings'!C36</f>
        <v>62413</v>
      </c>
      <c r="D36" s="18">
        <f>'Total Weekday Boardings'!D36+'Total Saturday Boardings'!D36+'Total Sunday-Holiday Boardings'!D36</f>
        <v>49107</v>
      </c>
      <c r="E36" s="18">
        <f>'Total Weekday Boardings'!E36+'Total Saturday Boardings'!E36+'Total Sunday-Holiday Boardings'!E36</f>
        <v>68850</v>
      </c>
      <c r="F36" s="18">
        <f>'Total Weekday Boardings'!F36+'Total Saturday Boardings'!F36+'Total Sunday-Holiday Boardings'!F36</f>
        <v>59256</v>
      </c>
      <c r="G36" s="18">
        <f>'Total Weekday Boardings'!G36+'Total Saturday Boardings'!G36+'Total Sunday-Holiday Boardings'!G36</f>
        <v>44086</v>
      </c>
      <c r="H36" s="19">
        <f>'Total Weekday Boardings'!H36+'Total Saturday Boardings'!H36+'Total Sunday-Holiday Boardings'!H36</f>
        <v>38245</v>
      </c>
      <c r="I36" s="17">
        <f>'Total Weekday Boardings'!I36+'Total Saturday Boardings'!I36+'Total Sunday-Holiday Boardings'!I36</f>
        <v>42163</v>
      </c>
      <c r="J36" s="18">
        <f>'Total Weekday Boardings'!J36+'Total Saturday Boardings'!J36+'Total Sunday-Holiday Boardings'!J36</f>
        <v>41115</v>
      </c>
      <c r="K36" s="18">
        <f>'Total Weekday Boardings'!K36+'Total Saturday Boardings'!K36+'Total Sunday-Holiday Boardings'!K36</f>
        <v>40755</v>
      </c>
      <c r="L36" s="18">
        <f>'Total Weekday Boardings'!L36+'Total Saturday Boardings'!L36+'Total Sunday-Holiday Boardings'!L36</f>
        <v>50103</v>
      </c>
      <c r="M36" s="18">
        <f>'Total Weekday Boardings'!M36+'Total Saturday Boardings'!M36+'Total Sunday-Holiday Boardings'!M36</f>
        <v>44262</v>
      </c>
      <c r="N36" s="18">
        <f>'Total Weekday Boardings'!N36+'Total Saturday Boardings'!N36+'Total Sunday-Holiday Boardings'!N36</f>
        <v>36471</v>
      </c>
      <c r="O36" s="62">
        <f>'Total Weekday Boardings'!O36+'Total Saturday Boardings'!O36+'Total Sunday-Holiday Boardings'!O36</f>
        <v>43057</v>
      </c>
      <c r="P36" s="62">
        <f>'Total Weekday Boardings'!P36+'Total Saturday Boardings'!P36+'Total Sunday-Holiday Boardings'!P36</f>
        <v>39079</v>
      </c>
      <c r="Q36" s="62">
        <f>'Total Weekday Boardings'!Q36+'Total Saturday Boardings'!Q36+'Total Sunday-Holiday Boardings'!Q36</f>
        <v>53356</v>
      </c>
      <c r="R36" s="62">
        <f>'Total Weekday Boardings'!R36+'Total Saturday Boardings'!R36+'Total Sunday-Holiday Boardings'!R36</f>
        <v>45448</v>
      </c>
      <c r="S36" s="62">
        <f>'Total Weekday Boardings'!S36+'Total Saturday Boardings'!S36+'Total Sunday-Holiday Boardings'!S36</f>
        <v>37416</v>
      </c>
      <c r="T36" s="63">
        <f>'Total Weekday Boardings'!T36+'Total Saturday Boardings'!T36+'Total Sunday-Holiday Boardings'!T36</f>
        <v>34057</v>
      </c>
      <c r="U36" s="64">
        <f>'Total Weekday Boardings'!U36+'Total Saturday Boardings'!U36+'Total Sunday-Holiday Boardings'!U36</f>
        <v>35424</v>
      </c>
      <c r="V36" s="62">
        <f>'Total Weekday Boardings'!V36+'Total Saturday Boardings'!V36+'Total Sunday-Holiday Boardings'!V36</f>
        <v>31707</v>
      </c>
      <c r="W36" s="62">
        <f>'Total Weekday Boardings'!W36+'Total Saturday Boardings'!W36+'Total Sunday-Holiday Boardings'!W36</f>
        <v>37992</v>
      </c>
      <c r="X36" s="62">
        <f>'Total Weekday Boardings'!X36+'Total Saturday Boardings'!X36+'Total Sunday-Holiday Boardings'!X36</f>
        <v>42013</v>
      </c>
      <c r="Y36" s="62">
        <f>'Total Weekday Boardings'!Y36+'Total Saturday Boardings'!Y36+'Total Sunday-Holiday Boardings'!Y36</f>
        <v>39845</v>
      </c>
      <c r="Z36" s="62">
        <f>'Total Weekday Boardings'!Z36+'Total Saturday Boardings'!Z36+'Total Sunday-Holiday Boardings'!Z36</f>
        <v>41235</v>
      </c>
      <c r="AA36" s="18">
        <f>'Total Weekday Boardings'!AA36+'Total Saturday Boardings'!AA36+'Total Sunday-Holiday Boardings'!AA36</f>
        <v>43436</v>
      </c>
      <c r="AB36" s="18">
        <f>'Total Weekday Boardings'!AB36+'Total Saturday Boardings'!AB36+'Total Sunday-Holiday Boardings'!AB36</f>
        <v>37740</v>
      </c>
      <c r="AC36" s="18">
        <f>'Total Weekday Boardings'!AC36+'Total Saturday Boardings'!AC36+'Total Sunday-Holiday Boardings'!AC36</f>
        <v>63124</v>
      </c>
      <c r="AD36" s="18">
        <f>'Total Weekday Boardings'!AD36+'Total Saturday Boardings'!AD36+'Total Sunday-Holiday Boardings'!AD36</f>
        <v>49051</v>
      </c>
      <c r="AE36" s="18">
        <f>'Total Weekday Boardings'!AE36+'Total Saturday Boardings'!AE36+'Total Sunday-Holiday Boardings'!AE36</f>
        <v>40160</v>
      </c>
      <c r="AF36" s="19">
        <f>'Total Weekday Boardings'!AF36+'Total Saturday Boardings'!AF36+'Total Sunday-Holiday Boardings'!AF36</f>
        <v>34574</v>
      </c>
      <c r="AG36" s="17">
        <f>'Total Weekday Boardings'!AG36+'Total Saturday Boardings'!AG36+'Total Sunday-Holiday Boardings'!AG36</f>
        <v>38869</v>
      </c>
      <c r="AH36" s="18">
        <f>'Total Weekday Boardings'!AH36+'Total Saturday Boardings'!AH36+'Total Sunday-Holiday Boardings'!AH36</f>
        <v>35276</v>
      </c>
      <c r="AI36" s="18">
        <f>'Total Weekday Boardings'!AI36+'Total Saturday Boardings'!AI36+'Total Sunday-Holiday Boardings'!AI36</f>
        <v>43109</v>
      </c>
      <c r="AJ36" s="18">
        <f>'Total Weekday Boardings'!AJ36+'Total Saturday Boardings'!AJ36+'Total Sunday-Holiday Boardings'!AJ36</f>
        <v>53193</v>
      </c>
      <c r="AK36" s="18">
        <f>'Total Weekday Boardings'!AK36+'Total Saturday Boardings'!AK36+'Total Sunday-Holiday Boardings'!AK36</f>
        <v>38518</v>
      </c>
      <c r="AL36" s="18">
        <f>'Total Weekday Boardings'!AL36+'Total Saturday Boardings'!AL36+'Total Sunday-Holiday Boardings'!AL36</f>
        <v>41996</v>
      </c>
      <c r="AM36" s="18">
        <f>'Total Weekday Boardings'!AM36+'Total Saturday Boardings'!AM36+'Total Sunday-Holiday Boardings'!AM36</f>
        <v>46791</v>
      </c>
      <c r="AN36" s="18">
        <f>'Total Weekday Boardings'!AN36+'Total Saturday Boardings'!AN36+'Total Sunday-Holiday Boardings'!AN36</f>
        <v>41727</v>
      </c>
      <c r="AO36" s="18">
        <f>'Total Weekday Boardings'!AO36+'Total Saturday Boardings'!AO36+'Total Sunday-Holiday Boardings'!AO36</f>
        <v>57758</v>
      </c>
      <c r="AP36" s="18">
        <f>'Total Weekday Boardings'!AP36+'Total Saturday Boardings'!AP36+'Total Sunday-Holiday Boardings'!AP36</f>
        <v>50960</v>
      </c>
      <c r="AQ36" s="18">
        <f>'Total Weekday Boardings'!AQ36+'Total Saturday Boardings'!AQ36+'Total Sunday-Holiday Boardings'!AQ36</f>
        <v>41796</v>
      </c>
      <c r="AR36" s="19">
        <f>'Total Weekday Boardings'!AR36+'Total Saturday Boardings'!AR36+'Total Sunday-Holiday Boardings'!AR36</f>
        <v>37866</v>
      </c>
      <c r="AS36" s="17">
        <f>'Total Weekday Boardings'!AS36+'Total Saturday Boardings'!AS36+'Total Sunday-Holiday Boardings'!AS36</f>
        <v>40824</v>
      </c>
      <c r="AT36" s="18">
        <f>'Total Weekday Boardings'!AT36+'Total Saturday Boardings'!AT36+'Total Sunday-Holiday Boardings'!AT36</f>
        <v>39075</v>
      </c>
      <c r="AU36" s="18">
        <f>'Total Weekday Boardings'!AU36+'Total Saturday Boardings'!AU36+'Total Sunday-Holiday Boardings'!AU36</f>
        <v>45520</v>
      </c>
      <c r="AV36" s="18">
        <f>'Total Weekday Boardings'!AV36+'Total Saturday Boardings'!AV36+'Total Sunday-Holiday Boardings'!AV36</f>
        <v>56283</v>
      </c>
      <c r="AW36" s="18">
        <f>'Total Weekday Boardings'!AW36+'Total Saturday Boardings'!AW36+'Total Sunday-Holiday Boardings'!AW36</f>
        <v>43486</v>
      </c>
      <c r="AX36" s="18">
        <f>'Total Weekday Boardings'!AX36+'Total Saturday Boardings'!AX36+'Total Sunday-Holiday Boardings'!AX36</f>
        <v>44451</v>
      </c>
      <c r="AY36" s="18">
        <f>'Total Weekday Boardings'!AY36+'Total Saturday Boardings'!AY36+'Total Sunday-Holiday Boardings'!AY36</f>
        <v>44123</v>
      </c>
      <c r="AZ36" s="18">
        <f>'Total Weekday Boardings'!AZ36+'Total Saturday Boardings'!AZ36+'Total Sunday-Holiday Boardings'!AZ36</f>
        <v>40298</v>
      </c>
      <c r="BA36" s="18">
        <f>'Total Weekday Boardings'!BA36+'Total Saturday Boardings'!BA36+'Total Sunday-Holiday Boardings'!BA36</f>
        <v>53426</v>
      </c>
      <c r="BB36" s="18">
        <f>'Total Weekday Boardings'!BB36+'Total Saturday Boardings'!BB36+'Total Sunday-Holiday Boardings'!BB36</f>
        <v>53308</v>
      </c>
      <c r="BC36" s="18">
        <f>'Total Weekday Boardings'!BC36+'Total Saturday Boardings'!BC36+'Total Sunday-Holiday Boardings'!BC36</f>
        <v>42033</v>
      </c>
      <c r="BD36" s="19">
        <f>'Total Weekday Boardings'!BD36+'Total Saturday Boardings'!BD36+'Total Sunday-Holiday Boardings'!BD36</f>
        <v>36036</v>
      </c>
      <c r="BE36" s="17">
        <f>'Total Weekday Boardings'!BE36+'Total Saturday Boardings'!BE36+'Total Sunday-Holiday Boardings'!BE36</f>
        <v>39846</v>
      </c>
      <c r="BF36" s="18">
        <f>'Total Weekday Boardings'!BF36+'Total Saturday Boardings'!BF36+'Total Sunday-Holiday Boardings'!BF36</f>
        <v>38287</v>
      </c>
      <c r="BG36" s="18">
        <f>'Total Weekday Boardings'!BG36+'Total Saturday Boardings'!BG36+'Total Sunday-Holiday Boardings'!BG36</f>
        <v>43083</v>
      </c>
      <c r="BH36" s="18">
        <f>'Total Weekday Boardings'!BH36+'Total Saturday Boardings'!BH36+'Total Sunday-Holiday Boardings'!BH36</f>
        <v>52178</v>
      </c>
      <c r="BI36" s="18">
        <f>'Total Weekday Boardings'!BI36+'Total Saturday Boardings'!BI36+'Total Sunday-Holiday Boardings'!BI36</f>
        <v>44265.522576152958</v>
      </c>
      <c r="BJ36" s="18">
        <f>'Total Weekday Boardings'!BJ36+'Total Saturday Boardings'!BJ36+'Total Sunday-Holiday Boardings'!BJ36</f>
        <v>46621</v>
      </c>
      <c r="BK36" s="18">
        <f>'Total Weekday Boardings'!BK36+'Total Saturday Boardings'!BK36+'Total Sunday-Holiday Boardings'!BK36</f>
        <v>52025</v>
      </c>
      <c r="BL36" s="18">
        <f>'Total Weekday Boardings'!BL36+'Total Saturday Boardings'!BL36+'Total Sunday-Holiday Boardings'!BL36</f>
        <v>41845</v>
      </c>
      <c r="BM36" s="18">
        <f>'Total Weekday Boardings'!BM36+'Total Saturday Boardings'!BM36+'Total Sunday-Holiday Boardings'!BM36</f>
        <v>59988</v>
      </c>
      <c r="BN36" s="18">
        <f>'Total Weekday Boardings'!BN36+'Total Saturday Boardings'!BN36+'Total Sunday-Holiday Boardings'!BN36</f>
        <v>45211</v>
      </c>
      <c r="BO36" s="18">
        <f>'Total Weekday Boardings'!BO36+'Total Saturday Boardings'!BO36+'Total Sunday-Holiday Boardings'!BO36</f>
        <v>40167</v>
      </c>
      <c r="BP36" s="19">
        <f>'Total Weekday Boardings'!BP36+'Total Saturday Boardings'!BP36+'Total Sunday-Holiday Boardings'!BP36</f>
        <v>35681</v>
      </c>
      <c r="BQ36" s="17">
        <f>'Total Weekday Boardings'!BQ36+'Total Saturday Boardings'!BQ36+'Total Sunday-Holiday Boardings'!BQ36</f>
        <v>37944</v>
      </c>
      <c r="BR36" s="18">
        <f>'Total Weekday Boardings'!BR36+'Total Saturday Boardings'!BR36+'Total Sunday-Holiday Boardings'!BR36</f>
        <v>38205</v>
      </c>
      <c r="BS36" s="18">
        <f>'Total Weekday Boardings'!BS36+'Total Saturday Boardings'!BS36+'Total Sunday-Holiday Boardings'!BS36</f>
        <v>39296</v>
      </c>
      <c r="BT36" s="18">
        <f>'Total Weekday Boardings'!BT36+'Total Saturday Boardings'!BT36+'Total Sunday-Holiday Boardings'!BT36</f>
        <v>49360</v>
      </c>
      <c r="BU36" s="18">
        <f>'Total Weekday Boardings'!BU36+'Total Saturday Boardings'!BU36+'Total Sunday-Holiday Boardings'!BU36</f>
        <v>45818</v>
      </c>
      <c r="BV36" s="18">
        <f>'Total Weekday Boardings'!BV36+'Total Saturday Boardings'!BV36+'Total Sunday-Holiday Boardings'!BV36</f>
        <v>41218</v>
      </c>
      <c r="BW36" s="18">
        <f>'Total Weekday Boardings'!BW36+'Total Saturday Boardings'!BW36+'Total Sunday-Holiday Boardings'!BW36</f>
        <v>53496</v>
      </c>
      <c r="BX36" s="18">
        <f>'Total Weekday Boardings'!BX36+'Total Saturday Boardings'!BX36+'Total Sunday-Holiday Boardings'!BX36</f>
        <v>40478</v>
      </c>
      <c r="BY36" s="18">
        <f>'Total Weekday Boardings'!BY36+'Total Saturday Boardings'!BY36+'Total Sunday-Holiday Boardings'!BY36</f>
        <v>54990</v>
      </c>
      <c r="BZ36" s="18">
        <f>'Total Weekday Boardings'!BZ36+'Total Saturday Boardings'!BZ36+'Total Sunday-Holiday Boardings'!BZ36</f>
        <v>43306</v>
      </c>
      <c r="CA36" s="18">
        <f>'Total Weekday Boardings'!CA36+'Total Saturday Boardings'!CA36+'Total Sunday-Holiday Boardings'!CA36</f>
        <v>37051</v>
      </c>
      <c r="CB36" s="19">
        <f>'Total Weekday Boardings'!CB36+'Total Saturday Boardings'!CB36+'Total Sunday-Holiday Boardings'!CB36</f>
        <v>31773</v>
      </c>
      <c r="CC36" s="20">
        <f>'Total Weekday Boardings'!CC36+'Total Saturday Boardings'!CC36+'Total Sunday-Holiday Boardings'!CC36</f>
        <v>36747</v>
      </c>
      <c r="CD36" s="18">
        <f>'Total Weekday Boardings'!CD36+'Total Saturday Boardings'!CD36+'Total Sunday-Holiday Boardings'!CD36</f>
        <v>35150</v>
      </c>
      <c r="CE36" s="18">
        <f>'Total Weekday Boardings'!CE36+'Total Saturday Boardings'!CE36+'Total Sunday-Holiday Boardings'!CE36</f>
        <v>46844</v>
      </c>
      <c r="CF36" s="18">
        <f>'Total Weekday Boardings'!CF36+'Total Saturday Boardings'!CF36+'Total Sunday-Holiday Boardings'!CF36</f>
        <v>52140</v>
      </c>
      <c r="CG36" s="18">
        <f>'Total Weekday Boardings'!CG36+'Total Saturday Boardings'!CG36+'Total Sunday-Holiday Boardings'!CG36</f>
        <v>46813</v>
      </c>
      <c r="CH36" s="18">
        <f>'Total Weekday Boardings'!CH36+'Total Saturday Boardings'!CH36+'Total Sunday-Holiday Boardings'!CH36</f>
        <v>44028</v>
      </c>
      <c r="CI36" s="18">
        <f>'Total Weekday Boardings'!CI36+'Total Saturday Boardings'!CI36+'Total Sunday-Holiday Boardings'!CI36</f>
        <v>49204</v>
      </c>
      <c r="CJ36" s="18">
        <f>'Total Weekday Boardings'!CJ36+'Total Saturday Boardings'!CJ36+'Total Sunday-Holiday Boardings'!CJ36</f>
        <v>41612</v>
      </c>
      <c r="CK36" s="18">
        <f>'Total Weekday Boardings'!CK36+'Total Saturday Boardings'!CK36+'Total Sunday-Holiday Boardings'!CK36</f>
        <v>48157</v>
      </c>
      <c r="CL36" s="18">
        <f>'Total Weekday Boardings'!CL36+'Total Saturday Boardings'!CL36+'Total Sunday-Holiday Boardings'!CL36</f>
        <v>49667</v>
      </c>
      <c r="CM36" s="18">
        <f>'Total Weekday Boardings'!CM36+'Total Saturday Boardings'!CM36+'Total Sunday-Holiday Boardings'!CM36</f>
        <v>41426</v>
      </c>
      <c r="CN36" s="21">
        <f>'Total Weekday Boardings'!CN36+'Total Saturday Boardings'!CN36+'Total Sunday-Holiday Boardings'!CN36</f>
        <v>35678</v>
      </c>
      <c r="CO36" s="17">
        <f>'Total Weekday Boardings'!CO36+'Total Saturday Boardings'!CO36+'Total Sunday-Holiday Boardings'!CO36</f>
        <v>40536</v>
      </c>
      <c r="CP36" s="18">
        <f>'Total Weekday Boardings'!CP36+'Total Saturday Boardings'!CP36+'Total Sunday-Holiday Boardings'!CP36</f>
        <v>39287</v>
      </c>
      <c r="CQ36" s="18">
        <f>'Total Weekday Boardings'!CQ36+'Total Saturday Boardings'!CQ36+'Total Sunday-Holiday Boardings'!CQ36</f>
        <v>40650</v>
      </c>
      <c r="CR36" s="18">
        <f>'Total Weekday Boardings'!CR36+'Total Saturday Boardings'!CR36+'Total Sunday-Holiday Boardings'!CR36</f>
        <v>46382</v>
      </c>
      <c r="CS36" s="18">
        <f>'Total Weekday Boardings'!CS36+'Total Saturday Boardings'!CS36+'Total Sunday-Holiday Boardings'!CS36</f>
        <v>39305</v>
      </c>
      <c r="CT36" s="18">
        <f>'Total Weekday Boardings'!CT36+'Total Saturday Boardings'!CT36+'Total Sunday-Holiday Boardings'!CT36</f>
        <v>43490</v>
      </c>
      <c r="CU36" s="18">
        <f>'Total Weekday Boardings'!CU36+'Total Saturday Boardings'!CU36+'Total Sunday-Holiday Boardings'!CU36</f>
        <v>44338</v>
      </c>
      <c r="CV36" s="18">
        <f>'Total Weekday Boardings'!CV36+'Total Saturday Boardings'!CV36+'Total Sunday-Holiday Boardings'!CV36</f>
        <v>39331</v>
      </c>
      <c r="CW36" s="18">
        <f>'Total Weekday Boardings'!CW36+'Total Saturday Boardings'!CW36+'Total Sunday-Holiday Boardings'!CW36</f>
        <v>51879</v>
      </c>
      <c r="CX36" s="18">
        <f>'Total Weekday Boardings'!CX36+'Total Saturday Boardings'!CX36+'Total Sunday-Holiday Boardings'!CX36</f>
        <v>49848</v>
      </c>
      <c r="CY36" s="18">
        <f>'Total Weekday Boardings'!CY36+'Total Saturday Boardings'!CY36+'Total Sunday-Holiday Boardings'!CY36</f>
        <v>38227</v>
      </c>
      <c r="CZ36" s="19">
        <f>'Total Weekday Boardings'!CZ36+'Total Saturday Boardings'!CZ36+'Total Sunday-Holiday Boardings'!CZ36</f>
        <v>33787</v>
      </c>
      <c r="DA36" s="17">
        <f>'Total Weekday Boardings'!DA36+'Total Saturday Boardings'!DA36+'Total Sunday-Holiday Boardings'!DA36</f>
        <v>35919</v>
      </c>
      <c r="DB36" s="18">
        <f>'Total Weekday Boardings'!DB36+'Total Saturday Boardings'!DB36+'Total Sunday-Holiday Boardings'!DB36</f>
        <v>37832</v>
      </c>
      <c r="DC36" s="18">
        <f>'Total Weekday Boardings'!DC36+'Total Saturday Boardings'!DC36+'Total Sunday-Holiday Boardings'!DC36</f>
        <v>36620</v>
      </c>
      <c r="DD36" s="18">
        <f>'Total Weekday Boardings'!DD36+'Total Saturday Boardings'!DD36+'Total Sunday-Holiday Boardings'!DD36</f>
        <v>44630</v>
      </c>
      <c r="DE36" s="18">
        <f>'Total Weekday Boardings'!DE36+'Total Saturday Boardings'!DE36+'Total Sunday-Holiday Boardings'!DE36</f>
        <v>35001</v>
      </c>
      <c r="DF36" s="18">
        <f>'Total Weekday Boardings'!DF36+'Total Saturday Boardings'!DF36+'Total Sunday-Holiday Boardings'!DF36</f>
        <v>35446</v>
      </c>
      <c r="DG36" s="18">
        <f>'Total Weekday Boardings'!DG36+'Total Saturday Boardings'!DG36+'Total Sunday-Holiday Boardings'!DG36</f>
        <v>35925</v>
      </c>
      <c r="DH36" s="18">
        <f>'Total Weekday Boardings'!DH36+'Total Saturday Boardings'!DH36+'Total Sunday-Holiday Boardings'!DH36</f>
        <v>32348</v>
      </c>
      <c r="DI36" s="18">
        <f>'Total Weekday Boardings'!DI36+'Total Saturday Boardings'!DI36+'Total Sunday-Holiday Boardings'!DI36</f>
        <v>47204</v>
      </c>
      <c r="DJ36" s="18">
        <f>'Total Weekday Boardings'!DJ36+'Total Saturday Boardings'!DJ36+'Total Sunday-Holiday Boardings'!DJ36</f>
        <v>34556</v>
      </c>
      <c r="DK36" s="18">
        <f>'Total Weekday Boardings'!DK36+'Total Saturday Boardings'!DK36+'Total Sunday-Holiday Boardings'!DK36</f>
        <v>33340</v>
      </c>
      <c r="DL36" s="19">
        <f>'Total Weekday Boardings'!DL36+'Total Saturday Boardings'!DL36+'Total Sunday-Holiday Boardings'!DL36</f>
        <v>29878</v>
      </c>
      <c r="DM36" s="17">
        <f>'Total Weekday Boardings'!DM36+'Total Saturday Boardings'!DM36+'Total Sunday-Holiday Boardings'!DM36</f>
        <v>31086</v>
      </c>
      <c r="DN36" s="18">
        <f>'Total Weekday Boardings'!DN36+'Total Saturday Boardings'!DN36+'Total Sunday-Holiday Boardings'!DN36</f>
        <v>29187</v>
      </c>
      <c r="DO36" s="18">
        <f>'Total Weekday Boardings'!DO36+'Total Saturday Boardings'!DO36+'Total Sunday-Holiday Boardings'!DO36</f>
        <v>30619</v>
      </c>
      <c r="DP36" s="18">
        <f>'Total Weekday Boardings'!DP36+'Total Saturday Boardings'!DP36+'Total Sunday-Holiday Boardings'!DP36</f>
        <v>34611</v>
      </c>
      <c r="DQ36" s="18">
        <f>'Total Weekday Boardings'!DQ36+'Total Saturday Boardings'!DQ36+'Total Sunday-Holiday Boardings'!DQ36</f>
        <v>33995</v>
      </c>
      <c r="DR36" s="18">
        <f>'Total Weekday Boardings'!DR36+'Total Saturday Boardings'!DR36+'Total Sunday-Holiday Boardings'!DR36</f>
        <v>33744</v>
      </c>
      <c r="DS36" s="18">
        <f>'Total Weekday Boardings'!DS36+'Total Saturday Boardings'!DS36+'Total Sunday-Holiday Boardings'!DS36</f>
        <v>34592</v>
      </c>
      <c r="DT36" s="18">
        <f>'Total Weekday Boardings'!DT36+'Total Saturday Boardings'!DT36+'Total Sunday-Holiday Boardings'!DT36</f>
        <v>29946</v>
      </c>
      <c r="DU36" s="18">
        <f>'Total Weekday Boardings'!DU36+'Total Saturday Boardings'!DU36+'Total Sunday-Holiday Boardings'!DU36</f>
        <v>44690</v>
      </c>
      <c r="DV36" s="18">
        <f>'Total Weekday Boardings'!DV36+'Total Saturday Boardings'!DV36+'Total Sunday-Holiday Boardings'!DV36</f>
        <v>33023</v>
      </c>
      <c r="DW36" s="18">
        <f>'Total Weekday Boardings'!DW36+'Total Saturday Boardings'!DW36+'Total Sunday-Holiday Boardings'!DW36</f>
        <v>31533</v>
      </c>
      <c r="DX36" s="19">
        <f>'Total Weekday Boardings'!DX36+'Total Saturday Boardings'!DX36+'Total Sunday-Holiday Boardings'!DX36</f>
        <v>28095</v>
      </c>
      <c r="DY36" s="137">
        <v>28365</v>
      </c>
      <c r="DZ36" s="18">
        <v>28199</v>
      </c>
      <c r="EA36" s="18">
        <v>29573</v>
      </c>
      <c r="EB36" s="18">
        <v>37062</v>
      </c>
      <c r="EC36" s="18">
        <v>34869</v>
      </c>
      <c r="ED36" s="18">
        <v>31972</v>
      </c>
      <c r="EE36" s="18">
        <v>32526</v>
      </c>
      <c r="EF36" s="18">
        <v>31971</v>
      </c>
      <c r="EG36" s="18">
        <v>24359</v>
      </c>
      <c r="EH36" s="18">
        <v>12195</v>
      </c>
      <c r="EI36" s="18">
        <v>13113</v>
      </c>
      <c r="EJ36" s="19">
        <v>12352</v>
      </c>
      <c r="EK36" s="100">
        <v>10692</v>
      </c>
      <c r="EL36" s="18">
        <v>11381</v>
      </c>
      <c r="EM36" s="18">
        <v>12315</v>
      </c>
      <c r="EN36" s="103">
        <v>13412</v>
      </c>
      <c r="EO36" s="18">
        <v>14389</v>
      </c>
      <c r="EP36" s="18">
        <v>9492</v>
      </c>
      <c r="EQ36" s="18">
        <v>5802</v>
      </c>
      <c r="ER36" s="18">
        <v>11249</v>
      </c>
      <c r="ES36" s="18">
        <v>14232</v>
      </c>
      <c r="ET36" s="18">
        <v>14665</v>
      </c>
      <c r="EU36" s="18">
        <v>14157</v>
      </c>
      <c r="EV36" s="19">
        <v>14270</v>
      </c>
      <c r="EW36" s="103">
        <v>14389</v>
      </c>
      <c r="EX36" s="18">
        <v>14472</v>
      </c>
      <c r="EY36" s="18">
        <v>15546</v>
      </c>
      <c r="EZ36" s="103">
        <v>17367</v>
      </c>
      <c r="FA36" s="18">
        <v>17750</v>
      </c>
      <c r="FB36" s="145">
        <v>19287</v>
      </c>
      <c r="FC36" s="18">
        <v>16019</v>
      </c>
      <c r="FD36" s="18">
        <v>19764</v>
      </c>
      <c r="FE36" s="18">
        <v>25703</v>
      </c>
      <c r="FF36" s="18">
        <v>21186</v>
      </c>
      <c r="FG36" s="13">
        <f>SUM('Total Weekday Boardings'!FG36,'Total Saturday Boardings'!FG36,'Total Sunday-Holiday Boardings'!FG36)</f>
        <v>16656</v>
      </c>
      <c r="FH36" s="13">
        <f>SUM('Total Weekday Boardings'!FH36,'Total Saturday Boardings'!FH36,'Total Sunday-Holiday Boardings'!FH36)</f>
        <v>15282</v>
      </c>
      <c r="FI36" s="13">
        <f>SUM('Total Weekday Boardings'!FI36,'Total Saturday Boardings'!FI36,'Total Sunday-Holiday Boardings'!FI36)</f>
        <v>16308</v>
      </c>
      <c r="FJ36" s="13">
        <f>SUM('Total Weekday Boardings'!FJ36,'Total Saturday Boardings'!FJ36,'Total Sunday-Holiday Boardings'!FJ36)</f>
        <v>17771</v>
      </c>
      <c r="FK36" s="13">
        <f>SUM('Total Weekday Boardings'!FK36,'Total Saturday Boardings'!FK36,'Total Sunday-Holiday Boardings'!FK36)</f>
        <v>20663.25</v>
      </c>
      <c r="FL36" s="13">
        <f>SUM('Total Weekday Boardings'!FL36,'Total Saturday Boardings'!FL36,'Total Sunday-Holiday Boardings'!FL36)</f>
        <v>21112</v>
      </c>
      <c r="FM36" s="13">
        <f>SUM('Total Weekday Boardings'!FM36,'Total Saturday Boardings'!FM36,'Total Sunday-Holiday Boardings'!FM36)</f>
        <v>18788</v>
      </c>
      <c r="FN36" s="13">
        <f>SUM('Total Weekday Boardings'!FN36,'Total Saturday Boardings'!FN36,'Total Sunday-Holiday Boardings'!FN36)</f>
        <v>18771</v>
      </c>
      <c r="FO36" s="13">
        <f>SUM('Total Weekday Boardings'!FO36,'Total Saturday Boardings'!FO36,'Total Sunday-Holiday Boardings'!FO36)</f>
        <v>20555</v>
      </c>
      <c r="FP36" s="13">
        <f>SUM('Total Weekday Boardings'!FP36,'Total Saturday Boardings'!FP36,'Total Sunday-Holiday Boardings'!FP36)</f>
        <v>20994</v>
      </c>
      <c r="FQ36" s="13">
        <f>SUM('Total Weekday Boardings'!FQ36,'Total Saturday Boardings'!FQ36,'Total Sunday-Holiday Boardings'!FQ36)</f>
        <v>26500</v>
      </c>
      <c r="FR36" s="13">
        <f>SUM('Total Weekday Boardings'!FR36,'Total Saturday Boardings'!FR36,'Total Sunday-Holiday Boardings'!FR36)</f>
        <v>23969</v>
      </c>
      <c r="FS36" s="13">
        <f>SUM('Total Weekday Boardings'!FS36,'Total Saturday Boardings'!FS36,'Total Sunday-Holiday Boardings'!FS36)</f>
        <v>21233</v>
      </c>
      <c r="FT36" s="16">
        <f>SUM('Total Weekday Boardings'!FT36,'Total Saturday Boardings'!FT36,'Total Sunday-Holiday Boardings'!FT36)</f>
        <v>16697</v>
      </c>
      <c r="FU36" s="171">
        <v>16022</v>
      </c>
      <c r="FV36" s="171">
        <v>17458</v>
      </c>
      <c r="FW36" s="171">
        <v>18834</v>
      </c>
      <c r="FX36" s="171">
        <v>22341</v>
      </c>
      <c r="FY36" s="171">
        <v>19156</v>
      </c>
      <c r="FZ36" s="171">
        <v>20687</v>
      </c>
      <c r="GA36" s="171">
        <v>20105</v>
      </c>
      <c r="GB36" s="52">
        <v>19249</v>
      </c>
      <c r="GC36" s="52">
        <v>26268</v>
      </c>
      <c r="GD36" s="52">
        <v>20748</v>
      </c>
      <c r="GE36" s="18">
        <v>19428</v>
      </c>
      <c r="GF36" s="52">
        <v>15899</v>
      </c>
      <c r="GG36" s="184">
        <v>17024</v>
      </c>
      <c r="GH36" s="52">
        <v>17706</v>
      </c>
      <c r="GI36" s="18">
        <v>19082</v>
      </c>
      <c r="GJ36" s="236">
        <v>19341</v>
      </c>
      <c r="GK36" s="184">
        <v>19188</v>
      </c>
      <c r="GL36" s="184">
        <v>19069</v>
      </c>
    </row>
    <row r="37" spans="1:194" ht="15" thickBot="1" x14ac:dyDescent="0.35">
      <c r="A37" s="3" t="s">
        <v>19</v>
      </c>
      <c r="B37" s="17"/>
      <c r="C37" s="18">
        <f>'Total Weekday Boardings'!C37+'Total Saturday Boardings'!C37+'Total Sunday-Holiday Boardings'!C37</f>
        <v>45679</v>
      </c>
      <c r="D37" s="18">
        <f>'Total Weekday Boardings'!D37+'Total Saturday Boardings'!D37+'Total Sunday-Holiday Boardings'!D37</f>
        <v>41153</v>
      </c>
      <c r="E37" s="18">
        <f>'Total Weekday Boardings'!E37+'Total Saturday Boardings'!E37+'Total Sunday-Holiday Boardings'!E37</f>
        <v>49282</v>
      </c>
      <c r="F37" s="18">
        <f>'Total Weekday Boardings'!F37+'Total Saturday Boardings'!F37+'Total Sunday-Holiday Boardings'!F37</f>
        <v>47041</v>
      </c>
      <c r="G37" s="18">
        <f>'Total Weekday Boardings'!G37+'Total Saturday Boardings'!G37+'Total Sunday-Holiday Boardings'!G37</f>
        <v>32402</v>
      </c>
      <c r="H37" s="19">
        <f>'Total Weekday Boardings'!H37+'Total Saturday Boardings'!H37+'Total Sunday-Holiday Boardings'!H37</f>
        <v>32657</v>
      </c>
      <c r="I37" s="17">
        <f>'Total Weekday Boardings'!I37+'Total Saturday Boardings'!I37+'Total Sunday-Holiday Boardings'!I37</f>
        <v>28077</v>
      </c>
      <c r="J37" s="18">
        <f>'Total Weekday Boardings'!J37+'Total Saturday Boardings'!J37+'Total Sunday-Holiday Boardings'!J37</f>
        <v>37038</v>
      </c>
      <c r="K37" s="18">
        <f>'Total Weekday Boardings'!K37+'Total Saturday Boardings'!K37+'Total Sunday-Holiday Boardings'!K37</f>
        <v>63570</v>
      </c>
      <c r="L37" s="18">
        <f>'Total Weekday Boardings'!L37+'Total Saturday Boardings'!L37+'Total Sunday-Holiday Boardings'!L37</f>
        <v>64983</v>
      </c>
      <c r="M37" s="18">
        <f>'Total Weekday Boardings'!M37+'Total Saturday Boardings'!M37+'Total Sunday-Holiday Boardings'!M37</f>
        <v>60967</v>
      </c>
      <c r="N37" s="18">
        <f>'Total Weekday Boardings'!N37+'Total Saturday Boardings'!N37+'Total Sunday-Holiday Boardings'!N37</f>
        <v>43521</v>
      </c>
      <c r="O37" s="62">
        <f>'Total Weekday Boardings'!O37+'Total Saturday Boardings'!O37+'Total Sunday-Holiday Boardings'!O37</f>
        <v>50597</v>
      </c>
      <c r="P37" s="62">
        <f>'Total Weekday Boardings'!P37+'Total Saturday Boardings'!P37+'Total Sunday-Holiday Boardings'!P37</f>
        <v>51114</v>
      </c>
      <c r="Q37" s="62">
        <f>'Total Weekday Boardings'!Q37+'Total Saturday Boardings'!Q37+'Total Sunday-Holiday Boardings'!Q37</f>
        <v>52201</v>
      </c>
      <c r="R37" s="62">
        <f>'Total Weekday Boardings'!R37+'Total Saturday Boardings'!R37+'Total Sunday-Holiday Boardings'!R37</f>
        <v>61434</v>
      </c>
      <c r="S37" s="62">
        <f>'Total Weekday Boardings'!S37+'Total Saturday Boardings'!S37+'Total Sunday-Holiday Boardings'!S37</f>
        <v>42167</v>
      </c>
      <c r="T37" s="63">
        <f>'Total Weekday Boardings'!T37+'Total Saturday Boardings'!T37+'Total Sunday-Holiday Boardings'!T37</f>
        <v>30782</v>
      </c>
      <c r="U37" s="64">
        <f>'Total Weekday Boardings'!U37+'Total Saturday Boardings'!U37+'Total Sunday-Holiday Boardings'!U37</f>
        <v>28253</v>
      </c>
      <c r="V37" s="62">
        <f>'Total Weekday Boardings'!V37+'Total Saturday Boardings'!V37+'Total Sunday-Holiday Boardings'!V37</f>
        <v>46149</v>
      </c>
      <c r="W37" s="62">
        <f>'Total Weekday Boardings'!W37+'Total Saturday Boardings'!W37+'Total Sunday-Holiday Boardings'!W37</f>
        <v>68942</v>
      </c>
      <c r="X37" s="62">
        <f>'Total Weekday Boardings'!X37+'Total Saturday Boardings'!X37+'Total Sunday-Holiday Boardings'!X37</f>
        <v>53806</v>
      </c>
      <c r="Y37" s="62">
        <f>'Total Weekday Boardings'!Y37+'Total Saturday Boardings'!Y37+'Total Sunday-Holiday Boardings'!Y37</f>
        <v>55495</v>
      </c>
      <c r="Z37" s="62">
        <f>'Total Weekday Boardings'!Z37+'Total Saturday Boardings'!Z37+'Total Sunday-Holiday Boardings'!Z37</f>
        <v>44436</v>
      </c>
      <c r="AA37" s="18">
        <f>'Total Weekday Boardings'!AA37+'Total Saturday Boardings'!AA37+'Total Sunday-Holiday Boardings'!AA37</f>
        <v>50202</v>
      </c>
      <c r="AB37" s="18">
        <f>'Total Weekday Boardings'!AB37+'Total Saturday Boardings'!AB37+'Total Sunday-Holiday Boardings'!AB37</f>
        <v>54078</v>
      </c>
      <c r="AC37" s="18">
        <f>'Total Weekday Boardings'!AC37+'Total Saturday Boardings'!AC37+'Total Sunday-Holiday Boardings'!AC37</f>
        <v>54342</v>
      </c>
      <c r="AD37" s="18">
        <f>'Total Weekday Boardings'!AD37+'Total Saturday Boardings'!AD37+'Total Sunday-Holiday Boardings'!AD37</f>
        <v>57489</v>
      </c>
      <c r="AE37" s="18">
        <f>'Total Weekday Boardings'!AE37+'Total Saturday Boardings'!AE37+'Total Sunday-Holiday Boardings'!AE37</f>
        <v>39183</v>
      </c>
      <c r="AF37" s="19">
        <f>'Total Weekday Boardings'!AF37+'Total Saturday Boardings'!AF37+'Total Sunday-Holiday Boardings'!AF37</f>
        <v>33061</v>
      </c>
      <c r="AG37" s="17">
        <f>'Total Weekday Boardings'!AG37+'Total Saturday Boardings'!AG37+'Total Sunday-Holiday Boardings'!AG37</f>
        <v>33719</v>
      </c>
      <c r="AH37" s="18">
        <f>'Total Weekday Boardings'!AH37+'Total Saturday Boardings'!AH37+'Total Sunday-Holiday Boardings'!AH37</f>
        <v>51027</v>
      </c>
      <c r="AI37" s="18">
        <f>'Total Weekday Boardings'!AI37+'Total Saturday Boardings'!AI37+'Total Sunday-Holiday Boardings'!AI37</f>
        <v>71030</v>
      </c>
      <c r="AJ37" s="18">
        <f>'Total Weekday Boardings'!AJ37+'Total Saturday Boardings'!AJ37+'Total Sunday-Holiday Boardings'!AJ37</f>
        <v>67819</v>
      </c>
      <c r="AK37" s="18">
        <f>'Total Weekday Boardings'!AK37+'Total Saturday Boardings'!AK37+'Total Sunday-Holiday Boardings'!AK37</f>
        <v>60772</v>
      </c>
      <c r="AL37" s="18">
        <f>'Total Weekday Boardings'!AL37+'Total Saturday Boardings'!AL37+'Total Sunday-Holiday Boardings'!AL37</f>
        <v>45944</v>
      </c>
      <c r="AM37" s="18">
        <f>'Total Weekday Boardings'!AM37+'Total Saturday Boardings'!AM37+'Total Sunday-Holiday Boardings'!AM37</f>
        <v>60730</v>
      </c>
      <c r="AN37" s="18">
        <f>'Total Weekday Boardings'!AN37+'Total Saturday Boardings'!AN37+'Total Sunday-Holiday Boardings'!AN37</f>
        <v>53391</v>
      </c>
      <c r="AO37" s="18">
        <f>'Total Weekday Boardings'!AO37+'Total Saturday Boardings'!AO37+'Total Sunday-Holiday Boardings'!AO37</f>
        <v>51292</v>
      </c>
      <c r="AP37" s="18">
        <f>'Total Weekday Boardings'!AP37+'Total Saturday Boardings'!AP37+'Total Sunday-Holiday Boardings'!AP37</f>
        <v>57101</v>
      </c>
      <c r="AQ37" s="18">
        <f>'Total Weekday Boardings'!AQ37+'Total Saturday Boardings'!AQ37+'Total Sunday-Holiday Boardings'!AQ37</f>
        <v>40167</v>
      </c>
      <c r="AR37" s="19">
        <f>'Total Weekday Boardings'!AR37+'Total Saturday Boardings'!AR37+'Total Sunday-Holiday Boardings'!AR37</f>
        <v>35731</v>
      </c>
      <c r="AS37" s="17">
        <f>'Total Weekday Boardings'!AS37+'Total Saturday Boardings'!AS37+'Total Sunday-Holiday Boardings'!AS37</f>
        <v>34843</v>
      </c>
      <c r="AT37" s="18">
        <f>'Total Weekday Boardings'!AT37+'Total Saturday Boardings'!AT37+'Total Sunday-Holiday Boardings'!AT37</f>
        <v>51542</v>
      </c>
      <c r="AU37" s="18">
        <f>'Total Weekday Boardings'!AU37+'Total Saturday Boardings'!AU37+'Total Sunday-Holiday Boardings'!AU37</f>
        <v>70626</v>
      </c>
      <c r="AV37" s="18">
        <f>'Total Weekday Boardings'!AV37+'Total Saturday Boardings'!AV37+'Total Sunday-Holiday Boardings'!AV37</f>
        <v>73149</v>
      </c>
      <c r="AW37" s="18">
        <f>'Total Weekday Boardings'!AW37+'Total Saturday Boardings'!AW37+'Total Sunday-Holiday Boardings'!AW37</f>
        <v>60598</v>
      </c>
      <c r="AX37" s="18">
        <f>'Total Weekday Boardings'!AX37+'Total Saturday Boardings'!AX37+'Total Sunday-Holiday Boardings'!AX37</f>
        <v>50861</v>
      </c>
      <c r="AY37" s="18">
        <f>'Total Weekday Boardings'!AY37+'Total Saturday Boardings'!AY37+'Total Sunday-Holiday Boardings'!AY37</f>
        <v>58940</v>
      </c>
      <c r="AZ37" s="18">
        <f>'Total Weekday Boardings'!AZ37+'Total Saturday Boardings'!AZ37+'Total Sunday-Holiday Boardings'!AZ37</f>
        <v>54602</v>
      </c>
      <c r="BA37" s="18">
        <f>'Total Weekday Boardings'!BA37+'Total Saturday Boardings'!BA37+'Total Sunday-Holiday Boardings'!BA37</f>
        <v>51855</v>
      </c>
      <c r="BB37" s="18">
        <f>'Total Weekday Boardings'!BB37+'Total Saturday Boardings'!BB37+'Total Sunday-Holiday Boardings'!BB37</f>
        <v>59246</v>
      </c>
      <c r="BC37" s="18">
        <f>'Total Weekday Boardings'!BC37+'Total Saturday Boardings'!BC37+'Total Sunday-Holiday Boardings'!BC37</f>
        <v>43925</v>
      </c>
      <c r="BD37" s="19">
        <f>'Total Weekday Boardings'!BD37+'Total Saturday Boardings'!BD37+'Total Sunday-Holiday Boardings'!BD37</f>
        <v>36400</v>
      </c>
      <c r="BE37" s="17">
        <f>'Total Weekday Boardings'!BE37+'Total Saturday Boardings'!BE37+'Total Sunday-Holiday Boardings'!BE37</f>
        <v>37652</v>
      </c>
      <c r="BF37" s="18">
        <f>'Total Weekday Boardings'!BF37+'Total Saturday Boardings'!BF37+'Total Sunday-Holiday Boardings'!BF37</f>
        <v>43793</v>
      </c>
      <c r="BG37" s="18">
        <f>'Total Weekday Boardings'!BG37+'Total Saturday Boardings'!BG37+'Total Sunday-Holiday Boardings'!BG37</f>
        <v>71744</v>
      </c>
      <c r="BH37" s="18">
        <f>'Total Weekday Boardings'!BH37+'Total Saturday Boardings'!BH37+'Total Sunday-Holiday Boardings'!BH37</f>
        <v>68951</v>
      </c>
      <c r="BI37" s="18">
        <f>'Total Weekday Boardings'!BI37+'Total Saturday Boardings'!BI37+'Total Sunday-Holiday Boardings'!BI37</f>
        <v>67008.22614094922</v>
      </c>
      <c r="BJ37" s="18">
        <f>'Total Weekday Boardings'!BJ37+'Total Saturday Boardings'!BJ37+'Total Sunday-Holiday Boardings'!BJ37</f>
        <v>56746</v>
      </c>
      <c r="BK37" s="18">
        <f>'Total Weekday Boardings'!BK37+'Total Saturday Boardings'!BK37+'Total Sunday-Holiday Boardings'!BK37</f>
        <v>54690</v>
      </c>
      <c r="BL37" s="18">
        <f>'Total Weekday Boardings'!BL37+'Total Saturday Boardings'!BL37+'Total Sunday-Holiday Boardings'!BL37</f>
        <v>56097</v>
      </c>
      <c r="BM37" s="18">
        <f>'Total Weekday Boardings'!BM37+'Total Saturday Boardings'!BM37+'Total Sunday-Holiday Boardings'!BM37</f>
        <v>54904</v>
      </c>
      <c r="BN37" s="18">
        <f>'Total Weekday Boardings'!BN37+'Total Saturday Boardings'!BN37+'Total Sunday-Holiday Boardings'!BN37</f>
        <v>60687</v>
      </c>
      <c r="BO37" s="18">
        <f>'Total Weekday Boardings'!BO37+'Total Saturday Boardings'!BO37+'Total Sunday-Holiday Boardings'!BO37</f>
        <v>45935</v>
      </c>
      <c r="BP37" s="19">
        <f>'Total Weekday Boardings'!BP37+'Total Saturday Boardings'!BP37+'Total Sunday-Holiday Boardings'!BP37</f>
        <v>38873</v>
      </c>
      <c r="BQ37" s="17">
        <f>'Total Weekday Boardings'!BQ37+'Total Saturday Boardings'!BQ37+'Total Sunday-Holiday Boardings'!BQ37</f>
        <v>37851</v>
      </c>
      <c r="BR37" s="18">
        <f>'Total Weekday Boardings'!BR37+'Total Saturday Boardings'!BR37+'Total Sunday-Holiday Boardings'!BR37</f>
        <v>55792</v>
      </c>
      <c r="BS37" s="18">
        <f>'Total Weekday Boardings'!BS37+'Total Saturday Boardings'!BS37+'Total Sunday-Holiday Boardings'!BS37</f>
        <v>68466</v>
      </c>
      <c r="BT37" s="18">
        <f>'Total Weekday Boardings'!BT37+'Total Saturday Boardings'!BT37+'Total Sunday-Holiday Boardings'!BT37</f>
        <v>72026</v>
      </c>
      <c r="BU37" s="18">
        <f>'Total Weekday Boardings'!BU37+'Total Saturday Boardings'!BU37+'Total Sunday-Holiday Boardings'!BU37</f>
        <v>73163</v>
      </c>
      <c r="BV37" s="18">
        <f>'Total Weekday Boardings'!BV37+'Total Saturday Boardings'!BV37+'Total Sunday-Holiday Boardings'!BV37</f>
        <v>46068</v>
      </c>
      <c r="BW37" s="18">
        <f>'Total Weekday Boardings'!BW37+'Total Saturday Boardings'!BW37+'Total Sunday-Holiday Boardings'!BW37</f>
        <v>60153</v>
      </c>
      <c r="BX37" s="18">
        <f>'Total Weekday Boardings'!BX37+'Total Saturday Boardings'!BX37+'Total Sunday-Holiday Boardings'!BX37</f>
        <v>56561</v>
      </c>
      <c r="BY37" s="18">
        <f>'Total Weekday Boardings'!BY37+'Total Saturday Boardings'!BY37+'Total Sunday-Holiday Boardings'!BY37</f>
        <v>55671</v>
      </c>
      <c r="BZ37" s="18">
        <f>'Total Weekday Boardings'!BZ37+'Total Saturday Boardings'!BZ37+'Total Sunday-Holiday Boardings'!BZ37</f>
        <v>60542</v>
      </c>
      <c r="CA37" s="18">
        <f>'Total Weekday Boardings'!CA37+'Total Saturday Boardings'!CA37+'Total Sunday-Holiday Boardings'!CA37</f>
        <v>41372</v>
      </c>
      <c r="CB37" s="19">
        <f>'Total Weekday Boardings'!CB37+'Total Saturday Boardings'!CB37+'Total Sunday-Holiday Boardings'!CB37</f>
        <v>36612</v>
      </c>
      <c r="CC37" s="20">
        <f>'Total Weekday Boardings'!CC37+'Total Saturday Boardings'!CC37+'Total Sunday-Holiday Boardings'!CC37</f>
        <v>35515</v>
      </c>
      <c r="CD37" s="18">
        <f>'Total Weekday Boardings'!CD37+'Total Saturday Boardings'!CD37+'Total Sunday-Holiday Boardings'!CD37</f>
        <v>47937</v>
      </c>
      <c r="CE37" s="18">
        <f>'Total Weekday Boardings'!CE37+'Total Saturday Boardings'!CE37+'Total Sunday-Holiday Boardings'!CE37</f>
        <v>76130</v>
      </c>
      <c r="CF37" s="18">
        <f>'Total Weekday Boardings'!CF37+'Total Saturday Boardings'!CF37+'Total Sunday-Holiday Boardings'!CF37</f>
        <v>69477</v>
      </c>
      <c r="CG37" s="18">
        <f>'Total Weekday Boardings'!CG37+'Total Saturday Boardings'!CG37+'Total Sunday-Holiday Boardings'!CG37</f>
        <v>67779</v>
      </c>
      <c r="CH37" s="18">
        <f>'Total Weekday Boardings'!CH37+'Total Saturday Boardings'!CH37+'Total Sunday-Holiday Boardings'!CH37</f>
        <v>45427</v>
      </c>
      <c r="CI37" s="18">
        <f>'Total Weekday Boardings'!CI37+'Total Saturday Boardings'!CI37+'Total Sunday-Holiday Boardings'!CI37</f>
        <v>54551</v>
      </c>
      <c r="CJ37" s="18">
        <f>'Total Weekday Boardings'!CJ37+'Total Saturday Boardings'!CJ37+'Total Sunday-Holiday Boardings'!CJ37</f>
        <v>56563</v>
      </c>
      <c r="CK37" s="18">
        <f>'Total Weekday Boardings'!CK37+'Total Saturday Boardings'!CK37+'Total Sunday-Holiday Boardings'!CK37</f>
        <v>54881</v>
      </c>
      <c r="CL37" s="18">
        <f>'Total Weekday Boardings'!CL37+'Total Saturday Boardings'!CL37+'Total Sunday-Holiday Boardings'!CL37</f>
        <v>56853</v>
      </c>
      <c r="CM37" s="18">
        <f>'Total Weekday Boardings'!CM37+'Total Saturday Boardings'!CM37+'Total Sunday-Holiday Boardings'!CM37</f>
        <v>41437</v>
      </c>
      <c r="CN37" s="21">
        <f>'Total Weekday Boardings'!CN37+'Total Saturday Boardings'!CN37+'Total Sunday-Holiday Boardings'!CN37</f>
        <v>36464</v>
      </c>
      <c r="CO37" s="17">
        <f>'Total Weekday Boardings'!CO37+'Total Saturday Boardings'!CO37+'Total Sunday-Holiday Boardings'!CO37</f>
        <v>36569</v>
      </c>
      <c r="CP37" s="18">
        <f>'Total Weekday Boardings'!CP37+'Total Saturday Boardings'!CP37+'Total Sunday-Holiday Boardings'!CP37</f>
        <v>51204</v>
      </c>
      <c r="CQ37" s="18">
        <f>'Total Weekday Boardings'!CQ37+'Total Saturday Boardings'!CQ37+'Total Sunday-Holiday Boardings'!CQ37</f>
        <v>67641</v>
      </c>
      <c r="CR37" s="18">
        <f>'Total Weekday Boardings'!CR37+'Total Saturday Boardings'!CR37+'Total Sunday-Holiday Boardings'!CR37</f>
        <v>64128</v>
      </c>
      <c r="CS37" s="18">
        <f>'Total Weekday Boardings'!CS37+'Total Saturday Boardings'!CS37+'Total Sunday-Holiday Boardings'!CS37</f>
        <v>56194</v>
      </c>
      <c r="CT37" s="18">
        <f>'Total Weekday Boardings'!CT37+'Total Saturday Boardings'!CT37+'Total Sunday-Holiday Boardings'!CT37</f>
        <v>41121</v>
      </c>
      <c r="CU37" s="18">
        <f>'Total Weekday Boardings'!CU37+'Total Saturday Boardings'!CU37+'Total Sunday-Holiday Boardings'!CU37</f>
        <v>50700</v>
      </c>
      <c r="CV37" s="18">
        <f>'Total Weekday Boardings'!CV37+'Total Saturday Boardings'!CV37+'Total Sunday-Holiday Boardings'!CV37</f>
        <v>49870</v>
      </c>
      <c r="CW37" s="18">
        <f>'Total Weekday Boardings'!CW37+'Total Saturday Boardings'!CW37+'Total Sunday-Holiday Boardings'!CW37</f>
        <v>51558</v>
      </c>
      <c r="CX37" s="18">
        <f>'Total Weekday Boardings'!CX37+'Total Saturday Boardings'!CX37+'Total Sunday-Holiday Boardings'!CX37</f>
        <v>55186</v>
      </c>
      <c r="CY37" s="18">
        <f>'Total Weekday Boardings'!CY37+'Total Saturday Boardings'!CY37+'Total Sunday-Holiday Boardings'!CY37</f>
        <v>42361</v>
      </c>
      <c r="CZ37" s="19">
        <f>'Total Weekday Boardings'!CZ37+'Total Saturday Boardings'!CZ37+'Total Sunday-Holiday Boardings'!CZ37</f>
        <v>36370</v>
      </c>
      <c r="DA37" s="17">
        <f>'Total Weekday Boardings'!DA37+'Total Saturday Boardings'!DA37+'Total Sunday-Holiday Boardings'!DA37</f>
        <v>35027</v>
      </c>
      <c r="DB37" s="18">
        <f>'Total Weekday Boardings'!DB37+'Total Saturday Boardings'!DB37+'Total Sunday-Holiday Boardings'!DB37</f>
        <v>51928</v>
      </c>
      <c r="DC37" s="18">
        <f>'Total Weekday Boardings'!DC37+'Total Saturday Boardings'!DC37+'Total Sunday-Holiday Boardings'!DC37</f>
        <v>56849</v>
      </c>
      <c r="DD37" s="18">
        <f>'Total Weekday Boardings'!DD37+'Total Saturday Boardings'!DD37+'Total Sunday-Holiday Boardings'!DD37</f>
        <v>59951</v>
      </c>
      <c r="DE37" s="18">
        <f>'Total Weekday Boardings'!DE37+'Total Saturday Boardings'!DE37+'Total Sunday-Holiday Boardings'!DE37</f>
        <v>55451</v>
      </c>
      <c r="DF37" s="18">
        <f>'Total Weekday Boardings'!DF37+'Total Saturday Boardings'!DF37+'Total Sunday-Holiday Boardings'!DF37</f>
        <v>37285</v>
      </c>
      <c r="DG37" s="18">
        <f>'Total Weekday Boardings'!DG37+'Total Saturday Boardings'!DG37+'Total Sunday-Holiday Boardings'!DG37</f>
        <v>48757</v>
      </c>
      <c r="DH37" s="18">
        <f>'Total Weekday Boardings'!DH37+'Total Saturday Boardings'!DH37+'Total Sunday-Holiday Boardings'!DH37</f>
        <v>46237</v>
      </c>
      <c r="DI37" s="18">
        <f>'Total Weekday Boardings'!DI37+'Total Saturday Boardings'!DI37+'Total Sunday-Holiday Boardings'!DI37</f>
        <v>45653</v>
      </c>
      <c r="DJ37" s="18">
        <f>'Total Weekday Boardings'!DJ37+'Total Saturday Boardings'!DJ37+'Total Sunday-Holiday Boardings'!DJ37</f>
        <v>48020</v>
      </c>
      <c r="DK37" s="18">
        <f>'Total Weekday Boardings'!DK37+'Total Saturday Boardings'!DK37+'Total Sunday-Holiday Boardings'!DK37</f>
        <v>39369</v>
      </c>
      <c r="DL37" s="19">
        <f>'Total Weekday Boardings'!DL37+'Total Saturday Boardings'!DL37+'Total Sunday-Holiday Boardings'!DL37</f>
        <v>33139</v>
      </c>
      <c r="DM37" s="17">
        <f>'Total Weekday Boardings'!DM37+'Total Saturday Boardings'!DM37+'Total Sunday-Holiday Boardings'!DM37</f>
        <v>33421</v>
      </c>
      <c r="DN37" s="18">
        <f>'Total Weekday Boardings'!DN37+'Total Saturday Boardings'!DN37+'Total Sunday-Holiday Boardings'!DN37</f>
        <v>43771</v>
      </c>
      <c r="DO37" s="18">
        <f>'Total Weekday Boardings'!DO37+'Total Saturday Boardings'!DO37+'Total Sunday-Holiday Boardings'!DO37</f>
        <v>54597</v>
      </c>
      <c r="DP37" s="18">
        <f>'Total Weekday Boardings'!DP37+'Total Saturday Boardings'!DP37+'Total Sunday-Holiday Boardings'!DP37</f>
        <v>51332</v>
      </c>
      <c r="DQ37" s="18">
        <f>'Total Weekday Boardings'!DQ37+'Total Saturday Boardings'!DQ37+'Total Sunday-Holiday Boardings'!DQ37</f>
        <v>49946</v>
      </c>
      <c r="DR37" s="18">
        <f>'Total Weekday Boardings'!DR37+'Total Saturday Boardings'!DR37+'Total Sunday-Holiday Boardings'!DR37</f>
        <v>34603</v>
      </c>
      <c r="DS37" s="18">
        <f>'Total Weekday Boardings'!DS37+'Total Saturday Boardings'!DS37+'Total Sunday-Holiday Boardings'!DS37</f>
        <v>45614</v>
      </c>
      <c r="DT37" s="18">
        <f>'Total Weekday Boardings'!DT37+'Total Saturday Boardings'!DT37+'Total Sunday-Holiday Boardings'!DT37</f>
        <v>43860</v>
      </c>
      <c r="DU37" s="18">
        <f>'Total Weekday Boardings'!DU37+'Total Saturday Boardings'!DU37+'Total Sunday-Holiday Boardings'!DU37</f>
        <v>44344</v>
      </c>
      <c r="DV37" s="18">
        <f>'Total Weekday Boardings'!DV37+'Total Saturday Boardings'!DV37+'Total Sunday-Holiday Boardings'!DV37</f>
        <v>15778</v>
      </c>
      <c r="DW37" s="18">
        <f>'Total Weekday Boardings'!DW37+'Total Saturday Boardings'!DW37+'Total Sunday-Holiday Boardings'!DW37</f>
        <v>36940</v>
      </c>
      <c r="DX37" s="19">
        <f>'Total Weekday Boardings'!DX37+'Total Saturday Boardings'!DX37+'Total Sunday-Holiday Boardings'!DX37</f>
        <v>32972</v>
      </c>
      <c r="DY37" s="137">
        <v>34028</v>
      </c>
      <c r="DZ37" s="18">
        <v>45607</v>
      </c>
      <c r="EA37" s="18">
        <v>53554</v>
      </c>
      <c r="EB37" s="18">
        <v>54282</v>
      </c>
      <c r="EC37" s="18">
        <v>56313</v>
      </c>
      <c r="ED37" s="18">
        <v>40552</v>
      </c>
      <c r="EE37" s="18">
        <v>44661</v>
      </c>
      <c r="EF37" s="18">
        <v>45747</v>
      </c>
      <c r="EG37" s="18">
        <v>31894</v>
      </c>
      <c r="EH37" s="18">
        <v>18598</v>
      </c>
      <c r="EI37" s="18">
        <v>18784</v>
      </c>
      <c r="EJ37" s="19">
        <v>18683</v>
      </c>
      <c r="EK37" s="100">
        <v>18047</v>
      </c>
      <c r="EL37" s="18">
        <v>18324</v>
      </c>
      <c r="EM37" s="18">
        <v>18899</v>
      </c>
      <c r="EN37" s="103">
        <v>20132</v>
      </c>
      <c r="EO37" s="18">
        <v>15196</v>
      </c>
      <c r="EP37" s="18">
        <v>13930</v>
      </c>
      <c r="EQ37" s="18">
        <v>8474</v>
      </c>
      <c r="ER37" s="18">
        <v>15874</v>
      </c>
      <c r="ES37" s="18">
        <v>18013</v>
      </c>
      <c r="ET37" s="18">
        <v>18121</v>
      </c>
      <c r="EU37" s="18">
        <v>14918</v>
      </c>
      <c r="EV37" s="19">
        <v>15038</v>
      </c>
      <c r="EW37" s="103">
        <v>15196</v>
      </c>
      <c r="EX37" s="18">
        <v>20280</v>
      </c>
      <c r="EY37" s="18">
        <v>29199</v>
      </c>
      <c r="EZ37" s="103">
        <v>27389</v>
      </c>
      <c r="FA37" s="18">
        <v>27112</v>
      </c>
      <c r="FB37" s="145">
        <v>19050</v>
      </c>
      <c r="FC37" s="18">
        <v>19232</v>
      </c>
      <c r="FD37" s="18">
        <v>23183</v>
      </c>
      <c r="FE37" s="18">
        <v>26882</v>
      </c>
      <c r="FF37" s="18">
        <v>26928</v>
      </c>
      <c r="FG37" s="13">
        <f>SUM('Total Weekday Boardings'!FG37,'Total Saturday Boardings'!FG37,'Total Sunday-Holiday Boardings'!FG37)</f>
        <v>21372</v>
      </c>
      <c r="FH37" s="13">
        <f>SUM('Total Weekday Boardings'!FH37,'Total Saturday Boardings'!FH37,'Total Sunday-Holiday Boardings'!FH37)</f>
        <v>16015</v>
      </c>
      <c r="FI37" s="13">
        <f>SUM('Total Weekday Boardings'!FI37,'Total Saturday Boardings'!FI37,'Total Sunday-Holiday Boardings'!FI37)</f>
        <v>16846</v>
      </c>
      <c r="FJ37" s="13">
        <f>SUM('Total Weekday Boardings'!FJ37,'Total Saturday Boardings'!FJ37,'Total Sunday-Holiday Boardings'!FJ37)</f>
        <v>22384</v>
      </c>
      <c r="FK37" s="13">
        <f>SUM('Total Weekday Boardings'!FK37,'Total Saturday Boardings'!FK37,'Total Sunday-Holiday Boardings'!FK37)</f>
        <v>31532.500000000004</v>
      </c>
      <c r="FL37" s="13">
        <f>SUM('Total Weekday Boardings'!FL37,'Total Saturday Boardings'!FL37,'Total Sunday-Holiday Boardings'!FL37)</f>
        <v>25869</v>
      </c>
      <c r="FM37" s="13">
        <f>SUM('Total Weekday Boardings'!FM37,'Total Saturday Boardings'!FM37,'Total Sunday-Holiday Boardings'!FM37)</f>
        <v>26769</v>
      </c>
      <c r="FN37" s="13">
        <f>SUM('Total Weekday Boardings'!FN37,'Total Saturday Boardings'!FN37,'Total Sunday-Holiday Boardings'!FN37)</f>
        <v>20175</v>
      </c>
      <c r="FO37" s="13">
        <f>SUM('Total Weekday Boardings'!FO37,'Total Saturday Boardings'!FO37,'Total Sunday-Holiday Boardings'!FO37)</f>
        <v>25950</v>
      </c>
      <c r="FP37" s="13">
        <f>SUM('Total Weekday Boardings'!FP37,'Total Saturday Boardings'!FP37,'Total Sunday-Holiday Boardings'!FP37)</f>
        <v>22999</v>
      </c>
      <c r="FQ37" s="13">
        <f>SUM('Total Weekday Boardings'!FQ37,'Total Saturday Boardings'!FQ37,'Total Sunday-Holiday Boardings'!FQ37)</f>
        <v>27937</v>
      </c>
      <c r="FR37" s="13">
        <f>SUM('Total Weekday Boardings'!FR37,'Total Saturday Boardings'!FR37,'Total Sunday-Holiday Boardings'!FR37)</f>
        <v>28076</v>
      </c>
      <c r="FS37" s="13">
        <f>SUM('Total Weekday Boardings'!FS37,'Total Saturday Boardings'!FS37,'Total Sunday-Holiday Boardings'!FS37)</f>
        <v>23685</v>
      </c>
      <c r="FT37" s="16">
        <f>SUM('Total Weekday Boardings'!FT37,'Total Saturday Boardings'!FT37,'Total Sunday-Holiday Boardings'!FT37)</f>
        <v>18519</v>
      </c>
      <c r="FU37" s="171">
        <v>17869</v>
      </c>
      <c r="FV37" s="171">
        <v>28062</v>
      </c>
      <c r="FW37" s="171">
        <v>29970</v>
      </c>
      <c r="FX37" s="171">
        <v>30806</v>
      </c>
      <c r="FY37" s="171">
        <v>29986</v>
      </c>
      <c r="FZ37" s="171">
        <v>20533</v>
      </c>
      <c r="GA37" s="171">
        <v>26330</v>
      </c>
      <c r="GB37" s="52">
        <v>48723</v>
      </c>
      <c r="GC37" s="52">
        <v>26979</v>
      </c>
      <c r="GD37" s="52">
        <v>25980</v>
      </c>
      <c r="GE37" s="18">
        <v>39640</v>
      </c>
      <c r="GF37" s="52">
        <v>20977</v>
      </c>
      <c r="GG37" s="184">
        <v>18332</v>
      </c>
      <c r="GH37" s="52">
        <v>24730</v>
      </c>
      <c r="GI37" s="18">
        <v>27208</v>
      </c>
      <c r="GJ37" s="236">
        <v>31640</v>
      </c>
      <c r="GK37" s="184">
        <v>29044</v>
      </c>
      <c r="GL37" s="184">
        <v>20943</v>
      </c>
    </row>
    <row r="38" spans="1:194" ht="15" thickBot="1" x14ac:dyDescent="0.35">
      <c r="A38" s="3" t="s">
        <v>20</v>
      </c>
      <c r="B38" s="17"/>
      <c r="C38" s="18">
        <f>'Total Weekday Boardings'!C38+'Total Saturday Boardings'!C38+'Total Sunday-Holiday Boardings'!C38</f>
        <v>46098</v>
      </c>
      <c r="D38" s="18">
        <f>'Total Weekday Boardings'!D38+'Total Saturday Boardings'!D38+'Total Sunday-Holiday Boardings'!D38</f>
        <v>43875</v>
      </c>
      <c r="E38" s="18">
        <f>'Total Weekday Boardings'!E38+'Total Saturday Boardings'!E38+'Total Sunday-Holiday Boardings'!E38</f>
        <v>48295</v>
      </c>
      <c r="F38" s="18">
        <f>'Total Weekday Boardings'!F38+'Total Saturday Boardings'!F38+'Total Sunday-Holiday Boardings'!F38</f>
        <v>52641</v>
      </c>
      <c r="G38" s="18">
        <f>'Total Weekday Boardings'!G38+'Total Saturday Boardings'!G38+'Total Sunday-Holiday Boardings'!G38</f>
        <v>32495</v>
      </c>
      <c r="H38" s="19">
        <f>'Total Weekday Boardings'!H38+'Total Saturday Boardings'!H38+'Total Sunday-Holiday Boardings'!H38</f>
        <v>30660</v>
      </c>
      <c r="I38" s="17">
        <f>'Total Weekday Boardings'!I38+'Total Saturday Boardings'!I38+'Total Sunday-Holiday Boardings'!I38</f>
        <v>25236</v>
      </c>
      <c r="J38" s="18">
        <f>'Total Weekday Boardings'!J38+'Total Saturday Boardings'!J38+'Total Sunday-Holiday Boardings'!J38</f>
        <v>29275</v>
      </c>
      <c r="K38" s="18">
        <f>'Total Weekday Boardings'!K38+'Total Saturday Boardings'!K38+'Total Sunday-Holiday Boardings'!K38</f>
        <v>83203</v>
      </c>
      <c r="L38" s="18">
        <f>'Total Weekday Boardings'!L38+'Total Saturday Boardings'!L38+'Total Sunday-Holiday Boardings'!L38</f>
        <v>84328</v>
      </c>
      <c r="M38" s="18">
        <f>'Total Weekday Boardings'!M38+'Total Saturday Boardings'!M38+'Total Sunday-Holiday Boardings'!M38</f>
        <v>73742</v>
      </c>
      <c r="N38" s="18">
        <f>'Total Weekday Boardings'!N38+'Total Saturday Boardings'!N38+'Total Sunday-Holiday Boardings'!N38</f>
        <v>59808</v>
      </c>
      <c r="O38" s="62">
        <f>'Total Weekday Boardings'!O38+'Total Saturday Boardings'!O38+'Total Sunday-Holiday Boardings'!O38</f>
        <v>63460</v>
      </c>
      <c r="P38" s="62">
        <f>'Total Weekday Boardings'!P38+'Total Saturday Boardings'!P38+'Total Sunday-Holiday Boardings'!P38</f>
        <v>71478</v>
      </c>
      <c r="Q38" s="62">
        <f>'Total Weekday Boardings'!Q38+'Total Saturday Boardings'!Q38+'Total Sunday-Holiday Boardings'!Q38</f>
        <v>76481</v>
      </c>
      <c r="R38" s="62">
        <f>'Total Weekday Boardings'!R38+'Total Saturday Boardings'!R38+'Total Sunday-Holiday Boardings'!R38</f>
        <v>83575</v>
      </c>
      <c r="S38" s="62">
        <f>'Total Weekday Boardings'!S38+'Total Saturday Boardings'!S38+'Total Sunday-Holiday Boardings'!S38</f>
        <v>44300</v>
      </c>
      <c r="T38" s="63">
        <f>'Total Weekday Boardings'!T38+'Total Saturday Boardings'!T38+'Total Sunday-Holiday Boardings'!T38</f>
        <v>32138</v>
      </c>
      <c r="U38" s="64">
        <f>'Total Weekday Boardings'!U38+'Total Saturday Boardings'!U38+'Total Sunday-Holiday Boardings'!U38</f>
        <v>29456</v>
      </c>
      <c r="V38" s="62">
        <f>'Total Weekday Boardings'!V38+'Total Saturday Boardings'!V38+'Total Sunday-Holiday Boardings'!V38</f>
        <v>55904</v>
      </c>
      <c r="W38" s="62">
        <f>'Total Weekday Boardings'!W38+'Total Saturday Boardings'!W38+'Total Sunday-Holiday Boardings'!W38</f>
        <v>87760</v>
      </c>
      <c r="X38" s="62">
        <f>'Total Weekday Boardings'!X38+'Total Saturday Boardings'!X38+'Total Sunday-Holiday Boardings'!X38</f>
        <v>81036</v>
      </c>
      <c r="Y38" s="62">
        <f>'Total Weekday Boardings'!Y38+'Total Saturday Boardings'!Y38+'Total Sunday-Holiday Boardings'!Y38</f>
        <v>72795</v>
      </c>
      <c r="Z38" s="62">
        <f>'Total Weekday Boardings'!Z38+'Total Saturday Boardings'!Z38+'Total Sunday-Holiday Boardings'!Z38</f>
        <v>47063</v>
      </c>
      <c r="AA38" s="18">
        <f>'Total Weekday Boardings'!AA38+'Total Saturday Boardings'!AA38+'Total Sunday-Holiday Boardings'!AA38</f>
        <v>58765</v>
      </c>
      <c r="AB38" s="18">
        <f>'Total Weekday Boardings'!AB38+'Total Saturday Boardings'!AB38+'Total Sunday-Holiday Boardings'!AB38</f>
        <v>75976</v>
      </c>
      <c r="AC38" s="18">
        <f>'Total Weekday Boardings'!AC38+'Total Saturday Boardings'!AC38+'Total Sunday-Holiday Boardings'!AC38</f>
        <v>72811</v>
      </c>
      <c r="AD38" s="18">
        <f>'Total Weekday Boardings'!AD38+'Total Saturday Boardings'!AD38+'Total Sunday-Holiday Boardings'!AD38</f>
        <v>73765</v>
      </c>
      <c r="AE38" s="18">
        <f>'Total Weekday Boardings'!AE38+'Total Saturday Boardings'!AE38+'Total Sunday-Holiday Boardings'!AE38</f>
        <v>40718</v>
      </c>
      <c r="AF38" s="19">
        <f>'Total Weekday Boardings'!AF38+'Total Saturday Boardings'!AF38+'Total Sunday-Holiday Boardings'!AF38</f>
        <v>35710</v>
      </c>
      <c r="AG38" s="17">
        <f>'Total Weekday Boardings'!AG38+'Total Saturday Boardings'!AG38+'Total Sunday-Holiday Boardings'!AG38</f>
        <v>33737</v>
      </c>
      <c r="AH38" s="18">
        <f>'Total Weekday Boardings'!AH38+'Total Saturday Boardings'!AH38+'Total Sunday-Holiday Boardings'!AH38</f>
        <v>61755</v>
      </c>
      <c r="AI38" s="18">
        <f>'Total Weekday Boardings'!AI38+'Total Saturday Boardings'!AI38+'Total Sunday-Holiday Boardings'!AI38</f>
        <v>84707</v>
      </c>
      <c r="AJ38" s="18">
        <f>'Total Weekday Boardings'!AJ38+'Total Saturday Boardings'!AJ38+'Total Sunday-Holiday Boardings'!AJ38</f>
        <v>83945</v>
      </c>
      <c r="AK38" s="18">
        <f>'Total Weekday Boardings'!AK38+'Total Saturday Boardings'!AK38+'Total Sunday-Holiday Boardings'!AK38</f>
        <v>70573</v>
      </c>
      <c r="AL38" s="18">
        <f>'Total Weekday Boardings'!AL38+'Total Saturday Boardings'!AL38+'Total Sunday-Holiday Boardings'!AL38</f>
        <v>43762</v>
      </c>
      <c r="AM38" s="18">
        <f>'Total Weekday Boardings'!AM38+'Total Saturday Boardings'!AM38+'Total Sunday-Holiday Boardings'!AM38</f>
        <v>72118</v>
      </c>
      <c r="AN38" s="18">
        <f>'Total Weekday Boardings'!AN38+'Total Saturday Boardings'!AN38+'Total Sunday-Holiday Boardings'!AN38</f>
        <v>70145</v>
      </c>
      <c r="AO38" s="18">
        <f>'Total Weekday Boardings'!AO38+'Total Saturday Boardings'!AO38+'Total Sunday-Holiday Boardings'!AO38</f>
        <v>65796</v>
      </c>
      <c r="AP38" s="18">
        <f>'Total Weekday Boardings'!AP38+'Total Saturday Boardings'!AP38+'Total Sunday-Holiday Boardings'!AP38</f>
        <v>69616</v>
      </c>
      <c r="AQ38" s="18">
        <f>'Total Weekday Boardings'!AQ38+'Total Saturday Boardings'!AQ38+'Total Sunday-Holiday Boardings'!AQ38</f>
        <v>38016</v>
      </c>
      <c r="AR38" s="19">
        <f>'Total Weekday Boardings'!AR38+'Total Saturday Boardings'!AR38+'Total Sunday-Holiday Boardings'!AR38</f>
        <v>37110</v>
      </c>
      <c r="AS38" s="17">
        <f>'Total Weekday Boardings'!AS38+'Total Saturday Boardings'!AS38+'Total Sunday-Holiday Boardings'!AS38</f>
        <v>34278</v>
      </c>
      <c r="AT38" s="18">
        <f>'Total Weekday Boardings'!AT38+'Total Saturday Boardings'!AT38+'Total Sunday-Holiday Boardings'!AT38</f>
        <v>54243</v>
      </c>
      <c r="AU38" s="18">
        <f>'Total Weekday Boardings'!AU38+'Total Saturday Boardings'!AU38+'Total Sunday-Holiday Boardings'!AU38</f>
        <v>79100</v>
      </c>
      <c r="AV38" s="18">
        <f>'Total Weekday Boardings'!AV38+'Total Saturday Boardings'!AV38+'Total Sunday-Holiday Boardings'!AV38</f>
        <v>84181</v>
      </c>
      <c r="AW38" s="18">
        <f>'Total Weekday Boardings'!AW38+'Total Saturday Boardings'!AW38+'Total Sunday-Holiday Boardings'!AW38</f>
        <v>72480</v>
      </c>
      <c r="AX38" s="18">
        <f>'Total Weekday Boardings'!AX38+'Total Saturday Boardings'!AX38+'Total Sunday-Holiday Boardings'!AX38</f>
        <v>52919</v>
      </c>
      <c r="AY38" s="18">
        <f>'Total Weekday Boardings'!AY38+'Total Saturday Boardings'!AY38+'Total Sunday-Holiday Boardings'!AY38</f>
        <v>72980</v>
      </c>
      <c r="AZ38" s="18">
        <f>'Total Weekday Boardings'!AZ38+'Total Saturday Boardings'!AZ38+'Total Sunday-Holiday Boardings'!AZ38</f>
        <v>71537</v>
      </c>
      <c r="BA38" s="18">
        <f>'Total Weekday Boardings'!BA38+'Total Saturday Boardings'!BA38+'Total Sunday-Holiday Boardings'!BA38</f>
        <v>63896</v>
      </c>
      <c r="BB38" s="18">
        <f>'Total Weekday Boardings'!BB38+'Total Saturday Boardings'!BB38+'Total Sunday-Holiday Boardings'!BB38</f>
        <v>73286</v>
      </c>
      <c r="BC38" s="18">
        <f>'Total Weekday Boardings'!BC38+'Total Saturday Boardings'!BC38+'Total Sunday-Holiday Boardings'!BC38</f>
        <v>41846</v>
      </c>
      <c r="BD38" s="19">
        <f>'Total Weekday Boardings'!BD38+'Total Saturday Boardings'!BD38+'Total Sunday-Holiday Boardings'!BD38</f>
        <v>33421</v>
      </c>
      <c r="BE38" s="17">
        <f>'Total Weekday Boardings'!BE38+'Total Saturday Boardings'!BE38+'Total Sunday-Holiday Boardings'!BE38</f>
        <v>31325</v>
      </c>
      <c r="BF38" s="18">
        <f>'Total Weekday Boardings'!BF38+'Total Saturday Boardings'!BF38+'Total Sunday-Holiday Boardings'!BF38</f>
        <v>51155</v>
      </c>
      <c r="BG38" s="18">
        <f>'Total Weekday Boardings'!BG38+'Total Saturday Boardings'!BG38+'Total Sunday-Holiday Boardings'!BG38</f>
        <v>76761</v>
      </c>
      <c r="BH38" s="18">
        <f>'Total Weekday Boardings'!BH38+'Total Saturday Boardings'!BH38+'Total Sunday-Holiday Boardings'!BH38</f>
        <v>79651</v>
      </c>
      <c r="BI38" s="18">
        <f>'Total Weekday Boardings'!BI38+'Total Saturday Boardings'!BI38+'Total Sunday-Holiday Boardings'!BI38</f>
        <v>68397.77158245047</v>
      </c>
      <c r="BJ38" s="18">
        <f>'Total Weekday Boardings'!BJ38+'Total Saturday Boardings'!BJ38+'Total Sunday-Holiday Boardings'!BJ38</f>
        <v>48450</v>
      </c>
      <c r="BK38" s="18">
        <f>'Total Weekday Boardings'!BK38+'Total Saturday Boardings'!BK38+'Total Sunday-Holiday Boardings'!BK38</f>
        <v>66205</v>
      </c>
      <c r="BL38" s="18">
        <f>'Total Weekday Boardings'!BL38+'Total Saturday Boardings'!BL38+'Total Sunday-Holiday Boardings'!BL38</f>
        <v>70245</v>
      </c>
      <c r="BM38" s="18">
        <f>'Total Weekday Boardings'!BM38+'Total Saturday Boardings'!BM38+'Total Sunday-Holiday Boardings'!BM38</f>
        <v>64569</v>
      </c>
      <c r="BN38" s="18">
        <f>'Total Weekday Boardings'!BN38+'Total Saturday Boardings'!BN38+'Total Sunday-Holiday Boardings'!BN38</f>
        <v>69980</v>
      </c>
      <c r="BO38" s="18">
        <f>'Total Weekday Boardings'!BO38+'Total Saturday Boardings'!BO38+'Total Sunday-Holiday Boardings'!BO38</f>
        <v>44339</v>
      </c>
      <c r="BP38" s="19">
        <f>'Total Weekday Boardings'!BP38+'Total Saturday Boardings'!BP38+'Total Sunday-Holiday Boardings'!BP38</f>
        <v>37450</v>
      </c>
      <c r="BQ38" s="17">
        <f>'Total Weekday Boardings'!BQ38+'Total Saturday Boardings'!BQ38+'Total Sunday-Holiday Boardings'!BQ38</f>
        <v>33764</v>
      </c>
      <c r="BR38" s="18">
        <f>'Total Weekday Boardings'!BR38+'Total Saturday Boardings'!BR38+'Total Sunday-Holiday Boardings'!BR38</f>
        <v>54152</v>
      </c>
      <c r="BS38" s="18">
        <f>'Total Weekday Boardings'!BS38+'Total Saturday Boardings'!BS38+'Total Sunday-Holiday Boardings'!BS38</f>
        <v>77572</v>
      </c>
      <c r="BT38" s="18">
        <f>'Total Weekday Boardings'!BT38+'Total Saturday Boardings'!BT38+'Total Sunday-Holiday Boardings'!BT38</f>
        <v>77755</v>
      </c>
      <c r="BU38" s="18">
        <f>'Total Weekday Boardings'!BU38+'Total Saturday Boardings'!BU38+'Total Sunday-Holiday Boardings'!BU38</f>
        <v>66334</v>
      </c>
      <c r="BV38" s="18">
        <f>'Total Weekday Boardings'!BV38+'Total Saturday Boardings'!BV38+'Total Sunday-Holiday Boardings'!BV38</f>
        <v>46084</v>
      </c>
      <c r="BW38" s="18">
        <f>'Total Weekday Boardings'!BW38+'Total Saturday Boardings'!BW38+'Total Sunday-Holiday Boardings'!BW38</f>
        <v>62681</v>
      </c>
      <c r="BX38" s="18">
        <f>'Total Weekday Boardings'!BX38+'Total Saturday Boardings'!BX38+'Total Sunday-Holiday Boardings'!BX38</f>
        <v>64701</v>
      </c>
      <c r="BY38" s="18">
        <f>'Total Weekday Boardings'!BY38+'Total Saturday Boardings'!BY38+'Total Sunday-Holiday Boardings'!BY38</f>
        <v>60450</v>
      </c>
      <c r="BZ38" s="18">
        <f>'Total Weekday Boardings'!BZ38+'Total Saturday Boardings'!BZ38+'Total Sunday-Holiday Boardings'!BZ38</f>
        <v>62774</v>
      </c>
      <c r="CA38" s="18">
        <f>'Total Weekday Boardings'!CA38+'Total Saturday Boardings'!CA38+'Total Sunday-Holiday Boardings'!CA38</f>
        <v>37874</v>
      </c>
      <c r="CB38" s="19">
        <f>'Total Weekday Boardings'!CB38+'Total Saturday Boardings'!CB38+'Total Sunday-Holiday Boardings'!CB38</f>
        <v>33352</v>
      </c>
      <c r="CC38" s="20">
        <f>'Total Weekday Boardings'!CC38+'Total Saturday Boardings'!CC38+'Total Sunday-Holiday Boardings'!CC38</f>
        <v>31413</v>
      </c>
      <c r="CD38" s="18">
        <f>'Total Weekday Boardings'!CD38+'Total Saturday Boardings'!CD38+'Total Sunday-Holiday Boardings'!CD38</f>
        <v>49678</v>
      </c>
      <c r="CE38" s="18">
        <f>'Total Weekday Boardings'!CE38+'Total Saturday Boardings'!CE38+'Total Sunday-Holiday Boardings'!CE38</f>
        <v>76169</v>
      </c>
      <c r="CF38" s="18">
        <f>'Total Weekday Boardings'!CF38+'Total Saturday Boardings'!CF38+'Total Sunday-Holiday Boardings'!CF38</f>
        <v>72445</v>
      </c>
      <c r="CG38" s="18">
        <f>'Total Weekday Boardings'!CG38+'Total Saturday Boardings'!CG38+'Total Sunday-Holiday Boardings'!CG38</f>
        <v>65752</v>
      </c>
      <c r="CH38" s="18">
        <f>'Total Weekday Boardings'!CH38+'Total Saturday Boardings'!CH38+'Total Sunday-Holiday Boardings'!CH38</f>
        <v>43785</v>
      </c>
      <c r="CI38" s="18">
        <f>'Total Weekday Boardings'!CI38+'Total Saturday Boardings'!CI38+'Total Sunday-Holiday Boardings'!CI38</f>
        <v>58535</v>
      </c>
      <c r="CJ38" s="18">
        <f>'Total Weekday Boardings'!CJ38+'Total Saturday Boardings'!CJ38+'Total Sunday-Holiday Boardings'!CJ38</f>
        <v>66061</v>
      </c>
      <c r="CK38" s="18">
        <f>'Total Weekday Boardings'!CK38+'Total Saturday Boardings'!CK38+'Total Sunday-Holiday Boardings'!CK38</f>
        <v>62432</v>
      </c>
      <c r="CL38" s="18">
        <f>'Total Weekday Boardings'!CL38+'Total Saturday Boardings'!CL38+'Total Sunday-Holiday Boardings'!CL38</f>
        <v>64094</v>
      </c>
      <c r="CM38" s="18">
        <f>'Total Weekday Boardings'!CM38+'Total Saturday Boardings'!CM38+'Total Sunday-Holiday Boardings'!CM38</f>
        <v>39595</v>
      </c>
      <c r="CN38" s="21">
        <f>'Total Weekday Boardings'!CN38+'Total Saturday Boardings'!CN38+'Total Sunday-Holiday Boardings'!CN38</f>
        <v>36030</v>
      </c>
      <c r="CO38" s="17">
        <f>'Total Weekday Boardings'!CO38+'Total Saturday Boardings'!CO38+'Total Sunday-Holiday Boardings'!CO38</f>
        <v>33182</v>
      </c>
      <c r="CP38" s="18">
        <f>'Total Weekday Boardings'!CP38+'Total Saturday Boardings'!CP38+'Total Sunday-Holiday Boardings'!CP38</f>
        <v>53664</v>
      </c>
      <c r="CQ38" s="18">
        <f>'Total Weekday Boardings'!CQ38+'Total Saturday Boardings'!CQ38+'Total Sunday-Holiday Boardings'!CQ38</f>
        <v>66879</v>
      </c>
      <c r="CR38" s="18">
        <f>'Total Weekday Boardings'!CR38+'Total Saturday Boardings'!CR38+'Total Sunday-Holiday Boardings'!CR38</f>
        <v>63057</v>
      </c>
      <c r="CS38" s="18">
        <f>'Total Weekday Boardings'!CS38+'Total Saturday Boardings'!CS38+'Total Sunday-Holiday Boardings'!CS38</f>
        <v>59569</v>
      </c>
      <c r="CT38" s="18">
        <f>'Total Weekday Boardings'!CT38+'Total Saturday Boardings'!CT38+'Total Sunday-Holiday Boardings'!CT38</f>
        <v>37788</v>
      </c>
      <c r="CU38" s="18">
        <f>'Total Weekday Boardings'!CU38+'Total Saturday Boardings'!CU38+'Total Sunday-Holiday Boardings'!CU38</f>
        <v>55841</v>
      </c>
      <c r="CV38" s="18">
        <f>'Total Weekday Boardings'!CV38+'Total Saturday Boardings'!CV38+'Total Sunday-Holiday Boardings'!CV38</f>
        <v>58380</v>
      </c>
      <c r="CW38" s="18">
        <f>'Total Weekday Boardings'!CW38+'Total Saturday Boardings'!CW38+'Total Sunday-Holiday Boardings'!CW38</f>
        <v>56110</v>
      </c>
      <c r="CX38" s="18">
        <f>'Total Weekday Boardings'!CX38+'Total Saturday Boardings'!CX38+'Total Sunday-Holiday Boardings'!CX38</f>
        <v>58326</v>
      </c>
      <c r="CY38" s="18">
        <f>'Total Weekday Boardings'!CY38+'Total Saturday Boardings'!CY38+'Total Sunday-Holiday Boardings'!CY38</f>
        <v>38489</v>
      </c>
      <c r="CZ38" s="19">
        <f>'Total Weekday Boardings'!CZ38+'Total Saturday Boardings'!CZ38+'Total Sunday-Holiday Boardings'!CZ38</f>
        <v>32301</v>
      </c>
      <c r="DA38" s="17">
        <f>'Total Weekday Boardings'!DA38+'Total Saturday Boardings'!DA38+'Total Sunday-Holiday Boardings'!DA38</f>
        <v>30561</v>
      </c>
      <c r="DB38" s="18">
        <f>'Total Weekday Boardings'!DB38+'Total Saturday Boardings'!DB38+'Total Sunday-Holiday Boardings'!DB38</f>
        <v>51480</v>
      </c>
      <c r="DC38" s="18">
        <f>'Total Weekday Boardings'!DC38+'Total Saturday Boardings'!DC38+'Total Sunday-Holiday Boardings'!DC38</f>
        <v>61736</v>
      </c>
      <c r="DD38" s="18">
        <f>'Total Weekday Boardings'!DD38+'Total Saturday Boardings'!DD38+'Total Sunday-Holiday Boardings'!DD38</f>
        <v>62103</v>
      </c>
      <c r="DE38" s="18">
        <f>'Total Weekday Boardings'!DE38+'Total Saturday Boardings'!DE38+'Total Sunday-Holiday Boardings'!DE38</f>
        <v>55993</v>
      </c>
      <c r="DF38" s="18">
        <f>'Total Weekday Boardings'!DF38+'Total Saturday Boardings'!DF38+'Total Sunday-Holiday Boardings'!DF38</f>
        <v>33582</v>
      </c>
      <c r="DG38" s="18">
        <f>'Total Weekday Boardings'!DG38+'Total Saturday Boardings'!DG38+'Total Sunday-Holiday Boardings'!DG38</f>
        <v>53915</v>
      </c>
      <c r="DH38" s="18">
        <f>'Total Weekday Boardings'!DH38+'Total Saturday Boardings'!DH38+'Total Sunday-Holiday Boardings'!DH38</f>
        <v>53908</v>
      </c>
      <c r="DI38" s="18">
        <f>'Total Weekday Boardings'!DI38+'Total Saturday Boardings'!DI38+'Total Sunday-Holiday Boardings'!DI38</f>
        <v>53499</v>
      </c>
      <c r="DJ38" s="18">
        <f>'Total Weekday Boardings'!DJ38+'Total Saturday Boardings'!DJ38+'Total Sunday-Holiday Boardings'!DJ38</f>
        <v>53132</v>
      </c>
      <c r="DK38" s="18">
        <f>'Total Weekday Boardings'!DK38+'Total Saturday Boardings'!DK38+'Total Sunday-Holiday Boardings'!DK38</f>
        <v>34473</v>
      </c>
      <c r="DL38" s="19">
        <f>'Total Weekday Boardings'!DL38+'Total Saturday Boardings'!DL38+'Total Sunday-Holiday Boardings'!DL38</f>
        <v>31222</v>
      </c>
      <c r="DM38" s="17">
        <f>'Total Weekday Boardings'!DM38+'Total Saturday Boardings'!DM38+'Total Sunday-Holiday Boardings'!DM38</f>
        <v>30062</v>
      </c>
      <c r="DN38" s="18">
        <f>'Total Weekday Boardings'!DN38+'Total Saturday Boardings'!DN38+'Total Sunday-Holiday Boardings'!DN38</f>
        <v>49104</v>
      </c>
      <c r="DO38" s="18">
        <f>'Total Weekday Boardings'!DO38+'Total Saturday Boardings'!DO38+'Total Sunday-Holiday Boardings'!DO38</f>
        <v>55139</v>
      </c>
      <c r="DP38" s="18">
        <f>'Total Weekday Boardings'!DP38+'Total Saturday Boardings'!DP38+'Total Sunday-Holiday Boardings'!DP38</f>
        <v>57293</v>
      </c>
      <c r="DQ38" s="18">
        <f>'Total Weekday Boardings'!DQ38+'Total Saturday Boardings'!DQ38+'Total Sunday-Holiday Boardings'!DQ38</f>
        <v>52426</v>
      </c>
      <c r="DR38" s="18">
        <f>'Total Weekday Boardings'!DR38+'Total Saturday Boardings'!DR38+'Total Sunday-Holiday Boardings'!DR38</f>
        <v>31552</v>
      </c>
      <c r="DS38" s="18">
        <f>'Total Weekday Boardings'!DS38+'Total Saturday Boardings'!DS38+'Total Sunday-Holiday Boardings'!DS38</f>
        <v>53721</v>
      </c>
      <c r="DT38" s="18">
        <f>'Total Weekday Boardings'!DT38+'Total Saturday Boardings'!DT38+'Total Sunday-Holiday Boardings'!DT38</f>
        <v>50799</v>
      </c>
      <c r="DU38" s="18">
        <f>'Total Weekday Boardings'!DU38+'Total Saturday Boardings'!DU38+'Total Sunday-Holiday Boardings'!DU38</f>
        <v>49057</v>
      </c>
      <c r="DV38" s="18">
        <f>'Total Weekday Boardings'!DV38+'Total Saturday Boardings'!DV38+'Total Sunday-Holiday Boardings'!DV38</f>
        <v>53001</v>
      </c>
      <c r="DW38" s="18">
        <f>'Total Weekday Boardings'!DW38+'Total Saturday Boardings'!DW38+'Total Sunday-Holiday Boardings'!DW38</f>
        <v>33748</v>
      </c>
      <c r="DX38" s="19">
        <f>'Total Weekday Boardings'!DX38+'Total Saturday Boardings'!DX38+'Total Sunday-Holiday Boardings'!DX38</f>
        <v>30506</v>
      </c>
      <c r="DY38" s="137">
        <v>28209</v>
      </c>
      <c r="DZ38" s="18">
        <v>39223</v>
      </c>
      <c r="EA38" s="18">
        <v>57769</v>
      </c>
      <c r="EB38" s="18">
        <v>60983</v>
      </c>
      <c r="EC38" s="18">
        <v>53895</v>
      </c>
      <c r="ED38" s="18">
        <v>37237</v>
      </c>
      <c r="EE38" s="18">
        <v>48319</v>
      </c>
      <c r="EF38" s="18">
        <v>54405</v>
      </c>
      <c r="EG38" s="18">
        <v>30560</v>
      </c>
      <c r="EH38" s="18">
        <v>11577</v>
      </c>
      <c r="EI38" s="18">
        <v>11110</v>
      </c>
      <c r="EJ38" s="19">
        <v>10189</v>
      </c>
      <c r="EK38" s="100">
        <v>9559</v>
      </c>
      <c r="EL38" s="18">
        <v>13644</v>
      </c>
      <c r="EM38" s="18">
        <v>15055</v>
      </c>
      <c r="EN38" s="103">
        <v>15854</v>
      </c>
      <c r="EO38" s="18">
        <v>14884</v>
      </c>
      <c r="EP38" s="18">
        <v>11048</v>
      </c>
      <c r="EQ38" s="18">
        <v>6465</v>
      </c>
      <c r="ER38" s="18">
        <v>12767</v>
      </c>
      <c r="ES38" s="18">
        <v>15109</v>
      </c>
      <c r="ET38" s="18">
        <v>15500</v>
      </c>
      <c r="EU38" s="18">
        <v>15046</v>
      </c>
      <c r="EV38" s="19">
        <v>15232</v>
      </c>
      <c r="EW38" s="103">
        <v>14884</v>
      </c>
      <c r="EX38" s="18">
        <v>25906</v>
      </c>
      <c r="EY38" s="18">
        <v>34421</v>
      </c>
      <c r="EZ38" s="103">
        <v>32457</v>
      </c>
      <c r="FA38" s="18">
        <v>31208</v>
      </c>
      <c r="FB38" s="145">
        <v>21336</v>
      </c>
      <c r="FC38" s="18">
        <v>26205</v>
      </c>
      <c r="FD38" s="18">
        <v>32319</v>
      </c>
      <c r="FE38" s="18">
        <v>34988</v>
      </c>
      <c r="FF38" s="18">
        <v>34030</v>
      </c>
      <c r="FG38" s="13">
        <f>SUM('Total Weekday Boardings'!FG38,'Total Saturday Boardings'!FG38,'Total Sunday-Holiday Boardings'!FG38)</f>
        <v>24030</v>
      </c>
      <c r="FH38" s="13">
        <f>SUM('Total Weekday Boardings'!FH38,'Total Saturday Boardings'!FH38,'Total Sunday-Holiday Boardings'!FH38)</f>
        <v>18607</v>
      </c>
      <c r="FI38" s="13">
        <f>SUM('Total Weekday Boardings'!FI38,'Total Saturday Boardings'!FI38,'Total Sunday-Holiday Boardings'!FI38)</f>
        <v>18589</v>
      </c>
      <c r="FJ38" s="13">
        <f>SUM('Total Weekday Boardings'!FJ38,'Total Saturday Boardings'!FJ38,'Total Sunday-Holiday Boardings'!FJ38)</f>
        <v>13228</v>
      </c>
      <c r="FK38" s="13">
        <f>SUM('Total Weekday Boardings'!FK38,'Total Saturday Boardings'!FK38,'Total Sunday-Holiday Boardings'!FK38)</f>
        <v>15894.5</v>
      </c>
      <c r="FL38" s="13">
        <f>SUM('Total Weekday Boardings'!FL38,'Total Saturday Boardings'!FL38,'Total Sunday-Holiday Boardings'!FL38)</f>
        <v>14890</v>
      </c>
      <c r="FM38" s="13">
        <f>SUM('Total Weekday Boardings'!FM38,'Total Saturday Boardings'!FM38,'Total Sunday-Holiday Boardings'!FM38)</f>
        <v>13737</v>
      </c>
      <c r="FN38" s="13">
        <f>SUM('Total Weekday Boardings'!FN38,'Total Saturday Boardings'!FN38,'Total Sunday-Holiday Boardings'!FN38)</f>
        <v>10767</v>
      </c>
      <c r="FO38" s="13">
        <f>SUM('Total Weekday Boardings'!FO38,'Total Saturday Boardings'!FO38,'Total Sunday-Holiday Boardings'!FO38)</f>
        <v>14762</v>
      </c>
      <c r="FP38" s="13">
        <f>SUM('Total Weekday Boardings'!FP38,'Total Saturday Boardings'!FP38,'Total Sunday-Holiday Boardings'!FP38)</f>
        <v>31451</v>
      </c>
      <c r="FQ38" s="13">
        <f>SUM('Total Weekday Boardings'!FQ38,'Total Saturday Boardings'!FQ38,'Total Sunday-Holiday Boardings'!FQ38)</f>
        <v>15974</v>
      </c>
      <c r="FR38" s="13">
        <f>SUM('Total Weekday Boardings'!FR38,'Total Saturday Boardings'!FR38,'Total Sunday-Holiday Boardings'!FR38)</f>
        <v>15320</v>
      </c>
      <c r="FS38" s="13">
        <f>SUM('Total Weekday Boardings'!FS38,'Total Saturday Boardings'!FS38,'Total Sunday-Holiday Boardings'!FS38)</f>
        <v>13914</v>
      </c>
      <c r="FT38" s="16">
        <f>SUM('Total Weekday Boardings'!FT38,'Total Saturday Boardings'!FT38,'Total Sunday-Holiday Boardings'!FT38)</f>
        <v>10836</v>
      </c>
      <c r="FU38" s="171">
        <v>11368</v>
      </c>
      <c r="FV38" s="171">
        <v>16396</v>
      </c>
      <c r="FW38" s="171">
        <v>16812</v>
      </c>
      <c r="FX38" s="171">
        <v>16579</v>
      </c>
      <c r="FY38" s="171">
        <v>15216</v>
      </c>
      <c r="FZ38" s="171">
        <v>11988</v>
      </c>
      <c r="GA38" s="171">
        <v>15057</v>
      </c>
      <c r="GB38" s="52">
        <v>15725</v>
      </c>
      <c r="GC38" s="52">
        <v>15055</v>
      </c>
      <c r="GD38" s="52">
        <v>13975</v>
      </c>
      <c r="GE38" s="18">
        <v>12656</v>
      </c>
      <c r="GF38" s="52">
        <v>9221</v>
      </c>
      <c r="GG38" s="184">
        <v>9707</v>
      </c>
      <c r="GH38" s="52">
        <v>14425</v>
      </c>
      <c r="GI38" s="18">
        <v>17151</v>
      </c>
      <c r="GJ38" s="236">
        <v>16690</v>
      </c>
      <c r="GK38" s="184">
        <v>15368</v>
      </c>
      <c r="GL38" s="184">
        <v>12042</v>
      </c>
    </row>
    <row r="39" spans="1:194" ht="15" thickBot="1" x14ac:dyDescent="0.35">
      <c r="A39" s="3" t="s">
        <v>21</v>
      </c>
      <c r="B39" s="17"/>
      <c r="C39" s="18">
        <f>'Total Weekday Boardings'!C39+'Total Saturday Boardings'!C39+'Total Sunday-Holiday Boardings'!C39</f>
        <v>16086</v>
      </c>
      <c r="D39" s="18">
        <f>'Total Weekday Boardings'!D39+'Total Saturday Boardings'!D39+'Total Sunday-Holiday Boardings'!D39</f>
        <v>22297</v>
      </c>
      <c r="E39" s="18">
        <f>'Total Weekday Boardings'!E39+'Total Saturday Boardings'!E39+'Total Sunday-Holiday Boardings'!E39</f>
        <v>21892</v>
      </c>
      <c r="F39" s="18">
        <f>'Total Weekday Boardings'!F39+'Total Saturday Boardings'!F39+'Total Sunday-Holiday Boardings'!F39</f>
        <v>22815</v>
      </c>
      <c r="G39" s="18">
        <f>'Total Weekday Boardings'!G39+'Total Saturday Boardings'!G39+'Total Sunday-Holiday Boardings'!G39</f>
        <v>20073</v>
      </c>
      <c r="H39" s="19">
        <f>'Total Weekday Boardings'!H39+'Total Saturday Boardings'!H39+'Total Sunday-Holiday Boardings'!H39</f>
        <v>15534</v>
      </c>
      <c r="I39" s="17">
        <f>'Total Weekday Boardings'!I39+'Total Saturday Boardings'!I39+'Total Sunday-Holiday Boardings'!I39</f>
        <v>13882</v>
      </c>
      <c r="J39" s="18">
        <f>'Total Weekday Boardings'!J39+'Total Saturday Boardings'!J39+'Total Sunday-Holiday Boardings'!J39</f>
        <v>13731</v>
      </c>
      <c r="K39" s="18">
        <f>'Total Weekday Boardings'!K39+'Total Saturday Boardings'!K39+'Total Sunday-Holiday Boardings'!K39</f>
        <v>24935</v>
      </c>
      <c r="L39" s="18">
        <f>'Total Weekday Boardings'!L39+'Total Saturday Boardings'!L39+'Total Sunday-Holiday Boardings'!L39</f>
        <v>26510</v>
      </c>
      <c r="M39" s="18">
        <f>'Total Weekday Boardings'!M39+'Total Saturday Boardings'!M39+'Total Sunday-Holiday Boardings'!M39</f>
        <v>24423</v>
      </c>
      <c r="N39" s="18">
        <f>'Total Weekday Boardings'!N39+'Total Saturday Boardings'!N39+'Total Sunday-Holiday Boardings'!N39</f>
        <v>19957</v>
      </c>
      <c r="O39" s="62">
        <f>'Total Weekday Boardings'!O39+'Total Saturday Boardings'!O39+'Total Sunday-Holiday Boardings'!O39</f>
        <v>20738</v>
      </c>
      <c r="P39" s="62">
        <f>'Total Weekday Boardings'!P39+'Total Saturday Boardings'!P39+'Total Sunday-Holiday Boardings'!P39</f>
        <v>23348</v>
      </c>
      <c r="Q39" s="62">
        <f>'Total Weekday Boardings'!Q39+'Total Saturday Boardings'!Q39+'Total Sunday-Holiday Boardings'!Q39</f>
        <v>26359</v>
      </c>
      <c r="R39" s="62">
        <f>'Total Weekday Boardings'!R39+'Total Saturday Boardings'!R39+'Total Sunday-Holiday Boardings'!R39</f>
        <v>26330</v>
      </c>
      <c r="S39" s="62">
        <f>'Total Weekday Boardings'!S39+'Total Saturday Boardings'!S39+'Total Sunday-Holiday Boardings'!S39</f>
        <v>20697</v>
      </c>
      <c r="T39" s="63">
        <f>'Total Weekday Boardings'!T39+'Total Saturday Boardings'!T39+'Total Sunday-Holiday Boardings'!T39</f>
        <v>16062</v>
      </c>
      <c r="U39" s="64">
        <f>'Total Weekday Boardings'!U39+'Total Saturday Boardings'!U39+'Total Sunday-Holiday Boardings'!U39</f>
        <v>15091</v>
      </c>
      <c r="V39" s="62">
        <f>'Total Weekday Boardings'!V39+'Total Saturday Boardings'!V39+'Total Sunday-Holiday Boardings'!V39</f>
        <v>29230</v>
      </c>
      <c r="W39" s="62">
        <f>'Total Weekday Boardings'!W39+'Total Saturday Boardings'!W39+'Total Sunday-Holiday Boardings'!W39</f>
        <v>27181</v>
      </c>
      <c r="X39" s="62">
        <f>'Total Weekday Boardings'!X39+'Total Saturday Boardings'!X39+'Total Sunday-Holiday Boardings'!X39</f>
        <v>28940</v>
      </c>
      <c r="Y39" s="62">
        <f>'Total Weekday Boardings'!Y39+'Total Saturday Boardings'!Y39+'Total Sunday-Holiday Boardings'!Y39</f>
        <v>23686</v>
      </c>
      <c r="Z39" s="62">
        <f>'Total Weekday Boardings'!Z39+'Total Saturday Boardings'!Z39+'Total Sunday-Holiday Boardings'!Z39</f>
        <v>19077</v>
      </c>
      <c r="AA39" s="18">
        <f>'Total Weekday Boardings'!AA39+'Total Saturday Boardings'!AA39+'Total Sunday-Holiday Boardings'!AA39</f>
        <v>21749</v>
      </c>
      <c r="AB39" s="18">
        <f>'Total Weekday Boardings'!AB39+'Total Saturday Boardings'!AB39+'Total Sunday-Holiday Boardings'!AB39</f>
        <v>23829</v>
      </c>
      <c r="AC39" s="18">
        <f>'Total Weekday Boardings'!AC39+'Total Saturday Boardings'!AC39+'Total Sunday-Holiday Boardings'!AC39</f>
        <v>25669</v>
      </c>
      <c r="AD39" s="18">
        <f>'Total Weekday Boardings'!AD39+'Total Saturday Boardings'!AD39+'Total Sunday-Holiday Boardings'!AD39</f>
        <v>25086</v>
      </c>
      <c r="AE39" s="18">
        <f>'Total Weekday Boardings'!AE39+'Total Saturday Boardings'!AE39+'Total Sunday-Holiday Boardings'!AE39</f>
        <v>19431</v>
      </c>
      <c r="AF39" s="19">
        <f>'Total Weekday Boardings'!AF39+'Total Saturday Boardings'!AF39+'Total Sunday-Holiday Boardings'!AF39</f>
        <v>15136</v>
      </c>
      <c r="AG39" s="17">
        <f>'Total Weekday Boardings'!AG39+'Total Saturday Boardings'!AG39+'Total Sunday-Holiday Boardings'!AG39</f>
        <v>15720</v>
      </c>
      <c r="AH39" s="18">
        <f>'Total Weekday Boardings'!AH39+'Total Saturday Boardings'!AH39+'Total Sunday-Holiday Boardings'!AH39</f>
        <v>21620</v>
      </c>
      <c r="AI39" s="18">
        <f>'Total Weekday Boardings'!AI39+'Total Saturday Boardings'!AI39+'Total Sunday-Holiday Boardings'!AI39</f>
        <v>26159</v>
      </c>
      <c r="AJ39" s="18">
        <f>'Total Weekday Boardings'!AJ39+'Total Saturday Boardings'!AJ39+'Total Sunday-Holiday Boardings'!AJ39</f>
        <v>26911</v>
      </c>
      <c r="AK39" s="18">
        <f>'Total Weekday Boardings'!AK39+'Total Saturday Boardings'!AK39+'Total Sunday-Holiday Boardings'!AK39</f>
        <v>22955</v>
      </c>
      <c r="AL39" s="18">
        <f>'Total Weekday Boardings'!AL39+'Total Saturday Boardings'!AL39+'Total Sunday-Holiday Boardings'!AL39</f>
        <v>20042</v>
      </c>
      <c r="AM39" s="18">
        <f>'Total Weekday Boardings'!AM39+'Total Saturday Boardings'!AM39+'Total Sunday-Holiday Boardings'!AM39</f>
        <v>24538</v>
      </c>
      <c r="AN39" s="18">
        <f>'Total Weekday Boardings'!AN39+'Total Saturday Boardings'!AN39+'Total Sunday-Holiday Boardings'!AN39</f>
        <v>24028</v>
      </c>
      <c r="AO39" s="18">
        <f>'Total Weekday Boardings'!AO39+'Total Saturday Boardings'!AO39+'Total Sunday-Holiday Boardings'!AO39</f>
        <v>25852</v>
      </c>
      <c r="AP39" s="18">
        <f>'Total Weekday Boardings'!AP39+'Total Saturday Boardings'!AP39+'Total Sunday-Holiday Boardings'!AP39</f>
        <v>26609</v>
      </c>
      <c r="AQ39" s="18">
        <f>'Total Weekday Boardings'!AQ39+'Total Saturday Boardings'!AQ39+'Total Sunday-Holiday Boardings'!AQ39</f>
        <v>21189</v>
      </c>
      <c r="AR39" s="19">
        <f>'Total Weekday Boardings'!AR39+'Total Saturday Boardings'!AR39+'Total Sunday-Holiday Boardings'!AR39</f>
        <v>18887</v>
      </c>
      <c r="AS39" s="17">
        <f>'Total Weekday Boardings'!AS39+'Total Saturday Boardings'!AS39+'Total Sunday-Holiday Boardings'!AS39</f>
        <v>19338</v>
      </c>
      <c r="AT39" s="18">
        <f>'Total Weekday Boardings'!AT39+'Total Saturday Boardings'!AT39+'Total Sunday-Holiday Boardings'!AT39</f>
        <v>23647</v>
      </c>
      <c r="AU39" s="18">
        <f>'Total Weekday Boardings'!AU39+'Total Saturday Boardings'!AU39+'Total Sunday-Holiday Boardings'!AU39</f>
        <v>26346</v>
      </c>
      <c r="AV39" s="18">
        <f>'Total Weekday Boardings'!AV39+'Total Saturday Boardings'!AV39+'Total Sunday-Holiday Boardings'!AV39</f>
        <v>29386</v>
      </c>
      <c r="AW39" s="18">
        <f>'Total Weekday Boardings'!AW39+'Total Saturday Boardings'!AW39+'Total Sunday-Holiday Boardings'!AW39</f>
        <v>25711</v>
      </c>
      <c r="AX39" s="18">
        <f>'Total Weekday Boardings'!AX39+'Total Saturday Boardings'!AX39+'Total Sunday-Holiday Boardings'!AX39</f>
        <v>23058</v>
      </c>
      <c r="AY39" s="18">
        <f>'Total Weekday Boardings'!AY39+'Total Saturday Boardings'!AY39+'Total Sunday-Holiday Boardings'!AY39</f>
        <v>25933</v>
      </c>
      <c r="AZ39" s="18">
        <f>'Total Weekday Boardings'!AZ39+'Total Saturday Boardings'!AZ39+'Total Sunday-Holiday Boardings'!AZ39</f>
        <v>25015</v>
      </c>
      <c r="BA39" s="18">
        <f>'Total Weekday Boardings'!BA39+'Total Saturday Boardings'!BA39+'Total Sunday-Holiday Boardings'!BA39</f>
        <v>25917</v>
      </c>
      <c r="BB39" s="18">
        <f>'Total Weekday Boardings'!BB39+'Total Saturday Boardings'!BB39+'Total Sunday-Holiday Boardings'!BB39</f>
        <v>26448</v>
      </c>
      <c r="BC39" s="18">
        <f>'Total Weekday Boardings'!BC39+'Total Saturday Boardings'!BC39+'Total Sunday-Holiday Boardings'!BC39</f>
        <v>21819</v>
      </c>
      <c r="BD39" s="19">
        <f>'Total Weekday Boardings'!BD39+'Total Saturday Boardings'!BD39+'Total Sunday-Holiday Boardings'!BD39</f>
        <v>18308</v>
      </c>
      <c r="BE39" s="17">
        <f>'Total Weekday Boardings'!BE39+'Total Saturday Boardings'!BE39+'Total Sunday-Holiday Boardings'!BE39</f>
        <v>18815</v>
      </c>
      <c r="BF39" s="18">
        <f>'Total Weekday Boardings'!BF39+'Total Saturday Boardings'!BF39+'Total Sunday-Holiday Boardings'!BF39</f>
        <v>22226</v>
      </c>
      <c r="BG39" s="18">
        <f>'Total Weekday Boardings'!BG39+'Total Saturday Boardings'!BG39+'Total Sunday-Holiday Boardings'!BG39</f>
        <v>26714</v>
      </c>
      <c r="BH39" s="18">
        <f>'Total Weekday Boardings'!BH39+'Total Saturday Boardings'!BH39+'Total Sunday-Holiday Boardings'!BH39</f>
        <v>28304</v>
      </c>
      <c r="BI39" s="18">
        <f>'Total Weekday Boardings'!BI39+'Total Saturday Boardings'!BI39+'Total Sunday-Holiday Boardings'!BI39</f>
        <v>26688.678217393182</v>
      </c>
      <c r="BJ39" s="18">
        <f>'Total Weekday Boardings'!BJ39+'Total Saturday Boardings'!BJ39+'Total Sunday-Holiday Boardings'!BJ39</f>
        <v>23782</v>
      </c>
      <c r="BK39" s="18">
        <f>'Total Weekday Boardings'!BK39+'Total Saturday Boardings'!BK39+'Total Sunday-Holiday Boardings'!BK39</f>
        <v>27277</v>
      </c>
      <c r="BL39" s="18">
        <f>'Total Weekday Boardings'!BL39+'Total Saturday Boardings'!BL39+'Total Sunday-Holiday Boardings'!BL39</f>
        <v>26117</v>
      </c>
      <c r="BM39" s="18">
        <f>'Total Weekday Boardings'!BM39+'Total Saturday Boardings'!BM39+'Total Sunday-Holiday Boardings'!BM39</f>
        <v>27354</v>
      </c>
      <c r="BN39" s="18">
        <f>'Total Weekday Boardings'!BN39+'Total Saturday Boardings'!BN39+'Total Sunday-Holiday Boardings'!BN39</f>
        <v>27185</v>
      </c>
      <c r="BO39" s="18">
        <f>'Total Weekday Boardings'!BO39+'Total Saturday Boardings'!BO39+'Total Sunday-Holiday Boardings'!BO39</f>
        <v>23362</v>
      </c>
      <c r="BP39" s="19">
        <f>'Total Weekday Boardings'!BP39+'Total Saturday Boardings'!BP39+'Total Sunday-Holiday Boardings'!BP39</f>
        <v>19790</v>
      </c>
      <c r="BQ39" s="17">
        <f>'Total Weekday Boardings'!BQ39+'Total Saturday Boardings'!BQ39+'Total Sunday-Holiday Boardings'!BQ39</f>
        <v>19209</v>
      </c>
      <c r="BR39" s="18">
        <f>'Total Weekday Boardings'!BR39+'Total Saturday Boardings'!BR39+'Total Sunday-Holiday Boardings'!BR39</f>
        <v>24276</v>
      </c>
      <c r="BS39" s="18">
        <f>'Total Weekday Boardings'!BS39+'Total Saturday Boardings'!BS39+'Total Sunday-Holiday Boardings'!BS39</f>
        <v>28543</v>
      </c>
      <c r="BT39" s="18">
        <f>'Total Weekday Boardings'!BT39+'Total Saturday Boardings'!BT39+'Total Sunday-Holiday Boardings'!BT39</f>
        <v>30606</v>
      </c>
      <c r="BU39" s="18">
        <f>'Total Weekday Boardings'!BU39+'Total Saturday Boardings'!BU39+'Total Sunday-Holiday Boardings'!BU39</f>
        <v>28171</v>
      </c>
      <c r="BV39" s="18">
        <f>'Total Weekday Boardings'!BV39+'Total Saturday Boardings'!BV39+'Total Sunday-Holiday Boardings'!BV39</f>
        <v>22641</v>
      </c>
      <c r="BW39" s="18">
        <f>'Total Weekday Boardings'!BW39+'Total Saturday Boardings'!BW39+'Total Sunday-Holiday Boardings'!BW39</f>
        <v>28300</v>
      </c>
      <c r="BX39" s="18">
        <f>'Total Weekday Boardings'!BX39+'Total Saturday Boardings'!BX39+'Total Sunday-Holiday Boardings'!BX39</f>
        <v>25306</v>
      </c>
      <c r="BY39" s="18">
        <f>'Total Weekday Boardings'!BY39+'Total Saturday Boardings'!BY39+'Total Sunday-Holiday Boardings'!BY39</f>
        <v>26139</v>
      </c>
      <c r="BZ39" s="18">
        <f>'Total Weekday Boardings'!BZ39+'Total Saturday Boardings'!BZ39+'Total Sunday-Holiday Boardings'!BZ39</f>
        <v>26578</v>
      </c>
      <c r="CA39" s="18">
        <f>'Total Weekday Boardings'!CA39+'Total Saturday Boardings'!CA39+'Total Sunday-Holiday Boardings'!CA39</f>
        <v>21216</v>
      </c>
      <c r="CB39" s="19">
        <f>'Total Weekday Boardings'!CB39+'Total Saturday Boardings'!CB39+'Total Sunday-Holiday Boardings'!CB39</f>
        <v>16754</v>
      </c>
      <c r="CC39" s="20">
        <f>'Total Weekday Boardings'!CC39+'Total Saturday Boardings'!CC39+'Total Sunday-Holiday Boardings'!CC39</f>
        <v>17036</v>
      </c>
      <c r="CD39" s="18">
        <f>'Total Weekday Boardings'!CD39+'Total Saturday Boardings'!CD39+'Total Sunday-Holiday Boardings'!CD39</f>
        <v>20764</v>
      </c>
      <c r="CE39" s="18">
        <f>'Total Weekday Boardings'!CE39+'Total Saturday Boardings'!CE39+'Total Sunday-Holiday Boardings'!CE39</f>
        <v>27370</v>
      </c>
      <c r="CF39" s="18">
        <f>'Total Weekday Boardings'!CF39+'Total Saturday Boardings'!CF39+'Total Sunday-Holiday Boardings'!CF39</f>
        <v>28425</v>
      </c>
      <c r="CG39" s="18">
        <f>'Total Weekday Boardings'!CG39+'Total Saturday Boardings'!CG39+'Total Sunday-Holiday Boardings'!CG39</f>
        <v>25390</v>
      </c>
      <c r="CH39" s="18">
        <f>'Total Weekday Boardings'!CH39+'Total Saturday Boardings'!CH39+'Total Sunday-Holiday Boardings'!CH39</f>
        <v>21596</v>
      </c>
      <c r="CI39" s="18">
        <f>'Total Weekday Boardings'!CI39+'Total Saturday Boardings'!CI39+'Total Sunday-Holiday Boardings'!CI39</f>
        <v>24814</v>
      </c>
      <c r="CJ39" s="18">
        <f>'Total Weekday Boardings'!CJ39+'Total Saturday Boardings'!CJ39+'Total Sunday-Holiday Boardings'!CJ39</f>
        <v>24219</v>
      </c>
      <c r="CK39" s="18">
        <f>'Total Weekday Boardings'!CK39+'Total Saturday Boardings'!CK39+'Total Sunday-Holiday Boardings'!CK39</f>
        <v>24693</v>
      </c>
      <c r="CL39" s="18">
        <f>'Total Weekday Boardings'!CL39+'Total Saturday Boardings'!CL39+'Total Sunday-Holiday Boardings'!CL39</f>
        <v>25107</v>
      </c>
      <c r="CM39" s="18">
        <f>'Total Weekday Boardings'!CM39+'Total Saturday Boardings'!CM39+'Total Sunday-Holiday Boardings'!CM39</f>
        <v>20547</v>
      </c>
      <c r="CN39" s="21">
        <f>'Total Weekday Boardings'!CN39+'Total Saturday Boardings'!CN39+'Total Sunday-Holiday Boardings'!CN39</f>
        <v>18549</v>
      </c>
      <c r="CO39" s="17">
        <f>'Total Weekday Boardings'!CO39+'Total Saturday Boardings'!CO39+'Total Sunday-Holiday Boardings'!CO39</f>
        <v>18865</v>
      </c>
      <c r="CP39" s="18">
        <f>'Total Weekday Boardings'!CP39+'Total Saturday Boardings'!CP39+'Total Sunday-Holiday Boardings'!CP39</f>
        <v>22769</v>
      </c>
      <c r="CQ39" s="18">
        <f>'Total Weekday Boardings'!CQ39+'Total Saturday Boardings'!CQ39+'Total Sunday-Holiday Boardings'!CQ39</f>
        <v>25256</v>
      </c>
      <c r="CR39" s="18">
        <f>'Total Weekday Boardings'!CR39+'Total Saturday Boardings'!CR39+'Total Sunday-Holiday Boardings'!CR39</f>
        <v>25615</v>
      </c>
      <c r="CS39" s="18">
        <f>'Total Weekday Boardings'!CS39+'Total Saturday Boardings'!CS39+'Total Sunday-Holiday Boardings'!CS39</f>
        <v>23166</v>
      </c>
      <c r="CT39" s="18">
        <f>'Total Weekday Boardings'!CT39+'Total Saturday Boardings'!CT39+'Total Sunday-Holiday Boardings'!CT39</f>
        <v>20175</v>
      </c>
      <c r="CU39" s="18">
        <f>'Total Weekday Boardings'!CU39+'Total Saturday Boardings'!CU39+'Total Sunday-Holiday Boardings'!CU39</f>
        <v>23759</v>
      </c>
      <c r="CV39" s="18">
        <f>'Total Weekday Boardings'!CV39+'Total Saturday Boardings'!CV39+'Total Sunday-Holiday Boardings'!CV39</f>
        <v>21638</v>
      </c>
      <c r="CW39" s="18">
        <f>'Total Weekday Boardings'!CW39+'Total Saturday Boardings'!CW39+'Total Sunday-Holiday Boardings'!CW39</f>
        <v>23650</v>
      </c>
      <c r="CX39" s="18">
        <f>'Total Weekday Boardings'!CX39+'Total Saturday Boardings'!CX39+'Total Sunday-Holiday Boardings'!CX39</f>
        <v>24090</v>
      </c>
      <c r="CY39" s="18">
        <f>'Total Weekday Boardings'!CY39+'Total Saturday Boardings'!CY39+'Total Sunday-Holiday Boardings'!CY39</f>
        <v>20065</v>
      </c>
      <c r="CZ39" s="19">
        <f>'Total Weekday Boardings'!CZ39+'Total Saturday Boardings'!CZ39+'Total Sunday-Holiday Boardings'!CZ39</f>
        <v>17323</v>
      </c>
      <c r="DA39" s="17">
        <f>'Total Weekday Boardings'!DA39+'Total Saturday Boardings'!DA39+'Total Sunday-Holiday Boardings'!DA39</f>
        <v>17644</v>
      </c>
      <c r="DB39" s="18">
        <f>'Total Weekday Boardings'!DB39+'Total Saturday Boardings'!DB39+'Total Sunday-Holiday Boardings'!DB39</f>
        <v>23318</v>
      </c>
      <c r="DC39" s="18">
        <f>'Total Weekday Boardings'!DC39+'Total Saturday Boardings'!DC39+'Total Sunday-Holiday Boardings'!DC39</f>
        <v>24552</v>
      </c>
      <c r="DD39" s="18">
        <f>'Total Weekday Boardings'!DD39+'Total Saturday Boardings'!DD39+'Total Sunday-Holiday Boardings'!DD39</f>
        <v>26747</v>
      </c>
      <c r="DE39" s="18">
        <f>'Total Weekday Boardings'!DE39+'Total Saturday Boardings'!DE39+'Total Sunday-Holiday Boardings'!DE39</f>
        <v>23837</v>
      </c>
      <c r="DF39" s="18">
        <f>'Total Weekday Boardings'!DF39+'Total Saturday Boardings'!DF39+'Total Sunday-Holiday Boardings'!DF39</f>
        <v>19149</v>
      </c>
      <c r="DG39" s="18">
        <f>'Total Weekday Boardings'!DG39+'Total Saturday Boardings'!DG39+'Total Sunday-Holiday Boardings'!DG39</f>
        <v>22754</v>
      </c>
      <c r="DH39" s="18">
        <f>'Total Weekday Boardings'!DH39+'Total Saturday Boardings'!DH39+'Total Sunday-Holiday Boardings'!DH39</f>
        <v>22406</v>
      </c>
      <c r="DI39" s="18">
        <f>'Total Weekday Boardings'!DI39+'Total Saturday Boardings'!DI39+'Total Sunday-Holiday Boardings'!DI39</f>
        <v>23686</v>
      </c>
      <c r="DJ39" s="18">
        <f>'Total Weekday Boardings'!DJ39+'Total Saturday Boardings'!DJ39+'Total Sunday-Holiday Boardings'!DJ39</f>
        <v>23577</v>
      </c>
      <c r="DK39" s="18">
        <f>'Total Weekday Boardings'!DK39+'Total Saturday Boardings'!DK39+'Total Sunday-Holiday Boardings'!DK39</f>
        <v>19901</v>
      </c>
      <c r="DL39" s="19">
        <f>'Total Weekday Boardings'!DL39+'Total Saturday Boardings'!DL39+'Total Sunday-Holiday Boardings'!DL39</f>
        <v>17393</v>
      </c>
      <c r="DM39" s="17">
        <f>'Total Weekday Boardings'!DM39+'Total Saturday Boardings'!DM39+'Total Sunday-Holiday Boardings'!DM39</f>
        <v>17494</v>
      </c>
      <c r="DN39" s="18">
        <f>'Total Weekday Boardings'!DN39+'Total Saturday Boardings'!DN39+'Total Sunday-Holiday Boardings'!DN39</f>
        <v>22268</v>
      </c>
      <c r="DO39" s="18">
        <f>'Total Weekday Boardings'!DO39+'Total Saturday Boardings'!DO39+'Total Sunday-Holiday Boardings'!DO39</f>
        <v>23810</v>
      </c>
      <c r="DP39" s="18">
        <f>'Total Weekday Boardings'!DP39+'Total Saturday Boardings'!DP39+'Total Sunday-Holiday Boardings'!DP39</f>
        <v>24776</v>
      </c>
      <c r="DQ39" s="18">
        <f>'Total Weekday Boardings'!DQ39+'Total Saturday Boardings'!DQ39+'Total Sunday-Holiday Boardings'!DQ39</f>
        <v>22821</v>
      </c>
      <c r="DR39" s="18">
        <f>'Total Weekday Boardings'!DR39+'Total Saturday Boardings'!DR39+'Total Sunday-Holiday Boardings'!DR39</f>
        <v>18099</v>
      </c>
      <c r="DS39" s="18">
        <f>'Total Weekday Boardings'!DS39+'Total Saturday Boardings'!DS39+'Total Sunday-Holiday Boardings'!DS39</f>
        <v>22991</v>
      </c>
      <c r="DT39" s="18">
        <f>'Total Weekday Boardings'!DT39+'Total Saturday Boardings'!DT39+'Total Sunday-Holiday Boardings'!DT39</f>
        <v>21326</v>
      </c>
      <c r="DU39" s="18">
        <f>'Total Weekday Boardings'!DU39+'Total Saturday Boardings'!DU39+'Total Sunday-Holiday Boardings'!DU39</f>
        <v>22348</v>
      </c>
      <c r="DV39" s="18">
        <f>'Total Weekday Boardings'!DV39+'Total Saturday Boardings'!DV39+'Total Sunday-Holiday Boardings'!DV39</f>
        <v>22693</v>
      </c>
      <c r="DW39" s="18">
        <f>'Total Weekday Boardings'!DW39+'Total Saturday Boardings'!DW39+'Total Sunday-Holiday Boardings'!DW39</f>
        <v>20150</v>
      </c>
      <c r="DX39" s="19">
        <f>'Total Weekday Boardings'!DX39+'Total Saturday Boardings'!DX39+'Total Sunday-Holiday Boardings'!DX39</f>
        <v>17010</v>
      </c>
      <c r="DY39" s="137">
        <v>16689</v>
      </c>
      <c r="DZ39" s="18">
        <v>21668</v>
      </c>
      <c r="EA39" s="18">
        <v>23352</v>
      </c>
      <c r="EB39" s="18">
        <v>25413</v>
      </c>
      <c r="EC39" s="18">
        <v>24005</v>
      </c>
      <c r="ED39" s="18">
        <v>19889</v>
      </c>
      <c r="EE39" s="18">
        <v>22026</v>
      </c>
      <c r="EF39" s="18">
        <v>22484</v>
      </c>
      <c r="EG39" s="18">
        <v>16827</v>
      </c>
      <c r="EH39" s="18">
        <v>10212</v>
      </c>
      <c r="EI39" s="18">
        <v>10747</v>
      </c>
      <c r="EJ39" s="19">
        <v>10484</v>
      </c>
      <c r="EK39" s="100">
        <v>9196</v>
      </c>
      <c r="EL39" s="18">
        <v>9822</v>
      </c>
      <c r="EM39" s="18">
        <v>10419</v>
      </c>
      <c r="EN39" s="103">
        <v>10923</v>
      </c>
      <c r="EO39" s="18">
        <v>9597</v>
      </c>
      <c r="EP39" s="18">
        <v>7976</v>
      </c>
      <c r="EQ39" s="18">
        <v>4802</v>
      </c>
      <c r="ER39" s="18">
        <v>8323</v>
      </c>
      <c r="ES39" s="18">
        <v>9465</v>
      </c>
      <c r="ET39" s="18">
        <v>9747</v>
      </c>
      <c r="EU39" s="18">
        <v>9076</v>
      </c>
      <c r="EV39" s="19">
        <v>9753</v>
      </c>
      <c r="EW39" s="103">
        <v>9597</v>
      </c>
      <c r="EX39" s="18">
        <v>12010</v>
      </c>
      <c r="EY39" s="18">
        <v>14117</v>
      </c>
      <c r="EZ39" s="103">
        <v>12968</v>
      </c>
      <c r="FA39" s="18">
        <v>12552</v>
      </c>
      <c r="FB39" s="145">
        <v>9743</v>
      </c>
      <c r="FC39" s="18">
        <v>9802</v>
      </c>
      <c r="FD39" s="18">
        <v>11834</v>
      </c>
      <c r="FE39" s="18">
        <v>13848</v>
      </c>
      <c r="FF39" s="18">
        <v>12698</v>
      </c>
      <c r="FG39" s="13">
        <f>SUM('Total Weekday Boardings'!FG39,'Total Saturday Boardings'!FG39,'Total Sunday-Holiday Boardings'!FG39)</f>
        <v>5126</v>
      </c>
      <c r="FH39" s="13">
        <f>SUM('Total Weekday Boardings'!FH39,'Total Saturday Boardings'!FH39,'Total Sunday-Holiday Boardings'!FH39)</f>
        <v>9309</v>
      </c>
      <c r="FI39" s="13">
        <f>SUM('Total Weekday Boardings'!FI39,'Total Saturday Boardings'!FI39,'Total Sunday-Holiday Boardings'!FI39)</f>
        <v>9813</v>
      </c>
      <c r="FJ39" s="13">
        <f>SUM('Total Weekday Boardings'!FJ39,'Total Saturday Boardings'!FJ39,'Total Sunday-Holiday Boardings'!FJ39)</f>
        <v>29718</v>
      </c>
      <c r="FK39" s="13">
        <f>SUM('Total Weekday Boardings'!FK39,'Total Saturday Boardings'!FK39,'Total Sunday-Holiday Boardings'!FK39)</f>
        <v>37880</v>
      </c>
      <c r="FL39" s="13">
        <f>SUM('Total Weekday Boardings'!FL39,'Total Saturday Boardings'!FL39,'Total Sunday-Holiday Boardings'!FL39)</f>
        <v>34867</v>
      </c>
      <c r="FM39" s="13">
        <f>SUM('Total Weekday Boardings'!FM39,'Total Saturday Boardings'!FM39,'Total Sunday-Holiday Boardings'!FM39)</f>
        <v>31493</v>
      </c>
      <c r="FN39" s="13">
        <f>SUM('Total Weekday Boardings'!FN39,'Total Saturday Boardings'!FN39,'Total Sunday-Holiday Boardings'!FN39)</f>
        <v>23051</v>
      </c>
      <c r="FO39" s="13">
        <f>SUM('Total Weekday Boardings'!FO39,'Total Saturday Boardings'!FO39,'Total Sunday-Holiday Boardings'!FO39)</f>
        <v>35657</v>
      </c>
      <c r="FP39" s="13">
        <f>SUM('Total Weekday Boardings'!FP39,'Total Saturday Boardings'!FP39,'Total Sunday-Holiday Boardings'!FP39)</f>
        <v>14218</v>
      </c>
      <c r="FQ39" s="13">
        <f>SUM('Total Weekday Boardings'!FQ39,'Total Saturday Boardings'!FQ39,'Total Sunday-Holiday Boardings'!FQ39)</f>
        <v>39732</v>
      </c>
      <c r="FR39" s="13">
        <f>SUM('Total Weekday Boardings'!FR39,'Total Saturday Boardings'!FR39,'Total Sunday-Holiday Boardings'!FR39)</f>
        <v>38137</v>
      </c>
      <c r="FS39" s="13">
        <f>SUM('Total Weekday Boardings'!FS39,'Total Saturday Boardings'!FS39,'Total Sunday-Holiday Boardings'!FS39)</f>
        <v>28987</v>
      </c>
      <c r="FT39" s="16">
        <f>SUM('Total Weekday Boardings'!FT39,'Total Saturday Boardings'!FT39,'Total Sunday-Holiday Boardings'!FT39)</f>
        <v>23804</v>
      </c>
      <c r="FU39" s="171">
        <v>23007</v>
      </c>
      <c r="FV39" s="171">
        <v>35690</v>
      </c>
      <c r="FW39" s="171">
        <v>39749</v>
      </c>
      <c r="FX39" s="171">
        <v>42942</v>
      </c>
      <c r="FY39" s="171">
        <v>39478</v>
      </c>
      <c r="FZ39" s="171">
        <v>26794</v>
      </c>
      <c r="GA39" s="171">
        <v>39746</v>
      </c>
      <c r="GB39" s="52">
        <v>43327</v>
      </c>
      <c r="GC39" s="52">
        <v>37435</v>
      </c>
      <c r="GD39" s="52">
        <v>37326</v>
      </c>
      <c r="GE39" s="18">
        <v>26453</v>
      </c>
      <c r="GF39" s="52">
        <v>21699</v>
      </c>
      <c r="GG39" s="184">
        <v>21450</v>
      </c>
      <c r="GH39" s="52">
        <v>31532</v>
      </c>
      <c r="GI39" s="18">
        <v>41006</v>
      </c>
      <c r="GJ39" s="236">
        <v>41404</v>
      </c>
      <c r="GK39" s="184">
        <v>35912</v>
      </c>
      <c r="GL39" s="184">
        <v>27042</v>
      </c>
    </row>
    <row r="40" spans="1:194" ht="15" thickBot="1" x14ac:dyDescent="0.35">
      <c r="A40" s="3" t="s">
        <v>22</v>
      </c>
      <c r="B40" s="17"/>
      <c r="C40" s="18">
        <f>'Total Weekday Boardings'!C40+'Total Saturday Boardings'!C40+'Total Sunday-Holiday Boardings'!C40</f>
        <v>26180</v>
      </c>
      <c r="D40" s="18">
        <f>'Total Weekday Boardings'!D40+'Total Saturday Boardings'!D40+'Total Sunday-Holiday Boardings'!D40</f>
        <v>27982</v>
      </c>
      <c r="E40" s="18">
        <f>'Total Weekday Boardings'!E40+'Total Saturday Boardings'!E40+'Total Sunday-Holiday Boardings'!E40</f>
        <v>28491</v>
      </c>
      <c r="F40" s="18">
        <f>'Total Weekday Boardings'!F40+'Total Saturday Boardings'!F40+'Total Sunday-Holiday Boardings'!F40</f>
        <v>30756</v>
      </c>
      <c r="G40" s="18">
        <f>'Total Weekday Boardings'!G40+'Total Saturday Boardings'!G40+'Total Sunday-Holiday Boardings'!G40</f>
        <v>25623</v>
      </c>
      <c r="H40" s="19">
        <f>'Total Weekday Boardings'!H40+'Total Saturday Boardings'!H40+'Total Sunday-Holiday Boardings'!H40</f>
        <v>22556</v>
      </c>
      <c r="I40" s="17">
        <f>'Total Weekday Boardings'!I40+'Total Saturday Boardings'!I40+'Total Sunday-Holiday Boardings'!I40</f>
        <v>21660</v>
      </c>
      <c r="J40" s="18">
        <f>'Total Weekday Boardings'!J40+'Total Saturday Boardings'!J40+'Total Sunday-Holiday Boardings'!J40</f>
        <v>23449</v>
      </c>
      <c r="K40" s="18">
        <f>'Total Weekday Boardings'!K40+'Total Saturday Boardings'!K40+'Total Sunday-Holiday Boardings'!K40</f>
        <v>36389</v>
      </c>
      <c r="L40" s="18">
        <f>'Total Weekday Boardings'!L40+'Total Saturday Boardings'!L40+'Total Sunday-Holiday Boardings'!L40</f>
        <v>38886</v>
      </c>
      <c r="M40" s="18">
        <f>'Total Weekday Boardings'!M40+'Total Saturday Boardings'!M40+'Total Sunday-Holiday Boardings'!M40</f>
        <v>38429</v>
      </c>
      <c r="N40" s="18">
        <f>'Total Weekday Boardings'!N40+'Total Saturday Boardings'!N40+'Total Sunday-Holiday Boardings'!N40</f>
        <v>31848</v>
      </c>
      <c r="O40" s="62">
        <f>'Total Weekday Boardings'!O40+'Total Saturday Boardings'!O40+'Total Sunday-Holiday Boardings'!O40</f>
        <v>29488</v>
      </c>
      <c r="P40" s="62">
        <f>'Total Weekday Boardings'!P40+'Total Saturday Boardings'!P40+'Total Sunday-Holiday Boardings'!P40</f>
        <v>36241</v>
      </c>
      <c r="Q40" s="62">
        <f>'Total Weekday Boardings'!Q40+'Total Saturday Boardings'!Q40+'Total Sunday-Holiday Boardings'!Q40</f>
        <v>41186</v>
      </c>
      <c r="R40" s="62">
        <f>'Total Weekday Boardings'!R40+'Total Saturday Boardings'!R40+'Total Sunday-Holiday Boardings'!R40</f>
        <v>38760</v>
      </c>
      <c r="S40" s="62">
        <f>'Total Weekday Boardings'!S40+'Total Saturday Boardings'!S40+'Total Sunday-Holiday Boardings'!S40</f>
        <v>30591</v>
      </c>
      <c r="T40" s="63">
        <f>'Total Weekday Boardings'!T40+'Total Saturday Boardings'!T40+'Total Sunday-Holiday Boardings'!T40</f>
        <v>27116</v>
      </c>
      <c r="U40" s="64">
        <f>'Total Weekday Boardings'!U40+'Total Saturday Boardings'!U40+'Total Sunday-Holiday Boardings'!U40</f>
        <v>24521</v>
      </c>
      <c r="V40" s="62">
        <f>'Total Weekday Boardings'!V40+'Total Saturday Boardings'!V40+'Total Sunday-Holiday Boardings'!V40</f>
        <v>34417</v>
      </c>
      <c r="W40" s="62">
        <f>'Total Weekday Boardings'!W40+'Total Saturday Boardings'!W40+'Total Sunday-Holiday Boardings'!W40</f>
        <v>46877</v>
      </c>
      <c r="X40" s="62">
        <f>'Total Weekday Boardings'!X40+'Total Saturday Boardings'!X40+'Total Sunday-Holiday Boardings'!X40</f>
        <v>42049</v>
      </c>
      <c r="Y40" s="62">
        <f>'Total Weekday Boardings'!Y40+'Total Saturday Boardings'!Y40+'Total Sunday-Holiday Boardings'!Y40</f>
        <v>40911</v>
      </c>
      <c r="Z40" s="62">
        <f>'Total Weekday Boardings'!Z40+'Total Saturday Boardings'!Z40+'Total Sunday-Holiday Boardings'!Z40</f>
        <v>31690</v>
      </c>
      <c r="AA40" s="18">
        <f>'Total Weekday Boardings'!AA40+'Total Saturday Boardings'!AA40+'Total Sunday-Holiday Boardings'!AA40</f>
        <v>35874</v>
      </c>
      <c r="AB40" s="18">
        <f>'Total Weekday Boardings'!AB40+'Total Saturday Boardings'!AB40+'Total Sunday-Holiday Boardings'!AB40</f>
        <v>41215</v>
      </c>
      <c r="AC40" s="18">
        <f>'Total Weekday Boardings'!AC40+'Total Saturday Boardings'!AC40+'Total Sunday-Holiday Boardings'!AC40</f>
        <v>44526</v>
      </c>
      <c r="AD40" s="18">
        <f>'Total Weekday Boardings'!AD40+'Total Saturday Boardings'!AD40+'Total Sunday-Holiday Boardings'!AD40</f>
        <v>44568</v>
      </c>
      <c r="AE40" s="18">
        <f>'Total Weekday Boardings'!AE40+'Total Saturday Boardings'!AE40+'Total Sunday-Holiday Boardings'!AE40</f>
        <v>32796</v>
      </c>
      <c r="AF40" s="19">
        <f>'Total Weekday Boardings'!AF40+'Total Saturday Boardings'!AF40+'Total Sunday-Holiday Boardings'!AF40</f>
        <v>28120</v>
      </c>
      <c r="AG40" s="17">
        <f>'Total Weekday Boardings'!AG40+'Total Saturday Boardings'!AG40+'Total Sunday-Holiday Boardings'!AG40</f>
        <v>28974</v>
      </c>
      <c r="AH40" s="18">
        <f>'Total Weekday Boardings'!AH40+'Total Saturday Boardings'!AH40+'Total Sunday-Holiday Boardings'!AH40</f>
        <v>39512</v>
      </c>
      <c r="AI40" s="18">
        <f>'Total Weekday Boardings'!AI40+'Total Saturday Boardings'!AI40+'Total Sunday-Holiday Boardings'!AI40</f>
        <v>49600</v>
      </c>
      <c r="AJ40" s="18">
        <f>'Total Weekday Boardings'!AJ40+'Total Saturday Boardings'!AJ40+'Total Sunday-Holiday Boardings'!AJ40</f>
        <v>49936</v>
      </c>
      <c r="AK40" s="18">
        <f>'Total Weekday Boardings'!AK40+'Total Saturday Boardings'!AK40+'Total Sunday-Holiday Boardings'!AK40</f>
        <v>42307</v>
      </c>
      <c r="AL40" s="18">
        <f>'Total Weekday Boardings'!AL40+'Total Saturday Boardings'!AL40+'Total Sunday-Holiday Boardings'!AL40</f>
        <v>33983</v>
      </c>
      <c r="AM40" s="18">
        <f>'Total Weekday Boardings'!AM40+'Total Saturday Boardings'!AM40+'Total Sunday-Holiday Boardings'!AM40</f>
        <v>44495</v>
      </c>
      <c r="AN40" s="18">
        <f>'Total Weekday Boardings'!AN40+'Total Saturday Boardings'!AN40+'Total Sunday-Holiday Boardings'!AN40</f>
        <v>44791</v>
      </c>
      <c r="AO40" s="18">
        <f>'Total Weekday Boardings'!AO40+'Total Saturday Boardings'!AO40+'Total Sunday-Holiday Boardings'!AO40</f>
        <v>45251</v>
      </c>
      <c r="AP40" s="18">
        <f>'Total Weekday Boardings'!AP40+'Total Saturday Boardings'!AP40+'Total Sunday-Holiday Boardings'!AP40</f>
        <v>46016</v>
      </c>
      <c r="AQ40" s="18">
        <f>'Total Weekday Boardings'!AQ40+'Total Saturday Boardings'!AQ40+'Total Sunday-Holiday Boardings'!AQ40</f>
        <v>34088</v>
      </c>
      <c r="AR40" s="19">
        <f>'Total Weekday Boardings'!AR40+'Total Saturday Boardings'!AR40+'Total Sunday-Holiday Boardings'!AR40</f>
        <v>31139</v>
      </c>
      <c r="AS40" s="17">
        <f>'Total Weekday Boardings'!AS40+'Total Saturday Boardings'!AS40+'Total Sunday-Holiday Boardings'!AS40</f>
        <v>30855</v>
      </c>
      <c r="AT40" s="18">
        <f>'Total Weekday Boardings'!AT40+'Total Saturday Boardings'!AT40+'Total Sunday-Holiday Boardings'!AT40</f>
        <v>39104</v>
      </c>
      <c r="AU40" s="18">
        <f>'Total Weekday Boardings'!AU40+'Total Saturday Boardings'!AU40+'Total Sunday-Holiday Boardings'!AU40</f>
        <v>42567</v>
      </c>
      <c r="AV40" s="18">
        <f>'Total Weekday Boardings'!AV40+'Total Saturday Boardings'!AV40+'Total Sunday-Holiday Boardings'!AV40</f>
        <v>53315</v>
      </c>
      <c r="AW40" s="18">
        <f>'Total Weekday Boardings'!AW40+'Total Saturday Boardings'!AW40+'Total Sunday-Holiday Boardings'!AW40</f>
        <v>46102</v>
      </c>
      <c r="AX40" s="18">
        <f>'Total Weekday Boardings'!AX40+'Total Saturday Boardings'!AX40+'Total Sunday-Holiday Boardings'!AX40</f>
        <v>39491</v>
      </c>
      <c r="AY40" s="18">
        <f>'Total Weekday Boardings'!AY40+'Total Saturday Boardings'!AY40+'Total Sunday-Holiday Boardings'!AY40</f>
        <v>47497</v>
      </c>
      <c r="AZ40" s="18">
        <f>'Total Weekday Boardings'!AZ40+'Total Saturday Boardings'!AZ40+'Total Sunday-Holiday Boardings'!AZ40</f>
        <v>45378</v>
      </c>
      <c r="BA40" s="18">
        <f>'Total Weekday Boardings'!BA40+'Total Saturday Boardings'!BA40+'Total Sunday-Holiday Boardings'!BA40</f>
        <v>44111</v>
      </c>
      <c r="BB40" s="18">
        <f>'Total Weekday Boardings'!BB40+'Total Saturday Boardings'!BB40+'Total Sunday-Holiday Boardings'!BB40</f>
        <v>49563</v>
      </c>
      <c r="BC40" s="18">
        <f>'Total Weekday Boardings'!BC40+'Total Saturday Boardings'!BC40+'Total Sunday-Holiday Boardings'!BC40</f>
        <v>40905</v>
      </c>
      <c r="BD40" s="19">
        <f>'Total Weekday Boardings'!BD40+'Total Saturday Boardings'!BD40+'Total Sunday-Holiday Boardings'!BD40</f>
        <v>30387</v>
      </c>
      <c r="BE40" s="17">
        <f>'Total Weekday Boardings'!BE40+'Total Saturday Boardings'!BE40+'Total Sunday-Holiday Boardings'!BE40</f>
        <v>30477</v>
      </c>
      <c r="BF40" s="18">
        <f>'Total Weekday Boardings'!BF40+'Total Saturday Boardings'!BF40+'Total Sunday-Holiday Boardings'!BF40</f>
        <v>36760</v>
      </c>
      <c r="BG40" s="18">
        <f>'Total Weekday Boardings'!BG40+'Total Saturday Boardings'!BG40+'Total Sunday-Holiday Boardings'!BG40</f>
        <v>49226</v>
      </c>
      <c r="BH40" s="18">
        <f>'Total Weekday Boardings'!BH40+'Total Saturday Boardings'!BH40+'Total Sunday-Holiday Boardings'!BH40</f>
        <v>52247</v>
      </c>
      <c r="BI40" s="18">
        <f>'Total Weekday Boardings'!BI40+'Total Saturday Boardings'!BI40+'Total Sunday-Holiday Boardings'!BI40</f>
        <v>47274.615846639099</v>
      </c>
      <c r="BJ40" s="18">
        <f>'Total Weekday Boardings'!BJ40+'Total Saturday Boardings'!BJ40+'Total Sunday-Holiday Boardings'!BJ40</f>
        <v>38564</v>
      </c>
      <c r="BK40" s="18">
        <f>'Total Weekday Boardings'!BK40+'Total Saturday Boardings'!BK40+'Total Sunday-Holiday Boardings'!BK40</f>
        <v>45132</v>
      </c>
      <c r="BL40" s="18">
        <f>'Total Weekday Boardings'!BL40+'Total Saturday Boardings'!BL40+'Total Sunday-Holiday Boardings'!BL40</f>
        <v>45284</v>
      </c>
      <c r="BM40" s="18">
        <f>'Total Weekday Boardings'!BM40+'Total Saturday Boardings'!BM40+'Total Sunday-Holiday Boardings'!BM40</f>
        <v>45957</v>
      </c>
      <c r="BN40" s="18">
        <f>'Total Weekday Boardings'!BN40+'Total Saturday Boardings'!BN40+'Total Sunday-Holiday Boardings'!BN40</f>
        <v>46926</v>
      </c>
      <c r="BO40" s="18">
        <f>'Total Weekday Boardings'!BO40+'Total Saturday Boardings'!BO40+'Total Sunday-Holiday Boardings'!BO40</f>
        <v>36346</v>
      </c>
      <c r="BP40" s="19">
        <f>'Total Weekday Boardings'!BP40+'Total Saturday Boardings'!BP40+'Total Sunday-Holiday Boardings'!BP40</f>
        <v>35552</v>
      </c>
      <c r="BQ40" s="17">
        <f>'Total Weekday Boardings'!BQ40+'Total Saturday Boardings'!BQ40+'Total Sunday-Holiday Boardings'!BQ40</f>
        <v>29842</v>
      </c>
      <c r="BR40" s="18">
        <f>'Total Weekday Boardings'!BR40+'Total Saturday Boardings'!BR40+'Total Sunday-Holiday Boardings'!BR40</f>
        <v>40275</v>
      </c>
      <c r="BS40" s="18">
        <f>'Total Weekday Boardings'!BS40+'Total Saturday Boardings'!BS40+'Total Sunday-Holiday Boardings'!BS40</f>
        <v>49613</v>
      </c>
      <c r="BT40" s="18">
        <f>'Total Weekday Boardings'!BT40+'Total Saturday Boardings'!BT40+'Total Sunday-Holiday Boardings'!BT40</f>
        <v>53375</v>
      </c>
      <c r="BU40" s="18">
        <f>'Total Weekday Boardings'!BU40+'Total Saturday Boardings'!BU40+'Total Sunday-Holiday Boardings'!BU40</f>
        <v>47713</v>
      </c>
      <c r="BV40" s="18">
        <f>'Total Weekday Boardings'!BV40+'Total Saturday Boardings'!BV40+'Total Sunday-Holiday Boardings'!BV40</f>
        <v>36666</v>
      </c>
      <c r="BW40" s="18">
        <f>'Total Weekday Boardings'!BW40+'Total Saturday Boardings'!BW40+'Total Sunday-Holiday Boardings'!BW40</f>
        <v>48078</v>
      </c>
      <c r="BX40" s="18">
        <f>'Total Weekday Boardings'!BX40+'Total Saturday Boardings'!BX40+'Total Sunday-Holiday Boardings'!BX40</f>
        <v>44972</v>
      </c>
      <c r="BY40" s="18">
        <f>'Total Weekday Boardings'!BY40+'Total Saturday Boardings'!BY40+'Total Sunday-Holiday Boardings'!BY40</f>
        <v>44838</v>
      </c>
      <c r="BZ40" s="18">
        <f>'Total Weekday Boardings'!BZ40+'Total Saturday Boardings'!BZ40+'Total Sunday-Holiday Boardings'!BZ40</f>
        <v>44824</v>
      </c>
      <c r="CA40" s="18">
        <f>'Total Weekday Boardings'!CA40+'Total Saturday Boardings'!CA40+'Total Sunday-Holiday Boardings'!CA40</f>
        <v>34680</v>
      </c>
      <c r="CB40" s="19">
        <f>'Total Weekday Boardings'!CB40+'Total Saturday Boardings'!CB40+'Total Sunday-Holiday Boardings'!CB40</f>
        <v>29421</v>
      </c>
      <c r="CC40" s="20">
        <f>'Total Weekday Boardings'!CC40+'Total Saturday Boardings'!CC40+'Total Sunday-Holiday Boardings'!CC40</f>
        <v>28958</v>
      </c>
      <c r="CD40" s="18">
        <f>'Total Weekday Boardings'!CD40+'Total Saturday Boardings'!CD40+'Total Sunday-Holiday Boardings'!CD40</f>
        <v>38011</v>
      </c>
      <c r="CE40" s="18">
        <f>'Total Weekday Boardings'!CE40+'Total Saturday Boardings'!CE40+'Total Sunday-Holiday Boardings'!CE40</f>
        <v>54176</v>
      </c>
      <c r="CF40" s="18">
        <f>'Total Weekday Boardings'!CF40+'Total Saturday Boardings'!CF40+'Total Sunday-Holiday Boardings'!CF40</f>
        <v>53265</v>
      </c>
      <c r="CG40" s="18">
        <f>'Total Weekday Boardings'!CG40+'Total Saturday Boardings'!CG40+'Total Sunday-Holiday Boardings'!CG40</f>
        <v>47386</v>
      </c>
      <c r="CH40" s="18">
        <f>'Total Weekday Boardings'!CH40+'Total Saturday Boardings'!CH40+'Total Sunday-Holiday Boardings'!CH40</f>
        <v>37803</v>
      </c>
      <c r="CI40" s="18">
        <f>'Total Weekday Boardings'!CI40+'Total Saturday Boardings'!CI40+'Total Sunday-Holiday Boardings'!CI40</f>
        <v>43996</v>
      </c>
      <c r="CJ40" s="18">
        <f>'Total Weekday Boardings'!CJ40+'Total Saturday Boardings'!CJ40+'Total Sunday-Holiday Boardings'!CJ40</f>
        <v>46635</v>
      </c>
      <c r="CK40" s="18">
        <f>'Total Weekday Boardings'!CK40+'Total Saturday Boardings'!CK40+'Total Sunday-Holiday Boardings'!CK40</f>
        <v>46618</v>
      </c>
      <c r="CL40" s="18">
        <f>'Total Weekday Boardings'!CL40+'Total Saturday Boardings'!CL40+'Total Sunday-Holiday Boardings'!CL40</f>
        <v>47816</v>
      </c>
      <c r="CM40" s="18">
        <f>'Total Weekday Boardings'!CM40+'Total Saturday Boardings'!CM40+'Total Sunday-Holiday Boardings'!CM40</f>
        <v>37255</v>
      </c>
      <c r="CN40" s="21">
        <f>'Total Weekday Boardings'!CN40+'Total Saturday Boardings'!CN40+'Total Sunday-Holiday Boardings'!CN40</f>
        <v>33384</v>
      </c>
      <c r="CO40" s="17">
        <f>'Total Weekday Boardings'!CO40+'Total Saturday Boardings'!CO40+'Total Sunday-Holiday Boardings'!CO40</f>
        <v>31586</v>
      </c>
      <c r="CP40" s="18">
        <f>'Total Weekday Boardings'!CP40+'Total Saturday Boardings'!CP40+'Total Sunday-Holiday Boardings'!CP40</f>
        <v>42138</v>
      </c>
      <c r="CQ40" s="18">
        <f>'Total Weekday Boardings'!CQ40+'Total Saturday Boardings'!CQ40+'Total Sunday-Holiday Boardings'!CQ40</f>
        <v>48282</v>
      </c>
      <c r="CR40" s="18">
        <f>'Total Weekday Boardings'!CR40+'Total Saturday Boardings'!CR40+'Total Sunday-Holiday Boardings'!CR40</f>
        <v>48042</v>
      </c>
      <c r="CS40" s="18">
        <f>'Total Weekday Boardings'!CS40+'Total Saturday Boardings'!CS40+'Total Sunday-Holiday Boardings'!CS40</f>
        <v>45883</v>
      </c>
      <c r="CT40" s="18">
        <f>'Total Weekday Boardings'!CT40+'Total Saturday Boardings'!CT40+'Total Sunday-Holiday Boardings'!CT40</f>
        <v>36039</v>
      </c>
      <c r="CU40" s="18">
        <f>'Total Weekday Boardings'!CU40+'Total Saturday Boardings'!CU40+'Total Sunday-Holiday Boardings'!CU40</f>
        <v>43763</v>
      </c>
      <c r="CV40" s="18">
        <f>'Total Weekday Boardings'!CV40+'Total Saturday Boardings'!CV40+'Total Sunday-Holiday Boardings'!CV40</f>
        <v>42477</v>
      </c>
      <c r="CW40" s="18">
        <f>'Total Weekday Boardings'!CW40+'Total Saturday Boardings'!CW40+'Total Sunday-Holiday Boardings'!CW40</f>
        <v>46057</v>
      </c>
      <c r="CX40" s="18">
        <f>'Total Weekday Boardings'!CX40+'Total Saturday Boardings'!CX40+'Total Sunday-Holiday Boardings'!CX40</f>
        <v>46632</v>
      </c>
      <c r="CY40" s="18">
        <f>'Total Weekday Boardings'!CY40+'Total Saturday Boardings'!CY40+'Total Sunday-Holiday Boardings'!CY40</f>
        <v>37399</v>
      </c>
      <c r="CZ40" s="19">
        <f>'Total Weekday Boardings'!CZ40+'Total Saturday Boardings'!CZ40+'Total Sunday-Holiday Boardings'!CZ40</f>
        <v>30987</v>
      </c>
      <c r="DA40" s="17">
        <f>'Total Weekday Boardings'!DA40+'Total Saturday Boardings'!DA40+'Total Sunday-Holiday Boardings'!DA40</f>
        <v>30063</v>
      </c>
      <c r="DB40" s="18">
        <f>'Total Weekday Boardings'!DB40+'Total Saturday Boardings'!DB40+'Total Sunday-Holiday Boardings'!DB40</f>
        <v>40651</v>
      </c>
      <c r="DC40" s="18">
        <f>'Total Weekday Boardings'!DC40+'Total Saturday Boardings'!DC40+'Total Sunday-Holiday Boardings'!DC40</f>
        <v>42940</v>
      </c>
      <c r="DD40" s="18">
        <f>'Total Weekday Boardings'!DD40+'Total Saturday Boardings'!DD40+'Total Sunday-Holiday Boardings'!DD40</f>
        <v>44969</v>
      </c>
      <c r="DE40" s="18">
        <f>'Total Weekday Boardings'!DE40+'Total Saturday Boardings'!DE40+'Total Sunday-Holiday Boardings'!DE40</f>
        <v>41198</v>
      </c>
      <c r="DF40" s="18">
        <f>'Total Weekday Boardings'!DF40+'Total Saturday Boardings'!DF40+'Total Sunday-Holiday Boardings'!DF40</f>
        <v>31845</v>
      </c>
      <c r="DG40" s="18">
        <f>'Total Weekday Boardings'!DG40+'Total Saturday Boardings'!DG40+'Total Sunday-Holiday Boardings'!DG40</f>
        <v>40142</v>
      </c>
      <c r="DH40" s="18">
        <f>'Total Weekday Boardings'!DH40+'Total Saturday Boardings'!DH40+'Total Sunday-Holiday Boardings'!DH40</f>
        <v>38361</v>
      </c>
      <c r="DI40" s="18">
        <f>'Total Weekday Boardings'!DI40+'Total Saturday Boardings'!DI40+'Total Sunday-Holiday Boardings'!DI40</f>
        <v>39974</v>
      </c>
      <c r="DJ40" s="18">
        <f>'Total Weekday Boardings'!DJ40+'Total Saturday Boardings'!DJ40+'Total Sunday-Holiday Boardings'!DJ40</f>
        <v>39744</v>
      </c>
      <c r="DK40" s="18">
        <f>'Total Weekday Boardings'!DK40+'Total Saturday Boardings'!DK40+'Total Sunday-Holiday Boardings'!DK40</f>
        <v>33436</v>
      </c>
      <c r="DL40" s="19">
        <f>'Total Weekday Boardings'!DL40+'Total Saturday Boardings'!DL40+'Total Sunday-Holiday Boardings'!DL40</f>
        <v>29113</v>
      </c>
      <c r="DM40" s="17">
        <f>'Total Weekday Boardings'!DM40+'Total Saturday Boardings'!DM40+'Total Sunday-Holiday Boardings'!DM40</f>
        <v>28122</v>
      </c>
      <c r="DN40" s="18">
        <f>'Total Weekday Boardings'!DN40+'Total Saturday Boardings'!DN40+'Total Sunday-Holiday Boardings'!DN40</f>
        <v>36336</v>
      </c>
      <c r="DO40" s="18">
        <f>'Total Weekday Boardings'!DO40+'Total Saturday Boardings'!DO40+'Total Sunday-Holiday Boardings'!DO40</f>
        <v>38733</v>
      </c>
      <c r="DP40" s="18">
        <f>'Total Weekday Boardings'!DP40+'Total Saturday Boardings'!DP40+'Total Sunday-Holiday Boardings'!DP40</f>
        <v>41042</v>
      </c>
      <c r="DQ40" s="18">
        <f>'Total Weekday Boardings'!DQ40+'Total Saturday Boardings'!DQ40+'Total Sunday-Holiday Boardings'!DQ40</f>
        <v>38722</v>
      </c>
      <c r="DR40" s="18">
        <f>'Total Weekday Boardings'!DR40+'Total Saturday Boardings'!DR40+'Total Sunday-Holiday Boardings'!DR40</f>
        <v>29340</v>
      </c>
      <c r="DS40" s="18">
        <f>'Total Weekday Boardings'!DS40+'Total Saturday Boardings'!DS40+'Total Sunday-Holiday Boardings'!DS40</f>
        <v>37568</v>
      </c>
      <c r="DT40" s="18">
        <f>'Total Weekday Boardings'!DT40+'Total Saturday Boardings'!DT40+'Total Sunday-Holiday Boardings'!DT40</f>
        <v>35585</v>
      </c>
      <c r="DU40" s="18">
        <f>'Total Weekday Boardings'!DU40+'Total Saturday Boardings'!DU40+'Total Sunday-Holiday Boardings'!DU40</f>
        <v>37753</v>
      </c>
      <c r="DV40" s="18">
        <f>'Total Weekday Boardings'!DV40+'Total Saturday Boardings'!DV40+'Total Sunday-Holiday Boardings'!DV40</f>
        <v>39003</v>
      </c>
      <c r="DW40" s="18">
        <f>'Total Weekday Boardings'!DW40+'Total Saturday Boardings'!DW40+'Total Sunday-Holiday Boardings'!DW40</f>
        <v>32492</v>
      </c>
      <c r="DX40" s="19">
        <f>'Total Weekday Boardings'!DX40+'Total Saturday Boardings'!DX40+'Total Sunday-Holiday Boardings'!DX40</f>
        <v>28142</v>
      </c>
      <c r="DY40" s="137">
        <v>28061</v>
      </c>
      <c r="DZ40" s="18">
        <v>33923</v>
      </c>
      <c r="EA40" s="18">
        <v>42819</v>
      </c>
      <c r="EB40" s="18">
        <v>44192</v>
      </c>
      <c r="EC40" s="18">
        <v>40945</v>
      </c>
      <c r="ED40" s="18">
        <v>32294</v>
      </c>
      <c r="EE40" s="18">
        <v>36943</v>
      </c>
      <c r="EF40" s="18">
        <v>39948</v>
      </c>
      <c r="EG40" s="18">
        <v>27490</v>
      </c>
      <c r="EH40" s="18">
        <v>14419</v>
      </c>
      <c r="EI40" s="18">
        <v>14581</v>
      </c>
      <c r="EJ40" s="19">
        <v>14337</v>
      </c>
      <c r="EK40" s="100">
        <v>13093</v>
      </c>
      <c r="EL40" s="18">
        <v>14001</v>
      </c>
      <c r="EM40" s="18">
        <v>15666</v>
      </c>
      <c r="EN40" s="103">
        <v>16778</v>
      </c>
      <c r="EO40" s="18">
        <v>14979</v>
      </c>
      <c r="EP40" s="18">
        <v>12395</v>
      </c>
      <c r="EQ40" s="18">
        <v>7446</v>
      </c>
      <c r="ER40" s="18">
        <v>13428</v>
      </c>
      <c r="ES40" s="18">
        <v>14589</v>
      </c>
      <c r="ET40" s="18">
        <v>15805</v>
      </c>
      <c r="EU40" s="18">
        <v>14248</v>
      </c>
      <c r="EV40" s="19">
        <v>15104</v>
      </c>
      <c r="EW40" s="103">
        <v>14979</v>
      </c>
      <c r="EX40" s="18">
        <v>18153</v>
      </c>
      <c r="EY40" s="18">
        <v>22492</v>
      </c>
      <c r="EZ40" s="103">
        <v>21991</v>
      </c>
      <c r="FA40" s="18">
        <v>21772</v>
      </c>
      <c r="FB40" s="145">
        <v>17798</v>
      </c>
      <c r="FC40" s="18">
        <v>18503</v>
      </c>
      <c r="FD40" s="18">
        <v>22660</v>
      </c>
      <c r="FE40" s="18">
        <v>25667</v>
      </c>
      <c r="FF40" s="18">
        <v>24649</v>
      </c>
      <c r="FG40" s="13">
        <f>SUM('Total Weekday Boardings'!FG40,'Total Saturday Boardings'!FG40,'Total Sunday-Holiday Boardings'!FG40)</f>
        <v>21021</v>
      </c>
      <c r="FH40" s="13">
        <f>SUM('Total Weekday Boardings'!FH40,'Total Saturday Boardings'!FH40,'Total Sunday-Holiday Boardings'!FH40)</f>
        <v>17367</v>
      </c>
      <c r="FI40" s="13">
        <f>SUM('Total Weekday Boardings'!FI40,'Total Saturday Boardings'!FI40,'Total Sunday-Holiday Boardings'!FI40)</f>
        <v>18267</v>
      </c>
      <c r="FJ40" s="13">
        <f>SUM('Total Weekday Boardings'!FJ40,'Total Saturday Boardings'!FJ40,'Total Sunday-Holiday Boardings'!FJ40)</f>
        <v>23964</v>
      </c>
      <c r="FK40" s="13">
        <f>SUM('Total Weekday Boardings'!FK40,'Total Saturday Boardings'!FK40,'Total Sunday-Holiday Boardings'!FK40)</f>
        <v>29761.5</v>
      </c>
      <c r="FL40" s="13">
        <f>SUM('Total Weekday Boardings'!FL40,'Total Saturday Boardings'!FL40,'Total Sunday-Holiday Boardings'!FL40)</f>
        <v>27364</v>
      </c>
      <c r="FM40" s="13">
        <f>SUM('Total Weekday Boardings'!FM40,'Total Saturday Boardings'!FM40,'Total Sunday-Holiday Boardings'!FM40)</f>
        <v>25891</v>
      </c>
      <c r="FN40" s="13">
        <f>SUM('Total Weekday Boardings'!FN40,'Total Saturday Boardings'!FN40,'Total Sunday-Holiday Boardings'!FN40)</f>
        <v>21551</v>
      </c>
      <c r="FO40" s="13">
        <f>SUM('Total Weekday Boardings'!FO40,'Total Saturday Boardings'!FO40,'Total Sunday-Holiday Boardings'!FO40)</f>
        <v>28454</v>
      </c>
      <c r="FP40" s="13">
        <f>SUM('Total Weekday Boardings'!FP40,'Total Saturday Boardings'!FP40,'Total Sunday-Holiday Boardings'!FP40)</f>
        <v>25869</v>
      </c>
      <c r="FQ40" s="13">
        <f>SUM('Total Weekday Boardings'!FQ40,'Total Saturday Boardings'!FQ40,'Total Sunday-Holiday Boardings'!FQ40)</f>
        <v>30088</v>
      </c>
      <c r="FR40" s="13">
        <f>SUM('Total Weekday Boardings'!FR40,'Total Saturday Boardings'!FR40,'Total Sunday-Holiday Boardings'!FR40)</f>
        <v>28365</v>
      </c>
      <c r="FS40" s="13">
        <f>SUM('Total Weekday Boardings'!FS40,'Total Saturday Boardings'!FS40,'Total Sunday-Holiday Boardings'!FS40)</f>
        <v>24938</v>
      </c>
      <c r="FT40" s="16">
        <f>SUM('Total Weekday Boardings'!FT40,'Total Saturday Boardings'!FT40,'Total Sunday-Holiday Boardings'!FT40)</f>
        <v>20846</v>
      </c>
      <c r="FU40" s="171">
        <v>19223</v>
      </c>
      <c r="FV40" s="171">
        <v>25214</v>
      </c>
      <c r="FW40" s="171">
        <v>28409</v>
      </c>
      <c r="FX40" s="171">
        <v>30727</v>
      </c>
      <c r="FY40" s="171">
        <v>27552</v>
      </c>
      <c r="FZ40" s="171">
        <v>21450</v>
      </c>
      <c r="GA40" s="171">
        <v>28887</v>
      </c>
      <c r="GB40" s="52">
        <v>30379</v>
      </c>
      <c r="GC40" s="52">
        <v>29042</v>
      </c>
      <c r="GD40" s="52">
        <v>27807</v>
      </c>
      <c r="GE40" s="18">
        <v>22108</v>
      </c>
      <c r="GF40" s="52">
        <v>18168</v>
      </c>
      <c r="GG40" s="184">
        <v>18685</v>
      </c>
      <c r="GH40" s="52">
        <v>25600</v>
      </c>
      <c r="GI40" s="18">
        <v>30122</v>
      </c>
      <c r="GJ40" s="236">
        <v>30759</v>
      </c>
      <c r="GK40" s="184">
        <v>28009</v>
      </c>
      <c r="GL40" s="184">
        <v>22836</v>
      </c>
    </row>
    <row r="41" spans="1:194" ht="15" thickBot="1" x14ac:dyDescent="0.35">
      <c r="A41" s="3" t="s">
        <v>23</v>
      </c>
      <c r="B41" s="17"/>
      <c r="C41" s="18">
        <f>'Total Weekday Boardings'!C41+'Total Saturday Boardings'!C41+'Total Sunday-Holiday Boardings'!C41</f>
        <v>6240</v>
      </c>
      <c r="D41" s="18">
        <f>'Total Weekday Boardings'!D41+'Total Saturday Boardings'!D41+'Total Sunday-Holiday Boardings'!D41</f>
        <v>11479</v>
      </c>
      <c r="E41" s="18">
        <f>'Total Weekday Boardings'!E41+'Total Saturday Boardings'!E41+'Total Sunday-Holiday Boardings'!E41</f>
        <v>7407</v>
      </c>
      <c r="F41" s="18">
        <f>'Total Weekday Boardings'!F41+'Total Saturday Boardings'!F41+'Total Sunday-Holiday Boardings'!F41</f>
        <v>8625</v>
      </c>
      <c r="G41" s="18">
        <f>'Total Weekday Boardings'!G41+'Total Saturday Boardings'!G41+'Total Sunday-Holiday Boardings'!G41</f>
        <v>11483</v>
      </c>
      <c r="H41" s="19">
        <f>'Total Weekday Boardings'!H41+'Total Saturday Boardings'!H41+'Total Sunday-Holiday Boardings'!H41</f>
        <v>6597</v>
      </c>
      <c r="I41" s="17">
        <f>'Total Weekday Boardings'!I41+'Total Saturday Boardings'!I41+'Total Sunday-Holiday Boardings'!I41</f>
        <v>10489</v>
      </c>
      <c r="J41" s="18">
        <f>'Total Weekday Boardings'!J41+'Total Saturday Boardings'!J41+'Total Sunday-Holiday Boardings'!J41</f>
        <v>14644</v>
      </c>
      <c r="K41" s="18">
        <f>'Total Weekday Boardings'!K41+'Total Saturday Boardings'!K41+'Total Sunday-Holiday Boardings'!K41</f>
        <v>9177</v>
      </c>
      <c r="L41" s="18">
        <f>'Total Weekday Boardings'!L41+'Total Saturday Boardings'!L41+'Total Sunday-Holiday Boardings'!L41</f>
        <v>10009</v>
      </c>
      <c r="M41" s="18">
        <f>'Total Weekday Boardings'!M41+'Total Saturday Boardings'!M41+'Total Sunday-Holiday Boardings'!M41</f>
        <v>10151</v>
      </c>
      <c r="N41" s="18">
        <f>'Total Weekday Boardings'!N41+'Total Saturday Boardings'!N41+'Total Sunday-Holiday Boardings'!N41</f>
        <v>8546</v>
      </c>
      <c r="O41" s="62">
        <f>'Total Weekday Boardings'!O41+'Total Saturday Boardings'!O41+'Total Sunday-Holiday Boardings'!O41</f>
        <v>8687</v>
      </c>
      <c r="P41" s="62">
        <f>'Total Weekday Boardings'!P41+'Total Saturday Boardings'!P41+'Total Sunday-Holiday Boardings'!P41</f>
        <v>9363</v>
      </c>
      <c r="Q41" s="62">
        <f>'Total Weekday Boardings'!Q41+'Total Saturday Boardings'!Q41+'Total Sunday-Holiday Boardings'!Q41</f>
        <v>10378</v>
      </c>
      <c r="R41" s="62">
        <f>'Total Weekday Boardings'!R41+'Total Saturday Boardings'!R41+'Total Sunday-Holiday Boardings'!R41</f>
        <v>10146</v>
      </c>
      <c r="S41" s="62">
        <f>'Total Weekday Boardings'!S41+'Total Saturday Boardings'!S41+'Total Sunday-Holiday Boardings'!S41</f>
        <v>8428</v>
      </c>
      <c r="T41" s="63">
        <f>'Total Weekday Boardings'!T41+'Total Saturday Boardings'!T41+'Total Sunday-Holiday Boardings'!T41</f>
        <v>9232</v>
      </c>
      <c r="U41" s="64">
        <f>'Total Weekday Boardings'!U41+'Total Saturday Boardings'!U41+'Total Sunday-Holiday Boardings'!U41</f>
        <v>8907</v>
      </c>
      <c r="V41" s="62">
        <f>'Total Weekday Boardings'!V41+'Total Saturday Boardings'!V41+'Total Sunday-Holiday Boardings'!V41</f>
        <v>11822</v>
      </c>
      <c r="W41" s="62">
        <f>'Total Weekday Boardings'!W41+'Total Saturday Boardings'!W41+'Total Sunday-Holiday Boardings'!W41</f>
        <v>13322</v>
      </c>
      <c r="X41" s="62">
        <f>'Total Weekday Boardings'!X41+'Total Saturday Boardings'!X41+'Total Sunday-Holiday Boardings'!X41</f>
        <v>12773</v>
      </c>
      <c r="Y41" s="62">
        <f>'Total Weekday Boardings'!Y41+'Total Saturday Boardings'!Y41+'Total Sunday-Holiday Boardings'!Y41</f>
        <v>11655</v>
      </c>
      <c r="Z41" s="62">
        <f>'Total Weekday Boardings'!Z41+'Total Saturday Boardings'!Z41+'Total Sunday-Holiday Boardings'!Z41</f>
        <v>10474</v>
      </c>
      <c r="AA41" s="18">
        <f>'Total Weekday Boardings'!AA41+'Total Saturday Boardings'!AA41+'Total Sunday-Holiday Boardings'!AA41</f>
        <v>11425</v>
      </c>
      <c r="AB41" s="18">
        <f>'Total Weekday Boardings'!AB41+'Total Saturday Boardings'!AB41+'Total Sunday-Holiday Boardings'!AB41</f>
        <v>11786</v>
      </c>
      <c r="AC41" s="18">
        <f>'Total Weekday Boardings'!AC41+'Total Saturday Boardings'!AC41+'Total Sunday-Holiday Boardings'!AC41</f>
        <v>12587</v>
      </c>
      <c r="AD41" s="18">
        <f>'Total Weekday Boardings'!AD41+'Total Saturday Boardings'!AD41+'Total Sunday-Holiday Boardings'!AD41</f>
        <v>12450</v>
      </c>
      <c r="AE41" s="18">
        <f>'Total Weekday Boardings'!AE41+'Total Saturday Boardings'!AE41+'Total Sunday-Holiday Boardings'!AE41</f>
        <v>10598</v>
      </c>
      <c r="AF41" s="19">
        <f>'Total Weekday Boardings'!AF41+'Total Saturday Boardings'!AF41+'Total Sunday-Holiday Boardings'!AF41</f>
        <v>9469</v>
      </c>
      <c r="AG41" s="17">
        <f>'Total Weekday Boardings'!AG41+'Total Saturday Boardings'!AG41+'Total Sunday-Holiday Boardings'!AG41</f>
        <v>9816</v>
      </c>
      <c r="AH41" s="18">
        <f>'Total Weekday Boardings'!AH41+'Total Saturday Boardings'!AH41+'Total Sunday-Holiday Boardings'!AH41</f>
        <v>12957</v>
      </c>
      <c r="AI41" s="18">
        <f>'Total Weekday Boardings'!AI41+'Total Saturday Boardings'!AI41+'Total Sunday-Holiday Boardings'!AI41</f>
        <v>15062</v>
      </c>
      <c r="AJ41" s="18">
        <f>'Total Weekday Boardings'!AJ41+'Total Saturday Boardings'!AJ41+'Total Sunday-Holiday Boardings'!AJ41</f>
        <v>15613</v>
      </c>
      <c r="AK41" s="18">
        <f>'Total Weekday Boardings'!AK41+'Total Saturday Boardings'!AK41+'Total Sunday-Holiday Boardings'!AK41</f>
        <v>13871</v>
      </c>
      <c r="AL41" s="18">
        <f>'Total Weekday Boardings'!AL41+'Total Saturday Boardings'!AL41+'Total Sunday-Holiday Boardings'!AL41</f>
        <v>13127</v>
      </c>
      <c r="AM41" s="18">
        <f>'Total Weekday Boardings'!AM41+'Total Saturday Boardings'!AM41+'Total Sunday-Holiday Boardings'!AM41</f>
        <v>14882</v>
      </c>
      <c r="AN41" s="18">
        <f>'Total Weekday Boardings'!AN41+'Total Saturday Boardings'!AN41+'Total Sunday-Holiday Boardings'!AN41</f>
        <v>14215</v>
      </c>
      <c r="AO41" s="18">
        <f>'Total Weekday Boardings'!AO41+'Total Saturday Boardings'!AO41+'Total Sunday-Holiday Boardings'!AO41</f>
        <v>14788</v>
      </c>
      <c r="AP41" s="18">
        <f>'Total Weekday Boardings'!AP41+'Total Saturday Boardings'!AP41+'Total Sunday-Holiday Boardings'!AP41</f>
        <v>15306</v>
      </c>
      <c r="AQ41" s="18">
        <f>'Total Weekday Boardings'!AQ41+'Total Saturday Boardings'!AQ41+'Total Sunday-Holiday Boardings'!AQ41</f>
        <v>13093</v>
      </c>
      <c r="AR41" s="19">
        <f>'Total Weekday Boardings'!AR41+'Total Saturday Boardings'!AR41+'Total Sunday-Holiday Boardings'!AR41</f>
        <v>12257</v>
      </c>
      <c r="AS41" s="17">
        <f>'Total Weekday Boardings'!AS41+'Total Saturday Boardings'!AS41+'Total Sunday-Holiday Boardings'!AS41</f>
        <v>12346</v>
      </c>
      <c r="AT41" s="18">
        <f>'Total Weekday Boardings'!AT41+'Total Saturday Boardings'!AT41+'Total Sunday-Holiday Boardings'!AT41</f>
        <v>14339</v>
      </c>
      <c r="AU41" s="18">
        <f>'Total Weekday Boardings'!AU41+'Total Saturday Boardings'!AU41+'Total Sunday-Holiday Boardings'!AU41</f>
        <v>18637</v>
      </c>
      <c r="AV41" s="18">
        <f>'Total Weekday Boardings'!AV41+'Total Saturday Boardings'!AV41+'Total Sunday-Holiday Boardings'!AV41</f>
        <v>16477</v>
      </c>
      <c r="AW41" s="18">
        <f>'Total Weekday Boardings'!AW41+'Total Saturday Boardings'!AW41+'Total Sunday-Holiday Boardings'!AW41</f>
        <v>15648</v>
      </c>
      <c r="AX41" s="18">
        <f>'Total Weekday Boardings'!AX41+'Total Saturday Boardings'!AX41+'Total Sunday-Holiday Boardings'!AX41</f>
        <v>15375</v>
      </c>
      <c r="AY41" s="18">
        <f>'Total Weekday Boardings'!AY41+'Total Saturday Boardings'!AY41+'Total Sunday-Holiday Boardings'!AY41</f>
        <v>15982</v>
      </c>
      <c r="AZ41" s="18">
        <f>'Total Weekday Boardings'!AZ41+'Total Saturday Boardings'!AZ41+'Total Sunday-Holiday Boardings'!AZ41</f>
        <v>15188</v>
      </c>
      <c r="BA41" s="18">
        <f>'Total Weekday Boardings'!BA41+'Total Saturday Boardings'!BA41+'Total Sunday-Holiday Boardings'!BA41</f>
        <v>15265</v>
      </c>
      <c r="BB41" s="18">
        <f>'Total Weekday Boardings'!BB41+'Total Saturday Boardings'!BB41+'Total Sunday-Holiday Boardings'!BB41</f>
        <v>15920</v>
      </c>
      <c r="BC41" s="18">
        <f>'Total Weekday Boardings'!BC41+'Total Saturday Boardings'!BC41+'Total Sunday-Holiday Boardings'!BC41</f>
        <v>14437</v>
      </c>
      <c r="BD41" s="19">
        <f>'Total Weekday Boardings'!BD41+'Total Saturday Boardings'!BD41+'Total Sunday-Holiday Boardings'!BD41</f>
        <v>12344</v>
      </c>
      <c r="BE41" s="17">
        <f>'Total Weekday Boardings'!BE41+'Total Saturday Boardings'!BE41+'Total Sunday-Holiday Boardings'!BE41</f>
        <v>12724</v>
      </c>
      <c r="BF41" s="18">
        <f>'Total Weekday Boardings'!BF41+'Total Saturday Boardings'!BF41+'Total Sunday-Holiday Boardings'!BF41</f>
        <v>15182</v>
      </c>
      <c r="BG41" s="18">
        <f>'Total Weekday Boardings'!BG41+'Total Saturday Boardings'!BG41+'Total Sunday-Holiday Boardings'!BG41</f>
        <v>17232</v>
      </c>
      <c r="BH41" s="18">
        <f>'Total Weekday Boardings'!BH41+'Total Saturday Boardings'!BH41+'Total Sunday-Holiday Boardings'!BH41</f>
        <v>18531</v>
      </c>
      <c r="BI41" s="18">
        <f>'Total Weekday Boardings'!BI41+'Total Saturday Boardings'!BI41+'Total Sunday-Holiday Boardings'!BI41</f>
        <v>17035.327819788981</v>
      </c>
      <c r="BJ41" s="18">
        <f>'Total Weekday Boardings'!BJ41+'Total Saturday Boardings'!BJ41+'Total Sunday-Holiday Boardings'!BJ41</f>
        <v>16171</v>
      </c>
      <c r="BK41" s="18">
        <f>'Total Weekday Boardings'!BK41+'Total Saturday Boardings'!BK41+'Total Sunday-Holiday Boardings'!BK41</f>
        <v>17312</v>
      </c>
      <c r="BL41" s="18">
        <f>'Total Weekday Boardings'!BL41+'Total Saturday Boardings'!BL41+'Total Sunday-Holiday Boardings'!BL41</f>
        <v>16318</v>
      </c>
      <c r="BM41" s="18">
        <f>'Total Weekday Boardings'!BM41+'Total Saturday Boardings'!BM41+'Total Sunday-Holiday Boardings'!BM41</f>
        <v>16585</v>
      </c>
      <c r="BN41" s="18">
        <f>'Total Weekday Boardings'!BN41+'Total Saturday Boardings'!BN41+'Total Sunday-Holiday Boardings'!BN41</f>
        <v>17481</v>
      </c>
      <c r="BO41" s="18">
        <f>'Total Weekday Boardings'!BO41+'Total Saturday Boardings'!BO41+'Total Sunday-Holiday Boardings'!BO41</f>
        <v>15195</v>
      </c>
      <c r="BP41" s="19">
        <f>'Total Weekday Boardings'!BP41+'Total Saturday Boardings'!BP41+'Total Sunday-Holiday Boardings'!BP41</f>
        <v>13842</v>
      </c>
      <c r="BQ41" s="17">
        <f>'Total Weekday Boardings'!BQ41+'Total Saturday Boardings'!BQ41+'Total Sunday-Holiday Boardings'!BQ41</f>
        <v>12676</v>
      </c>
      <c r="BR41" s="18">
        <f>'Total Weekday Boardings'!BR41+'Total Saturday Boardings'!BR41+'Total Sunday-Holiday Boardings'!BR41</f>
        <v>16070</v>
      </c>
      <c r="BS41" s="18">
        <f>'Total Weekday Boardings'!BS41+'Total Saturday Boardings'!BS41+'Total Sunday-Holiday Boardings'!BS41</f>
        <v>18470</v>
      </c>
      <c r="BT41" s="18">
        <f>'Total Weekday Boardings'!BT41+'Total Saturday Boardings'!BT41+'Total Sunday-Holiday Boardings'!BT41</f>
        <v>19065</v>
      </c>
      <c r="BU41" s="18">
        <f>'Total Weekday Boardings'!BU41+'Total Saturday Boardings'!BU41+'Total Sunday-Holiday Boardings'!BU41</f>
        <v>17621</v>
      </c>
      <c r="BV41" s="18">
        <f>'Total Weekday Boardings'!BV41+'Total Saturday Boardings'!BV41+'Total Sunday-Holiday Boardings'!BV41</f>
        <v>15871</v>
      </c>
      <c r="BW41" s="18">
        <f>'Total Weekday Boardings'!BW41+'Total Saturday Boardings'!BW41+'Total Sunday-Holiday Boardings'!BW41</f>
        <v>17532</v>
      </c>
      <c r="BX41" s="18">
        <f>'Total Weekday Boardings'!BX41+'Total Saturday Boardings'!BX41+'Total Sunday-Holiday Boardings'!BX41</f>
        <v>15908</v>
      </c>
      <c r="BY41" s="18">
        <f>'Total Weekday Boardings'!BY41+'Total Saturday Boardings'!BY41+'Total Sunday-Holiday Boardings'!BY41</f>
        <v>16553</v>
      </c>
      <c r="BZ41" s="18">
        <f>'Total Weekday Boardings'!BZ41+'Total Saturday Boardings'!BZ41+'Total Sunday-Holiday Boardings'!BZ41</f>
        <v>16580</v>
      </c>
      <c r="CA41" s="18">
        <f>'Total Weekday Boardings'!CA41+'Total Saturday Boardings'!CA41+'Total Sunday-Holiday Boardings'!CA41</f>
        <v>14527</v>
      </c>
      <c r="CB41" s="19">
        <f>'Total Weekday Boardings'!CB41+'Total Saturday Boardings'!CB41+'Total Sunday-Holiday Boardings'!CB41</f>
        <v>13119</v>
      </c>
      <c r="CC41" s="20">
        <f>'Total Weekday Boardings'!CC41+'Total Saturday Boardings'!CC41+'Total Sunday-Holiday Boardings'!CC41</f>
        <v>12874</v>
      </c>
      <c r="CD41" s="18">
        <f>'Total Weekday Boardings'!CD41+'Total Saturday Boardings'!CD41+'Total Sunday-Holiday Boardings'!CD41</f>
        <v>14865</v>
      </c>
      <c r="CE41" s="18">
        <f>'Total Weekday Boardings'!CE41+'Total Saturday Boardings'!CE41+'Total Sunday-Holiday Boardings'!CE41</f>
        <v>16804</v>
      </c>
      <c r="CF41" s="18">
        <f>'Total Weekday Boardings'!CF41+'Total Saturday Boardings'!CF41+'Total Sunday-Holiday Boardings'!CF41</f>
        <v>17031</v>
      </c>
      <c r="CG41" s="18">
        <f>'Total Weekday Boardings'!CG41+'Total Saturday Boardings'!CG41+'Total Sunday-Holiday Boardings'!CG41</f>
        <v>15334</v>
      </c>
      <c r="CH41" s="18">
        <f>'Total Weekday Boardings'!CH41+'Total Saturday Boardings'!CH41+'Total Sunday-Holiday Boardings'!CH41</f>
        <v>13926</v>
      </c>
      <c r="CI41" s="18">
        <f>'Total Weekday Boardings'!CI41+'Total Saturday Boardings'!CI41+'Total Sunday-Holiday Boardings'!CI41</f>
        <v>14577</v>
      </c>
      <c r="CJ41" s="18">
        <f>'Total Weekday Boardings'!CJ41+'Total Saturday Boardings'!CJ41+'Total Sunday-Holiday Boardings'!CJ41</f>
        <v>14190</v>
      </c>
      <c r="CK41" s="18">
        <f>'Total Weekday Boardings'!CK41+'Total Saturday Boardings'!CK41+'Total Sunday-Holiday Boardings'!CK41</f>
        <v>14559</v>
      </c>
      <c r="CL41" s="18">
        <f>'Total Weekday Boardings'!CL41+'Total Saturday Boardings'!CL41+'Total Sunday-Holiday Boardings'!CL41</f>
        <v>14496</v>
      </c>
      <c r="CM41" s="18">
        <f>'Total Weekday Boardings'!CM41+'Total Saturday Boardings'!CM41+'Total Sunday-Holiday Boardings'!CM41</f>
        <v>12614</v>
      </c>
      <c r="CN41" s="21">
        <f>'Total Weekday Boardings'!CN41+'Total Saturday Boardings'!CN41+'Total Sunday-Holiday Boardings'!CN41</f>
        <v>11518</v>
      </c>
      <c r="CO41" s="17">
        <f>'Total Weekday Boardings'!CO41+'Total Saturday Boardings'!CO41+'Total Sunday-Holiday Boardings'!CO41</f>
        <v>11632</v>
      </c>
      <c r="CP41" s="18">
        <f>'Total Weekday Boardings'!CP41+'Total Saturday Boardings'!CP41+'Total Sunday-Holiday Boardings'!CP41</f>
        <v>13555</v>
      </c>
      <c r="CQ41" s="18">
        <f>'Total Weekday Boardings'!CQ41+'Total Saturday Boardings'!CQ41+'Total Sunday-Holiday Boardings'!CQ41</f>
        <v>13942</v>
      </c>
      <c r="CR41" s="18">
        <f>'Total Weekday Boardings'!CR41+'Total Saturday Boardings'!CR41+'Total Sunday-Holiday Boardings'!CR41</f>
        <v>13780</v>
      </c>
      <c r="CS41" s="18">
        <f>'Total Weekday Boardings'!CS41+'Total Saturday Boardings'!CS41+'Total Sunday-Holiday Boardings'!CS41</f>
        <v>13802</v>
      </c>
      <c r="CT41" s="18">
        <f>'Total Weekday Boardings'!CT41+'Total Saturday Boardings'!CT41+'Total Sunday-Holiday Boardings'!CT41</f>
        <v>12949</v>
      </c>
      <c r="CU41" s="18">
        <f>'Total Weekday Boardings'!CU41+'Total Saturday Boardings'!CU41+'Total Sunday-Holiday Boardings'!CU41</f>
        <v>13573</v>
      </c>
      <c r="CV41" s="18">
        <f>'Total Weekday Boardings'!CV41+'Total Saturday Boardings'!CV41+'Total Sunday-Holiday Boardings'!CV41</f>
        <v>12663</v>
      </c>
      <c r="CW41" s="18">
        <f>'Total Weekday Boardings'!CW41+'Total Saturday Boardings'!CW41+'Total Sunday-Holiday Boardings'!CW41</f>
        <v>13331</v>
      </c>
      <c r="CX41" s="18">
        <f>'Total Weekday Boardings'!CX41+'Total Saturday Boardings'!CX41+'Total Sunday-Holiday Boardings'!CX41</f>
        <v>12447</v>
      </c>
      <c r="CY41" s="18">
        <f>'Total Weekday Boardings'!CY41+'Total Saturday Boardings'!CY41+'Total Sunday-Holiday Boardings'!CY41</f>
        <v>11881</v>
      </c>
      <c r="CZ41" s="19">
        <f>'Total Weekday Boardings'!CZ41+'Total Saturday Boardings'!CZ41+'Total Sunday-Holiday Boardings'!CZ41</f>
        <v>12235</v>
      </c>
      <c r="DA41" s="17">
        <f>'Total Weekday Boardings'!DA41+'Total Saturday Boardings'!DA41+'Total Sunday-Holiday Boardings'!DA41</f>
        <v>11639</v>
      </c>
      <c r="DB41" s="18">
        <f>'Total Weekday Boardings'!DB41+'Total Saturday Boardings'!DB41+'Total Sunday-Holiday Boardings'!DB41</f>
        <v>14641</v>
      </c>
      <c r="DC41" s="18">
        <f>'Total Weekday Boardings'!DC41+'Total Saturday Boardings'!DC41+'Total Sunday-Holiday Boardings'!DC41</f>
        <v>14777</v>
      </c>
      <c r="DD41" s="18">
        <f>'Total Weekday Boardings'!DD41+'Total Saturday Boardings'!DD41+'Total Sunday-Holiday Boardings'!DD41</f>
        <v>15054</v>
      </c>
      <c r="DE41" s="18">
        <f>'Total Weekday Boardings'!DE41+'Total Saturday Boardings'!DE41+'Total Sunday-Holiday Boardings'!DE41</f>
        <v>13894</v>
      </c>
      <c r="DF41" s="18">
        <f>'Total Weekday Boardings'!DF41+'Total Saturday Boardings'!DF41+'Total Sunday-Holiday Boardings'!DF41</f>
        <v>12565</v>
      </c>
      <c r="DG41" s="18">
        <f>'Total Weekday Boardings'!DG41+'Total Saturday Boardings'!DG41+'Total Sunday-Holiday Boardings'!DG41</f>
        <v>14178</v>
      </c>
      <c r="DH41" s="18">
        <f>'Total Weekday Boardings'!DH41+'Total Saturday Boardings'!DH41+'Total Sunday-Holiday Boardings'!DH41</f>
        <v>13485</v>
      </c>
      <c r="DI41" s="18">
        <f>'Total Weekday Boardings'!DI41+'Total Saturday Boardings'!DI41+'Total Sunday-Holiday Boardings'!DI41</f>
        <v>13586</v>
      </c>
      <c r="DJ41" s="18">
        <f>'Total Weekday Boardings'!DJ41+'Total Saturday Boardings'!DJ41+'Total Sunday-Holiday Boardings'!DJ41</f>
        <v>13031</v>
      </c>
      <c r="DK41" s="18">
        <f>'Total Weekday Boardings'!DK41+'Total Saturday Boardings'!DK41+'Total Sunday-Holiday Boardings'!DK41</f>
        <v>11844</v>
      </c>
      <c r="DL41" s="19">
        <f>'Total Weekday Boardings'!DL41+'Total Saturday Boardings'!DL41+'Total Sunday-Holiday Boardings'!DL41</f>
        <v>11073</v>
      </c>
      <c r="DM41" s="17">
        <f>'Total Weekday Boardings'!DM41+'Total Saturday Boardings'!DM41+'Total Sunday-Holiday Boardings'!DM41</f>
        <v>10949</v>
      </c>
      <c r="DN41" s="18">
        <f>'Total Weekday Boardings'!DN41+'Total Saturday Boardings'!DN41+'Total Sunday-Holiday Boardings'!DN41</f>
        <v>13273</v>
      </c>
      <c r="DO41" s="18">
        <f>'Total Weekday Boardings'!DO41+'Total Saturday Boardings'!DO41+'Total Sunday-Holiday Boardings'!DO41</f>
        <v>12661</v>
      </c>
      <c r="DP41" s="18">
        <f>'Total Weekday Boardings'!DP41+'Total Saturday Boardings'!DP41+'Total Sunday-Holiday Boardings'!DP41</f>
        <v>13278</v>
      </c>
      <c r="DQ41" s="18">
        <f>'Total Weekday Boardings'!DQ41+'Total Saturday Boardings'!DQ41+'Total Sunday-Holiday Boardings'!DQ41</f>
        <v>12457</v>
      </c>
      <c r="DR41" s="18">
        <f>'Total Weekday Boardings'!DR41+'Total Saturday Boardings'!DR41+'Total Sunday-Holiday Boardings'!DR41</f>
        <v>11074</v>
      </c>
      <c r="DS41" s="18">
        <f>'Total Weekday Boardings'!DS41+'Total Saturday Boardings'!DS41+'Total Sunday-Holiday Boardings'!DS41</f>
        <v>13069</v>
      </c>
      <c r="DT41" s="18">
        <f>'Total Weekday Boardings'!DT41+'Total Saturday Boardings'!DT41+'Total Sunday-Holiday Boardings'!DT41</f>
        <v>11541</v>
      </c>
      <c r="DU41" s="18">
        <f>'Total Weekday Boardings'!DU41+'Total Saturday Boardings'!DU41+'Total Sunday-Holiday Boardings'!DU41</f>
        <v>12765</v>
      </c>
      <c r="DV41" s="18">
        <f>'Total Weekday Boardings'!DV41+'Total Saturday Boardings'!DV41+'Total Sunday-Holiday Boardings'!DV41</f>
        <v>3234</v>
      </c>
      <c r="DW41" s="18">
        <f>'Total Weekday Boardings'!DW41+'Total Saturday Boardings'!DW41+'Total Sunday-Holiday Boardings'!DW41</f>
        <v>11299</v>
      </c>
      <c r="DX41" s="19">
        <f>'Total Weekday Boardings'!DX41+'Total Saturday Boardings'!DX41+'Total Sunday-Holiday Boardings'!DX41</f>
        <v>10669</v>
      </c>
      <c r="DY41" s="137">
        <v>10376</v>
      </c>
      <c r="DZ41" s="18">
        <v>12155</v>
      </c>
      <c r="EA41" s="18">
        <v>13982</v>
      </c>
      <c r="EB41" s="18">
        <v>15770</v>
      </c>
      <c r="EC41" s="18">
        <v>14842</v>
      </c>
      <c r="ED41" s="18">
        <v>12855</v>
      </c>
      <c r="EE41" s="18">
        <v>13776</v>
      </c>
      <c r="EF41" s="18">
        <v>13317</v>
      </c>
      <c r="EG41" s="18">
        <v>10759</v>
      </c>
      <c r="EH41" s="18">
        <v>8272</v>
      </c>
      <c r="EI41" s="18">
        <v>9330</v>
      </c>
      <c r="EJ41" s="19">
        <v>8282</v>
      </c>
      <c r="EK41" s="100">
        <v>9235</v>
      </c>
      <c r="EL41" s="18">
        <v>8174</v>
      </c>
      <c r="EM41" s="18">
        <v>8543</v>
      </c>
      <c r="EN41" s="103">
        <v>9122</v>
      </c>
      <c r="EO41" s="18">
        <v>6019</v>
      </c>
      <c r="EP41" s="18">
        <v>6474</v>
      </c>
      <c r="EQ41" s="18">
        <v>3546</v>
      </c>
      <c r="ER41" s="18">
        <v>5949</v>
      </c>
      <c r="ES41" s="18">
        <v>6765</v>
      </c>
      <c r="ET41" s="18">
        <v>7034</v>
      </c>
      <c r="EU41" s="18">
        <v>5791</v>
      </c>
      <c r="EV41" s="19">
        <v>6463</v>
      </c>
      <c r="EW41" s="103">
        <v>6019</v>
      </c>
      <c r="EX41" s="18">
        <v>7279</v>
      </c>
      <c r="EY41" s="18">
        <v>7870</v>
      </c>
      <c r="EZ41" s="103">
        <v>8247</v>
      </c>
      <c r="FA41" s="18">
        <v>8179</v>
      </c>
      <c r="FB41" s="145">
        <v>7257</v>
      </c>
      <c r="FC41" s="18">
        <v>6946</v>
      </c>
      <c r="FD41" s="18">
        <v>8126</v>
      </c>
      <c r="FE41" s="18">
        <v>9324</v>
      </c>
      <c r="FF41" s="18">
        <v>9223</v>
      </c>
      <c r="FG41" s="13">
        <f>SUM('Total Weekday Boardings'!FG41,'Total Saturday Boardings'!FG41,'Total Sunday-Holiday Boardings'!FG41)</f>
        <v>8557</v>
      </c>
      <c r="FH41" s="13">
        <f>SUM('Total Weekday Boardings'!FH41,'Total Saturday Boardings'!FH41,'Total Sunday-Holiday Boardings'!FH41)</f>
        <v>6978</v>
      </c>
      <c r="FI41" s="13">
        <f>SUM('Total Weekday Boardings'!FI41,'Total Saturday Boardings'!FI41,'Total Sunday-Holiday Boardings'!FI41)</f>
        <v>7414</v>
      </c>
      <c r="FJ41" s="13">
        <f>SUM('Total Weekday Boardings'!FJ41,'Total Saturday Boardings'!FJ41,'Total Sunday-Holiday Boardings'!FJ41)</f>
        <v>9028</v>
      </c>
      <c r="FK41" s="13">
        <f>SUM('Total Weekday Boardings'!FK41,'Total Saturday Boardings'!FK41,'Total Sunday-Holiday Boardings'!FK41)</f>
        <v>9676.25</v>
      </c>
      <c r="FL41" s="13">
        <f>SUM('Total Weekday Boardings'!FL41,'Total Saturday Boardings'!FL41,'Total Sunday-Holiday Boardings'!FL41)</f>
        <v>9314</v>
      </c>
      <c r="FM41" s="13">
        <f>SUM('Total Weekday Boardings'!FM41,'Total Saturday Boardings'!FM41,'Total Sunday-Holiday Boardings'!FM41)</f>
        <v>8916</v>
      </c>
      <c r="FN41" s="13">
        <f>SUM('Total Weekday Boardings'!FN41,'Total Saturday Boardings'!FN41,'Total Sunday-Holiday Boardings'!FN41)</f>
        <v>8331</v>
      </c>
      <c r="FO41" s="13">
        <f>SUM('Total Weekday Boardings'!FO41,'Total Saturday Boardings'!FO41,'Total Sunday-Holiday Boardings'!FO41)</f>
        <v>9775</v>
      </c>
      <c r="FP41" s="13">
        <f>SUM('Total Weekday Boardings'!FP41,'Total Saturday Boardings'!FP41,'Total Sunday-Holiday Boardings'!FP41)</f>
        <v>8482</v>
      </c>
      <c r="FQ41" s="13">
        <f>SUM('Total Weekday Boardings'!FQ41,'Total Saturday Boardings'!FQ41,'Total Sunday-Holiday Boardings'!FQ41)</f>
        <v>10043</v>
      </c>
      <c r="FR41" s="13">
        <f>SUM('Total Weekday Boardings'!FR41,'Total Saturday Boardings'!FR41,'Total Sunday-Holiday Boardings'!FR41)</f>
        <v>9352</v>
      </c>
      <c r="FS41" s="13">
        <f>SUM('Total Weekday Boardings'!FS41,'Total Saturday Boardings'!FS41,'Total Sunday-Holiday Boardings'!FS41)</f>
        <v>9114</v>
      </c>
      <c r="FT41" s="16">
        <f>SUM('Total Weekday Boardings'!FT41,'Total Saturday Boardings'!FT41,'Total Sunday-Holiday Boardings'!FT41)</f>
        <v>7739</v>
      </c>
      <c r="FU41" s="171">
        <v>7898</v>
      </c>
      <c r="FV41" s="171">
        <v>8417</v>
      </c>
      <c r="FW41" s="171">
        <v>8449</v>
      </c>
      <c r="FX41" s="171">
        <v>9306</v>
      </c>
      <c r="FY41" s="171">
        <v>8981</v>
      </c>
      <c r="FZ41" s="171">
        <v>8199</v>
      </c>
      <c r="GA41" s="171">
        <v>9951</v>
      </c>
      <c r="GB41" s="52">
        <v>10387</v>
      </c>
      <c r="GC41" s="52">
        <v>10082</v>
      </c>
      <c r="GD41" s="52">
        <v>9920</v>
      </c>
      <c r="GE41" s="18">
        <v>8403</v>
      </c>
      <c r="GF41" s="52">
        <v>7412</v>
      </c>
      <c r="GG41" s="184">
        <v>8168</v>
      </c>
      <c r="GH41" s="52">
        <v>10327</v>
      </c>
      <c r="GI41" s="18">
        <v>11298</v>
      </c>
      <c r="GJ41" s="236">
        <v>11127</v>
      </c>
      <c r="GK41" s="184">
        <v>10969</v>
      </c>
      <c r="GL41" s="184">
        <v>10203</v>
      </c>
    </row>
    <row r="42" spans="1:194" ht="15" thickBot="1" x14ac:dyDescent="0.35">
      <c r="A42" s="3" t="s">
        <v>24</v>
      </c>
      <c r="B42" s="17"/>
      <c r="C42" s="18">
        <f>'Total Weekday Boardings'!C42+'Total Saturday Boardings'!C42+'Total Sunday-Holiday Boardings'!C42</f>
        <v>19994</v>
      </c>
      <c r="D42" s="18">
        <f>'Total Weekday Boardings'!D42+'Total Saturday Boardings'!D42+'Total Sunday-Holiday Boardings'!D42</f>
        <v>22723</v>
      </c>
      <c r="E42" s="18">
        <f>'Total Weekday Boardings'!E42+'Total Saturday Boardings'!E42+'Total Sunday-Holiday Boardings'!E42</f>
        <v>23803</v>
      </c>
      <c r="F42" s="18">
        <f>'Total Weekday Boardings'!F42+'Total Saturday Boardings'!F42+'Total Sunday-Holiday Boardings'!F42</f>
        <v>24680</v>
      </c>
      <c r="G42" s="18">
        <f>'Total Weekday Boardings'!G42+'Total Saturday Boardings'!G42+'Total Sunday-Holiday Boardings'!G42</f>
        <v>17485</v>
      </c>
      <c r="H42" s="19">
        <f>'Total Weekday Boardings'!H42+'Total Saturday Boardings'!H42+'Total Sunday-Holiday Boardings'!H42</f>
        <v>15448</v>
      </c>
      <c r="I42" s="17">
        <f>'Total Weekday Boardings'!I42+'Total Saturday Boardings'!I42+'Total Sunday-Holiday Boardings'!I42</f>
        <v>17770</v>
      </c>
      <c r="J42" s="18">
        <f>'Total Weekday Boardings'!J42+'Total Saturday Boardings'!J42+'Total Sunday-Holiday Boardings'!J42</f>
        <v>21080</v>
      </c>
      <c r="K42" s="18">
        <f>'Total Weekday Boardings'!K42+'Total Saturday Boardings'!K42+'Total Sunday-Holiday Boardings'!K42</f>
        <v>39749</v>
      </c>
      <c r="L42" s="18">
        <f>'Total Weekday Boardings'!L42+'Total Saturday Boardings'!L42+'Total Sunday-Holiday Boardings'!L42</f>
        <v>38461</v>
      </c>
      <c r="M42" s="18">
        <f>'Total Weekday Boardings'!M42+'Total Saturday Boardings'!M42+'Total Sunday-Holiday Boardings'!M42</f>
        <v>34765</v>
      </c>
      <c r="N42" s="18">
        <f>'Total Weekday Boardings'!N42+'Total Saturday Boardings'!N42+'Total Sunday-Holiday Boardings'!N42</f>
        <v>31509</v>
      </c>
      <c r="O42" s="62">
        <f>'Total Weekday Boardings'!O42+'Total Saturday Boardings'!O42+'Total Sunday-Holiday Boardings'!O42</f>
        <v>29536</v>
      </c>
      <c r="P42" s="62">
        <f>'Total Weekday Boardings'!P42+'Total Saturday Boardings'!P42+'Total Sunday-Holiday Boardings'!P42</f>
        <v>36110</v>
      </c>
      <c r="Q42" s="62">
        <f>'Total Weekday Boardings'!Q42+'Total Saturday Boardings'!Q42+'Total Sunday-Holiday Boardings'!Q42</f>
        <v>41248</v>
      </c>
      <c r="R42" s="62">
        <f>'Total Weekday Boardings'!R42+'Total Saturday Boardings'!R42+'Total Sunday-Holiday Boardings'!R42</f>
        <v>38279</v>
      </c>
      <c r="S42" s="62">
        <f>'Total Weekday Boardings'!S42+'Total Saturday Boardings'!S42+'Total Sunday-Holiday Boardings'!S42</f>
        <v>29592</v>
      </c>
      <c r="T42" s="63">
        <f>'Total Weekday Boardings'!T42+'Total Saturday Boardings'!T42+'Total Sunday-Holiday Boardings'!T42</f>
        <v>19890</v>
      </c>
      <c r="U42" s="64">
        <f>'Total Weekday Boardings'!U42+'Total Saturday Boardings'!U42+'Total Sunday-Holiday Boardings'!U42</f>
        <v>17855</v>
      </c>
      <c r="V42" s="62">
        <f>'Total Weekday Boardings'!V42+'Total Saturday Boardings'!V42+'Total Sunday-Holiday Boardings'!V42</f>
        <v>27219</v>
      </c>
      <c r="W42" s="62">
        <f>'Total Weekday Boardings'!W42+'Total Saturday Boardings'!W42+'Total Sunday-Holiday Boardings'!W42</f>
        <v>40272</v>
      </c>
      <c r="X42" s="62">
        <f>'Total Weekday Boardings'!X42+'Total Saturday Boardings'!X42+'Total Sunday-Holiday Boardings'!X42</f>
        <v>37422</v>
      </c>
      <c r="Y42" s="62">
        <f>'Total Weekday Boardings'!Y42+'Total Saturday Boardings'!Y42+'Total Sunday-Holiday Boardings'!Y42</f>
        <v>36115</v>
      </c>
      <c r="Z42" s="62">
        <f>'Total Weekday Boardings'!Z42+'Total Saturday Boardings'!Z42+'Total Sunday-Holiday Boardings'!Z42</f>
        <v>25242</v>
      </c>
      <c r="AA42" s="18">
        <f>'Total Weekday Boardings'!AA42+'Total Saturday Boardings'!AA42+'Total Sunday-Holiday Boardings'!AA42</f>
        <v>28957</v>
      </c>
      <c r="AB42" s="18">
        <f>'Total Weekday Boardings'!AB42+'Total Saturday Boardings'!AB42+'Total Sunday-Holiday Boardings'!AB42</f>
        <v>33977</v>
      </c>
      <c r="AC42" s="18">
        <f>'Total Weekday Boardings'!AC42+'Total Saturday Boardings'!AC42+'Total Sunday-Holiday Boardings'!AC42</f>
        <v>37739</v>
      </c>
      <c r="AD42" s="18">
        <f>'Total Weekday Boardings'!AD42+'Total Saturday Boardings'!AD42+'Total Sunday-Holiday Boardings'!AD42</f>
        <v>37440</v>
      </c>
      <c r="AE42" s="18">
        <f>'Total Weekday Boardings'!AE42+'Total Saturday Boardings'!AE42+'Total Sunday-Holiday Boardings'!AE42</f>
        <v>24382</v>
      </c>
      <c r="AF42" s="19">
        <f>'Total Weekday Boardings'!AF42+'Total Saturday Boardings'!AF42+'Total Sunday-Holiday Boardings'!AF42</f>
        <v>19954</v>
      </c>
      <c r="AG42" s="17">
        <f>'Total Weekday Boardings'!AG42+'Total Saturday Boardings'!AG42+'Total Sunday-Holiday Boardings'!AG42</f>
        <v>21725</v>
      </c>
      <c r="AH42" s="18">
        <f>'Total Weekday Boardings'!AH42+'Total Saturday Boardings'!AH42+'Total Sunday-Holiday Boardings'!AH42</f>
        <v>31209</v>
      </c>
      <c r="AI42" s="18">
        <f>'Total Weekday Boardings'!AI42+'Total Saturday Boardings'!AI42+'Total Sunday-Holiday Boardings'!AI42</f>
        <v>43091</v>
      </c>
      <c r="AJ42" s="18">
        <f>'Total Weekday Boardings'!AJ42+'Total Saturday Boardings'!AJ42+'Total Sunday-Holiday Boardings'!AJ42</f>
        <v>41151</v>
      </c>
      <c r="AK42" s="18">
        <f>'Total Weekday Boardings'!AK42+'Total Saturday Boardings'!AK42+'Total Sunday-Holiday Boardings'!AK42</f>
        <v>33802</v>
      </c>
      <c r="AL42" s="18">
        <f>'Total Weekday Boardings'!AL42+'Total Saturday Boardings'!AL42+'Total Sunday-Holiday Boardings'!AL42</f>
        <v>26230</v>
      </c>
      <c r="AM42" s="18">
        <f>'Total Weekday Boardings'!AM42+'Total Saturday Boardings'!AM42+'Total Sunday-Holiday Boardings'!AM42</f>
        <v>33333</v>
      </c>
      <c r="AN42" s="18">
        <f>'Total Weekday Boardings'!AN42+'Total Saturday Boardings'!AN42+'Total Sunday-Holiday Boardings'!AN42</f>
        <v>33834</v>
      </c>
      <c r="AO42" s="18">
        <f>'Total Weekday Boardings'!AO42+'Total Saturday Boardings'!AO42+'Total Sunday-Holiday Boardings'!AO42</f>
        <v>34133</v>
      </c>
      <c r="AP42" s="18">
        <f>'Total Weekday Boardings'!AP42+'Total Saturday Boardings'!AP42+'Total Sunday-Holiday Boardings'!AP42</f>
        <v>38993</v>
      </c>
      <c r="AQ42" s="18">
        <f>'Total Weekday Boardings'!AQ42+'Total Saturday Boardings'!AQ42+'Total Sunday-Holiday Boardings'!AQ42</f>
        <v>26241</v>
      </c>
      <c r="AR42" s="19">
        <f>'Total Weekday Boardings'!AR42+'Total Saturday Boardings'!AR42+'Total Sunday-Holiday Boardings'!AR42</f>
        <v>23731</v>
      </c>
      <c r="AS42" s="17">
        <f>'Total Weekday Boardings'!AS42+'Total Saturday Boardings'!AS42+'Total Sunday-Holiday Boardings'!AS42</f>
        <v>22903</v>
      </c>
      <c r="AT42" s="18">
        <f>'Total Weekday Boardings'!AT42+'Total Saturday Boardings'!AT42+'Total Sunday-Holiday Boardings'!AT42</f>
        <v>28706</v>
      </c>
      <c r="AU42" s="18">
        <f>'Total Weekday Boardings'!AU42+'Total Saturday Boardings'!AU42+'Total Sunday-Holiday Boardings'!AU42</f>
        <v>37384</v>
      </c>
      <c r="AV42" s="18">
        <f>'Total Weekday Boardings'!AV42+'Total Saturday Boardings'!AV42+'Total Sunday-Holiday Boardings'!AV42</f>
        <v>42548</v>
      </c>
      <c r="AW42" s="18">
        <f>'Total Weekday Boardings'!AW42+'Total Saturday Boardings'!AW42+'Total Sunday-Holiday Boardings'!AW42</f>
        <v>35778</v>
      </c>
      <c r="AX42" s="18">
        <f>'Total Weekday Boardings'!AX42+'Total Saturday Boardings'!AX42+'Total Sunday-Holiday Boardings'!AX42</f>
        <v>28350</v>
      </c>
      <c r="AY42" s="18">
        <f>'Total Weekday Boardings'!AY42+'Total Saturday Boardings'!AY42+'Total Sunday-Holiday Boardings'!AY42</f>
        <v>35273</v>
      </c>
      <c r="AZ42" s="18">
        <f>'Total Weekday Boardings'!AZ42+'Total Saturday Boardings'!AZ42+'Total Sunday-Holiday Boardings'!AZ42</f>
        <v>34722</v>
      </c>
      <c r="BA42" s="18">
        <f>'Total Weekday Boardings'!BA42+'Total Saturday Boardings'!BA42+'Total Sunday-Holiday Boardings'!BA42</f>
        <v>32916</v>
      </c>
      <c r="BB42" s="18">
        <f>'Total Weekday Boardings'!BB42+'Total Saturday Boardings'!BB42+'Total Sunday-Holiday Boardings'!BB42</f>
        <v>39661</v>
      </c>
      <c r="BC42" s="18">
        <f>'Total Weekday Boardings'!BC42+'Total Saturday Boardings'!BC42+'Total Sunday-Holiday Boardings'!BC42</f>
        <v>26292</v>
      </c>
      <c r="BD42" s="19">
        <f>'Total Weekday Boardings'!BD42+'Total Saturday Boardings'!BD42+'Total Sunday-Holiday Boardings'!BD42</f>
        <v>20134</v>
      </c>
      <c r="BE42" s="17">
        <f>'Total Weekday Boardings'!BE42+'Total Saturday Boardings'!BE42+'Total Sunday-Holiday Boardings'!BE42</f>
        <v>21960</v>
      </c>
      <c r="BF42" s="18">
        <f>'Total Weekday Boardings'!BF42+'Total Saturday Boardings'!BF42+'Total Sunday-Holiday Boardings'!BF42</f>
        <v>26750</v>
      </c>
      <c r="BG42" s="18">
        <f>'Total Weekday Boardings'!BG42+'Total Saturday Boardings'!BG42+'Total Sunday-Holiday Boardings'!BG42</f>
        <v>39303</v>
      </c>
      <c r="BH42" s="18">
        <f>'Total Weekday Boardings'!BH42+'Total Saturday Boardings'!BH42+'Total Sunday-Holiday Boardings'!BH42</f>
        <v>38968</v>
      </c>
      <c r="BI42" s="18">
        <f>'Total Weekday Boardings'!BI42+'Total Saturday Boardings'!BI42+'Total Sunday-Holiday Boardings'!BI42</f>
        <v>35698.724004516909</v>
      </c>
      <c r="BJ42" s="18">
        <f>'Total Weekday Boardings'!BJ42+'Total Saturday Boardings'!BJ42+'Total Sunday-Holiday Boardings'!BJ42</f>
        <v>29168</v>
      </c>
      <c r="BK42" s="18">
        <f>'Total Weekday Boardings'!BK42+'Total Saturday Boardings'!BK42+'Total Sunday-Holiday Boardings'!BK42</f>
        <v>32815</v>
      </c>
      <c r="BL42" s="18">
        <f>'Total Weekday Boardings'!BL42+'Total Saturday Boardings'!BL42+'Total Sunday-Holiday Boardings'!BL42</f>
        <v>33015</v>
      </c>
      <c r="BM42" s="18">
        <f>'Total Weekday Boardings'!BM42+'Total Saturday Boardings'!BM42+'Total Sunday-Holiday Boardings'!BM42</f>
        <v>33130</v>
      </c>
      <c r="BN42" s="18">
        <f>'Total Weekday Boardings'!BN42+'Total Saturday Boardings'!BN42+'Total Sunday-Holiday Boardings'!BN42</f>
        <v>35482</v>
      </c>
      <c r="BO42" s="18">
        <f>'Total Weekday Boardings'!BO42+'Total Saturday Boardings'!BO42+'Total Sunday-Holiday Boardings'!BO42</f>
        <v>24534</v>
      </c>
      <c r="BP42" s="19">
        <f>'Total Weekday Boardings'!BP42+'Total Saturday Boardings'!BP42+'Total Sunday-Holiday Boardings'!BP42</f>
        <v>23161</v>
      </c>
      <c r="BQ42" s="17">
        <f>'Total Weekday Boardings'!BQ42+'Total Saturday Boardings'!BQ42+'Total Sunday-Holiday Boardings'!BQ42</f>
        <v>20541</v>
      </c>
      <c r="BR42" s="18">
        <f>'Total Weekday Boardings'!BR42+'Total Saturday Boardings'!BR42+'Total Sunday-Holiday Boardings'!BR42</f>
        <v>27671</v>
      </c>
      <c r="BS42" s="18">
        <f>'Total Weekday Boardings'!BS42+'Total Saturday Boardings'!BS42+'Total Sunday-Holiday Boardings'!BS42</f>
        <v>35833</v>
      </c>
      <c r="BT42" s="18">
        <f>'Total Weekday Boardings'!BT42+'Total Saturday Boardings'!BT42+'Total Sunday-Holiday Boardings'!BT42</f>
        <v>37300</v>
      </c>
      <c r="BU42" s="18">
        <f>'Total Weekday Boardings'!BU42+'Total Saturday Boardings'!BU42+'Total Sunday-Holiday Boardings'!BU42</f>
        <v>35605</v>
      </c>
      <c r="BV42" s="18">
        <f>'Total Weekday Boardings'!BV42+'Total Saturday Boardings'!BV42+'Total Sunday-Holiday Boardings'!BV42</f>
        <v>25931</v>
      </c>
      <c r="BW42" s="18">
        <f>'Total Weekday Boardings'!BW42+'Total Saturday Boardings'!BW42+'Total Sunday-Holiday Boardings'!BW42</f>
        <v>46395</v>
      </c>
      <c r="BX42" s="18">
        <f>'Total Weekday Boardings'!BX42+'Total Saturday Boardings'!BX42+'Total Sunday-Holiday Boardings'!BX42</f>
        <v>32564</v>
      </c>
      <c r="BY42" s="18">
        <f>'Total Weekday Boardings'!BY42+'Total Saturday Boardings'!BY42+'Total Sunday-Holiday Boardings'!BY42</f>
        <v>32893</v>
      </c>
      <c r="BZ42" s="18">
        <f>'Total Weekday Boardings'!BZ42+'Total Saturday Boardings'!BZ42+'Total Sunday-Holiday Boardings'!BZ42</f>
        <v>34637</v>
      </c>
      <c r="CA42" s="18">
        <f>'Total Weekday Boardings'!CA42+'Total Saturday Boardings'!CA42+'Total Sunday-Holiday Boardings'!CA42</f>
        <v>25321</v>
      </c>
      <c r="CB42" s="19">
        <f>'Total Weekday Boardings'!CB42+'Total Saturday Boardings'!CB42+'Total Sunday-Holiday Boardings'!CB42</f>
        <v>19887</v>
      </c>
      <c r="CC42" s="20">
        <f>'Total Weekday Boardings'!CC42+'Total Saturday Boardings'!CC42+'Total Sunday-Holiday Boardings'!CC42</f>
        <v>19650</v>
      </c>
      <c r="CD42" s="18">
        <f>'Total Weekday Boardings'!CD42+'Total Saturday Boardings'!CD42+'Total Sunday-Holiday Boardings'!CD42</f>
        <v>24460</v>
      </c>
      <c r="CE42" s="18">
        <f>'Total Weekday Boardings'!CE42+'Total Saturday Boardings'!CE42+'Total Sunday-Holiday Boardings'!CE42</f>
        <v>38025</v>
      </c>
      <c r="CF42" s="18">
        <f>'Total Weekday Boardings'!CF42+'Total Saturday Boardings'!CF42+'Total Sunday-Holiday Boardings'!CF42</f>
        <v>38673</v>
      </c>
      <c r="CG42" s="18">
        <f>'Total Weekday Boardings'!CG42+'Total Saturday Boardings'!CG42+'Total Sunday-Holiday Boardings'!CG42</f>
        <v>34596</v>
      </c>
      <c r="CH42" s="18">
        <f>'Total Weekday Boardings'!CH42+'Total Saturday Boardings'!CH42+'Total Sunday-Holiday Boardings'!CH42</f>
        <v>26690</v>
      </c>
      <c r="CI42" s="18">
        <f>'Total Weekday Boardings'!CI42+'Total Saturday Boardings'!CI42+'Total Sunday-Holiday Boardings'!CI42</f>
        <v>31841</v>
      </c>
      <c r="CJ42" s="18">
        <f>'Total Weekday Boardings'!CJ42+'Total Saturday Boardings'!CJ42+'Total Sunday-Holiday Boardings'!CJ42</f>
        <v>32415</v>
      </c>
      <c r="CK42" s="18">
        <f>'Total Weekday Boardings'!CK42+'Total Saturday Boardings'!CK42+'Total Sunday-Holiday Boardings'!CK42</f>
        <v>32377</v>
      </c>
      <c r="CL42" s="18">
        <f>'Total Weekday Boardings'!CL42+'Total Saturday Boardings'!CL42+'Total Sunday-Holiday Boardings'!CL42</f>
        <v>35524</v>
      </c>
      <c r="CM42" s="18">
        <f>'Total Weekday Boardings'!CM42+'Total Saturday Boardings'!CM42+'Total Sunday-Holiday Boardings'!CM42</f>
        <v>25264</v>
      </c>
      <c r="CN42" s="21">
        <f>'Total Weekday Boardings'!CN42+'Total Saturday Boardings'!CN42+'Total Sunday-Holiday Boardings'!CN42</f>
        <v>22969</v>
      </c>
      <c r="CO42" s="17">
        <f>'Total Weekday Boardings'!CO42+'Total Saturday Boardings'!CO42+'Total Sunday-Holiday Boardings'!CO42</f>
        <v>21017</v>
      </c>
      <c r="CP42" s="18">
        <f>'Total Weekday Boardings'!CP42+'Total Saturday Boardings'!CP42+'Total Sunday-Holiday Boardings'!CP42</f>
        <v>27598</v>
      </c>
      <c r="CQ42" s="18">
        <f>'Total Weekday Boardings'!CQ42+'Total Saturday Boardings'!CQ42+'Total Sunday-Holiday Boardings'!CQ42</f>
        <v>33794</v>
      </c>
      <c r="CR42" s="18">
        <f>'Total Weekday Boardings'!CR42+'Total Saturday Boardings'!CR42+'Total Sunday-Holiday Boardings'!CR42</f>
        <v>32838</v>
      </c>
      <c r="CS42" s="18">
        <f>'Total Weekday Boardings'!CS42+'Total Saturday Boardings'!CS42+'Total Sunday-Holiday Boardings'!CS42</f>
        <v>31805</v>
      </c>
      <c r="CT42" s="18">
        <f>'Total Weekday Boardings'!CT42+'Total Saturday Boardings'!CT42+'Total Sunday-Holiday Boardings'!CT42</f>
        <v>24200</v>
      </c>
      <c r="CU42" s="18">
        <f>'Total Weekday Boardings'!CU42+'Total Saturday Boardings'!CU42+'Total Sunday-Holiday Boardings'!CU42</f>
        <v>30513</v>
      </c>
      <c r="CV42" s="18">
        <f>'Total Weekday Boardings'!CV42+'Total Saturday Boardings'!CV42+'Total Sunday-Holiday Boardings'!CV42</f>
        <v>29259</v>
      </c>
      <c r="CW42" s="18">
        <f>'Total Weekday Boardings'!CW42+'Total Saturday Boardings'!CW42+'Total Sunday-Holiday Boardings'!CW42</f>
        <v>30849</v>
      </c>
      <c r="CX42" s="18">
        <f>'Total Weekday Boardings'!CX42+'Total Saturday Boardings'!CX42+'Total Sunday-Holiday Boardings'!CX42</f>
        <v>34261</v>
      </c>
      <c r="CY42" s="18">
        <f>'Total Weekday Boardings'!CY42+'Total Saturday Boardings'!CY42+'Total Sunday-Holiday Boardings'!CY42</f>
        <v>25136</v>
      </c>
      <c r="CZ42" s="19">
        <f>'Total Weekday Boardings'!CZ42+'Total Saturday Boardings'!CZ42+'Total Sunday-Holiday Boardings'!CZ42</f>
        <v>21101</v>
      </c>
      <c r="DA42" s="17">
        <f>'Total Weekday Boardings'!DA42+'Total Saturday Boardings'!DA42+'Total Sunday-Holiday Boardings'!DA42</f>
        <v>20653</v>
      </c>
      <c r="DB42" s="18">
        <f>'Total Weekday Boardings'!DB42+'Total Saturday Boardings'!DB42+'Total Sunday-Holiday Boardings'!DB42</f>
        <v>28214</v>
      </c>
      <c r="DC42" s="18">
        <f>'Total Weekday Boardings'!DC42+'Total Saturday Boardings'!DC42+'Total Sunday-Holiday Boardings'!DC42</f>
        <v>30876</v>
      </c>
      <c r="DD42" s="18">
        <f>'Total Weekday Boardings'!DD42+'Total Saturday Boardings'!DD42+'Total Sunday-Holiday Boardings'!DD42</f>
        <v>33441</v>
      </c>
      <c r="DE42" s="18">
        <f>'Total Weekday Boardings'!DE42+'Total Saturday Boardings'!DE42+'Total Sunday-Holiday Boardings'!DE42</f>
        <v>30832</v>
      </c>
      <c r="DF42" s="18">
        <f>'Total Weekday Boardings'!DF42+'Total Saturday Boardings'!DF42+'Total Sunday-Holiday Boardings'!DF42</f>
        <v>22654</v>
      </c>
      <c r="DG42" s="18">
        <f>'Total Weekday Boardings'!DG42+'Total Saturday Boardings'!DG42+'Total Sunday-Holiday Boardings'!DG42</f>
        <v>28696</v>
      </c>
      <c r="DH42" s="18">
        <f>'Total Weekday Boardings'!DH42+'Total Saturday Boardings'!DH42+'Total Sunday-Holiday Boardings'!DH42</f>
        <v>27030</v>
      </c>
      <c r="DI42" s="18">
        <f>'Total Weekday Boardings'!DI42+'Total Saturday Boardings'!DI42+'Total Sunday-Holiday Boardings'!DI42</f>
        <v>29623</v>
      </c>
      <c r="DJ42" s="18">
        <f>'Total Weekday Boardings'!DJ42+'Total Saturday Boardings'!DJ42+'Total Sunday-Holiday Boardings'!DJ42</f>
        <v>29704</v>
      </c>
      <c r="DK42" s="18">
        <f>'Total Weekday Boardings'!DK42+'Total Saturday Boardings'!DK42+'Total Sunday-Holiday Boardings'!DK42</f>
        <v>23223</v>
      </c>
      <c r="DL42" s="19">
        <f>'Total Weekday Boardings'!DL42+'Total Saturday Boardings'!DL42+'Total Sunday-Holiday Boardings'!DL42</f>
        <v>19829</v>
      </c>
      <c r="DM42" s="17">
        <f>'Total Weekday Boardings'!DM42+'Total Saturday Boardings'!DM42+'Total Sunday-Holiday Boardings'!DM42</f>
        <v>19285</v>
      </c>
      <c r="DN42" s="18">
        <f>'Total Weekday Boardings'!DN42+'Total Saturday Boardings'!DN42+'Total Sunday-Holiday Boardings'!DN42</f>
        <v>24602</v>
      </c>
      <c r="DO42" s="18">
        <f>'Total Weekday Boardings'!DO42+'Total Saturday Boardings'!DO42+'Total Sunday-Holiday Boardings'!DO42</f>
        <v>27305</v>
      </c>
      <c r="DP42" s="18">
        <f>'Total Weekday Boardings'!DP42+'Total Saturday Boardings'!DP42+'Total Sunday-Holiday Boardings'!DP42</f>
        <v>27492</v>
      </c>
      <c r="DQ42" s="18">
        <f>'Total Weekday Boardings'!DQ42+'Total Saturday Boardings'!DQ42+'Total Sunday-Holiday Boardings'!DQ42</f>
        <v>27329</v>
      </c>
      <c r="DR42" s="18">
        <f>'Total Weekday Boardings'!DR42+'Total Saturday Boardings'!DR42+'Total Sunday-Holiday Boardings'!DR42</f>
        <v>20475</v>
      </c>
      <c r="DS42" s="18">
        <f>'Total Weekday Boardings'!DS42+'Total Saturday Boardings'!DS42+'Total Sunday-Holiday Boardings'!DS42</f>
        <v>25831</v>
      </c>
      <c r="DT42" s="18">
        <f>'Total Weekday Boardings'!DT42+'Total Saturday Boardings'!DT42+'Total Sunday-Holiday Boardings'!DT42</f>
        <v>23312</v>
      </c>
      <c r="DU42" s="18">
        <f>'Total Weekday Boardings'!DU42+'Total Saturday Boardings'!DU42+'Total Sunday-Holiday Boardings'!DU42</f>
        <v>25955</v>
      </c>
      <c r="DV42" s="18">
        <f>'Total Weekday Boardings'!DV42+'Total Saturday Boardings'!DV42+'Total Sunday-Holiday Boardings'!DV42</f>
        <v>25588</v>
      </c>
      <c r="DW42" s="18">
        <f>'Total Weekday Boardings'!DW42+'Total Saturday Boardings'!DW42+'Total Sunday-Holiday Boardings'!DW42</f>
        <v>20067</v>
      </c>
      <c r="DX42" s="19">
        <f>'Total Weekday Boardings'!DX42+'Total Saturday Boardings'!DX42+'Total Sunday-Holiday Boardings'!DX42</f>
        <v>17737</v>
      </c>
      <c r="DY42" s="137">
        <v>17522</v>
      </c>
      <c r="DZ42" s="18">
        <v>20887</v>
      </c>
      <c r="EA42" s="18">
        <v>25842</v>
      </c>
      <c r="EB42" s="18">
        <v>28633</v>
      </c>
      <c r="EC42" s="18">
        <v>28261</v>
      </c>
      <c r="ED42" s="18">
        <v>22047</v>
      </c>
      <c r="EE42" s="18">
        <v>24508</v>
      </c>
      <c r="EF42" s="18">
        <v>24903</v>
      </c>
      <c r="EG42" s="18">
        <v>17728</v>
      </c>
      <c r="EH42" s="18">
        <v>10471</v>
      </c>
      <c r="EI42" s="18">
        <v>10010</v>
      </c>
      <c r="EJ42" s="19">
        <v>9615</v>
      </c>
      <c r="EK42" s="100">
        <v>9826</v>
      </c>
      <c r="EL42" s="18">
        <v>9942</v>
      </c>
      <c r="EM42" s="18">
        <v>10281</v>
      </c>
      <c r="EN42" s="104">
        <v>11422</v>
      </c>
      <c r="EO42" s="18">
        <v>9487</v>
      </c>
      <c r="EP42" s="18">
        <v>8507</v>
      </c>
      <c r="EQ42" s="18">
        <v>5263</v>
      </c>
      <c r="ER42" s="18">
        <v>8599</v>
      </c>
      <c r="ES42" s="18">
        <v>9920</v>
      </c>
      <c r="ET42" s="18">
        <v>9646</v>
      </c>
      <c r="EU42" s="18">
        <v>8869</v>
      </c>
      <c r="EV42" s="19">
        <v>9420</v>
      </c>
      <c r="EW42" s="103">
        <v>9487</v>
      </c>
      <c r="EX42" s="18">
        <v>11617</v>
      </c>
      <c r="EY42" s="18">
        <v>14488</v>
      </c>
      <c r="EZ42" s="104">
        <v>14799</v>
      </c>
      <c r="FA42" s="18">
        <v>13997</v>
      </c>
      <c r="FB42" s="145">
        <v>11474</v>
      </c>
      <c r="FC42" s="18">
        <v>10646</v>
      </c>
      <c r="FD42" s="18">
        <v>13017</v>
      </c>
      <c r="FE42" s="18">
        <v>15288</v>
      </c>
      <c r="FF42" s="18">
        <v>14664</v>
      </c>
      <c r="FG42" s="13">
        <f>SUM('Total Weekday Boardings'!FG42,'Total Saturday Boardings'!FG42,'Total Sunday-Holiday Boardings'!FG42)</f>
        <v>12745</v>
      </c>
      <c r="FH42" s="13">
        <f>SUM('Total Weekday Boardings'!FH42,'Total Saturday Boardings'!FH42,'Total Sunday-Holiday Boardings'!FH42)</f>
        <v>9132</v>
      </c>
      <c r="FI42" s="13">
        <f>SUM('Total Weekday Boardings'!FI42,'Total Saturday Boardings'!FI42,'Total Sunday-Holiday Boardings'!FI42)</f>
        <v>9446</v>
      </c>
      <c r="FJ42" s="13">
        <f>SUM('Total Weekday Boardings'!FJ42,'Total Saturday Boardings'!FJ42,'Total Sunday-Holiday Boardings'!FJ42)</f>
        <v>13203</v>
      </c>
      <c r="FK42" s="13">
        <f>SUM('Total Weekday Boardings'!FK42,'Total Saturday Boardings'!FK42,'Total Sunday-Holiday Boardings'!FK42)</f>
        <v>16431.75</v>
      </c>
      <c r="FL42" s="13">
        <f>SUM('Total Weekday Boardings'!FL42,'Total Saturday Boardings'!FL42,'Total Sunday-Holiday Boardings'!FL42)</f>
        <v>14367</v>
      </c>
      <c r="FM42" s="13">
        <f>SUM('Total Weekday Boardings'!FM42,'Total Saturday Boardings'!FM42,'Total Sunday-Holiday Boardings'!FM42)</f>
        <v>14627</v>
      </c>
      <c r="FN42" s="13">
        <f>SUM('Total Weekday Boardings'!FN42,'Total Saturday Boardings'!FN42,'Total Sunday-Holiday Boardings'!FN42)</f>
        <v>12026</v>
      </c>
      <c r="FO42" s="13">
        <f>SUM('Total Weekday Boardings'!FO42,'Total Saturday Boardings'!FO42,'Total Sunday-Holiday Boardings'!FO42)</f>
        <v>15302</v>
      </c>
      <c r="FP42" s="13">
        <f>SUM('Total Weekday Boardings'!FP42,'Total Saturday Boardings'!FP42,'Total Sunday-Holiday Boardings'!FP42)</f>
        <v>15462</v>
      </c>
      <c r="FQ42" s="13">
        <f>SUM('Total Weekday Boardings'!FQ42,'Total Saturday Boardings'!FQ42,'Total Sunday-Holiday Boardings'!FQ42)</f>
        <v>16628</v>
      </c>
      <c r="FR42" s="13">
        <f>SUM('Total Weekday Boardings'!FR42,'Total Saturday Boardings'!FR42,'Total Sunday-Holiday Boardings'!FR42)</f>
        <v>16535</v>
      </c>
      <c r="FS42" s="13">
        <f>SUM('Total Weekday Boardings'!FS42,'Total Saturday Boardings'!FS42,'Total Sunday-Holiday Boardings'!FS42)</f>
        <v>13992</v>
      </c>
      <c r="FT42" s="16">
        <f>SUM('Total Weekday Boardings'!FT42,'Total Saturday Boardings'!FT42,'Total Sunday-Holiday Boardings'!FT42)</f>
        <v>12391</v>
      </c>
      <c r="FU42" s="171">
        <v>11614</v>
      </c>
      <c r="FV42" s="171">
        <v>13655</v>
      </c>
      <c r="FW42" s="171">
        <v>15362</v>
      </c>
      <c r="FX42" s="171">
        <v>18088</v>
      </c>
      <c r="FY42" s="171">
        <v>16890</v>
      </c>
      <c r="FZ42" s="171">
        <v>13609</v>
      </c>
      <c r="GA42" s="171">
        <v>16778</v>
      </c>
      <c r="GB42" s="52">
        <v>16609</v>
      </c>
      <c r="GC42" s="52">
        <v>17481</v>
      </c>
      <c r="GD42" s="52">
        <v>16430</v>
      </c>
      <c r="GE42" s="18">
        <v>14138</v>
      </c>
      <c r="GF42" s="52">
        <v>11482</v>
      </c>
      <c r="GG42" s="184">
        <v>12386</v>
      </c>
      <c r="GH42" s="52">
        <v>15803</v>
      </c>
      <c r="GI42" s="18">
        <v>17355</v>
      </c>
      <c r="GJ42" s="236">
        <v>18194</v>
      </c>
      <c r="GK42" s="184">
        <v>16671</v>
      </c>
      <c r="GL42" s="184">
        <v>13971</v>
      </c>
    </row>
    <row r="43" spans="1:194" ht="15" thickBot="1" x14ac:dyDescent="0.35">
      <c r="A43" s="9" t="s">
        <v>25</v>
      </c>
      <c r="B43" s="22"/>
      <c r="C43" s="23">
        <f>'Total Weekday Boardings'!C43+'Total Saturday Boardings'!C43+'Total Sunday-Holiday Boardings'!C43</f>
        <v>109994</v>
      </c>
      <c r="D43" s="23">
        <f>'Total Weekday Boardings'!D43+'Total Saturday Boardings'!D43+'Total Sunday-Holiday Boardings'!D43</f>
        <v>96676</v>
      </c>
      <c r="E43" s="23">
        <f>'Total Weekday Boardings'!E43+'Total Saturday Boardings'!E43+'Total Sunday-Holiday Boardings'!E43</f>
        <v>109630</v>
      </c>
      <c r="F43" s="23">
        <f>'Total Weekday Boardings'!F43+'Total Saturday Boardings'!F43+'Total Sunday-Holiday Boardings'!F43</f>
        <v>109408</v>
      </c>
      <c r="G43" s="23">
        <f>'Total Weekday Boardings'!G43+'Total Saturday Boardings'!G43+'Total Sunday-Holiday Boardings'!G43</f>
        <v>89401</v>
      </c>
      <c r="H43" s="24">
        <f>'Total Weekday Boardings'!H43+'Total Saturday Boardings'!H43+'Total Sunday-Holiday Boardings'!H43</f>
        <v>78786</v>
      </c>
      <c r="I43" s="22">
        <f>'Total Weekday Boardings'!I43+'Total Saturday Boardings'!I43+'Total Sunday-Holiday Boardings'!I43</f>
        <v>76625</v>
      </c>
      <c r="J43" s="23">
        <f>'Total Weekday Boardings'!J43+'Total Saturday Boardings'!J43+'Total Sunday-Holiday Boardings'!J43</f>
        <v>74236</v>
      </c>
      <c r="K43" s="23">
        <f>'Total Weekday Boardings'!K43+'Total Saturday Boardings'!K43+'Total Sunday-Holiday Boardings'!K43</f>
        <v>92666</v>
      </c>
      <c r="L43" s="23">
        <f>'Total Weekday Boardings'!L43+'Total Saturday Boardings'!L43+'Total Sunday-Holiday Boardings'!L43</f>
        <v>98432</v>
      </c>
      <c r="M43" s="23">
        <f>'Total Weekday Boardings'!M43+'Total Saturday Boardings'!M43+'Total Sunday-Holiday Boardings'!M43</f>
        <v>98178</v>
      </c>
      <c r="N43" s="23">
        <f>'Total Weekday Boardings'!N43+'Total Saturday Boardings'!N43+'Total Sunday-Holiday Boardings'!N43</f>
        <v>94288</v>
      </c>
      <c r="O43" s="65">
        <f>'Total Weekday Boardings'!O43+'Total Saturday Boardings'!O43+'Total Sunday-Holiday Boardings'!O43</f>
        <v>97398</v>
      </c>
      <c r="P43" s="65">
        <f>'Total Weekday Boardings'!P43+'Total Saturday Boardings'!P43+'Total Sunday-Holiday Boardings'!P43</f>
        <v>99875</v>
      </c>
      <c r="Q43" s="65">
        <f>'Total Weekday Boardings'!Q43+'Total Saturday Boardings'!Q43+'Total Sunday-Holiday Boardings'!Q43</f>
        <v>113907</v>
      </c>
      <c r="R43" s="65">
        <f>'Total Weekday Boardings'!R43+'Total Saturday Boardings'!R43+'Total Sunday-Holiday Boardings'!R43</f>
        <v>108478</v>
      </c>
      <c r="S43" s="65">
        <f>'Total Weekday Boardings'!S43+'Total Saturday Boardings'!S43+'Total Sunday-Holiday Boardings'!S43</f>
        <v>91225</v>
      </c>
      <c r="T43" s="66">
        <f>'Total Weekday Boardings'!T43+'Total Saturday Boardings'!T43+'Total Sunday-Holiday Boardings'!T43</f>
        <v>86037</v>
      </c>
      <c r="U43" s="67">
        <f>'Total Weekday Boardings'!U43+'Total Saturday Boardings'!U43+'Total Sunday-Holiday Boardings'!U43</f>
        <v>82782</v>
      </c>
      <c r="V43" s="65">
        <f>'Total Weekday Boardings'!V43+'Total Saturday Boardings'!V43+'Total Sunday-Holiday Boardings'!V43</f>
        <v>93153</v>
      </c>
      <c r="W43" s="65">
        <f>'Total Weekday Boardings'!W43+'Total Saturday Boardings'!W43+'Total Sunday-Holiday Boardings'!W43</f>
        <v>112164</v>
      </c>
      <c r="X43" s="65">
        <f>'Total Weekday Boardings'!X43+'Total Saturday Boardings'!X43+'Total Sunday-Holiday Boardings'!X43</f>
        <v>105454</v>
      </c>
      <c r="Y43" s="65">
        <f>'Total Weekday Boardings'!Y43+'Total Saturday Boardings'!Y43+'Total Sunday-Holiday Boardings'!Y43</f>
        <v>105801</v>
      </c>
      <c r="Z43" s="65">
        <f>'Total Weekday Boardings'!Z43+'Total Saturday Boardings'!Z43+'Total Sunday-Holiday Boardings'!Z43</f>
        <v>94067</v>
      </c>
      <c r="AA43" s="23">
        <f>'Total Weekday Boardings'!AA43+'Total Saturday Boardings'!AA43+'Total Sunday-Holiday Boardings'!AA43</f>
        <v>102051</v>
      </c>
      <c r="AB43" s="23">
        <f>'Total Weekday Boardings'!AB43+'Total Saturday Boardings'!AB43+'Total Sunday-Holiday Boardings'!AB43</f>
        <v>101431</v>
      </c>
      <c r="AC43" s="23">
        <f>'Total Weekday Boardings'!AC43+'Total Saturday Boardings'!AC43+'Total Sunday-Holiday Boardings'!AC43</f>
        <v>119237</v>
      </c>
      <c r="AD43" s="23">
        <f>'Total Weekday Boardings'!AD43+'Total Saturday Boardings'!AD43+'Total Sunday-Holiday Boardings'!AD43</f>
        <v>111529</v>
      </c>
      <c r="AE43" s="23">
        <f>'Total Weekday Boardings'!AE43+'Total Saturday Boardings'!AE43+'Total Sunday-Holiday Boardings'!AE43</f>
        <v>93541</v>
      </c>
      <c r="AF43" s="24">
        <f>'Total Weekday Boardings'!AF43+'Total Saturday Boardings'!AF43+'Total Sunday-Holiday Boardings'!AF43</f>
        <v>90833</v>
      </c>
      <c r="AG43" s="22">
        <f>'Total Weekday Boardings'!AG43+'Total Saturday Boardings'!AG43+'Total Sunday-Holiday Boardings'!AG43</f>
        <v>94921</v>
      </c>
      <c r="AH43" s="23">
        <f>'Total Weekday Boardings'!AH43+'Total Saturday Boardings'!AH43+'Total Sunday-Holiday Boardings'!AH43</f>
        <v>106792</v>
      </c>
      <c r="AI43" s="23">
        <f>'Total Weekday Boardings'!AI43+'Total Saturday Boardings'!AI43+'Total Sunday-Holiday Boardings'!AI43</f>
        <v>111923</v>
      </c>
      <c r="AJ43" s="23">
        <f>'Total Weekday Boardings'!AJ43+'Total Saturday Boardings'!AJ43+'Total Sunday-Holiday Boardings'!AJ43</f>
        <v>119294</v>
      </c>
      <c r="AK43" s="23">
        <f>'Total Weekday Boardings'!AK43+'Total Saturday Boardings'!AK43+'Total Sunday-Holiday Boardings'!AK43</f>
        <v>98675</v>
      </c>
      <c r="AL43" s="23">
        <f>'Total Weekday Boardings'!AL43+'Total Saturday Boardings'!AL43+'Total Sunday-Holiday Boardings'!AL43</f>
        <v>100217</v>
      </c>
      <c r="AM43" s="23">
        <f>'Total Weekday Boardings'!AM43+'Total Saturday Boardings'!AM43+'Total Sunday-Holiday Boardings'!AM43</f>
        <v>111965</v>
      </c>
      <c r="AN43" s="23">
        <f>'Total Weekday Boardings'!AN43+'Total Saturday Boardings'!AN43+'Total Sunday-Holiday Boardings'!AN43</f>
        <v>112015</v>
      </c>
      <c r="AO43" s="23">
        <f>'Total Weekday Boardings'!AO43+'Total Saturday Boardings'!AO43+'Total Sunday-Holiday Boardings'!AO43</f>
        <v>116281</v>
      </c>
      <c r="AP43" s="23">
        <f>'Total Weekday Boardings'!AP43+'Total Saturday Boardings'!AP43+'Total Sunday-Holiday Boardings'!AP43</f>
        <v>114301</v>
      </c>
      <c r="AQ43" s="23">
        <f>'Total Weekday Boardings'!AQ43+'Total Saturday Boardings'!AQ43+'Total Sunday-Holiday Boardings'!AQ43</f>
        <v>101852</v>
      </c>
      <c r="AR43" s="24">
        <f>'Total Weekday Boardings'!AR43+'Total Saturday Boardings'!AR43+'Total Sunday-Holiday Boardings'!AR43</f>
        <v>23353</v>
      </c>
      <c r="AS43" s="22">
        <f>'Total Weekday Boardings'!AS43+'Total Saturday Boardings'!AS43+'Total Sunday-Holiday Boardings'!AS43</f>
        <v>97365</v>
      </c>
      <c r="AT43" s="23">
        <f>'Total Weekday Boardings'!AT43+'Total Saturday Boardings'!AT43+'Total Sunday-Holiday Boardings'!AT43</f>
        <v>107007</v>
      </c>
      <c r="AU43" s="23">
        <f>'Total Weekday Boardings'!AU43+'Total Saturday Boardings'!AU43+'Total Sunday-Holiday Boardings'!AU43</f>
        <v>110587</v>
      </c>
      <c r="AV43" s="23">
        <f>'Total Weekday Boardings'!AV43+'Total Saturday Boardings'!AV43+'Total Sunday-Holiday Boardings'!AV43</f>
        <v>121194</v>
      </c>
      <c r="AW43" s="23">
        <f>'Total Weekday Boardings'!AW43+'Total Saturday Boardings'!AW43+'Total Sunday-Holiday Boardings'!AW43</f>
        <v>110128</v>
      </c>
      <c r="AX43" s="23">
        <f>'Total Weekday Boardings'!AX43+'Total Saturday Boardings'!AX43+'Total Sunday-Holiday Boardings'!AX43</f>
        <v>106361</v>
      </c>
      <c r="AY43" s="23">
        <f>'Total Weekday Boardings'!AY43+'Total Saturday Boardings'!AY43+'Total Sunday-Holiday Boardings'!AY43</f>
        <v>112416</v>
      </c>
      <c r="AZ43" s="23">
        <f>'Total Weekday Boardings'!AZ43+'Total Saturday Boardings'!AZ43+'Total Sunday-Holiday Boardings'!AZ43</f>
        <v>110788</v>
      </c>
      <c r="BA43" s="23">
        <f>'Total Weekday Boardings'!BA43+'Total Saturday Boardings'!BA43+'Total Sunday-Holiday Boardings'!BA43</f>
        <v>120664</v>
      </c>
      <c r="BB43" s="23">
        <f>'Total Weekday Boardings'!BB43+'Total Saturday Boardings'!BB43+'Total Sunday-Holiday Boardings'!BB43</f>
        <v>123120</v>
      </c>
      <c r="BC43" s="23">
        <f>'Total Weekday Boardings'!BC43+'Total Saturday Boardings'!BC43+'Total Sunday-Holiday Boardings'!BC43</f>
        <v>107169</v>
      </c>
      <c r="BD43" s="24">
        <f>'Total Weekday Boardings'!BD43+'Total Saturday Boardings'!BD43+'Total Sunday-Holiday Boardings'!BD43</f>
        <v>94014</v>
      </c>
      <c r="BE43" s="22">
        <f>'Total Weekday Boardings'!BE43+'Total Saturday Boardings'!BE43+'Total Sunday-Holiday Boardings'!BE43</f>
        <v>95992</v>
      </c>
      <c r="BF43" s="23">
        <f>'Total Weekday Boardings'!BF43+'Total Saturday Boardings'!BF43+'Total Sunday-Holiday Boardings'!BF43</f>
        <v>98843</v>
      </c>
      <c r="BG43" s="23">
        <f>'Total Weekday Boardings'!BG43+'Total Saturday Boardings'!BG43+'Total Sunday-Holiday Boardings'!BG43</f>
        <v>108855</v>
      </c>
      <c r="BH43" s="23">
        <f>'Total Weekday Boardings'!BH43+'Total Saturday Boardings'!BH43+'Total Sunday-Holiday Boardings'!BH43</f>
        <v>112391</v>
      </c>
      <c r="BI43" s="23">
        <f>'Total Weekday Boardings'!BI43+'Total Saturday Boardings'!BI43+'Total Sunday-Holiday Boardings'!BI43</f>
        <v>105059.26377163897</v>
      </c>
      <c r="BJ43" s="23">
        <f>'Total Weekday Boardings'!BJ43+'Total Saturday Boardings'!BJ43+'Total Sunday-Holiday Boardings'!BJ43</f>
        <v>103838</v>
      </c>
      <c r="BK43" s="23">
        <f>'Total Weekday Boardings'!BK43+'Total Saturday Boardings'!BK43+'Total Sunday-Holiday Boardings'!BK43</f>
        <v>114640</v>
      </c>
      <c r="BL43" s="23">
        <f>'Total Weekday Boardings'!BL43+'Total Saturday Boardings'!BL43+'Total Sunday-Holiday Boardings'!BL43</f>
        <v>107294</v>
      </c>
      <c r="BM43" s="23">
        <f>'Total Weekday Boardings'!BM43+'Total Saturday Boardings'!BM43+'Total Sunday-Holiday Boardings'!BM43</f>
        <v>122538</v>
      </c>
      <c r="BN43" s="23">
        <f>'Total Weekday Boardings'!BN43+'Total Saturday Boardings'!BN43+'Total Sunday-Holiday Boardings'!BN43</f>
        <v>112203</v>
      </c>
      <c r="BO43" s="23">
        <f>'Total Weekday Boardings'!BO43+'Total Saturday Boardings'!BO43+'Total Sunday-Holiday Boardings'!BO43</f>
        <v>98213</v>
      </c>
      <c r="BP43" s="24">
        <f>'Total Weekday Boardings'!BP43+'Total Saturday Boardings'!BP43+'Total Sunday-Holiday Boardings'!BP43</f>
        <v>96416</v>
      </c>
      <c r="BQ43" s="22">
        <f>'Total Weekday Boardings'!BQ43+'Total Saturday Boardings'!BQ43+'Total Sunday-Holiday Boardings'!BQ43</f>
        <v>92900</v>
      </c>
      <c r="BR43" s="23">
        <f>'Total Weekday Boardings'!BR43+'Total Saturday Boardings'!BR43+'Total Sunday-Holiday Boardings'!BR43</f>
        <v>100802</v>
      </c>
      <c r="BS43" s="23">
        <f>'Total Weekday Boardings'!BS43+'Total Saturday Boardings'!BS43+'Total Sunday-Holiday Boardings'!BS43</f>
        <v>102881</v>
      </c>
      <c r="BT43" s="23">
        <f>'Total Weekday Boardings'!BT43+'Total Saturday Boardings'!BT43+'Total Sunday-Holiday Boardings'!BT43</f>
        <v>110012</v>
      </c>
      <c r="BU43" s="23">
        <f>'Total Weekday Boardings'!BU43+'Total Saturday Boardings'!BU43+'Total Sunday-Holiday Boardings'!BU43</f>
        <v>103153</v>
      </c>
      <c r="BV43" s="23">
        <f>'Total Weekday Boardings'!BV43+'Total Saturday Boardings'!BV43+'Total Sunday-Holiday Boardings'!BV43</f>
        <v>99390</v>
      </c>
      <c r="BW43" s="23">
        <f>'Total Weekday Boardings'!BW43+'Total Saturday Boardings'!BW43+'Total Sunday-Holiday Boardings'!BW43</f>
        <v>119725</v>
      </c>
      <c r="BX43" s="23">
        <f>'Total Weekday Boardings'!BX43+'Total Saturday Boardings'!BX43+'Total Sunday-Holiday Boardings'!BX43</f>
        <v>105680</v>
      </c>
      <c r="BY43" s="23">
        <f>'Total Weekday Boardings'!BY43+'Total Saturday Boardings'!BY43+'Total Sunday-Holiday Boardings'!BY43</f>
        <v>112094</v>
      </c>
      <c r="BZ43" s="23">
        <f>'Total Weekday Boardings'!BZ43+'Total Saturday Boardings'!BZ43+'Total Sunday-Holiday Boardings'!BZ43</f>
        <v>108514</v>
      </c>
      <c r="CA43" s="23">
        <f>'Total Weekday Boardings'!CA43+'Total Saturday Boardings'!CA43+'Total Sunday-Holiday Boardings'!CA43</f>
        <v>98667</v>
      </c>
      <c r="CB43" s="24">
        <f>'Total Weekday Boardings'!CB43+'Total Saturday Boardings'!CB43+'Total Sunday-Holiday Boardings'!CB43</f>
        <v>94766</v>
      </c>
      <c r="CC43" s="25">
        <f>'Total Weekday Boardings'!CC43+'Total Saturday Boardings'!CC43+'Total Sunday-Holiday Boardings'!CC43</f>
        <v>94197</v>
      </c>
      <c r="CD43" s="23">
        <f>'Total Weekday Boardings'!CD43+'Total Saturday Boardings'!CD43+'Total Sunday-Holiday Boardings'!CD43</f>
        <v>88894</v>
      </c>
      <c r="CE43" s="23">
        <f>'Total Weekday Boardings'!CE43+'Total Saturday Boardings'!CE43+'Total Sunday-Holiday Boardings'!CE43</f>
        <v>53624</v>
      </c>
      <c r="CF43" s="23">
        <f>'Total Weekday Boardings'!CF43+'Total Saturday Boardings'!CF43+'Total Sunday-Holiday Boardings'!CF43</f>
        <v>55500</v>
      </c>
      <c r="CG43" s="23">
        <f>'Total Weekday Boardings'!CG43+'Total Saturday Boardings'!CG43+'Total Sunday-Holiday Boardings'!CG43</f>
        <v>48220</v>
      </c>
      <c r="CH43" s="23">
        <f>'Total Weekday Boardings'!CH43+'Total Saturday Boardings'!CH43+'Total Sunday-Holiday Boardings'!CH43</f>
        <v>45593</v>
      </c>
      <c r="CI43" s="23">
        <f>'Total Weekday Boardings'!CI43+'Total Saturday Boardings'!CI43+'Total Sunday-Holiday Boardings'!CI43</f>
        <v>47703</v>
      </c>
      <c r="CJ43" s="23">
        <f>'Total Weekday Boardings'!CJ43+'Total Saturday Boardings'!CJ43+'Total Sunday-Holiday Boardings'!CJ43</f>
        <v>47180</v>
      </c>
      <c r="CK43" s="23">
        <f>'Total Weekday Boardings'!CK43+'Total Saturday Boardings'!CK43+'Total Sunday-Holiday Boardings'!CK43</f>
        <v>48403</v>
      </c>
      <c r="CL43" s="23">
        <f>'Total Weekday Boardings'!CL43+'Total Saturday Boardings'!CL43+'Total Sunday-Holiday Boardings'!CL43</f>
        <v>48160</v>
      </c>
      <c r="CM43" s="23">
        <f>'Total Weekday Boardings'!CM43+'Total Saturday Boardings'!CM43+'Total Sunday-Holiday Boardings'!CM43</f>
        <v>42893</v>
      </c>
      <c r="CN43" s="26">
        <f>'Total Weekday Boardings'!CN43+'Total Saturday Boardings'!CN43+'Total Sunday-Holiday Boardings'!CN43</f>
        <v>40327</v>
      </c>
      <c r="CO43" s="22">
        <f>'Total Weekday Boardings'!CO43+'Total Saturday Boardings'!CO43+'Total Sunday-Holiday Boardings'!CO43</f>
        <v>38849</v>
      </c>
      <c r="CP43" s="23">
        <f>'Total Weekday Boardings'!CP43+'Total Saturday Boardings'!CP43+'Total Sunday-Holiday Boardings'!CP43</f>
        <v>44185</v>
      </c>
      <c r="CQ43" s="23">
        <f>'Total Weekday Boardings'!CQ43+'Total Saturday Boardings'!CQ43+'Total Sunday-Holiday Boardings'!CQ43</f>
        <v>43670</v>
      </c>
      <c r="CR43" s="23">
        <f>'Total Weekday Boardings'!CR43+'Total Saturday Boardings'!CR43+'Total Sunday-Holiday Boardings'!CR43</f>
        <v>45201</v>
      </c>
      <c r="CS43" s="23">
        <f>'Total Weekday Boardings'!CS43+'Total Saturday Boardings'!CS43+'Total Sunday-Holiday Boardings'!CS43</f>
        <v>43552</v>
      </c>
      <c r="CT43" s="23">
        <f>'Total Weekday Boardings'!CT43+'Total Saturday Boardings'!CT43+'Total Sunday-Holiday Boardings'!CT43</f>
        <v>42586</v>
      </c>
      <c r="CU43" s="23">
        <f>'Total Weekday Boardings'!CU43+'Total Saturday Boardings'!CU43+'Total Sunday-Holiday Boardings'!CU43</f>
        <v>44173</v>
      </c>
      <c r="CV43" s="23">
        <f>'Total Weekday Boardings'!CV43+'Total Saturday Boardings'!CV43+'Total Sunday-Holiday Boardings'!CV43</f>
        <v>40394</v>
      </c>
      <c r="CW43" s="23">
        <f>'Total Weekday Boardings'!CW43+'Total Saturday Boardings'!CW43+'Total Sunday-Holiday Boardings'!CW43</f>
        <v>44027</v>
      </c>
      <c r="CX43" s="23">
        <f>'Total Weekday Boardings'!CX43+'Total Saturday Boardings'!CX43+'Total Sunday-Holiday Boardings'!CX43</f>
        <v>45101</v>
      </c>
      <c r="CY43" s="23">
        <f>'Total Weekday Boardings'!CY43+'Total Saturday Boardings'!CY43+'Total Sunday-Holiday Boardings'!CY43</f>
        <v>42248</v>
      </c>
      <c r="CZ43" s="24">
        <f>'Total Weekday Boardings'!CZ43+'Total Saturday Boardings'!CZ43+'Total Sunday-Holiday Boardings'!CZ43</f>
        <v>37018</v>
      </c>
      <c r="DA43" s="22">
        <f>'Total Weekday Boardings'!DA43+'Total Saturday Boardings'!DA43+'Total Sunday-Holiday Boardings'!DA43</f>
        <v>36886</v>
      </c>
      <c r="DB43" s="23">
        <f>'Total Weekday Boardings'!DB43+'Total Saturday Boardings'!DB43+'Total Sunday-Holiday Boardings'!DB43</f>
        <v>41466</v>
      </c>
      <c r="DC43" s="23">
        <f>'Total Weekday Boardings'!DC43+'Total Saturday Boardings'!DC43+'Total Sunday-Holiday Boardings'!DC43</f>
        <v>41262</v>
      </c>
      <c r="DD43" s="23">
        <f>'Total Weekday Boardings'!DD43+'Total Saturday Boardings'!DD43+'Total Sunday-Holiday Boardings'!DD43</f>
        <v>43529</v>
      </c>
      <c r="DE43" s="23">
        <f>'Total Weekday Boardings'!DE43+'Total Saturday Boardings'!DE43+'Total Sunday-Holiday Boardings'!DE43</f>
        <v>40464</v>
      </c>
      <c r="DF43" s="23">
        <f>'Total Weekday Boardings'!DF43+'Total Saturday Boardings'!DF43+'Total Sunday-Holiday Boardings'!DF43</f>
        <v>37759</v>
      </c>
      <c r="DG43" s="23">
        <f>'Total Weekday Boardings'!DG43+'Total Saturday Boardings'!DG43+'Total Sunday-Holiday Boardings'!DG43</f>
        <v>41750</v>
      </c>
      <c r="DH43" s="23">
        <f>'Total Weekday Boardings'!DH43+'Total Saturday Boardings'!DH43+'Total Sunday-Holiday Boardings'!DH43</f>
        <v>39002</v>
      </c>
      <c r="DI43" s="23">
        <f>'Total Weekday Boardings'!DI43+'Total Saturday Boardings'!DI43+'Total Sunday-Holiday Boardings'!DI43</f>
        <v>42438</v>
      </c>
      <c r="DJ43" s="23">
        <f>'Total Weekday Boardings'!DJ43+'Total Saturday Boardings'!DJ43+'Total Sunday-Holiday Boardings'!DJ43</f>
        <v>41914</v>
      </c>
      <c r="DK43" s="23">
        <f>'Total Weekday Boardings'!DK43+'Total Saturday Boardings'!DK43+'Total Sunday-Holiday Boardings'!DK43</f>
        <v>38338</v>
      </c>
      <c r="DL43" s="24">
        <f>'Total Weekday Boardings'!DL43+'Total Saturday Boardings'!DL43+'Total Sunday-Holiday Boardings'!DL43</f>
        <v>34374</v>
      </c>
      <c r="DM43" s="27">
        <f>'Total Weekday Boardings'!DM43+'Total Saturday Boardings'!DM43+'Total Sunday-Holiday Boardings'!DM43</f>
        <v>33798</v>
      </c>
      <c r="DN43" s="28">
        <f>'Total Weekday Boardings'!DN43+'Total Saturday Boardings'!DN43+'Total Sunday-Holiday Boardings'!DN43</f>
        <v>37642</v>
      </c>
      <c r="DO43" s="28">
        <f>'Total Weekday Boardings'!DO43+'Total Saturday Boardings'!DO43+'Total Sunday-Holiday Boardings'!DO43</f>
        <v>37851</v>
      </c>
      <c r="DP43" s="28">
        <f>'Total Weekday Boardings'!DP43+'Total Saturday Boardings'!DP43+'Total Sunday-Holiday Boardings'!DP43</f>
        <v>41767</v>
      </c>
      <c r="DQ43" s="28">
        <f>'Total Weekday Boardings'!DQ43+'Total Saturday Boardings'!DQ43+'Total Sunday-Holiday Boardings'!DQ43</f>
        <v>38903</v>
      </c>
      <c r="DR43" s="28">
        <f>'Total Weekday Boardings'!DR43+'Total Saturday Boardings'!DR43+'Total Sunday-Holiday Boardings'!DR43</f>
        <v>36319</v>
      </c>
      <c r="DS43" s="28">
        <f>'Total Weekday Boardings'!DS43+'Total Saturday Boardings'!DS43+'Total Sunday-Holiday Boardings'!DS43</f>
        <v>38714</v>
      </c>
      <c r="DT43" s="28">
        <f>'Total Weekday Boardings'!DT43+'Total Saturday Boardings'!DT43+'Total Sunday-Holiday Boardings'!DT43</f>
        <v>36662</v>
      </c>
      <c r="DU43" s="28">
        <f>'Total Weekday Boardings'!DU43+'Total Saturday Boardings'!DU43+'Total Sunday-Holiday Boardings'!DU43</f>
        <v>39603</v>
      </c>
      <c r="DV43" s="28">
        <f>'Total Weekday Boardings'!DV43+'Total Saturday Boardings'!DV43+'Total Sunday-Holiday Boardings'!DV43</f>
        <v>38596</v>
      </c>
      <c r="DW43" s="28">
        <f>'Total Weekday Boardings'!DW43+'Total Saturday Boardings'!DW43+'Total Sunday-Holiday Boardings'!DW43</f>
        <v>36075</v>
      </c>
      <c r="DX43" s="29">
        <f>'Total Weekday Boardings'!DX43+'Total Saturday Boardings'!DX43+'Total Sunday-Holiday Boardings'!DX43</f>
        <v>30398</v>
      </c>
      <c r="DY43" s="139">
        <v>30595</v>
      </c>
      <c r="DZ43" s="28">
        <v>33545</v>
      </c>
      <c r="EA43" s="28">
        <v>35048</v>
      </c>
      <c r="EB43" s="28">
        <v>38229</v>
      </c>
      <c r="EC43" s="28">
        <v>36646</v>
      </c>
      <c r="ED43" s="28">
        <v>33383</v>
      </c>
      <c r="EE43" s="28">
        <v>36042</v>
      </c>
      <c r="EF43" s="28">
        <v>36563</v>
      </c>
      <c r="EG43" s="28">
        <v>29552</v>
      </c>
      <c r="EH43" s="28">
        <v>20030</v>
      </c>
      <c r="EI43" s="28">
        <v>18603</v>
      </c>
      <c r="EJ43" s="29">
        <v>17217</v>
      </c>
      <c r="EK43" s="100">
        <v>15955</v>
      </c>
      <c r="EL43" s="23">
        <v>16904</v>
      </c>
      <c r="EM43" s="23">
        <v>16834</v>
      </c>
      <c r="EN43" s="105">
        <v>18650</v>
      </c>
      <c r="EO43" s="23">
        <v>16987</v>
      </c>
      <c r="EP43" s="23">
        <v>13533</v>
      </c>
      <c r="EQ43" s="23">
        <v>7754</v>
      </c>
      <c r="ER43" s="23">
        <v>14411</v>
      </c>
      <c r="ES43" s="23">
        <v>16691</v>
      </c>
      <c r="ET43" s="23">
        <v>16906</v>
      </c>
      <c r="EU43" s="23">
        <v>16453</v>
      </c>
      <c r="EV43" s="24">
        <v>16700</v>
      </c>
      <c r="EW43" s="103">
        <v>16987</v>
      </c>
      <c r="EX43" s="23">
        <v>18744</v>
      </c>
      <c r="EY43" s="23">
        <v>20736</v>
      </c>
      <c r="EZ43" s="105">
        <v>21576</v>
      </c>
      <c r="FA43" s="23">
        <v>21910</v>
      </c>
      <c r="FB43" s="146">
        <v>21258</v>
      </c>
      <c r="FC43" s="23">
        <v>19530</v>
      </c>
      <c r="FD43" s="23">
        <v>23153</v>
      </c>
      <c r="FE43" s="23">
        <v>26384</v>
      </c>
      <c r="FF43" s="23">
        <v>24547</v>
      </c>
      <c r="FG43" s="13">
        <f>SUM('Total Weekday Boardings'!FG43,'Total Saturday Boardings'!FG43,'Total Sunday-Holiday Boardings'!FG43)</f>
        <v>22656</v>
      </c>
      <c r="FH43" s="13">
        <f>SUM('Total Weekday Boardings'!FH43,'Total Saturday Boardings'!FH43,'Total Sunday-Holiday Boardings'!FH43)</f>
        <v>18804</v>
      </c>
      <c r="FI43" s="13">
        <f>SUM('Total Weekday Boardings'!FI43,'Total Saturday Boardings'!FI43,'Total Sunday-Holiday Boardings'!FI43)</f>
        <v>20302</v>
      </c>
      <c r="FJ43" s="13">
        <f>SUM('Total Weekday Boardings'!FJ43,'Total Saturday Boardings'!FJ43,'Total Sunday-Holiday Boardings'!FJ43)</f>
        <v>23144</v>
      </c>
      <c r="FK43" s="13">
        <f>SUM('Total Weekday Boardings'!FK43,'Total Saturday Boardings'!FK43,'Total Sunday-Holiday Boardings'!FK43)</f>
        <v>24239</v>
      </c>
      <c r="FL43" s="13">
        <f>SUM('Total Weekday Boardings'!FL43,'Total Saturday Boardings'!FL43,'Total Sunday-Holiday Boardings'!FL43)</f>
        <v>23925</v>
      </c>
      <c r="FM43" s="13">
        <f>SUM('Total Weekday Boardings'!FM43,'Total Saturday Boardings'!FM43,'Total Sunday-Holiday Boardings'!FM43)</f>
        <v>21757</v>
      </c>
      <c r="FN43" s="13">
        <f>SUM('Total Weekday Boardings'!FN43,'Total Saturday Boardings'!FN43,'Total Sunday-Holiday Boardings'!FN43)</f>
        <v>21084</v>
      </c>
      <c r="FO43" s="13">
        <f>SUM('Total Weekday Boardings'!FO43,'Total Saturday Boardings'!FO43,'Total Sunday-Holiday Boardings'!FO43)</f>
        <v>24234</v>
      </c>
      <c r="FP43" s="13">
        <f>SUM('Total Weekday Boardings'!FP43,'Total Saturday Boardings'!FP43,'Total Sunday-Holiday Boardings'!FP43)</f>
        <v>20955</v>
      </c>
      <c r="FQ43" s="13">
        <f>SUM('Total Weekday Boardings'!FQ43,'Total Saturday Boardings'!FQ43,'Total Sunday-Holiday Boardings'!FQ43)</f>
        <v>26805</v>
      </c>
      <c r="FR43" s="13">
        <f>SUM('Total Weekday Boardings'!FR43,'Total Saturday Boardings'!FR43,'Total Sunday-Holiday Boardings'!FR43)</f>
        <v>25316</v>
      </c>
      <c r="FS43" s="13">
        <f>SUM('Total Weekday Boardings'!FS43,'Total Saturday Boardings'!FS43,'Total Sunday-Holiday Boardings'!FS43)</f>
        <v>25413</v>
      </c>
      <c r="FT43" s="16">
        <f>SUM('Total Weekday Boardings'!FT43,'Total Saturday Boardings'!FT43,'Total Sunday-Holiday Boardings'!FT43)</f>
        <v>22280</v>
      </c>
      <c r="FU43" s="171">
        <v>21751</v>
      </c>
      <c r="FV43" s="171">
        <v>23815</v>
      </c>
      <c r="FW43" s="171">
        <v>22506</v>
      </c>
      <c r="FX43" s="171">
        <v>24616</v>
      </c>
      <c r="FY43" s="171">
        <v>24144</v>
      </c>
      <c r="FZ43" s="171">
        <v>23534</v>
      </c>
      <c r="GA43" s="171">
        <v>26415</v>
      </c>
      <c r="GB43" s="52">
        <v>26437</v>
      </c>
      <c r="GC43" s="52">
        <v>28218</v>
      </c>
      <c r="GD43" s="52">
        <v>24654</v>
      </c>
      <c r="GE43" s="18">
        <v>24602</v>
      </c>
      <c r="GF43" s="52">
        <v>22011</v>
      </c>
      <c r="GG43" s="184">
        <v>22740</v>
      </c>
      <c r="GH43" s="52">
        <v>25449</v>
      </c>
      <c r="GI43" s="18">
        <v>25119</v>
      </c>
      <c r="GJ43" s="236">
        <v>25601</v>
      </c>
      <c r="GK43" s="184">
        <v>25066</v>
      </c>
      <c r="GL43" s="184">
        <v>22293</v>
      </c>
    </row>
    <row r="44" spans="1:194" ht="15" thickBot="1" x14ac:dyDescent="0.35">
      <c r="A44" s="10" t="s">
        <v>26</v>
      </c>
      <c r="B44" s="12"/>
      <c r="C44" s="13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4"/>
      <c r="AG44" s="12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2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4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4"/>
      <c r="BQ44" s="12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4"/>
      <c r="CC44" s="15"/>
      <c r="CD44" s="13">
        <f>'Total Weekday Boardings'!CD44+'Total Saturday Boardings'!CD44+'Total Sunday-Holiday Boardings'!CD44</f>
        <v>7948</v>
      </c>
      <c r="CE44" s="13">
        <f>'Total Weekday Boardings'!CE44+'Total Saturday Boardings'!CE44+'Total Sunday-Holiday Boardings'!CE44</f>
        <v>25313</v>
      </c>
      <c r="CF44" s="13">
        <f>'Total Weekday Boardings'!CF44+'Total Saturday Boardings'!CF44+'Total Sunday-Holiday Boardings'!CF44</f>
        <v>28818</v>
      </c>
      <c r="CG44" s="13">
        <f>'Total Weekday Boardings'!CG44+'Total Saturday Boardings'!CG44+'Total Sunday-Holiday Boardings'!CG44</f>
        <v>28973</v>
      </c>
      <c r="CH44" s="13">
        <f>'Total Weekday Boardings'!CH44+'Total Saturday Boardings'!CH44+'Total Sunday-Holiday Boardings'!CH44</f>
        <v>30462</v>
      </c>
      <c r="CI44" s="13">
        <f>'Total Weekday Boardings'!CI44+'Total Saturday Boardings'!CI44+'Total Sunday-Holiday Boardings'!CI44</f>
        <v>31059</v>
      </c>
      <c r="CJ44" s="13">
        <f>'Total Weekday Boardings'!CJ44+'Total Saturday Boardings'!CJ44+'Total Sunday-Holiday Boardings'!CJ44</f>
        <v>30559</v>
      </c>
      <c r="CK44" s="13">
        <f>'Total Weekday Boardings'!CK44+'Total Saturday Boardings'!CK44+'Total Sunday-Holiday Boardings'!CK44</f>
        <v>32521</v>
      </c>
      <c r="CL44" s="13">
        <f>'Total Weekday Boardings'!CL44+'Total Saturday Boardings'!CL44+'Total Sunday-Holiday Boardings'!CL44</f>
        <v>31915</v>
      </c>
      <c r="CM44" s="13">
        <f>'Total Weekday Boardings'!CM44+'Total Saturday Boardings'!CM44+'Total Sunday-Holiday Boardings'!CM44</f>
        <v>31098</v>
      </c>
      <c r="CN44" s="16">
        <f>'Total Weekday Boardings'!CN44+'Total Saturday Boardings'!CN44+'Total Sunday-Holiday Boardings'!CN44</f>
        <v>30282</v>
      </c>
      <c r="CO44" s="12">
        <f>'Total Weekday Boardings'!CO44+'Total Saturday Boardings'!CO44+'Total Sunday-Holiday Boardings'!CO44</f>
        <v>31056</v>
      </c>
      <c r="CP44" s="13">
        <f>'Total Weekday Boardings'!CP44+'Total Saturday Boardings'!CP44+'Total Sunday-Holiday Boardings'!CP44</f>
        <v>33146</v>
      </c>
      <c r="CQ44" s="13">
        <f>'Total Weekday Boardings'!CQ44+'Total Saturday Boardings'!CQ44+'Total Sunday-Holiday Boardings'!CQ44</f>
        <v>31394</v>
      </c>
      <c r="CR44" s="13">
        <f>'Total Weekday Boardings'!CR44+'Total Saturday Boardings'!CR44+'Total Sunday-Holiday Boardings'!CR44</f>
        <v>34323</v>
      </c>
      <c r="CS44" s="13">
        <f>'Total Weekday Boardings'!CS44+'Total Saturday Boardings'!CS44+'Total Sunday-Holiday Boardings'!CS44</f>
        <v>32526</v>
      </c>
      <c r="CT44" s="13">
        <f>'Total Weekday Boardings'!CT44+'Total Saturday Boardings'!CT44+'Total Sunday-Holiday Boardings'!CT44</f>
        <v>34398</v>
      </c>
      <c r="CU44" s="13">
        <f>'Total Weekday Boardings'!CU44+'Total Saturday Boardings'!CU44+'Total Sunday-Holiday Boardings'!CU44</f>
        <v>33693</v>
      </c>
      <c r="CV44" s="13">
        <f>'Total Weekday Boardings'!CV44+'Total Saturday Boardings'!CV44+'Total Sunday-Holiday Boardings'!CV44</f>
        <v>30900</v>
      </c>
      <c r="CW44" s="13">
        <f>'Total Weekday Boardings'!CW44+'Total Saturday Boardings'!CW44+'Total Sunday-Holiday Boardings'!CW44</f>
        <v>33680</v>
      </c>
      <c r="CX44" s="13">
        <f>'Total Weekday Boardings'!CX44+'Total Saturday Boardings'!CX44+'Total Sunday-Holiday Boardings'!CX44</f>
        <v>32859</v>
      </c>
      <c r="CY44" s="13">
        <f>'Total Weekday Boardings'!CY44+'Total Saturday Boardings'!CY44+'Total Sunday-Holiday Boardings'!CY44</f>
        <v>33412</v>
      </c>
      <c r="CZ44" s="14">
        <f>'Total Weekday Boardings'!CZ44+'Total Saturday Boardings'!CZ44+'Total Sunday-Holiday Boardings'!CZ44</f>
        <v>31853</v>
      </c>
      <c r="DA44" s="12">
        <f>'Total Weekday Boardings'!DA44+'Total Saturday Boardings'!DA44+'Total Sunday-Holiday Boardings'!DA44</f>
        <v>33143</v>
      </c>
      <c r="DB44" s="13">
        <f>'Total Weekday Boardings'!DB44+'Total Saturday Boardings'!DB44+'Total Sunday-Holiday Boardings'!DB44</f>
        <v>34123</v>
      </c>
      <c r="DC44" s="13">
        <f>'Total Weekday Boardings'!DC44+'Total Saturday Boardings'!DC44+'Total Sunday-Holiday Boardings'!DC44</f>
        <v>32271</v>
      </c>
      <c r="DD44" s="13">
        <f>'Total Weekday Boardings'!DD44+'Total Saturday Boardings'!DD44+'Total Sunday-Holiday Boardings'!DD44</f>
        <v>34035</v>
      </c>
      <c r="DE44" s="13">
        <f>'Total Weekday Boardings'!DE44+'Total Saturday Boardings'!DE44+'Total Sunday-Holiday Boardings'!DE44</f>
        <v>31920</v>
      </c>
      <c r="DF44" s="13">
        <f>'Total Weekday Boardings'!DF44+'Total Saturday Boardings'!DF44+'Total Sunday-Holiday Boardings'!DF44</f>
        <v>32779</v>
      </c>
      <c r="DG44" s="13">
        <f>'Total Weekday Boardings'!DG44+'Total Saturday Boardings'!DG44+'Total Sunday-Holiday Boardings'!DG44</f>
        <v>33911</v>
      </c>
      <c r="DH44" s="13">
        <f>'Total Weekday Boardings'!DH44+'Total Saturday Boardings'!DH44+'Total Sunday-Holiday Boardings'!DH44</f>
        <v>31725</v>
      </c>
      <c r="DI44" s="13">
        <f>'Total Weekday Boardings'!DI44+'Total Saturday Boardings'!DI44+'Total Sunday-Holiday Boardings'!DI44</f>
        <v>34506</v>
      </c>
      <c r="DJ44" s="13">
        <f>'Total Weekday Boardings'!DJ44+'Total Saturday Boardings'!DJ44+'Total Sunday-Holiday Boardings'!DJ44</f>
        <v>32476</v>
      </c>
      <c r="DK44" s="13">
        <f>'Total Weekday Boardings'!DK44+'Total Saturday Boardings'!DK44+'Total Sunday-Holiday Boardings'!DK44</f>
        <v>32089</v>
      </c>
      <c r="DL44" s="14">
        <f>'Total Weekday Boardings'!DL44+'Total Saturday Boardings'!DL44+'Total Sunday-Holiday Boardings'!DL44</f>
        <v>31920</v>
      </c>
      <c r="DM44" s="32">
        <f>'Total Weekday Boardings'!DM44+'Total Saturday Boardings'!DM44+'Total Sunday-Holiday Boardings'!DM44</f>
        <v>32065</v>
      </c>
      <c r="DN44" s="33">
        <f>'Total Weekday Boardings'!DN44+'Total Saturday Boardings'!DN44+'Total Sunday-Holiday Boardings'!DN44</f>
        <v>34304</v>
      </c>
      <c r="DO44" s="33">
        <f>'Total Weekday Boardings'!DO44+'Total Saturday Boardings'!DO44+'Total Sunday-Holiday Boardings'!DO44</f>
        <v>32075</v>
      </c>
      <c r="DP44" s="33">
        <f>'Total Weekday Boardings'!DP44+'Total Saturday Boardings'!DP44+'Total Sunday-Holiday Boardings'!DP44</f>
        <v>35080</v>
      </c>
      <c r="DQ44" s="33">
        <f>'Total Weekday Boardings'!DQ44+'Total Saturday Boardings'!DQ44+'Total Sunday-Holiday Boardings'!DQ44</f>
        <v>33635</v>
      </c>
      <c r="DR44" s="33">
        <f>'Total Weekday Boardings'!DR44+'Total Saturday Boardings'!DR44+'Total Sunday-Holiday Boardings'!DR44</f>
        <v>33003</v>
      </c>
      <c r="DS44" s="33">
        <f>'Total Weekday Boardings'!DS44+'Total Saturday Boardings'!DS44+'Total Sunday-Holiday Boardings'!DS44</f>
        <v>34083</v>
      </c>
      <c r="DT44" s="33">
        <f>'Total Weekday Boardings'!DT44+'Total Saturday Boardings'!DT44+'Total Sunday-Holiday Boardings'!DT44</f>
        <v>30358</v>
      </c>
      <c r="DU44" s="33">
        <f>'Total Weekday Boardings'!DU44+'Total Saturday Boardings'!DU44+'Total Sunday-Holiday Boardings'!DU44</f>
        <v>32833</v>
      </c>
      <c r="DV44" s="33">
        <f>'Total Weekday Boardings'!DV44+'Total Saturday Boardings'!DV44+'Total Sunday-Holiday Boardings'!DV44</f>
        <v>32018</v>
      </c>
      <c r="DW44" s="33">
        <f>'Total Weekday Boardings'!DW44+'Total Saturday Boardings'!DW44+'Total Sunday-Holiday Boardings'!DW44</f>
        <v>33251</v>
      </c>
      <c r="DX44" s="34">
        <f>'Total Weekday Boardings'!DX44+'Total Saturday Boardings'!DX44+'Total Sunday-Holiday Boardings'!DX44</f>
        <v>29831</v>
      </c>
      <c r="DY44" s="140">
        <v>30428</v>
      </c>
      <c r="DZ44" s="33">
        <v>31540</v>
      </c>
      <c r="EA44" s="33">
        <v>32053</v>
      </c>
      <c r="EB44" s="33">
        <v>35609</v>
      </c>
      <c r="EC44" s="33">
        <v>33666</v>
      </c>
      <c r="ED44" s="33">
        <v>31945</v>
      </c>
      <c r="EE44" s="33">
        <v>34184</v>
      </c>
      <c r="EF44" s="33">
        <v>33075</v>
      </c>
      <c r="EG44" s="33">
        <v>30856</v>
      </c>
      <c r="EH44" s="33">
        <v>21972</v>
      </c>
      <c r="EI44" s="33">
        <v>21486</v>
      </c>
      <c r="EJ44" s="34">
        <v>20127</v>
      </c>
      <c r="EK44" s="13">
        <v>18938</v>
      </c>
      <c r="EL44" s="13">
        <v>19380</v>
      </c>
      <c r="EM44" s="13">
        <v>18248</v>
      </c>
      <c r="EN44" s="106">
        <v>19996</v>
      </c>
      <c r="EO44" s="13">
        <v>16791</v>
      </c>
      <c r="EP44" s="13">
        <v>13824</v>
      </c>
      <c r="EQ44" s="13">
        <v>7934</v>
      </c>
      <c r="ER44" s="13">
        <v>14362</v>
      </c>
      <c r="ES44" s="13">
        <v>16375</v>
      </c>
      <c r="ET44" s="13">
        <v>17046</v>
      </c>
      <c r="EU44" s="13">
        <v>15898</v>
      </c>
      <c r="EV44" s="14">
        <v>16646</v>
      </c>
      <c r="EW44" s="13">
        <v>16791</v>
      </c>
      <c r="EX44" s="13">
        <v>17951</v>
      </c>
      <c r="EY44" s="13">
        <v>18634</v>
      </c>
      <c r="EZ44" s="106">
        <v>20248</v>
      </c>
      <c r="FA44" s="13">
        <v>19863</v>
      </c>
      <c r="FB44" s="144">
        <v>19785</v>
      </c>
      <c r="FC44" s="13">
        <v>18831</v>
      </c>
      <c r="FD44" s="13">
        <v>21153</v>
      </c>
      <c r="FE44" s="13">
        <v>25510</v>
      </c>
      <c r="FF44" s="13">
        <v>24691</v>
      </c>
      <c r="FG44" s="13">
        <f>SUM('Total Weekday Boardings'!FG44,'Total Saturday Boardings'!FG44,'Total Sunday-Holiday Boardings'!FG44)</f>
        <v>24363</v>
      </c>
      <c r="FH44" s="13">
        <f>SUM('Total Weekday Boardings'!FH44,'Total Saturday Boardings'!FH44,'Total Sunday-Holiday Boardings'!FH44)</f>
        <v>21867</v>
      </c>
      <c r="FI44" s="13">
        <f>SUM('Total Weekday Boardings'!FI44,'Total Saturday Boardings'!FI44,'Total Sunday-Holiday Boardings'!FI44)</f>
        <v>23393</v>
      </c>
      <c r="FJ44" s="13">
        <f>SUM('Total Weekday Boardings'!FJ44,'Total Saturday Boardings'!FJ44,'Total Sunday-Holiday Boardings'!FJ44)</f>
        <v>24278</v>
      </c>
      <c r="FK44" s="13">
        <f>SUM('Total Weekday Boardings'!FK44,'Total Saturday Boardings'!FK44,'Total Sunday-Holiday Boardings'!FK44)</f>
        <v>23962</v>
      </c>
      <c r="FL44" s="13">
        <f>SUM('Total Weekday Boardings'!FL44,'Total Saturday Boardings'!FL44,'Total Sunday-Holiday Boardings'!FL44)</f>
        <v>22991</v>
      </c>
      <c r="FM44" s="13">
        <f>SUM('Total Weekday Boardings'!FM44,'Total Saturday Boardings'!FM44,'Total Sunday-Holiday Boardings'!FM44)</f>
        <v>21393</v>
      </c>
      <c r="FN44" s="13">
        <f>SUM('Total Weekday Boardings'!FN44,'Total Saturday Boardings'!FN44,'Total Sunday-Holiday Boardings'!FN44)</f>
        <v>20437</v>
      </c>
      <c r="FO44" s="13">
        <f>SUM('Total Weekday Boardings'!FO44,'Total Saturday Boardings'!FO44,'Total Sunday-Holiday Boardings'!FO44)</f>
        <v>21791</v>
      </c>
      <c r="FP44" s="13">
        <f>SUM('Total Weekday Boardings'!FP44,'Total Saturday Boardings'!FP44,'Total Sunday-Holiday Boardings'!FP44)</f>
        <v>18203</v>
      </c>
      <c r="FQ44" s="13">
        <f>SUM('Total Weekday Boardings'!FQ44,'Total Saturday Boardings'!FQ44,'Total Sunday-Holiday Boardings'!FQ44)</f>
        <v>22696</v>
      </c>
      <c r="FR44" s="13">
        <f>SUM('Total Weekday Boardings'!FR44,'Total Saturday Boardings'!FR44,'Total Sunday-Holiday Boardings'!FR44)</f>
        <v>22069</v>
      </c>
      <c r="FS44" s="13">
        <f>SUM('Total Weekday Boardings'!FS44,'Total Saturday Boardings'!FS44,'Total Sunday-Holiday Boardings'!FS44)</f>
        <v>22715</v>
      </c>
      <c r="FT44" s="16">
        <f>SUM('Total Weekday Boardings'!FT44,'Total Saturday Boardings'!FT44,'Total Sunday-Holiday Boardings'!FT44)</f>
        <v>19953</v>
      </c>
      <c r="FU44" s="171">
        <v>19653</v>
      </c>
      <c r="FV44" s="171">
        <v>21282</v>
      </c>
      <c r="FW44" s="171">
        <v>19272</v>
      </c>
      <c r="FX44" s="171">
        <v>21575</v>
      </c>
      <c r="FY44" s="171">
        <v>22049</v>
      </c>
      <c r="FZ44" s="171">
        <v>21919</v>
      </c>
      <c r="GA44" s="171">
        <v>24001</v>
      </c>
      <c r="GB44" s="52">
        <v>23495</v>
      </c>
      <c r="GC44" s="52">
        <v>24147</v>
      </c>
      <c r="GD44" s="52">
        <v>21516</v>
      </c>
      <c r="GE44" s="18">
        <v>21715</v>
      </c>
      <c r="GF44" s="52">
        <v>20767</v>
      </c>
      <c r="GG44" s="184">
        <v>21749</v>
      </c>
      <c r="GH44" s="52">
        <v>21639</v>
      </c>
      <c r="GI44" s="18">
        <v>21606</v>
      </c>
      <c r="GJ44" s="236">
        <v>22856</v>
      </c>
      <c r="GK44" s="184">
        <v>19947</v>
      </c>
      <c r="GL44" s="184">
        <v>19026</v>
      </c>
    </row>
    <row r="45" spans="1:194" ht="15" thickBot="1" x14ac:dyDescent="0.35">
      <c r="A45" s="4" t="s">
        <v>27</v>
      </c>
      <c r="B45" s="17"/>
      <c r="C45" s="18"/>
      <c r="D45" s="18"/>
      <c r="E45" s="18"/>
      <c r="F45" s="18"/>
      <c r="G45" s="18"/>
      <c r="H45" s="19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9"/>
      <c r="U45" s="17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9"/>
      <c r="AG45" s="17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9"/>
      <c r="AS45" s="17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9"/>
      <c r="BE45" s="17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9"/>
      <c r="BQ45" s="17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9"/>
      <c r="CC45" s="20"/>
      <c r="CD45" s="18">
        <f>'Total Weekday Boardings'!CD45+'Total Saturday Boardings'!CD45+'Total Sunday-Holiday Boardings'!CD45</f>
        <v>8410</v>
      </c>
      <c r="CE45" s="18">
        <f>'Total Weekday Boardings'!CE45+'Total Saturday Boardings'!CE45+'Total Sunday-Holiday Boardings'!CE45</f>
        <v>27715</v>
      </c>
      <c r="CF45" s="18">
        <f>'Total Weekday Boardings'!CF45+'Total Saturday Boardings'!CF45+'Total Sunday-Holiday Boardings'!CF45</f>
        <v>32032</v>
      </c>
      <c r="CG45" s="18">
        <f>'Total Weekday Boardings'!CG45+'Total Saturday Boardings'!CG45+'Total Sunday-Holiday Boardings'!CG45</f>
        <v>30559</v>
      </c>
      <c r="CH45" s="18">
        <f>'Total Weekday Boardings'!CH45+'Total Saturday Boardings'!CH45+'Total Sunday-Holiday Boardings'!CH45</f>
        <v>32389</v>
      </c>
      <c r="CI45" s="18">
        <f>'Total Weekday Boardings'!CI45+'Total Saturday Boardings'!CI45+'Total Sunday-Holiday Boardings'!CI45</f>
        <v>32629</v>
      </c>
      <c r="CJ45" s="18">
        <f>'Total Weekday Boardings'!CJ45+'Total Saturday Boardings'!CJ45+'Total Sunday-Holiday Boardings'!CJ45</f>
        <v>31682</v>
      </c>
      <c r="CK45" s="18">
        <f>'Total Weekday Boardings'!CK45+'Total Saturday Boardings'!CK45+'Total Sunday-Holiday Boardings'!CK45</f>
        <v>33528</v>
      </c>
      <c r="CL45" s="18">
        <f>'Total Weekday Boardings'!CL45+'Total Saturday Boardings'!CL45+'Total Sunday-Holiday Boardings'!CL45</f>
        <v>31555</v>
      </c>
      <c r="CM45" s="18">
        <f>'Total Weekday Boardings'!CM45+'Total Saturday Boardings'!CM45+'Total Sunday-Holiday Boardings'!CM45</f>
        <v>31039</v>
      </c>
      <c r="CN45" s="21">
        <f>'Total Weekday Boardings'!CN45+'Total Saturday Boardings'!CN45+'Total Sunday-Holiday Boardings'!CN45</f>
        <v>29555</v>
      </c>
      <c r="CO45" s="17">
        <f>'Total Weekday Boardings'!CO45+'Total Saturday Boardings'!CO45+'Total Sunday-Holiday Boardings'!CO45</f>
        <v>30402</v>
      </c>
      <c r="CP45" s="18">
        <f>'Total Weekday Boardings'!CP45+'Total Saturday Boardings'!CP45+'Total Sunday-Holiday Boardings'!CP45</f>
        <v>32736</v>
      </c>
      <c r="CQ45" s="18">
        <f>'Total Weekday Boardings'!CQ45+'Total Saturday Boardings'!CQ45+'Total Sunday-Holiday Boardings'!CQ45</f>
        <v>31371</v>
      </c>
      <c r="CR45" s="18">
        <f>'Total Weekday Boardings'!CR45+'Total Saturday Boardings'!CR45+'Total Sunday-Holiday Boardings'!CR45</f>
        <v>33915</v>
      </c>
      <c r="CS45" s="18">
        <f>'Total Weekday Boardings'!CS45+'Total Saturday Boardings'!CS45+'Total Sunday-Holiday Boardings'!CS45</f>
        <v>32513</v>
      </c>
      <c r="CT45" s="18">
        <f>'Total Weekday Boardings'!CT45+'Total Saturday Boardings'!CT45+'Total Sunday-Holiday Boardings'!CT45</f>
        <v>33957</v>
      </c>
      <c r="CU45" s="18">
        <f>'Total Weekday Boardings'!CU45+'Total Saturday Boardings'!CU45+'Total Sunday-Holiday Boardings'!CU45</f>
        <v>34689</v>
      </c>
      <c r="CV45" s="18">
        <f>'Total Weekday Boardings'!CV45+'Total Saturday Boardings'!CV45+'Total Sunday-Holiday Boardings'!CV45</f>
        <v>32530</v>
      </c>
      <c r="CW45" s="18">
        <f>'Total Weekday Boardings'!CW45+'Total Saturday Boardings'!CW45+'Total Sunday-Holiday Boardings'!CW45</f>
        <v>36006</v>
      </c>
      <c r="CX45" s="18">
        <f>'Total Weekday Boardings'!CX45+'Total Saturday Boardings'!CX45+'Total Sunday-Holiday Boardings'!CX45</f>
        <v>35682</v>
      </c>
      <c r="CY45" s="18">
        <f>'Total Weekday Boardings'!CY45+'Total Saturday Boardings'!CY45+'Total Sunday-Holiday Boardings'!CY45</f>
        <v>35190</v>
      </c>
      <c r="CZ45" s="19">
        <f>'Total Weekday Boardings'!CZ45+'Total Saturday Boardings'!CZ45+'Total Sunday-Holiday Boardings'!CZ45</f>
        <v>32647</v>
      </c>
      <c r="DA45" s="17">
        <f>'Total Weekday Boardings'!DA45+'Total Saturday Boardings'!DA45+'Total Sunday-Holiday Boardings'!DA45</f>
        <v>32490</v>
      </c>
      <c r="DB45" s="18">
        <f>'Total Weekday Boardings'!DB45+'Total Saturday Boardings'!DB45+'Total Sunday-Holiday Boardings'!DB45</f>
        <v>34275</v>
      </c>
      <c r="DC45" s="18">
        <f>'Total Weekday Boardings'!DC45+'Total Saturday Boardings'!DC45+'Total Sunday-Holiday Boardings'!DC45</f>
        <v>32686</v>
      </c>
      <c r="DD45" s="18">
        <f>'Total Weekday Boardings'!DD45+'Total Saturday Boardings'!DD45+'Total Sunday-Holiday Boardings'!DD45</f>
        <v>35290</v>
      </c>
      <c r="DE45" s="18">
        <f>'Total Weekday Boardings'!DE45+'Total Saturday Boardings'!DE45+'Total Sunday-Holiday Boardings'!DE45</f>
        <v>32603</v>
      </c>
      <c r="DF45" s="18">
        <f>'Total Weekday Boardings'!DF45+'Total Saturday Boardings'!DF45+'Total Sunday-Holiday Boardings'!DF45</f>
        <v>33569</v>
      </c>
      <c r="DG45" s="18">
        <f>'Total Weekday Boardings'!DG45+'Total Saturday Boardings'!DG45+'Total Sunday-Holiday Boardings'!DG45</f>
        <v>35257</v>
      </c>
      <c r="DH45" s="18">
        <f>'Total Weekday Boardings'!DH45+'Total Saturday Boardings'!DH45+'Total Sunday-Holiday Boardings'!DH45</f>
        <v>32545</v>
      </c>
      <c r="DI45" s="18">
        <f>'Total Weekday Boardings'!DI45+'Total Saturday Boardings'!DI45+'Total Sunday-Holiday Boardings'!DI45</f>
        <v>34960</v>
      </c>
      <c r="DJ45" s="18">
        <f>'Total Weekday Boardings'!DJ45+'Total Saturday Boardings'!DJ45+'Total Sunday-Holiday Boardings'!DJ45</f>
        <v>32793</v>
      </c>
      <c r="DK45" s="18">
        <f>'Total Weekday Boardings'!DK45+'Total Saturday Boardings'!DK45+'Total Sunday-Holiday Boardings'!DK45</f>
        <v>33520</v>
      </c>
      <c r="DL45" s="19">
        <f>'Total Weekday Boardings'!DL45+'Total Saturday Boardings'!DL45+'Total Sunday-Holiday Boardings'!DL45</f>
        <v>31959</v>
      </c>
      <c r="DM45" s="17">
        <f>'Total Weekday Boardings'!DM45+'Total Saturday Boardings'!DM45+'Total Sunday-Holiday Boardings'!DM45</f>
        <v>32375</v>
      </c>
      <c r="DN45" s="18">
        <f>'Total Weekday Boardings'!DN45+'Total Saturday Boardings'!DN45+'Total Sunday-Holiday Boardings'!DN45</f>
        <v>34723</v>
      </c>
      <c r="DO45" s="18">
        <f>'Total Weekday Boardings'!DO45+'Total Saturday Boardings'!DO45+'Total Sunday-Holiday Boardings'!DO45</f>
        <v>32663</v>
      </c>
      <c r="DP45" s="18">
        <f>'Total Weekday Boardings'!DP45+'Total Saturday Boardings'!DP45+'Total Sunday-Holiday Boardings'!DP45</f>
        <v>36336</v>
      </c>
      <c r="DQ45" s="18">
        <f>'Total Weekday Boardings'!DQ45+'Total Saturday Boardings'!DQ45+'Total Sunday-Holiday Boardings'!DQ45</f>
        <v>34439</v>
      </c>
      <c r="DR45" s="18">
        <f>'Total Weekday Boardings'!DR45+'Total Saturday Boardings'!DR45+'Total Sunday-Holiday Boardings'!DR45</f>
        <v>33651</v>
      </c>
      <c r="DS45" s="18">
        <f>'Total Weekday Boardings'!DS45+'Total Saturday Boardings'!DS45+'Total Sunday-Holiday Boardings'!DS45</f>
        <v>34997</v>
      </c>
      <c r="DT45" s="18">
        <f>'Total Weekday Boardings'!DT45+'Total Saturday Boardings'!DT45+'Total Sunday-Holiday Boardings'!DT45</f>
        <v>31182</v>
      </c>
      <c r="DU45" s="18">
        <f>'Total Weekday Boardings'!DU45+'Total Saturday Boardings'!DU45+'Total Sunday-Holiday Boardings'!DU45</f>
        <v>33308</v>
      </c>
      <c r="DV45" s="18">
        <f>'Total Weekday Boardings'!DV45+'Total Saturday Boardings'!DV45+'Total Sunday-Holiday Boardings'!DV45</f>
        <v>31380</v>
      </c>
      <c r="DW45" s="18">
        <f>'Total Weekday Boardings'!DW45+'Total Saturday Boardings'!DW45+'Total Sunday-Holiday Boardings'!DW45</f>
        <v>33635</v>
      </c>
      <c r="DX45" s="19">
        <f>'Total Weekday Boardings'!DX45+'Total Saturday Boardings'!DX45+'Total Sunday-Holiday Boardings'!DX45</f>
        <v>31795</v>
      </c>
      <c r="DY45" s="137">
        <v>32180</v>
      </c>
      <c r="DZ45" s="18">
        <v>32739</v>
      </c>
      <c r="EA45" s="18">
        <v>33231</v>
      </c>
      <c r="EB45" s="18">
        <v>37270</v>
      </c>
      <c r="EC45" s="18">
        <v>34763</v>
      </c>
      <c r="ED45" s="18">
        <v>32711</v>
      </c>
      <c r="EE45" s="18">
        <v>34040</v>
      </c>
      <c r="EF45" s="18">
        <v>33345</v>
      </c>
      <c r="EG45" s="18">
        <v>29905</v>
      </c>
      <c r="EH45" s="18">
        <v>20446</v>
      </c>
      <c r="EI45" s="18">
        <v>20668</v>
      </c>
      <c r="EJ45" s="19">
        <v>18798</v>
      </c>
      <c r="EK45" s="100">
        <v>16863</v>
      </c>
      <c r="EL45" s="18">
        <v>16777</v>
      </c>
      <c r="EM45" s="18">
        <v>16894</v>
      </c>
      <c r="EN45" s="103">
        <v>17690</v>
      </c>
      <c r="EO45" s="18">
        <v>15782</v>
      </c>
      <c r="EP45" s="18">
        <v>12470</v>
      </c>
      <c r="EQ45" s="18">
        <v>7388</v>
      </c>
      <c r="ER45" s="18">
        <v>12994</v>
      </c>
      <c r="ES45" s="18">
        <v>14945</v>
      </c>
      <c r="ET45" s="18">
        <v>15833</v>
      </c>
      <c r="EU45" s="18">
        <v>15498</v>
      </c>
      <c r="EV45" s="19">
        <v>15798</v>
      </c>
      <c r="EW45" s="103">
        <v>15782</v>
      </c>
      <c r="EX45" s="18">
        <v>16830</v>
      </c>
      <c r="EY45" s="18">
        <v>17214</v>
      </c>
      <c r="EZ45" s="103">
        <v>18108</v>
      </c>
      <c r="FA45" s="18">
        <v>18013</v>
      </c>
      <c r="FB45" s="145">
        <v>17641</v>
      </c>
      <c r="FC45" s="18">
        <v>16501</v>
      </c>
      <c r="FD45" s="18">
        <v>18885</v>
      </c>
      <c r="FE45" s="18">
        <v>22508</v>
      </c>
      <c r="FF45" s="18">
        <v>21541</v>
      </c>
      <c r="FG45" s="13">
        <f>SUM('Total Weekday Boardings'!FG45,'Total Saturday Boardings'!FG45,'Total Sunday-Holiday Boardings'!FG45)</f>
        <v>21310</v>
      </c>
      <c r="FH45" s="13">
        <f>SUM('Total Weekday Boardings'!FH45,'Total Saturday Boardings'!FH45,'Total Sunday-Holiday Boardings'!FH45)</f>
        <v>18039</v>
      </c>
      <c r="FI45" s="13">
        <f>SUM('Total Weekday Boardings'!FI45,'Total Saturday Boardings'!FI45,'Total Sunday-Holiday Boardings'!FI45)</f>
        <v>18006</v>
      </c>
      <c r="FJ45" s="13">
        <f>SUM('Total Weekday Boardings'!FJ45,'Total Saturday Boardings'!FJ45,'Total Sunday-Holiday Boardings'!FJ45)</f>
        <v>19067</v>
      </c>
      <c r="FK45" s="13">
        <f>SUM('Total Weekday Boardings'!FK45,'Total Saturday Boardings'!FK45,'Total Sunday-Holiday Boardings'!FK45)</f>
        <v>19876.5</v>
      </c>
      <c r="FL45" s="13">
        <f>SUM('Total Weekday Boardings'!FL45,'Total Saturday Boardings'!FL45,'Total Sunday-Holiday Boardings'!FL45)</f>
        <v>20289</v>
      </c>
      <c r="FM45" s="13">
        <f>SUM('Total Weekday Boardings'!FM45,'Total Saturday Boardings'!FM45,'Total Sunday-Holiday Boardings'!FM45)</f>
        <v>17804</v>
      </c>
      <c r="FN45" s="13">
        <f>SUM('Total Weekday Boardings'!FN45,'Total Saturday Boardings'!FN45,'Total Sunday-Holiday Boardings'!FN45)</f>
        <v>18499</v>
      </c>
      <c r="FO45" s="13">
        <f>SUM('Total Weekday Boardings'!FO45,'Total Saturday Boardings'!FO45,'Total Sunday-Holiday Boardings'!FO45)</f>
        <v>19009</v>
      </c>
      <c r="FP45" s="13">
        <f>SUM('Total Weekday Boardings'!FP45,'Total Saturday Boardings'!FP45,'Total Sunday-Holiday Boardings'!FP45)</f>
        <v>16735</v>
      </c>
      <c r="FQ45" s="13">
        <f>SUM('Total Weekday Boardings'!FQ45,'Total Saturday Boardings'!FQ45,'Total Sunday-Holiday Boardings'!FQ45)</f>
        <v>21313</v>
      </c>
      <c r="FR45" s="13">
        <f>SUM('Total Weekday Boardings'!FR45,'Total Saturday Boardings'!FR45,'Total Sunday-Holiday Boardings'!FR45)</f>
        <v>20805</v>
      </c>
      <c r="FS45" s="13">
        <f>SUM('Total Weekday Boardings'!FS45,'Total Saturday Boardings'!FS45,'Total Sunday-Holiday Boardings'!FS45)</f>
        <v>21333</v>
      </c>
      <c r="FT45" s="16">
        <f>SUM('Total Weekday Boardings'!FT45,'Total Saturday Boardings'!FT45,'Total Sunday-Holiday Boardings'!FT45)</f>
        <v>19381</v>
      </c>
      <c r="FU45" s="171">
        <v>18272</v>
      </c>
      <c r="FV45" s="171">
        <v>19325</v>
      </c>
      <c r="FW45" s="171">
        <v>18084</v>
      </c>
      <c r="FX45" s="171">
        <v>20054</v>
      </c>
      <c r="FY45" s="171">
        <v>19689</v>
      </c>
      <c r="FZ45" s="171">
        <v>19629</v>
      </c>
      <c r="GA45" s="171">
        <v>21433</v>
      </c>
      <c r="GB45" s="52">
        <v>21351</v>
      </c>
      <c r="GC45" s="52">
        <v>21379</v>
      </c>
      <c r="GD45" s="52">
        <v>19171</v>
      </c>
      <c r="GE45" s="18">
        <v>19448</v>
      </c>
      <c r="GF45" s="52">
        <v>18356</v>
      </c>
      <c r="GG45" s="184">
        <v>18769</v>
      </c>
      <c r="GH45" s="52">
        <v>18756</v>
      </c>
      <c r="GI45" s="18">
        <v>18968</v>
      </c>
      <c r="GJ45" s="236">
        <v>19471</v>
      </c>
      <c r="GK45" s="184">
        <v>17904</v>
      </c>
      <c r="GL45" s="184">
        <v>17873</v>
      </c>
    </row>
    <row r="46" spans="1:194" ht="15" thickBot="1" x14ac:dyDescent="0.35">
      <c r="A46" s="4" t="s">
        <v>28</v>
      </c>
      <c r="B46" s="17"/>
      <c r="C46" s="18"/>
      <c r="D46" s="18"/>
      <c r="E46" s="18"/>
      <c r="F46" s="18"/>
      <c r="G46" s="18"/>
      <c r="H46" s="19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  <c r="U46" s="17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9"/>
      <c r="AG46" s="17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9"/>
      <c r="AS46" s="17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9"/>
      <c r="BE46" s="17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9"/>
      <c r="BQ46" s="17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9"/>
      <c r="CC46" s="20"/>
      <c r="CD46" s="18">
        <f>'Total Weekday Boardings'!CD46+'Total Saturday Boardings'!CD46+'Total Sunday-Holiday Boardings'!CD46</f>
        <v>5420</v>
      </c>
      <c r="CE46" s="18">
        <f>'Total Weekday Boardings'!CE46+'Total Saturday Boardings'!CE46+'Total Sunday-Holiday Boardings'!CE46</f>
        <v>11467</v>
      </c>
      <c r="CF46" s="18">
        <f>'Total Weekday Boardings'!CF46+'Total Saturday Boardings'!CF46+'Total Sunday-Holiday Boardings'!CF46</f>
        <v>12418</v>
      </c>
      <c r="CG46" s="18">
        <f>'Total Weekday Boardings'!CG46+'Total Saturday Boardings'!CG46+'Total Sunday-Holiday Boardings'!CG46</f>
        <v>12379</v>
      </c>
      <c r="CH46" s="18">
        <f>'Total Weekday Boardings'!CH46+'Total Saturday Boardings'!CH46+'Total Sunday-Holiday Boardings'!CH46</f>
        <v>13934</v>
      </c>
      <c r="CI46" s="18">
        <f>'Total Weekday Boardings'!CI46+'Total Saturday Boardings'!CI46+'Total Sunday-Holiday Boardings'!CI46</f>
        <v>12301</v>
      </c>
      <c r="CJ46" s="18">
        <f>'Total Weekday Boardings'!CJ46+'Total Saturday Boardings'!CJ46+'Total Sunday-Holiday Boardings'!CJ46</f>
        <v>11770</v>
      </c>
      <c r="CK46" s="18">
        <f>'Total Weekday Boardings'!CK46+'Total Saturday Boardings'!CK46+'Total Sunday-Holiday Boardings'!CK46</f>
        <v>13336</v>
      </c>
      <c r="CL46" s="18">
        <f>'Total Weekday Boardings'!CL46+'Total Saturday Boardings'!CL46+'Total Sunday-Holiday Boardings'!CL46</f>
        <v>12236</v>
      </c>
      <c r="CM46" s="18">
        <f>'Total Weekday Boardings'!CM46+'Total Saturday Boardings'!CM46+'Total Sunday-Holiday Boardings'!CM46</f>
        <v>11820</v>
      </c>
      <c r="CN46" s="21">
        <f>'Total Weekday Boardings'!CN46+'Total Saturday Boardings'!CN46+'Total Sunday-Holiday Boardings'!CN46</f>
        <v>11006</v>
      </c>
      <c r="CO46" s="17">
        <f>'Total Weekday Boardings'!CO46+'Total Saturday Boardings'!CO46+'Total Sunday-Holiday Boardings'!CO46</f>
        <v>11409</v>
      </c>
      <c r="CP46" s="18">
        <f>'Total Weekday Boardings'!CP46+'Total Saturday Boardings'!CP46+'Total Sunday-Holiday Boardings'!CP46</f>
        <v>11995</v>
      </c>
      <c r="CQ46" s="18">
        <f>'Total Weekday Boardings'!CQ46+'Total Saturday Boardings'!CQ46+'Total Sunday-Holiday Boardings'!CQ46</f>
        <v>11760</v>
      </c>
      <c r="CR46" s="18">
        <f>'Total Weekday Boardings'!CR46+'Total Saturday Boardings'!CR46+'Total Sunday-Holiday Boardings'!CR46</f>
        <v>13177</v>
      </c>
      <c r="CS46" s="18">
        <f>'Total Weekday Boardings'!CS46+'Total Saturday Boardings'!CS46+'Total Sunday-Holiday Boardings'!CS46</f>
        <v>13772</v>
      </c>
      <c r="CT46" s="18">
        <f>'Total Weekday Boardings'!CT46+'Total Saturday Boardings'!CT46+'Total Sunday-Holiday Boardings'!CT46</f>
        <v>14934</v>
      </c>
      <c r="CU46" s="18">
        <f>'Total Weekday Boardings'!CU46+'Total Saturday Boardings'!CU46+'Total Sunday-Holiday Boardings'!CU46</f>
        <v>13512</v>
      </c>
      <c r="CV46" s="18">
        <f>'Total Weekday Boardings'!CV46+'Total Saturday Boardings'!CV46+'Total Sunday-Holiday Boardings'!CV46</f>
        <v>12510</v>
      </c>
      <c r="CW46" s="18">
        <f>'Total Weekday Boardings'!CW46+'Total Saturday Boardings'!CW46+'Total Sunday-Holiday Boardings'!CW46</f>
        <v>14243</v>
      </c>
      <c r="CX46" s="18">
        <f>'Total Weekday Boardings'!CX46+'Total Saturday Boardings'!CX46+'Total Sunday-Holiday Boardings'!CX46</f>
        <v>14032</v>
      </c>
      <c r="CY46" s="18">
        <f>'Total Weekday Boardings'!CY46+'Total Saturday Boardings'!CY46+'Total Sunday-Holiday Boardings'!CY46</f>
        <v>13273</v>
      </c>
      <c r="CZ46" s="19">
        <f>'Total Weekday Boardings'!CZ46+'Total Saturday Boardings'!CZ46+'Total Sunday-Holiday Boardings'!CZ46</f>
        <v>12451</v>
      </c>
      <c r="DA46" s="17">
        <f>'Total Weekday Boardings'!DA46+'Total Saturday Boardings'!DA46+'Total Sunday-Holiday Boardings'!DA46</f>
        <v>12948</v>
      </c>
      <c r="DB46" s="18">
        <f>'Total Weekday Boardings'!DB46+'Total Saturday Boardings'!DB46+'Total Sunday-Holiday Boardings'!DB46</f>
        <v>14069</v>
      </c>
      <c r="DC46" s="18">
        <f>'Total Weekday Boardings'!DC46+'Total Saturday Boardings'!DC46+'Total Sunday-Holiday Boardings'!DC46</f>
        <v>12875</v>
      </c>
      <c r="DD46" s="18">
        <f>'Total Weekday Boardings'!DD46+'Total Saturday Boardings'!DD46+'Total Sunday-Holiday Boardings'!DD46</f>
        <v>14339</v>
      </c>
      <c r="DE46" s="18">
        <f>'Total Weekday Boardings'!DE46+'Total Saturday Boardings'!DE46+'Total Sunday-Holiday Boardings'!DE46</f>
        <v>13786</v>
      </c>
      <c r="DF46" s="18">
        <f>'Total Weekday Boardings'!DF46+'Total Saturday Boardings'!DF46+'Total Sunday-Holiday Boardings'!DF46</f>
        <v>14285</v>
      </c>
      <c r="DG46" s="18">
        <f>'Total Weekday Boardings'!DG46+'Total Saturday Boardings'!DG46+'Total Sunday-Holiday Boardings'!DG46</f>
        <v>13761</v>
      </c>
      <c r="DH46" s="18">
        <f>'Total Weekday Boardings'!DH46+'Total Saturday Boardings'!DH46+'Total Sunday-Holiday Boardings'!DH46</f>
        <v>12809</v>
      </c>
      <c r="DI46" s="18">
        <f>'Total Weekday Boardings'!DI46+'Total Saturday Boardings'!DI46+'Total Sunday-Holiday Boardings'!DI46</f>
        <v>14907</v>
      </c>
      <c r="DJ46" s="18">
        <f>'Total Weekday Boardings'!DJ46+'Total Saturday Boardings'!DJ46+'Total Sunday-Holiday Boardings'!DJ46</f>
        <v>12817</v>
      </c>
      <c r="DK46" s="18">
        <f>'Total Weekday Boardings'!DK46+'Total Saturday Boardings'!DK46+'Total Sunday-Holiday Boardings'!DK46</f>
        <v>12557</v>
      </c>
      <c r="DL46" s="19">
        <f>'Total Weekday Boardings'!DL46+'Total Saturday Boardings'!DL46+'Total Sunday-Holiday Boardings'!DL46</f>
        <v>12295</v>
      </c>
      <c r="DM46" s="17">
        <f>'Total Weekday Boardings'!DM46+'Total Saturday Boardings'!DM46+'Total Sunday-Holiday Boardings'!DM46</f>
        <v>12359</v>
      </c>
      <c r="DN46" s="18">
        <f>'Total Weekday Boardings'!DN46+'Total Saturday Boardings'!DN46+'Total Sunday-Holiday Boardings'!DN46</f>
        <v>13190</v>
      </c>
      <c r="DO46" s="18">
        <f>'Total Weekday Boardings'!DO46+'Total Saturday Boardings'!DO46+'Total Sunday-Holiday Boardings'!DO46</f>
        <v>12789</v>
      </c>
      <c r="DP46" s="18">
        <f>'Total Weekday Boardings'!DP46+'Total Saturday Boardings'!DP46+'Total Sunday-Holiday Boardings'!DP46</f>
        <v>13968</v>
      </c>
      <c r="DQ46" s="18">
        <f>'Total Weekday Boardings'!DQ46+'Total Saturday Boardings'!DQ46+'Total Sunday-Holiday Boardings'!DQ46</f>
        <v>13251</v>
      </c>
      <c r="DR46" s="18">
        <f>'Total Weekday Boardings'!DR46+'Total Saturday Boardings'!DR46+'Total Sunday-Holiday Boardings'!DR46</f>
        <v>13215</v>
      </c>
      <c r="DS46" s="18">
        <f>'Total Weekday Boardings'!DS46+'Total Saturday Boardings'!DS46+'Total Sunday-Holiday Boardings'!DS46</f>
        <v>13137</v>
      </c>
      <c r="DT46" s="18">
        <f>'Total Weekday Boardings'!DT46+'Total Saturday Boardings'!DT46+'Total Sunday-Holiday Boardings'!DT46</f>
        <v>12094</v>
      </c>
      <c r="DU46" s="18">
        <f>'Total Weekday Boardings'!DU46+'Total Saturday Boardings'!DU46+'Total Sunday-Holiday Boardings'!DU46</f>
        <v>13160</v>
      </c>
      <c r="DV46" s="18">
        <f>'Total Weekday Boardings'!DV46+'Total Saturday Boardings'!DV46+'Total Sunday-Holiday Boardings'!DV46</f>
        <v>12401</v>
      </c>
      <c r="DW46" s="18">
        <f>'Total Weekday Boardings'!DW46+'Total Saturday Boardings'!DW46+'Total Sunday-Holiday Boardings'!DW46</f>
        <v>12931</v>
      </c>
      <c r="DX46" s="19">
        <f>'Total Weekday Boardings'!DX46+'Total Saturday Boardings'!DX46+'Total Sunday-Holiday Boardings'!DX46</f>
        <v>12758</v>
      </c>
      <c r="DY46" s="137">
        <v>13419</v>
      </c>
      <c r="DZ46" s="18">
        <v>14346</v>
      </c>
      <c r="EA46" s="18">
        <v>14746</v>
      </c>
      <c r="EB46" s="18">
        <v>16745</v>
      </c>
      <c r="EC46" s="18">
        <v>15467</v>
      </c>
      <c r="ED46" s="18">
        <v>14803</v>
      </c>
      <c r="EE46" s="18">
        <v>15085</v>
      </c>
      <c r="EF46" s="18">
        <v>15037</v>
      </c>
      <c r="EG46" s="18">
        <v>13820</v>
      </c>
      <c r="EH46" s="18">
        <v>8178</v>
      </c>
      <c r="EI46" s="18">
        <v>7829</v>
      </c>
      <c r="EJ46" s="19">
        <v>6772</v>
      </c>
      <c r="EK46" s="100">
        <v>6195</v>
      </c>
      <c r="EL46" s="18">
        <v>6695</v>
      </c>
      <c r="EM46" s="18">
        <v>6733</v>
      </c>
      <c r="EN46" s="104">
        <v>7566</v>
      </c>
      <c r="EO46" s="18">
        <v>6010</v>
      </c>
      <c r="EP46" s="18">
        <v>5321</v>
      </c>
      <c r="EQ46" s="18">
        <v>3182</v>
      </c>
      <c r="ER46" s="18">
        <v>5512</v>
      </c>
      <c r="ES46" s="18">
        <v>6539</v>
      </c>
      <c r="ET46" s="18">
        <v>6625</v>
      </c>
      <c r="EU46" s="18">
        <v>5758</v>
      </c>
      <c r="EV46" s="19">
        <v>6277</v>
      </c>
      <c r="EW46" s="103">
        <v>6010</v>
      </c>
      <c r="EX46" s="18">
        <v>6822</v>
      </c>
      <c r="EY46" s="18">
        <v>6830</v>
      </c>
      <c r="EZ46" s="104">
        <v>8103</v>
      </c>
      <c r="FA46" s="18">
        <v>7980</v>
      </c>
      <c r="FB46" s="145">
        <v>8265</v>
      </c>
      <c r="FC46" s="18">
        <v>6998</v>
      </c>
      <c r="FD46" s="18">
        <v>7961</v>
      </c>
      <c r="FE46" s="18">
        <v>9868</v>
      </c>
      <c r="FF46" s="18">
        <v>9014</v>
      </c>
      <c r="FG46" s="13">
        <f>SUM('Total Weekday Boardings'!FG46,'Total Saturday Boardings'!FG46,'Total Sunday-Holiday Boardings'!FG46)</f>
        <v>8666</v>
      </c>
      <c r="FH46" s="13">
        <f>SUM('Total Weekday Boardings'!FH46,'Total Saturday Boardings'!FH46,'Total Sunday-Holiday Boardings'!FH46)</f>
        <v>7709</v>
      </c>
      <c r="FI46" s="13">
        <f>SUM('Total Weekday Boardings'!FI46,'Total Saturday Boardings'!FI46,'Total Sunday-Holiday Boardings'!FI46)</f>
        <v>8262</v>
      </c>
      <c r="FJ46" s="13">
        <f>SUM('Total Weekday Boardings'!FJ46,'Total Saturday Boardings'!FJ46,'Total Sunday-Holiday Boardings'!FJ46)</f>
        <v>8919</v>
      </c>
      <c r="FK46" s="13">
        <f>SUM('Total Weekday Boardings'!FK46,'Total Saturday Boardings'!FK46,'Total Sunday-Holiday Boardings'!FK46)</f>
        <v>9702</v>
      </c>
      <c r="FL46" s="13">
        <f>SUM('Total Weekday Boardings'!FL46,'Total Saturday Boardings'!FL46,'Total Sunday-Holiday Boardings'!FL46)</f>
        <v>10180</v>
      </c>
      <c r="FM46" s="13">
        <f>SUM('Total Weekday Boardings'!FM46,'Total Saturday Boardings'!FM46,'Total Sunday-Holiday Boardings'!FM46)</f>
        <v>9108</v>
      </c>
      <c r="FN46" s="13">
        <f>SUM('Total Weekday Boardings'!FN46,'Total Saturday Boardings'!FN46,'Total Sunday-Holiday Boardings'!FN46)</f>
        <v>9318</v>
      </c>
      <c r="FO46" s="13">
        <f>SUM('Total Weekday Boardings'!FO46,'Total Saturday Boardings'!FO46,'Total Sunday-Holiday Boardings'!FO46)</f>
        <v>9644</v>
      </c>
      <c r="FP46" s="13">
        <f>SUM('Total Weekday Boardings'!FP46,'Total Saturday Boardings'!FP46,'Total Sunday-Holiday Boardings'!FP46)</f>
        <v>8204</v>
      </c>
      <c r="FQ46" s="13">
        <f>SUM('Total Weekday Boardings'!FQ46,'Total Saturday Boardings'!FQ46,'Total Sunday-Holiday Boardings'!FQ46)</f>
        <v>10556</v>
      </c>
      <c r="FR46" s="13">
        <f>SUM('Total Weekday Boardings'!FR46,'Total Saturday Boardings'!FR46,'Total Sunday-Holiday Boardings'!FR46)</f>
        <v>10753</v>
      </c>
      <c r="FS46" s="13">
        <f>SUM('Total Weekday Boardings'!FS46,'Total Saturday Boardings'!FS46,'Total Sunday-Holiday Boardings'!FS46)</f>
        <v>10313</v>
      </c>
      <c r="FT46" s="16">
        <f>SUM('Total Weekday Boardings'!FT46,'Total Saturday Boardings'!FT46,'Total Sunday-Holiday Boardings'!FT46)</f>
        <v>9128</v>
      </c>
      <c r="FU46" s="171">
        <v>8961</v>
      </c>
      <c r="FV46" s="171">
        <v>9460</v>
      </c>
      <c r="FW46" s="171">
        <v>9683</v>
      </c>
      <c r="FX46" s="171">
        <v>10616</v>
      </c>
      <c r="FY46" s="171">
        <v>10208</v>
      </c>
      <c r="FZ46" s="171">
        <v>9857</v>
      </c>
      <c r="GA46" s="171">
        <v>10179</v>
      </c>
      <c r="GB46" s="52">
        <v>11053</v>
      </c>
      <c r="GC46" s="52">
        <v>11115</v>
      </c>
      <c r="GD46" s="52">
        <v>10358</v>
      </c>
      <c r="GE46" s="18">
        <v>10344</v>
      </c>
      <c r="GF46" s="52">
        <v>8961</v>
      </c>
      <c r="GG46" s="184">
        <v>10242</v>
      </c>
      <c r="GH46" s="52">
        <v>10658</v>
      </c>
      <c r="GI46" s="18">
        <v>10900</v>
      </c>
      <c r="GJ46" s="236">
        <v>12226</v>
      </c>
      <c r="GK46" s="184">
        <v>10710</v>
      </c>
      <c r="GL46" s="184">
        <v>11150</v>
      </c>
    </row>
    <row r="47" spans="1:194" ht="15" thickBot="1" x14ac:dyDescent="0.35">
      <c r="A47" s="11" t="s">
        <v>29</v>
      </c>
      <c r="B47" s="27"/>
      <c r="C47" s="28"/>
      <c r="D47" s="28"/>
      <c r="E47" s="28"/>
      <c r="F47" s="28"/>
      <c r="G47" s="28"/>
      <c r="H47" s="29"/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9"/>
      <c r="U47" s="27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9"/>
      <c r="AG47" s="27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9"/>
      <c r="AS47" s="27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9"/>
      <c r="BE47" s="27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9"/>
      <c r="BQ47" s="27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9"/>
      <c r="CC47" s="30"/>
      <c r="CD47" s="28">
        <f>'Total Weekday Boardings'!CD47+'Total Saturday Boardings'!CD47+'Total Sunday-Holiday Boardings'!CD47</f>
        <v>23360</v>
      </c>
      <c r="CE47" s="28">
        <f>'Total Weekday Boardings'!CE47+'Total Saturday Boardings'!CE47+'Total Sunday-Holiday Boardings'!CE47</f>
        <v>63589</v>
      </c>
      <c r="CF47" s="28">
        <f>'Total Weekday Boardings'!CF47+'Total Saturday Boardings'!CF47+'Total Sunday-Holiday Boardings'!CF47</f>
        <v>66648</v>
      </c>
      <c r="CG47" s="28">
        <f>'Total Weekday Boardings'!CG47+'Total Saturday Boardings'!CG47+'Total Sunday-Holiday Boardings'!CG47</f>
        <v>61775</v>
      </c>
      <c r="CH47" s="28">
        <f>'Total Weekday Boardings'!CH47+'Total Saturday Boardings'!CH47+'Total Sunday-Holiday Boardings'!CH47</f>
        <v>64845</v>
      </c>
      <c r="CI47" s="28">
        <f>'Total Weekday Boardings'!CI47+'Total Saturday Boardings'!CI47+'Total Sunday-Holiday Boardings'!CI47</f>
        <v>66931</v>
      </c>
      <c r="CJ47" s="28">
        <f>'Total Weekday Boardings'!CJ47+'Total Saturday Boardings'!CJ47+'Total Sunday-Holiday Boardings'!CJ47</f>
        <v>66259</v>
      </c>
      <c r="CK47" s="28">
        <f>'Total Weekday Boardings'!CK47+'Total Saturday Boardings'!CK47+'Total Sunday-Holiday Boardings'!CK47</f>
        <v>72039</v>
      </c>
      <c r="CL47" s="28">
        <f>'Total Weekday Boardings'!CL47+'Total Saturday Boardings'!CL47+'Total Sunday-Holiday Boardings'!CL47</f>
        <v>70885</v>
      </c>
      <c r="CM47" s="28">
        <f>'Total Weekday Boardings'!CM47+'Total Saturday Boardings'!CM47+'Total Sunday-Holiday Boardings'!CM47</f>
        <v>60911</v>
      </c>
      <c r="CN47" s="31">
        <f>'Total Weekday Boardings'!CN47+'Total Saturday Boardings'!CN47+'Total Sunday-Holiday Boardings'!CN47</f>
        <v>62418</v>
      </c>
      <c r="CO47" s="27">
        <f>'Total Weekday Boardings'!CO47+'Total Saturday Boardings'!CO47+'Total Sunday-Holiday Boardings'!CO47</f>
        <v>62750</v>
      </c>
      <c r="CP47" s="28">
        <f>'Total Weekday Boardings'!CP47+'Total Saturday Boardings'!CP47+'Total Sunday-Holiday Boardings'!CP47</f>
        <v>67618</v>
      </c>
      <c r="CQ47" s="28">
        <f>'Total Weekday Boardings'!CQ47+'Total Saturday Boardings'!CQ47+'Total Sunday-Holiday Boardings'!CQ47</f>
        <v>65666</v>
      </c>
      <c r="CR47" s="28">
        <f>'Total Weekday Boardings'!CR47+'Total Saturday Boardings'!CR47+'Total Sunday-Holiday Boardings'!CR47</f>
        <v>66956</v>
      </c>
      <c r="CS47" s="28">
        <f>'Total Weekday Boardings'!CS47+'Total Saturday Boardings'!CS47+'Total Sunday-Holiday Boardings'!CS47</f>
        <v>65222</v>
      </c>
      <c r="CT47" s="28">
        <f>'Total Weekday Boardings'!CT47+'Total Saturday Boardings'!CT47+'Total Sunday-Holiday Boardings'!CT47</f>
        <v>71245</v>
      </c>
      <c r="CU47" s="28">
        <f>'Total Weekday Boardings'!CU47+'Total Saturday Boardings'!CU47+'Total Sunday-Holiday Boardings'!CU47</f>
        <v>69115</v>
      </c>
      <c r="CV47" s="28">
        <f>'Total Weekday Boardings'!CV47+'Total Saturday Boardings'!CV47+'Total Sunday-Holiday Boardings'!CV47</f>
        <v>66534</v>
      </c>
      <c r="CW47" s="28">
        <f>'Total Weekday Boardings'!CW47+'Total Saturday Boardings'!CW47+'Total Sunday-Holiday Boardings'!CW47</f>
        <v>73549</v>
      </c>
      <c r="CX47" s="28">
        <f>'Total Weekday Boardings'!CX47+'Total Saturday Boardings'!CX47+'Total Sunday-Holiday Boardings'!CX47</f>
        <v>73222</v>
      </c>
      <c r="CY47" s="28">
        <f>'Total Weekday Boardings'!CY47+'Total Saturday Boardings'!CY47+'Total Sunday-Holiday Boardings'!CY47</f>
        <v>70006</v>
      </c>
      <c r="CZ47" s="29">
        <f>'Total Weekday Boardings'!CZ47+'Total Saturday Boardings'!CZ47+'Total Sunday-Holiday Boardings'!CZ47</f>
        <v>62258</v>
      </c>
      <c r="DA47" s="27">
        <f>'Total Weekday Boardings'!DA47+'Total Saturday Boardings'!DA47+'Total Sunday-Holiday Boardings'!DA47</f>
        <v>63713</v>
      </c>
      <c r="DB47" s="28">
        <f>'Total Weekday Boardings'!DB47+'Total Saturday Boardings'!DB47+'Total Sunday-Holiday Boardings'!DB47</f>
        <v>72413</v>
      </c>
      <c r="DC47" s="28">
        <f>'Total Weekday Boardings'!DC47+'Total Saturday Boardings'!DC47+'Total Sunday-Holiday Boardings'!DC47</f>
        <v>70003</v>
      </c>
      <c r="DD47" s="28">
        <f>'Total Weekday Boardings'!DD47+'Total Saturday Boardings'!DD47+'Total Sunday-Holiday Boardings'!DD47</f>
        <v>72323</v>
      </c>
      <c r="DE47" s="28">
        <f>'Total Weekday Boardings'!DE47+'Total Saturday Boardings'!DE47+'Total Sunday-Holiday Boardings'!DE47</f>
        <v>64600</v>
      </c>
      <c r="DF47" s="28">
        <f>'Total Weekday Boardings'!DF47+'Total Saturday Boardings'!DF47+'Total Sunday-Holiday Boardings'!DF47</f>
        <v>74175</v>
      </c>
      <c r="DG47" s="28">
        <f>'Total Weekday Boardings'!DG47+'Total Saturday Boardings'!DG47+'Total Sunday-Holiday Boardings'!DG47</f>
        <v>68310</v>
      </c>
      <c r="DH47" s="28">
        <f>'Total Weekday Boardings'!DH47+'Total Saturday Boardings'!DH47+'Total Sunday-Holiday Boardings'!DH47</f>
        <v>64979</v>
      </c>
      <c r="DI47" s="28">
        <f>'Total Weekday Boardings'!DI47+'Total Saturday Boardings'!DI47+'Total Sunday-Holiday Boardings'!DI47</f>
        <v>75668</v>
      </c>
      <c r="DJ47" s="28">
        <f>'Total Weekday Boardings'!DJ47+'Total Saturday Boardings'!DJ47+'Total Sunday-Holiday Boardings'!DJ47</f>
        <v>70988</v>
      </c>
      <c r="DK47" s="28">
        <f>'Total Weekday Boardings'!DK47+'Total Saturday Boardings'!DK47+'Total Sunday-Holiday Boardings'!DK47</f>
        <v>65560</v>
      </c>
      <c r="DL47" s="29">
        <f>'Total Weekday Boardings'!DL47+'Total Saturday Boardings'!DL47+'Total Sunday-Holiday Boardings'!DL47</f>
        <v>59683</v>
      </c>
      <c r="DM47" s="27">
        <f>'Total Weekday Boardings'!DM47+'Total Saturday Boardings'!DM47+'Total Sunday-Holiday Boardings'!DM47</f>
        <v>62259</v>
      </c>
      <c r="DN47" s="28">
        <f>'Total Weekday Boardings'!DN47+'Total Saturday Boardings'!DN47+'Total Sunday-Holiday Boardings'!DN47</f>
        <v>68963</v>
      </c>
      <c r="DO47" s="28">
        <f>'Total Weekday Boardings'!DO47+'Total Saturday Boardings'!DO47+'Total Sunday-Holiday Boardings'!DO47</f>
        <v>66894</v>
      </c>
      <c r="DP47" s="28">
        <f>'Total Weekday Boardings'!DP47+'Total Saturday Boardings'!DP47+'Total Sunday-Holiday Boardings'!DP47</f>
        <v>68267</v>
      </c>
      <c r="DQ47" s="28">
        <f>'Total Weekday Boardings'!DQ47+'Total Saturday Boardings'!DQ47+'Total Sunday-Holiday Boardings'!DQ47</f>
        <v>68799</v>
      </c>
      <c r="DR47" s="28">
        <f>'Total Weekday Boardings'!DR47+'Total Saturday Boardings'!DR47+'Total Sunday-Holiday Boardings'!DR47</f>
        <v>74079</v>
      </c>
      <c r="DS47" s="28">
        <f>'Total Weekday Boardings'!DS47+'Total Saturday Boardings'!DS47+'Total Sunday-Holiday Boardings'!DS47</f>
        <v>75190</v>
      </c>
      <c r="DT47" s="28">
        <f>'Total Weekday Boardings'!DT47+'Total Saturday Boardings'!DT47+'Total Sunday-Holiday Boardings'!DT47</f>
        <v>66890</v>
      </c>
      <c r="DU47" s="28">
        <f>'Total Weekday Boardings'!DU47+'Total Saturday Boardings'!DU47+'Total Sunday-Holiday Boardings'!DU47</f>
        <v>75249</v>
      </c>
      <c r="DV47" s="28">
        <f>'Total Weekday Boardings'!DV47+'Total Saturday Boardings'!DV47+'Total Sunday-Holiday Boardings'!DV47</f>
        <v>72889</v>
      </c>
      <c r="DW47" s="28">
        <f>'Total Weekday Boardings'!DW47+'Total Saturday Boardings'!DW47+'Total Sunday-Holiday Boardings'!DW47</f>
        <v>51603</v>
      </c>
      <c r="DX47" s="29">
        <f>'Total Weekday Boardings'!DX47+'Total Saturday Boardings'!DX47+'Total Sunday-Holiday Boardings'!DX47</f>
        <v>22036</v>
      </c>
      <c r="DY47" s="137">
        <v>21756</v>
      </c>
      <c r="DZ47" s="28">
        <v>22980</v>
      </c>
      <c r="EA47" s="28">
        <v>24790</v>
      </c>
      <c r="EB47" s="28">
        <v>26861</v>
      </c>
      <c r="EC47" s="28">
        <v>25239</v>
      </c>
      <c r="ED47" s="28">
        <v>32535</v>
      </c>
      <c r="EE47" s="28">
        <v>24109</v>
      </c>
      <c r="EF47" s="28">
        <v>24210</v>
      </c>
      <c r="EG47" s="28">
        <v>20389</v>
      </c>
      <c r="EH47" s="28">
        <v>12949</v>
      </c>
      <c r="EI47" s="28">
        <v>12611</v>
      </c>
      <c r="EJ47" s="29">
        <v>10900</v>
      </c>
      <c r="EK47" s="100">
        <v>10318</v>
      </c>
      <c r="EL47" s="28">
        <v>11099</v>
      </c>
      <c r="EM47" s="28">
        <v>10923</v>
      </c>
      <c r="EN47" s="105">
        <v>11951</v>
      </c>
      <c r="EO47" s="28">
        <v>10587</v>
      </c>
      <c r="EP47" s="28">
        <v>8568</v>
      </c>
      <c r="EQ47" s="28">
        <v>4707</v>
      </c>
      <c r="ER47" s="28">
        <v>8617</v>
      </c>
      <c r="ES47" s="28">
        <v>10515</v>
      </c>
      <c r="ET47" s="28">
        <v>10256</v>
      </c>
      <c r="EU47" s="28">
        <v>9209</v>
      </c>
      <c r="EV47" s="29">
        <v>10222</v>
      </c>
      <c r="EW47" s="103">
        <v>10587</v>
      </c>
      <c r="EX47" s="28">
        <v>11874</v>
      </c>
      <c r="EY47" s="28">
        <v>11948</v>
      </c>
      <c r="EZ47" s="105">
        <v>14236</v>
      </c>
      <c r="FA47" s="28">
        <v>14337</v>
      </c>
      <c r="FB47" s="147">
        <v>16849</v>
      </c>
      <c r="FC47" s="28">
        <v>11442</v>
      </c>
      <c r="FD47" s="28">
        <v>13276</v>
      </c>
      <c r="FE47" s="28">
        <v>16672</v>
      </c>
      <c r="FF47" s="28">
        <v>17179</v>
      </c>
      <c r="FG47" s="13">
        <f>SUM('Total Weekday Boardings'!FG47,'Total Saturday Boardings'!FG47,'Total Sunday-Holiday Boardings'!FG47)</f>
        <v>15316</v>
      </c>
      <c r="FH47" s="13">
        <f>SUM('Total Weekday Boardings'!FH47,'Total Saturday Boardings'!FH47,'Total Sunday-Holiday Boardings'!FH47)</f>
        <v>12672</v>
      </c>
      <c r="FI47" s="13">
        <f>SUM('Total Weekday Boardings'!FI47,'Total Saturday Boardings'!FI47,'Total Sunday-Holiday Boardings'!FI47)</f>
        <v>14123</v>
      </c>
      <c r="FJ47" s="13">
        <f>SUM('Total Weekday Boardings'!FJ47,'Total Saturday Boardings'!FJ47,'Total Sunday-Holiday Boardings'!FJ47)</f>
        <v>15506.000000000002</v>
      </c>
      <c r="FK47" s="13">
        <f>SUM('Total Weekday Boardings'!FK47,'Total Saturday Boardings'!FK47,'Total Sunday-Holiday Boardings'!FK47)</f>
        <v>16533.75</v>
      </c>
      <c r="FL47" s="13">
        <f>SUM('Total Weekday Boardings'!FL47,'Total Saturday Boardings'!FL47,'Total Sunday-Holiday Boardings'!FL47)</f>
        <v>16498</v>
      </c>
      <c r="FM47" s="13">
        <f>SUM('Total Weekday Boardings'!FM47,'Total Saturday Boardings'!FM47,'Total Sunday-Holiday Boardings'!FM47)</f>
        <v>16445</v>
      </c>
      <c r="FN47" s="13">
        <f>SUM('Total Weekday Boardings'!FN47,'Total Saturday Boardings'!FN47,'Total Sunday-Holiday Boardings'!FN47)</f>
        <v>25410</v>
      </c>
      <c r="FO47" s="13">
        <f>SUM('Total Weekday Boardings'!FO47,'Total Saturday Boardings'!FO47,'Total Sunday-Holiday Boardings'!FO47)</f>
        <v>18210</v>
      </c>
      <c r="FP47" s="13">
        <f>SUM('Total Weekday Boardings'!FP47,'Total Saturday Boardings'!FP47,'Total Sunday-Holiday Boardings'!FP47)</f>
        <v>13801</v>
      </c>
      <c r="FQ47" s="13">
        <f>SUM('Total Weekday Boardings'!FQ47,'Total Saturday Boardings'!FQ47,'Total Sunday-Holiday Boardings'!FQ47)</f>
        <v>17351</v>
      </c>
      <c r="FR47" s="13">
        <f>SUM('Total Weekday Boardings'!FR47,'Total Saturday Boardings'!FR47,'Total Sunday-Holiday Boardings'!FR47)</f>
        <v>17369</v>
      </c>
      <c r="FS47" s="13">
        <f>SUM('Total Weekday Boardings'!FS47,'Total Saturday Boardings'!FS47,'Total Sunday-Holiday Boardings'!FS47)</f>
        <v>15987</v>
      </c>
      <c r="FT47" s="16">
        <f>SUM('Total Weekday Boardings'!FT47,'Total Saturday Boardings'!FT47,'Total Sunday-Holiday Boardings'!FT47)</f>
        <v>14160</v>
      </c>
      <c r="FU47" s="171">
        <v>14816</v>
      </c>
      <c r="FV47" s="171">
        <v>15768</v>
      </c>
      <c r="FW47" s="171">
        <v>15357</v>
      </c>
      <c r="FX47" s="171">
        <v>16077</v>
      </c>
      <c r="FY47" s="171">
        <v>15226</v>
      </c>
      <c r="FZ47" s="171">
        <v>19567</v>
      </c>
      <c r="GA47" s="171">
        <v>16054</v>
      </c>
      <c r="GB47" s="52">
        <v>15306</v>
      </c>
      <c r="GC47" s="52">
        <v>21537</v>
      </c>
      <c r="GD47" s="52">
        <v>15032</v>
      </c>
      <c r="GE47" s="18">
        <v>14450</v>
      </c>
      <c r="GF47" s="52">
        <v>13720</v>
      </c>
      <c r="GG47" s="184">
        <v>14017</v>
      </c>
      <c r="GH47" s="52">
        <v>14405</v>
      </c>
      <c r="GI47" s="18">
        <v>14602</v>
      </c>
      <c r="GJ47" s="236">
        <v>15380</v>
      </c>
      <c r="GK47" s="184">
        <v>13972</v>
      </c>
      <c r="GL47" s="184">
        <v>22935</v>
      </c>
    </row>
    <row r="48" spans="1:194" ht="15" thickBot="1" x14ac:dyDescent="0.35">
      <c r="A48" s="93" t="s">
        <v>69</v>
      </c>
      <c r="B48" s="12"/>
      <c r="C48" s="13"/>
      <c r="D48" s="13"/>
      <c r="E48" s="13"/>
      <c r="F48" s="13"/>
      <c r="G48" s="13"/>
      <c r="H48" s="14"/>
      <c r="I48" s="1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6"/>
      <c r="U48" s="12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4"/>
      <c r="AS48" s="15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6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4"/>
      <c r="BQ48" s="15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6"/>
      <c r="CC48" s="12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4"/>
      <c r="CO48" s="15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4"/>
      <c r="DA48" s="12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4"/>
      <c r="DM48" s="12"/>
      <c r="DN48" s="13"/>
      <c r="DO48" s="13"/>
      <c r="DP48" s="13"/>
      <c r="DQ48" s="13"/>
      <c r="DR48" s="13"/>
      <c r="DS48" s="13"/>
      <c r="DT48" s="13"/>
      <c r="DU48" s="13"/>
      <c r="DV48" s="13"/>
      <c r="DW48" s="18">
        <f>'Total Weekday Boardings'!DW48+'Total Saturday Boardings'!DW48+'Total Sunday-Holiday Boardings'!DW48</f>
        <v>4760</v>
      </c>
      <c r="DX48" s="19">
        <f>'Total Weekday Boardings'!DX48+'Total Saturday Boardings'!DX48+'Total Sunday-Holiday Boardings'!DX48</f>
        <v>11317</v>
      </c>
      <c r="DY48" s="138">
        <v>12677</v>
      </c>
      <c r="DZ48" s="13">
        <v>13334</v>
      </c>
      <c r="EA48" s="13">
        <v>13604</v>
      </c>
      <c r="EB48" s="13">
        <v>15960</v>
      </c>
      <c r="EC48" s="13">
        <v>15292</v>
      </c>
      <c r="ED48" s="13">
        <v>13983</v>
      </c>
      <c r="EE48" s="13">
        <v>15718</v>
      </c>
      <c r="EF48" s="13">
        <v>15566</v>
      </c>
      <c r="EG48" s="13">
        <v>15016</v>
      </c>
      <c r="EH48" s="13">
        <v>10542</v>
      </c>
      <c r="EI48" s="18">
        <v>9856</v>
      </c>
      <c r="EJ48" s="19">
        <v>9253</v>
      </c>
      <c r="EK48" s="13">
        <v>8593</v>
      </c>
      <c r="EL48" s="13">
        <v>8979</v>
      </c>
      <c r="EM48" s="13">
        <v>8886</v>
      </c>
      <c r="EN48" s="107">
        <v>9602</v>
      </c>
      <c r="EO48" s="13">
        <v>8070</v>
      </c>
      <c r="EP48" s="13">
        <v>7126</v>
      </c>
      <c r="EQ48" s="13">
        <v>4331</v>
      </c>
      <c r="ER48" s="13">
        <v>7505</v>
      </c>
      <c r="ES48" s="13">
        <v>3543</v>
      </c>
      <c r="ET48" s="13">
        <v>8005</v>
      </c>
      <c r="EU48" s="13">
        <v>7684</v>
      </c>
      <c r="EV48" s="14">
        <v>7980</v>
      </c>
      <c r="EW48" s="13">
        <v>8070</v>
      </c>
      <c r="EX48" s="13">
        <v>8634</v>
      </c>
      <c r="EY48" s="13">
        <v>9141</v>
      </c>
      <c r="EZ48" s="107">
        <v>10266</v>
      </c>
      <c r="FA48" s="13">
        <v>9843</v>
      </c>
      <c r="FB48" s="144">
        <v>10128</v>
      </c>
      <c r="FC48" s="13">
        <v>9807</v>
      </c>
      <c r="FD48" s="13">
        <v>11986</v>
      </c>
      <c r="FE48" s="13">
        <v>13880</v>
      </c>
      <c r="FF48" s="13">
        <v>13107</v>
      </c>
      <c r="FG48" s="13">
        <f>SUM('Total Weekday Boardings'!FG48,'Total Saturday Boardings'!FG48,'Total Sunday-Holiday Boardings'!FG48)</f>
        <v>11710</v>
      </c>
      <c r="FH48" s="13">
        <f>SUM('Total Weekday Boardings'!FH48,'Total Saturday Boardings'!FH48,'Total Sunday-Holiday Boardings'!FH48)</f>
        <v>9884</v>
      </c>
      <c r="FI48" s="13">
        <f>SUM('Total Weekday Boardings'!FI48,'Total Saturday Boardings'!FI48,'Total Sunday-Holiday Boardings'!FI48)</f>
        <v>10461</v>
      </c>
      <c r="FJ48" s="13">
        <f>SUM('Total Weekday Boardings'!FJ48,'Total Saturday Boardings'!FJ48,'Total Sunday-Holiday Boardings'!FJ48)</f>
        <v>11478</v>
      </c>
      <c r="FK48" s="13">
        <f>SUM('Total Weekday Boardings'!FK48,'Total Saturday Boardings'!FK48,'Total Sunday-Holiday Boardings'!FK48)</f>
        <v>11210.75</v>
      </c>
      <c r="FL48" s="13">
        <f>SUM('Total Weekday Boardings'!FL48,'Total Saturday Boardings'!FL48,'Total Sunday-Holiday Boardings'!FL48)</f>
        <v>11077</v>
      </c>
      <c r="FM48" s="13">
        <f>SUM('Total Weekday Boardings'!FM48,'Total Saturday Boardings'!FM48,'Total Sunday-Holiday Boardings'!FM48)</f>
        <v>11009</v>
      </c>
      <c r="FN48" s="13">
        <f>SUM('Total Weekday Boardings'!FN48,'Total Saturday Boardings'!FN48,'Total Sunday-Holiday Boardings'!FN48)</f>
        <v>12054</v>
      </c>
      <c r="FO48" s="13">
        <f>SUM('Total Weekday Boardings'!FO48,'Total Saturday Boardings'!FO48,'Total Sunday-Holiday Boardings'!FO48)</f>
        <v>12637</v>
      </c>
      <c r="FP48" s="13">
        <f>SUM('Total Weekday Boardings'!FP48,'Total Saturday Boardings'!FP48,'Total Sunday-Holiday Boardings'!FP48)</f>
        <v>10216</v>
      </c>
      <c r="FQ48" s="13">
        <f>SUM('Total Weekday Boardings'!FQ48,'Total Saturday Boardings'!FQ48,'Total Sunday-Holiday Boardings'!FQ48)</f>
        <v>13642</v>
      </c>
      <c r="FR48" s="13">
        <f>SUM('Total Weekday Boardings'!FR48,'Total Saturday Boardings'!FR48,'Total Sunday-Holiday Boardings'!FR48)</f>
        <v>13025</v>
      </c>
      <c r="FS48" s="13">
        <f>SUM('Total Weekday Boardings'!FS48,'Total Saturday Boardings'!FS48,'Total Sunday-Holiday Boardings'!FS48)</f>
        <v>12572</v>
      </c>
      <c r="FT48" s="16">
        <f>SUM('Total Weekday Boardings'!FT48,'Total Saturday Boardings'!FT48,'Total Sunday-Holiday Boardings'!FT48)</f>
        <v>11797</v>
      </c>
      <c r="FU48" s="171">
        <v>12952</v>
      </c>
      <c r="FV48" s="171">
        <v>13722</v>
      </c>
      <c r="FW48" s="171">
        <v>12576</v>
      </c>
      <c r="FX48" s="171">
        <v>13121</v>
      </c>
      <c r="FY48" s="171">
        <v>11631</v>
      </c>
      <c r="FZ48" s="171">
        <v>11361</v>
      </c>
      <c r="GA48" s="171">
        <v>12535</v>
      </c>
      <c r="GB48" s="52">
        <v>12442</v>
      </c>
      <c r="GC48" s="52">
        <v>11937</v>
      </c>
      <c r="GD48" s="52">
        <v>11156</v>
      </c>
      <c r="GE48" s="18">
        <v>11467</v>
      </c>
      <c r="GF48" s="52">
        <v>11817</v>
      </c>
      <c r="GG48" s="184">
        <v>12900</v>
      </c>
      <c r="GH48" s="52">
        <v>13967</v>
      </c>
      <c r="GI48" s="18">
        <v>13469</v>
      </c>
      <c r="GJ48" s="236">
        <v>13820</v>
      </c>
      <c r="GK48" s="184">
        <v>11442</v>
      </c>
      <c r="GL48" s="184">
        <v>10831</v>
      </c>
    </row>
    <row r="49" spans="1:194" ht="15" thickBot="1" x14ac:dyDescent="0.35">
      <c r="A49" s="94" t="s">
        <v>70</v>
      </c>
      <c r="B49" s="27"/>
      <c r="C49" s="28"/>
      <c r="D49" s="28"/>
      <c r="E49" s="28"/>
      <c r="F49" s="28"/>
      <c r="G49" s="28"/>
      <c r="H49" s="29"/>
      <c r="I49" s="30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27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9"/>
      <c r="AS49" s="30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31"/>
      <c r="BE49" s="27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9"/>
      <c r="BQ49" s="30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31"/>
      <c r="CC49" s="27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9"/>
      <c r="CO49" s="30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9"/>
      <c r="DA49" s="27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9"/>
      <c r="DM49" s="27"/>
      <c r="DN49" s="28"/>
      <c r="DO49" s="28"/>
      <c r="DP49" s="28"/>
      <c r="DQ49" s="28"/>
      <c r="DR49" s="28"/>
      <c r="DS49" s="28"/>
      <c r="DT49" s="28"/>
      <c r="DU49" s="28"/>
      <c r="DV49" s="28"/>
      <c r="DW49" s="28">
        <f>'Total Weekday Boardings'!DW49+'Total Saturday Boardings'!DW49+'Total Sunday-Holiday Boardings'!DW49</f>
        <v>25216</v>
      </c>
      <c r="DX49" s="29">
        <f>'Total Weekday Boardings'!DX49+'Total Saturday Boardings'!DX49+'Total Sunday-Holiday Boardings'!DX49</f>
        <v>53240</v>
      </c>
      <c r="DY49" s="141">
        <v>58095</v>
      </c>
      <c r="DZ49" s="28">
        <v>58751</v>
      </c>
      <c r="EA49" s="28">
        <v>58651</v>
      </c>
      <c r="EB49" s="28">
        <v>59773</v>
      </c>
      <c r="EC49" s="28">
        <v>61257</v>
      </c>
      <c r="ED49" s="28">
        <v>60957</v>
      </c>
      <c r="EE49" s="28">
        <v>66870</v>
      </c>
      <c r="EF49" s="28">
        <v>66612</v>
      </c>
      <c r="EG49" s="28">
        <v>29168</v>
      </c>
      <c r="EH49" s="28">
        <v>19912</v>
      </c>
      <c r="EI49" s="28">
        <v>20427</v>
      </c>
      <c r="EJ49" s="29">
        <v>19999</v>
      </c>
      <c r="EK49" s="101">
        <v>18540</v>
      </c>
      <c r="EL49" s="28">
        <v>19748</v>
      </c>
      <c r="EM49" s="28">
        <v>18509</v>
      </c>
      <c r="EN49" s="105">
        <v>18057</v>
      </c>
      <c r="EO49" s="28">
        <v>35652</v>
      </c>
      <c r="EP49" s="28">
        <v>8879</v>
      </c>
      <c r="EQ49" s="28">
        <v>8152</v>
      </c>
      <c r="ER49" s="28">
        <v>15991</v>
      </c>
      <c r="ES49" s="28">
        <v>13236</v>
      </c>
      <c r="ET49" s="28">
        <v>33923</v>
      </c>
      <c r="EU49" s="28">
        <v>31454</v>
      </c>
      <c r="EV49" s="29">
        <v>35710</v>
      </c>
      <c r="EW49" s="108">
        <v>35652</v>
      </c>
      <c r="EX49" s="28">
        <v>37256</v>
      </c>
      <c r="EY49" s="28">
        <v>37660</v>
      </c>
      <c r="EZ49" s="105">
        <v>38552</v>
      </c>
      <c r="FA49" s="28">
        <v>37530</v>
      </c>
      <c r="FB49" s="147">
        <v>39395</v>
      </c>
      <c r="FC49" s="28">
        <v>38091</v>
      </c>
      <c r="FD49" s="28">
        <v>41923</v>
      </c>
      <c r="FE49" s="28">
        <v>48515</v>
      </c>
      <c r="FF49" s="28">
        <v>43732</v>
      </c>
      <c r="FG49" s="13">
        <f>SUM('Total Weekday Boardings'!FG49,'Total Saturday Boardings'!FG49,'Total Sunday-Holiday Boardings'!FG49)</f>
        <v>40807</v>
      </c>
      <c r="FH49" s="13">
        <f>SUM('Total Weekday Boardings'!FH49,'Total Saturday Boardings'!FH49,'Total Sunday-Holiday Boardings'!FH49)</f>
        <v>35705</v>
      </c>
      <c r="FI49" s="13">
        <f>SUM('Total Weekday Boardings'!FI49,'Total Saturday Boardings'!FI49,'Total Sunday-Holiday Boardings'!FI49)</f>
        <v>37997</v>
      </c>
      <c r="FJ49" s="13">
        <f>SUM('Total Weekday Boardings'!FJ49,'Total Saturday Boardings'!FJ49,'Total Sunday-Holiday Boardings'!FJ49)</f>
        <v>38958</v>
      </c>
      <c r="FK49" s="13">
        <f>SUM('Total Weekday Boardings'!FK49,'Total Saturday Boardings'!FK49,'Total Sunday-Holiday Boardings'!FK49)</f>
        <v>42281.75</v>
      </c>
      <c r="FL49" s="13">
        <f>SUM('Total Weekday Boardings'!FL49,'Total Saturday Boardings'!FL49,'Total Sunday-Holiday Boardings'!FL49)</f>
        <v>38822</v>
      </c>
      <c r="FM49" s="13">
        <f>SUM('Total Weekday Boardings'!FM49,'Total Saturday Boardings'!FM49,'Total Sunday-Holiday Boardings'!FM49)</f>
        <v>37443</v>
      </c>
      <c r="FN49" s="13">
        <f>SUM('Total Weekday Boardings'!FN49,'Total Saturday Boardings'!FN49,'Total Sunday-Holiday Boardings'!FN49)</f>
        <v>38884</v>
      </c>
      <c r="FO49" s="13">
        <f>SUM('Total Weekday Boardings'!FO49,'Total Saturday Boardings'!FO49,'Total Sunday-Holiday Boardings'!FO49)</f>
        <v>41800</v>
      </c>
      <c r="FP49" s="13">
        <f>SUM('Total Weekday Boardings'!FP49,'Total Saturday Boardings'!FP49,'Total Sunday-Holiday Boardings'!FP49)</f>
        <v>13659</v>
      </c>
      <c r="FQ49" s="13">
        <f>SUM('Total Weekday Boardings'!FQ49,'Total Saturday Boardings'!FQ49,'Total Sunday-Holiday Boardings'!FQ49)</f>
        <v>50491</v>
      </c>
      <c r="FR49" s="13">
        <f>SUM('Total Weekday Boardings'!FR49,'Total Saturday Boardings'!FR49,'Total Sunday-Holiday Boardings'!FR49)</f>
        <v>47239</v>
      </c>
      <c r="FS49" s="13">
        <f>SUM('Total Weekday Boardings'!FS49,'Total Saturday Boardings'!FS49,'Total Sunday-Holiday Boardings'!FS49)</f>
        <v>45621</v>
      </c>
      <c r="FT49" s="16">
        <f>SUM('Total Weekday Boardings'!FT49,'Total Saturday Boardings'!FT49,'Total Sunday-Holiday Boardings'!FT49)</f>
        <v>39830</v>
      </c>
      <c r="FU49" s="171">
        <v>43008</v>
      </c>
      <c r="FV49" s="171">
        <v>46417</v>
      </c>
      <c r="FW49" s="171">
        <v>42122</v>
      </c>
      <c r="FX49" s="171">
        <v>47285</v>
      </c>
      <c r="FY49" s="171">
        <v>45237</v>
      </c>
      <c r="FZ49" s="171">
        <v>46804</v>
      </c>
      <c r="GA49" s="171">
        <v>47300</v>
      </c>
      <c r="GB49" s="52">
        <v>50011</v>
      </c>
      <c r="GC49" s="52">
        <v>48162</v>
      </c>
      <c r="GD49" s="52">
        <v>49762</v>
      </c>
      <c r="GE49" s="33">
        <v>49286</v>
      </c>
      <c r="GF49" s="52">
        <v>43158</v>
      </c>
      <c r="GG49" s="184">
        <v>52271</v>
      </c>
      <c r="GH49" s="52">
        <v>55958</v>
      </c>
      <c r="GI49" s="18">
        <v>55440</v>
      </c>
      <c r="GJ49" s="236">
        <v>58394</v>
      </c>
      <c r="GK49" s="184">
        <v>51603</v>
      </c>
      <c r="GL49" s="184">
        <v>53231</v>
      </c>
    </row>
    <row r="50" spans="1:194" s="5" customFormat="1" x14ac:dyDescent="0.3">
      <c r="A50" s="45" t="s">
        <v>53</v>
      </c>
      <c r="B50" s="47"/>
      <c r="C50" s="48">
        <f>SUM(C10:C43)</f>
        <v>911034</v>
      </c>
      <c r="D50" s="48">
        <f t="shared" ref="D50:AF50" si="0">SUM(D10:D43)</f>
        <v>964937</v>
      </c>
      <c r="E50" s="48">
        <f t="shared" si="0"/>
        <v>999311</v>
      </c>
      <c r="F50" s="48">
        <f t="shared" si="0"/>
        <v>1063150</v>
      </c>
      <c r="G50" s="48">
        <f t="shared" si="0"/>
        <v>898460</v>
      </c>
      <c r="H50" s="49">
        <f t="shared" si="0"/>
        <v>805419</v>
      </c>
      <c r="I50" s="47">
        <f t="shared" si="0"/>
        <v>780404</v>
      </c>
      <c r="J50" s="48">
        <f t="shared" si="0"/>
        <v>857313</v>
      </c>
      <c r="K50" s="48">
        <f t="shared" si="0"/>
        <v>1074299</v>
      </c>
      <c r="L50" s="48">
        <f t="shared" si="0"/>
        <v>1106880</v>
      </c>
      <c r="M50" s="48">
        <f t="shared" si="0"/>
        <v>1098769</v>
      </c>
      <c r="N50" s="48">
        <f t="shared" si="0"/>
        <v>975188</v>
      </c>
      <c r="O50" s="48">
        <f>SUM(O10:O43)</f>
        <v>1008381</v>
      </c>
      <c r="P50" s="48">
        <f t="shared" si="0"/>
        <v>1052546</v>
      </c>
      <c r="Q50" s="48">
        <f t="shared" si="0"/>
        <v>1189383</v>
      </c>
      <c r="R50" s="48">
        <f t="shared" si="0"/>
        <v>1211324</v>
      </c>
      <c r="S50" s="48">
        <f>SUM(S10:S43)</f>
        <v>982008</v>
      </c>
      <c r="T50" s="49">
        <f t="shared" si="0"/>
        <v>950360</v>
      </c>
      <c r="U50" s="47">
        <f t="shared" si="0"/>
        <v>835175</v>
      </c>
      <c r="V50" s="48">
        <f t="shared" si="0"/>
        <v>1032036</v>
      </c>
      <c r="W50" s="48">
        <f t="shared" si="0"/>
        <v>1179953</v>
      </c>
      <c r="X50" s="48">
        <f t="shared" si="0"/>
        <v>1131093</v>
      </c>
      <c r="Y50" s="48">
        <f t="shared" si="0"/>
        <v>1102455</v>
      </c>
      <c r="Z50" s="48">
        <f t="shared" si="0"/>
        <v>959340</v>
      </c>
      <c r="AA50" s="48">
        <f t="shared" si="0"/>
        <v>1074803</v>
      </c>
      <c r="AB50" s="48">
        <f t="shared" si="0"/>
        <v>1080821</v>
      </c>
      <c r="AC50" s="48">
        <f t="shared" si="0"/>
        <v>1214276</v>
      </c>
      <c r="AD50" s="48">
        <f t="shared" si="0"/>
        <v>1208710</v>
      </c>
      <c r="AE50" s="48">
        <f t="shared" si="0"/>
        <v>1006790</v>
      </c>
      <c r="AF50" s="49">
        <f t="shared" si="0"/>
        <v>924547</v>
      </c>
      <c r="AG50" s="47">
        <f>SUM(AG10:AG43)</f>
        <v>940364</v>
      </c>
      <c r="AH50" s="48">
        <f t="shared" ref="AH50:AR50" si="1">SUM(AH10:AH43)</f>
        <v>1124074</v>
      </c>
      <c r="AI50" s="48">
        <f t="shared" si="1"/>
        <v>1241701</v>
      </c>
      <c r="AJ50" s="48">
        <f t="shared" si="1"/>
        <v>1258711</v>
      </c>
      <c r="AK50" s="48">
        <f t="shared" si="1"/>
        <v>1075956</v>
      </c>
      <c r="AL50" s="48">
        <f t="shared" si="1"/>
        <v>1021838</v>
      </c>
      <c r="AM50" s="48">
        <f t="shared" si="1"/>
        <v>1172347</v>
      </c>
      <c r="AN50" s="48">
        <f t="shared" si="1"/>
        <v>1150318</v>
      </c>
      <c r="AO50" s="48">
        <f t="shared" si="1"/>
        <v>1221772</v>
      </c>
      <c r="AP50" s="48">
        <f t="shared" si="1"/>
        <v>1266714</v>
      </c>
      <c r="AQ50" s="48">
        <f t="shared" si="1"/>
        <v>1118598</v>
      </c>
      <c r="AR50" s="49">
        <f t="shared" si="1"/>
        <v>923644</v>
      </c>
      <c r="AS50" s="47">
        <f>SUM(AS10:AS43)</f>
        <v>982776</v>
      </c>
      <c r="AT50" s="48">
        <f t="shared" ref="AT50:BD50" si="2">SUM(AT10:AT43)</f>
        <v>1166156</v>
      </c>
      <c r="AU50" s="48">
        <f t="shared" si="2"/>
        <v>1243354</v>
      </c>
      <c r="AV50" s="48">
        <f t="shared" si="2"/>
        <v>1380055</v>
      </c>
      <c r="AW50" s="48">
        <f t="shared" si="2"/>
        <v>1231170</v>
      </c>
      <c r="AX50" s="48">
        <f t="shared" si="2"/>
        <v>1123094</v>
      </c>
      <c r="AY50" s="48">
        <f t="shared" si="2"/>
        <v>1218787</v>
      </c>
      <c r="AZ50" s="48">
        <f t="shared" si="2"/>
        <v>1190114</v>
      </c>
      <c r="BA50" s="48">
        <f t="shared" si="2"/>
        <v>1256726</v>
      </c>
      <c r="BB50" s="48">
        <f t="shared" si="2"/>
        <v>1335937</v>
      </c>
      <c r="BC50" s="48">
        <f t="shared" si="2"/>
        <v>1178815</v>
      </c>
      <c r="BD50" s="49">
        <f t="shared" si="2"/>
        <v>977399</v>
      </c>
      <c r="BE50" s="47">
        <f>SUM(BE10:BE43)</f>
        <v>1004230</v>
      </c>
      <c r="BF50" s="48">
        <f t="shared" ref="BF50:BP50" si="3">SUM(BF10:BF43)</f>
        <v>1147032</v>
      </c>
      <c r="BG50" s="48">
        <f t="shared" si="3"/>
        <v>1265726</v>
      </c>
      <c r="BH50" s="48">
        <f t="shared" si="3"/>
        <v>1319291</v>
      </c>
      <c r="BI50" s="48">
        <f t="shared" si="3"/>
        <v>1209039</v>
      </c>
      <c r="BJ50" s="48">
        <f t="shared" si="3"/>
        <v>1123197</v>
      </c>
      <c r="BK50" s="48">
        <f t="shared" si="3"/>
        <v>1273993</v>
      </c>
      <c r="BL50" s="48">
        <f t="shared" si="3"/>
        <v>1214041</v>
      </c>
      <c r="BM50" s="48">
        <f t="shared" si="3"/>
        <v>1322172</v>
      </c>
      <c r="BN50" s="48">
        <f t="shared" si="3"/>
        <v>1290180</v>
      </c>
      <c r="BO50" s="48">
        <f t="shared" si="3"/>
        <v>1120224</v>
      </c>
      <c r="BP50" s="49">
        <f t="shared" si="3"/>
        <v>1042363</v>
      </c>
      <c r="BQ50" s="47">
        <f>SUM(BQ10:BQ43)</f>
        <v>978810</v>
      </c>
      <c r="BR50" s="48">
        <f t="shared" ref="BR50:CC50" si="4">SUM(BR10:BR43)</f>
        <v>1145424</v>
      </c>
      <c r="BS50" s="48">
        <f t="shared" si="4"/>
        <v>1235594</v>
      </c>
      <c r="BT50" s="48">
        <f t="shared" si="4"/>
        <v>1326449</v>
      </c>
      <c r="BU50" s="48">
        <f t="shared" si="4"/>
        <v>1201758</v>
      </c>
      <c r="BV50" s="48">
        <f t="shared" si="4"/>
        <v>1112654</v>
      </c>
      <c r="BW50" s="48">
        <f t="shared" si="4"/>
        <v>1445571</v>
      </c>
      <c r="BX50" s="48">
        <f t="shared" si="4"/>
        <v>1195109</v>
      </c>
      <c r="BY50" s="48">
        <f t="shared" si="4"/>
        <v>1255155</v>
      </c>
      <c r="BZ50" s="48">
        <f t="shared" si="4"/>
        <v>1255742</v>
      </c>
      <c r="CA50" s="48">
        <f t="shared" si="4"/>
        <v>1119487</v>
      </c>
      <c r="CB50" s="49">
        <f t="shared" si="4"/>
        <v>1005131</v>
      </c>
      <c r="CC50" s="50">
        <f t="shared" si="4"/>
        <v>1012071</v>
      </c>
      <c r="CD50" s="48">
        <f>SUM(CD10:CD47)</f>
        <v>1169454</v>
      </c>
      <c r="CE50" s="48">
        <f t="shared" ref="CE50:CJ50" si="5">SUM(CE10:CE47)</f>
        <v>1373224</v>
      </c>
      <c r="CF50" s="48">
        <f t="shared" si="5"/>
        <v>1438683</v>
      </c>
      <c r="CG50" s="48">
        <f t="shared" si="5"/>
        <v>1291298</v>
      </c>
      <c r="CH50" s="48">
        <f t="shared" si="5"/>
        <v>1198892</v>
      </c>
      <c r="CI50" s="48">
        <f t="shared" si="5"/>
        <v>1314309</v>
      </c>
      <c r="CJ50" s="48">
        <f t="shared" si="5"/>
        <v>1290616</v>
      </c>
      <c r="CK50" s="48">
        <f>SUM(CK7:CK47)</f>
        <v>1398319</v>
      </c>
      <c r="CL50" s="48">
        <f t="shared" ref="CL50:DL50" si="6">SUM(CL7:CL47)</f>
        <v>1493048</v>
      </c>
      <c r="CM50" s="48">
        <f t="shared" si="6"/>
        <v>1329756</v>
      </c>
      <c r="CN50" s="51">
        <f t="shared" si="6"/>
        <v>1265067</v>
      </c>
      <c r="CO50" s="47">
        <f t="shared" si="6"/>
        <v>1215447</v>
      </c>
      <c r="CP50" s="48">
        <f t="shared" si="6"/>
        <v>1403213</v>
      </c>
      <c r="CQ50" s="48">
        <f t="shared" si="6"/>
        <v>1431383</v>
      </c>
      <c r="CR50" s="48">
        <f t="shared" si="6"/>
        <v>1458675</v>
      </c>
      <c r="CS50" s="48">
        <f t="shared" si="6"/>
        <v>1387584</v>
      </c>
      <c r="CT50" s="48">
        <f t="shared" si="6"/>
        <v>1335413</v>
      </c>
      <c r="CU50" s="48">
        <f t="shared" si="6"/>
        <v>1395420</v>
      </c>
      <c r="CV50" s="48">
        <f t="shared" si="6"/>
        <v>1333557</v>
      </c>
      <c r="CW50" s="48">
        <f t="shared" si="6"/>
        <v>1478554</v>
      </c>
      <c r="CX50" s="48">
        <f t="shared" si="6"/>
        <v>1514456</v>
      </c>
      <c r="CY50" s="48">
        <f t="shared" si="6"/>
        <v>1374231</v>
      </c>
      <c r="CZ50" s="49">
        <f t="shared" si="6"/>
        <v>1203112</v>
      </c>
      <c r="DA50" s="47">
        <f t="shared" si="6"/>
        <v>1173622</v>
      </c>
      <c r="DB50" s="48">
        <f t="shared" si="6"/>
        <v>1387778</v>
      </c>
      <c r="DC50" s="48">
        <f t="shared" si="6"/>
        <v>1365280</v>
      </c>
      <c r="DD50" s="48">
        <f t="shared" si="6"/>
        <v>1462623</v>
      </c>
      <c r="DE50" s="48">
        <f t="shared" si="6"/>
        <v>1331737</v>
      </c>
      <c r="DF50" s="48">
        <f t="shared" si="6"/>
        <v>1248553</v>
      </c>
      <c r="DG50" s="48">
        <f t="shared" si="6"/>
        <v>1351769</v>
      </c>
      <c r="DH50" s="48">
        <f t="shared" si="6"/>
        <v>1273131</v>
      </c>
      <c r="DI50" s="48">
        <f t="shared" si="6"/>
        <v>1408402</v>
      </c>
      <c r="DJ50" s="48">
        <f t="shared" si="6"/>
        <v>1360297</v>
      </c>
      <c r="DK50" s="48">
        <f t="shared" si="6"/>
        <v>1276749</v>
      </c>
      <c r="DL50" s="49">
        <f t="shared" si="6"/>
        <v>1146970</v>
      </c>
      <c r="DM50" s="47">
        <f t="shared" ref="DM50:DV50" si="7">SUM(DM7:DM47)</f>
        <v>1132145</v>
      </c>
      <c r="DN50" s="48">
        <f t="shared" si="7"/>
        <v>1300396</v>
      </c>
      <c r="DO50" s="48">
        <f t="shared" si="7"/>
        <v>1290632</v>
      </c>
      <c r="DP50" s="48">
        <f t="shared" si="7"/>
        <v>1366460</v>
      </c>
      <c r="DQ50" s="48">
        <f t="shared" si="7"/>
        <v>1300637</v>
      </c>
      <c r="DR50" s="48">
        <f t="shared" si="7"/>
        <v>1198822</v>
      </c>
      <c r="DS50" s="48">
        <f t="shared" si="7"/>
        <v>1316749</v>
      </c>
      <c r="DT50" s="48">
        <f t="shared" si="7"/>
        <v>1188760</v>
      </c>
      <c r="DU50" s="48">
        <f t="shared" si="7"/>
        <v>1321957</v>
      </c>
      <c r="DV50" s="48">
        <f t="shared" si="7"/>
        <v>1196376</v>
      </c>
      <c r="DW50" s="48">
        <f t="shared" ref="DW50:EE50" si="8">SUM(DW7:DW49)</f>
        <v>1224593</v>
      </c>
      <c r="DX50" s="49">
        <f t="shared" si="8"/>
        <v>1117133</v>
      </c>
      <c r="DY50" s="142">
        <f>SUM(DY7:DY49)</f>
        <v>1102254</v>
      </c>
      <c r="DZ50" s="48">
        <f>SUM(DZ7:DZ49)</f>
        <v>1265304</v>
      </c>
      <c r="EA50" s="48">
        <f t="shared" si="8"/>
        <v>1289471</v>
      </c>
      <c r="EB50" s="48">
        <f t="shared" si="8"/>
        <v>1387669</v>
      </c>
      <c r="EC50" s="48">
        <f t="shared" si="8"/>
        <v>1315204</v>
      </c>
      <c r="ED50" s="48">
        <f t="shared" si="8"/>
        <v>1204458</v>
      </c>
      <c r="EE50" s="48">
        <f t="shared" si="8"/>
        <v>1283849</v>
      </c>
      <c r="EF50" s="48">
        <v>1279399</v>
      </c>
      <c r="EG50" s="48">
        <v>980520</v>
      </c>
      <c r="EH50" s="48">
        <v>587134</v>
      </c>
      <c r="EI50" s="48">
        <v>585091</v>
      </c>
      <c r="EJ50" s="49">
        <v>545199</v>
      </c>
      <c r="EK50" s="48">
        <v>518874</v>
      </c>
      <c r="EL50" s="48">
        <v>543423</v>
      </c>
      <c r="EM50" s="48">
        <v>547121</v>
      </c>
      <c r="EN50" s="102">
        <v>576871</v>
      </c>
      <c r="EO50" s="48">
        <v>569281</v>
      </c>
      <c r="EP50" s="48">
        <v>420137</v>
      </c>
      <c r="EQ50" s="48">
        <v>243082</v>
      </c>
      <c r="ER50" s="48">
        <v>449529</v>
      </c>
      <c r="ES50" s="48">
        <v>517211</v>
      </c>
      <c r="ET50" s="48">
        <v>594496</v>
      </c>
      <c r="EU50" s="48">
        <v>569281</v>
      </c>
      <c r="EV50" s="49">
        <v>559917</v>
      </c>
      <c r="EW50" s="48">
        <v>569281</v>
      </c>
      <c r="EX50" s="48">
        <v>638892</v>
      </c>
      <c r="EY50" s="48">
        <v>672068</v>
      </c>
      <c r="EZ50" s="102">
        <v>700832</v>
      </c>
      <c r="FA50" s="48">
        <v>703615</v>
      </c>
      <c r="FB50" s="148">
        <v>679919</v>
      </c>
      <c r="FC50" s="48">
        <v>628392</v>
      </c>
      <c r="FD50" s="48">
        <v>733124</v>
      </c>
      <c r="FE50" s="48">
        <v>863078</v>
      </c>
      <c r="FF50" s="48">
        <v>811435</v>
      </c>
      <c r="FG50" s="48">
        <f>SUM(FG7:FG49)</f>
        <v>756764</v>
      </c>
      <c r="FH50" s="48">
        <f>SUM(FH7:FH49)</f>
        <v>602742</v>
      </c>
      <c r="FI50" s="48">
        <f>SUM(FI7:FI49)</f>
        <v>630929</v>
      </c>
      <c r="FJ50" s="48">
        <f t="shared" ref="FJ50:FT50" si="9">SUM(FJ7:FJ49)</f>
        <v>729043</v>
      </c>
      <c r="FK50" s="48">
        <f t="shared" si="9"/>
        <v>822599.75</v>
      </c>
      <c r="FL50" s="48">
        <f t="shared" si="9"/>
        <v>789953</v>
      </c>
      <c r="FM50" s="48">
        <f t="shared" si="9"/>
        <v>746405</v>
      </c>
      <c r="FN50" s="48">
        <f t="shared" si="9"/>
        <v>720892</v>
      </c>
      <c r="FO50" s="48">
        <f t="shared" si="9"/>
        <v>801310</v>
      </c>
      <c r="FP50" s="48">
        <f t="shared" si="9"/>
        <v>722810</v>
      </c>
      <c r="FQ50" s="48">
        <f t="shared" si="9"/>
        <v>910446</v>
      </c>
      <c r="FR50" s="48">
        <f t="shared" si="9"/>
        <v>885155</v>
      </c>
      <c r="FS50" s="48">
        <f t="shared" si="9"/>
        <v>862289</v>
      </c>
      <c r="FT50" s="51">
        <f t="shared" si="9"/>
        <v>757200</v>
      </c>
      <c r="FU50" s="179">
        <f>SUM(FU7:FU49)</f>
        <v>744337</v>
      </c>
      <c r="FV50" s="179">
        <f t="shared" ref="FV50:FZ50" si="10">SUM(FV7:FV49)</f>
        <v>842787</v>
      </c>
      <c r="FW50" s="179">
        <f t="shared" si="10"/>
        <v>815189</v>
      </c>
      <c r="FX50" s="179">
        <f t="shared" si="10"/>
        <v>924178</v>
      </c>
      <c r="FY50" s="179">
        <f t="shared" si="10"/>
        <v>845005</v>
      </c>
      <c r="FZ50" s="179">
        <f t="shared" si="10"/>
        <v>799501</v>
      </c>
      <c r="GA50" s="179">
        <f t="shared" ref="GA50:GF50" si="11">SUM(GA4:GA49)</f>
        <v>877075</v>
      </c>
      <c r="GB50" s="180">
        <f t="shared" si="11"/>
        <v>921759</v>
      </c>
      <c r="GC50" s="180">
        <f t="shared" si="11"/>
        <v>929421</v>
      </c>
      <c r="GD50" s="180">
        <f t="shared" si="11"/>
        <v>885115</v>
      </c>
      <c r="GE50" s="180">
        <f t="shared" si="11"/>
        <v>866183</v>
      </c>
      <c r="GF50" s="176">
        <f t="shared" si="11"/>
        <v>763461</v>
      </c>
      <c r="GG50" s="185">
        <f t="shared" ref="GG50:GL50" si="12">SUM(GG4:GG49)</f>
        <v>780735</v>
      </c>
      <c r="GH50" s="176">
        <f t="shared" si="12"/>
        <v>879787</v>
      </c>
      <c r="GI50" s="180">
        <f t="shared" si="12"/>
        <v>901257</v>
      </c>
      <c r="GJ50" s="237">
        <f t="shared" si="12"/>
        <v>912688</v>
      </c>
      <c r="GK50" s="185">
        <f t="shared" si="12"/>
        <v>841657</v>
      </c>
      <c r="GL50" s="185">
        <f t="shared" si="12"/>
        <v>790083</v>
      </c>
    </row>
    <row r="51" spans="1:194" s="5" customFormat="1" x14ac:dyDescent="0.3">
      <c r="A51" s="45" t="s">
        <v>56</v>
      </c>
      <c r="B51" s="198">
        <f>AVERAGE(C50:H50)</f>
        <v>940385.16666666663</v>
      </c>
      <c r="C51" s="199"/>
      <c r="D51" s="199"/>
      <c r="E51" s="199"/>
      <c r="F51" s="199"/>
      <c r="G51" s="199"/>
      <c r="H51" s="200"/>
      <c r="I51" s="198">
        <f t="shared" ref="I51" si="13">AVERAGE(I50:T50)</f>
        <v>1023904.5833333334</v>
      </c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200"/>
      <c r="U51" s="198">
        <f>AVERAGE(U50:AF50)</f>
        <v>1062499.9166666667</v>
      </c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200"/>
      <c r="AG51" s="198">
        <f>AVERAGE(AG50:AR50)</f>
        <v>1126336.4166666667</v>
      </c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200"/>
      <c r="AS51" s="198">
        <f>AVERAGE(AS50:BD50)</f>
        <v>1190365.25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200"/>
      <c r="BE51" s="198">
        <f>AVERAGE(BE50:BP50)</f>
        <v>1194290.6666666667</v>
      </c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200"/>
      <c r="BQ51" s="198">
        <f>AVERAGE(BQ50:CB50)</f>
        <v>1189740.3333333333</v>
      </c>
      <c r="BR51" s="199"/>
      <c r="BS51" s="199"/>
      <c r="BT51" s="199"/>
      <c r="BU51" s="199"/>
      <c r="BV51" s="199"/>
      <c r="BW51" s="199"/>
      <c r="BX51" s="199"/>
      <c r="BY51" s="199"/>
      <c r="BZ51" s="199"/>
      <c r="CA51" s="199"/>
      <c r="CB51" s="200"/>
      <c r="CC51" s="198">
        <f>AVERAGE(CC50:CN50)</f>
        <v>1297894.75</v>
      </c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200"/>
      <c r="CO51" s="198">
        <f>AVERAGE(CO50:CZ50)</f>
        <v>1377587.0833333333</v>
      </c>
      <c r="CP51" s="199"/>
      <c r="CQ51" s="199"/>
      <c r="CR51" s="199"/>
      <c r="CS51" s="199"/>
      <c r="CT51" s="199"/>
      <c r="CU51" s="199"/>
      <c r="CV51" s="199"/>
      <c r="CW51" s="199"/>
      <c r="CX51" s="199"/>
      <c r="CY51" s="199"/>
      <c r="CZ51" s="200"/>
      <c r="DA51" s="198">
        <f>AVERAGE(DA50:DL50)</f>
        <v>1315575.9166666667</v>
      </c>
      <c r="DB51" s="199"/>
      <c r="DC51" s="199"/>
      <c r="DD51" s="199"/>
      <c r="DE51" s="199"/>
      <c r="DF51" s="199"/>
      <c r="DG51" s="199"/>
      <c r="DH51" s="199"/>
      <c r="DI51" s="199"/>
      <c r="DJ51" s="199"/>
      <c r="DK51" s="199"/>
      <c r="DL51" s="200"/>
      <c r="DM51" s="198">
        <f>AVERAGE(DM50:DX50)</f>
        <v>1246221.6666666667</v>
      </c>
      <c r="DN51" s="199"/>
      <c r="DO51" s="199"/>
      <c r="DP51" s="199"/>
      <c r="DQ51" s="199"/>
      <c r="DR51" s="199"/>
      <c r="DS51" s="199"/>
      <c r="DT51" s="199"/>
      <c r="DU51" s="199"/>
      <c r="DV51" s="199"/>
      <c r="DW51" s="199"/>
      <c r="DX51" s="200"/>
      <c r="DY51" s="198">
        <f>AVERAGE(DY50:EJ50)</f>
        <v>1068796</v>
      </c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200"/>
      <c r="EK51" s="198">
        <f>AVERAGE(EK50:EV50)</f>
        <v>509101.91666666669</v>
      </c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200"/>
      <c r="EW51" s="198">
        <f>AVERAGE(EW50:FH50)</f>
        <v>696678.5</v>
      </c>
      <c r="EX51" s="199"/>
      <c r="EY51" s="199"/>
      <c r="EZ51" s="199"/>
      <c r="FA51" s="199"/>
      <c r="FB51" s="199"/>
      <c r="FC51" s="199"/>
      <c r="FD51" s="199"/>
      <c r="FE51" s="199"/>
      <c r="FF51" s="199"/>
      <c r="FG51" s="199"/>
      <c r="FH51" s="200"/>
      <c r="FI51" s="198">
        <f>AVERAGE(FI50:FT50)</f>
        <v>781585.97916666663</v>
      </c>
      <c r="FJ51" s="199"/>
      <c r="FK51" s="199"/>
      <c r="FL51" s="199"/>
      <c r="FM51" s="199"/>
      <c r="FN51" s="199"/>
      <c r="FO51" s="199"/>
      <c r="FP51" s="199"/>
      <c r="FQ51" s="199"/>
      <c r="FR51" s="199"/>
      <c r="FS51" s="199"/>
      <c r="FT51" s="199"/>
      <c r="FU51" s="203">
        <f>AVERAGE(FU50:GA50)</f>
        <v>835438.85714285716</v>
      </c>
      <c r="FV51" s="204"/>
      <c r="FW51" s="204"/>
      <c r="FX51" s="204"/>
      <c r="FY51" s="204"/>
      <c r="FZ51" s="204"/>
      <c r="GA51" s="204"/>
      <c r="GB51" s="204"/>
      <c r="GC51" s="204"/>
      <c r="GD51" s="204"/>
      <c r="GE51" s="204"/>
      <c r="GF51" s="205"/>
      <c r="GJ51" s="234"/>
    </row>
    <row r="52" spans="1:194" x14ac:dyDescent="0.3">
      <c r="DY52" s="135"/>
      <c r="DZ52" s="135"/>
      <c r="EA52" s="135"/>
      <c r="EB52" s="135"/>
      <c r="EC52" s="135"/>
      <c r="ED52" s="135"/>
      <c r="EE52" s="135"/>
      <c r="EF52" s="135"/>
      <c r="EG52" s="135"/>
      <c r="EH52" s="135"/>
      <c r="EI52" s="135"/>
      <c r="EJ52" s="135"/>
      <c r="EK52" s="135"/>
    </row>
    <row r="53" spans="1:194" x14ac:dyDescent="0.3">
      <c r="DV53" s="98"/>
    </row>
    <row r="54" spans="1:194" x14ac:dyDescent="0.3">
      <c r="CO54" s="89"/>
      <c r="DA54" s="89"/>
    </row>
    <row r="55" spans="1:194" ht="15" thickBot="1" x14ac:dyDescent="0.35">
      <c r="CO55" s="90"/>
      <c r="DA55" s="90"/>
      <c r="FG55" s="152"/>
      <c r="FH55" s="152"/>
      <c r="FI55" s="152"/>
      <c r="FJ55" s="152"/>
      <c r="FK55" s="152"/>
      <c r="FL55" s="152"/>
      <c r="FM55" s="152"/>
      <c r="FN55" s="152"/>
      <c r="FO55" s="172">
        <v>44949</v>
      </c>
      <c r="FP55" s="172">
        <v>44980</v>
      </c>
      <c r="FQ55" s="172">
        <v>45008</v>
      </c>
      <c r="FR55" s="172">
        <v>45039</v>
      </c>
      <c r="FS55" s="172">
        <v>45069</v>
      </c>
      <c r="FT55" s="172">
        <v>45100</v>
      </c>
      <c r="FU55" s="173">
        <v>45130</v>
      </c>
      <c r="FV55" s="173">
        <v>45161</v>
      </c>
      <c r="FW55" s="173">
        <v>45192</v>
      </c>
      <c r="FX55" s="173">
        <v>45222</v>
      </c>
      <c r="FY55" s="173">
        <v>45253</v>
      </c>
      <c r="FZ55" s="173">
        <v>45283</v>
      </c>
      <c r="GA55" s="173">
        <v>45315</v>
      </c>
      <c r="GB55" s="173">
        <v>45345</v>
      </c>
      <c r="GC55" s="173">
        <v>45374</v>
      </c>
      <c r="GD55" s="173">
        <v>45405</v>
      </c>
      <c r="GE55" s="173">
        <v>45435</v>
      </c>
      <c r="GF55" s="173">
        <v>45466</v>
      </c>
      <c r="GG55" s="173">
        <v>45496</v>
      </c>
      <c r="GH55" s="173">
        <v>45527</v>
      </c>
      <c r="GI55" s="173">
        <v>45559</v>
      </c>
      <c r="GJ55" s="235">
        <v>45590</v>
      </c>
      <c r="GK55" s="188">
        <v>45622</v>
      </c>
      <c r="GL55" s="188">
        <v>45653</v>
      </c>
    </row>
    <row r="56" spans="1:194" x14ac:dyDescent="0.3">
      <c r="A56" s="156" t="s">
        <v>80</v>
      </c>
      <c r="FO56" s="174">
        <v>4011</v>
      </c>
      <c r="FP56" s="174">
        <v>3172</v>
      </c>
      <c r="FQ56" s="145">
        <v>5429</v>
      </c>
      <c r="FR56" s="52">
        <f>SUM('Total Weekday Boardings'!FR56,'Total Saturday Boardings'!FR56,'Total Sunday-Holiday Boardings'!FR56)</f>
        <v>4668</v>
      </c>
      <c r="FS56" s="52">
        <f>SUM('Total Weekday Boardings'!FS56,'Total Saturday Boardings'!FS56,'Total Sunday-Holiday Boardings'!FS56)</f>
        <v>5398</v>
      </c>
      <c r="FT56" s="52">
        <f>SUM('Total Weekday Boardings'!FT56,'Total Saturday Boardings'!FT56,'Total Sunday-Holiday Boardings'!FT56)</f>
        <v>4543</v>
      </c>
      <c r="FU56" s="52">
        <v>4202</v>
      </c>
      <c r="FV56" s="52">
        <v>5426</v>
      </c>
      <c r="FW56" s="52">
        <v>4957</v>
      </c>
      <c r="FX56" s="52">
        <v>5287</v>
      </c>
      <c r="FY56" s="52">
        <v>4585</v>
      </c>
      <c r="FZ56" s="52">
        <v>4011</v>
      </c>
      <c r="GA56" s="52">
        <v>4030</v>
      </c>
      <c r="GB56" s="169">
        <v>4468</v>
      </c>
      <c r="GC56" s="171">
        <v>3196.1787365177197</v>
      </c>
      <c r="GD56" s="171">
        <v>4827</v>
      </c>
      <c r="GE56" s="169">
        <v>4454</v>
      </c>
      <c r="GF56" s="52">
        <v>3843</v>
      </c>
      <c r="GG56" s="52">
        <v>4342</v>
      </c>
      <c r="GH56" s="169">
        <v>4281</v>
      </c>
      <c r="GI56" s="52">
        <v>5339</v>
      </c>
      <c r="GJ56" s="236">
        <v>5736</v>
      </c>
      <c r="GK56" s="52">
        <v>3926</v>
      </c>
      <c r="GL56" s="52">
        <v>3551</v>
      </c>
    </row>
    <row r="57" spans="1:194" x14ac:dyDescent="0.3">
      <c r="A57" s="157" t="s">
        <v>81</v>
      </c>
      <c r="CO57" s="89"/>
      <c r="DA57" s="89"/>
      <c r="FO57" s="174">
        <v>1801</v>
      </c>
      <c r="FP57" s="174">
        <v>1508</v>
      </c>
      <c r="FQ57" s="145">
        <v>2443</v>
      </c>
      <c r="FR57" s="52">
        <f>SUM('Total Weekday Boardings'!FR57,'Total Saturday Boardings'!FR57,'Total Sunday-Holiday Boardings'!FR57)</f>
        <v>1960</v>
      </c>
      <c r="FS57" s="52">
        <f>SUM('Total Weekday Boardings'!FS57,'Total Saturday Boardings'!FS57,'Total Sunday-Holiday Boardings'!FS57)</f>
        <v>2463</v>
      </c>
      <c r="FT57" s="52">
        <f>SUM('Total Weekday Boardings'!FT57,'Total Saturday Boardings'!FT57,'Total Sunday-Holiday Boardings'!FT57)</f>
        <v>2657</v>
      </c>
      <c r="FU57" s="52">
        <v>2534</v>
      </c>
      <c r="FV57" s="52">
        <v>2556</v>
      </c>
      <c r="FW57" s="52">
        <v>2363</v>
      </c>
      <c r="FX57" s="52">
        <v>1408</v>
      </c>
      <c r="FY57" s="52">
        <v>1106</v>
      </c>
      <c r="FZ57" s="52">
        <v>883</v>
      </c>
      <c r="GA57" s="52">
        <v>1156</v>
      </c>
      <c r="GB57" s="169">
        <v>1210</v>
      </c>
      <c r="GC57" s="171">
        <v>1047.8428351309708</v>
      </c>
      <c r="GD57" s="171">
        <v>1189</v>
      </c>
      <c r="GE57" s="169">
        <v>902</v>
      </c>
      <c r="GF57" s="52">
        <v>890</v>
      </c>
      <c r="GG57" s="52">
        <v>1183</v>
      </c>
      <c r="GH57" s="169">
        <v>1003</v>
      </c>
      <c r="GI57" s="52">
        <v>1338</v>
      </c>
      <c r="GJ57" s="236">
        <v>1260</v>
      </c>
      <c r="GK57" s="52">
        <v>994</v>
      </c>
      <c r="GL57" s="52">
        <v>976</v>
      </c>
    </row>
    <row r="58" spans="1:194" x14ac:dyDescent="0.3">
      <c r="A58" s="157" t="s">
        <v>82</v>
      </c>
      <c r="CO58" s="89"/>
      <c r="CR58" s="89"/>
      <c r="DA58" s="89"/>
      <c r="DD58" s="89"/>
      <c r="FO58" s="174">
        <v>746</v>
      </c>
      <c r="FP58" s="174">
        <v>817</v>
      </c>
      <c r="FQ58" s="145">
        <v>1257</v>
      </c>
      <c r="FR58" s="52">
        <f>SUM('Total Weekday Boardings'!FR58,'Total Saturday Boardings'!FR58,'Total Sunday-Holiday Boardings'!FR58)</f>
        <v>1012</v>
      </c>
      <c r="FS58" s="52">
        <f>SUM('Total Weekday Boardings'!FS58,'Total Saturday Boardings'!FS58,'Total Sunday-Holiday Boardings'!FS58)</f>
        <v>1156</v>
      </c>
      <c r="FT58" s="52">
        <f>SUM('Total Weekday Boardings'!FT58,'Total Saturday Boardings'!FT58,'Total Sunday-Holiday Boardings'!FT58)</f>
        <v>1140</v>
      </c>
      <c r="FU58" s="52">
        <v>952</v>
      </c>
      <c r="FV58" s="52">
        <v>1256</v>
      </c>
      <c r="FW58" s="52">
        <v>1186</v>
      </c>
      <c r="FX58" s="52">
        <v>1120</v>
      </c>
      <c r="FY58" s="52">
        <v>765</v>
      </c>
      <c r="FZ58" s="52">
        <v>685</v>
      </c>
      <c r="GA58" s="52">
        <v>803</v>
      </c>
      <c r="GB58" s="169">
        <v>746</v>
      </c>
      <c r="GC58" s="171">
        <v>940.47765793528515</v>
      </c>
      <c r="GD58" s="171">
        <v>1012</v>
      </c>
      <c r="GE58" s="169">
        <v>1351</v>
      </c>
      <c r="GF58" s="52">
        <v>513</v>
      </c>
      <c r="GG58" s="52">
        <v>1045</v>
      </c>
      <c r="GH58" s="169">
        <v>1051</v>
      </c>
      <c r="GI58" s="52">
        <v>1385</v>
      </c>
      <c r="GJ58" s="236">
        <v>1202</v>
      </c>
      <c r="GK58" s="52">
        <v>311</v>
      </c>
      <c r="GL58" s="52">
        <v>681</v>
      </c>
    </row>
    <row r="59" spans="1:194" x14ac:dyDescent="0.3">
      <c r="A59" s="157" t="s">
        <v>83</v>
      </c>
      <c r="FO59" s="174">
        <v>533</v>
      </c>
      <c r="FP59" s="174">
        <v>552</v>
      </c>
      <c r="FQ59" s="145">
        <v>964</v>
      </c>
      <c r="FR59" s="52">
        <f>SUM('Total Weekday Boardings'!FR59,'Total Saturday Boardings'!FR59,'Total Sunday-Holiday Boardings'!FR59)</f>
        <v>693</v>
      </c>
      <c r="FS59" s="52">
        <f>SUM('Total Weekday Boardings'!FS59,'Total Saturday Boardings'!FS59,'Total Sunday-Holiday Boardings'!FS59)</f>
        <v>843</v>
      </c>
      <c r="FT59" s="52">
        <f>SUM('Total Weekday Boardings'!FT59,'Total Saturday Boardings'!FT59,'Total Sunday-Holiday Boardings'!FT59)</f>
        <v>840</v>
      </c>
      <c r="FU59" s="52">
        <v>808</v>
      </c>
      <c r="FV59" s="52">
        <v>1173</v>
      </c>
      <c r="FW59" s="52">
        <v>1068</v>
      </c>
      <c r="FX59" s="52">
        <v>875</v>
      </c>
      <c r="FY59" s="52">
        <v>772</v>
      </c>
      <c r="FZ59" s="52">
        <v>538</v>
      </c>
      <c r="GA59" s="52">
        <v>730</v>
      </c>
      <c r="GB59" s="169">
        <v>1959</v>
      </c>
      <c r="GC59" s="171">
        <v>754.65331278890608</v>
      </c>
      <c r="GD59" s="171">
        <v>830</v>
      </c>
      <c r="GE59" s="169">
        <v>167</v>
      </c>
      <c r="GF59" s="52">
        <v>1479</v>
      </c>
      <c r="GG59" s="52">
        <v>5370</v>
      </c>
      <c r="GH59" s="169">
        <v>5131</v>
      </c>
      <c r="GI59" s="52">
        <v>4403</v>
      </c>
      <c r="GJ59" s="236">
        <v>972</v>
      </c>
      <c r="GK59" s="52">
        <v>1342</v>
      </c>
      <c r="GL59" s="52">
        <v>828</v>
      </c>
    </row>
    <row r="60" spans="1:194" x14ac:dyDescent="0.3">
      <c r="A60" s="157" t="s">
        <v>84</v>
      </c>
      <c r="CO60" s="91"/>
      <c r="DA60" s="91"/>
      <c r="FO60" s="174">
        <v>968</v>
      </c>
      <c r="FP60" s="174">
        <v>876</v>
      </c>
      <c r="FQ60" s="145">
        <v>1219</v>
      </c>
      <c r="FR60" s="52">
        <f>SUM('Total Weekday Boardings'!FR60,'Total Saturday Boardings'!FR60,'Total Sunday-Holiday Boardings'!FR60)</f>
        <v>1260</v>
      </c>
      <c r="FS60" s="52">
        <f>SUM('Total Weekday Boardings'!FS60,'Total Saturday Boardings'!FS60,'Total Sunday-Holiday Boardings'!FS60)</f>
        <v>1255</v>
      </c>
      <c r="FT60" s="52">
        <f>SUM('Total Weekday Boardings'!FT60,'Total Saturday Boardings'!FT60,'Total Sunday-Holiday Boardings'!FT60)</f>
        <v>1263</v>
      </c>
      <c r="FU60" s="52">
        <v>1105</v>
      </c>
      <c r="FV60" s="52">
        <v>1833</v>
      </c>
      <c r="FW60" s="52">
        <v>2088</v>
      </c>
      <c r="FX60" s="52">
        <v>1639</v>
      </c>
      <c r="FY60" s="52">
        <v>1441</v>
      </c>
      <c r="FZ60" s="52">
        <v>861</v>
      </c>
      <c r="GA60" s="52">
        <v>1412</v>
      </c>
      <c r="GB60" s="169">
        <v>1719</v>
      </c>
      <c r="GC60" s="171">
        <v>1449.4298921417567</v>
      </c>
      <c r="GD60" s="171">
        <v>1768</v>
      </c>
      <c r="GE60" s="169">
        <v>1051</v>
      </c>
      <c r="GF60" s="52">
        <v>761</v>
      </c>
      <c r="GG60" s="52">
        <v>938</v>
      </c>
      <c r="GH60" s="169">
        <v>1271</v>
      </c>
      <c r="GI60" s="52">
        <v>1972</v>
      </c>
      <c r="GJ60" s="236">
        <v>1727</v>
      </c>
      <c r="GK60" s="52">
        <v>1229</v>
      </c>
      <c r="GL60" s="52">
        <v>879</v>
      </c>
    </row>
    <row r="61" spans="1:194" x14ac:dyDescent="0.3">
      <c r="A61" s="157" t="s">
        <v>85</v>
      </c>
      <c r="FO61" s="174">
        <v>1351</v>
      </c>
      <c r="FP61" s="174">
        <v>1370</v>
      </c>
      <c r="FQ61" s="145">
        <v>1914</v>
      </c>
      <c r="FR61" s="52">
        <f>SUM('Total Weekday Boardings'!FR61,'Total Saturday Boardings'!FR61,'Total Sunday-Holiday Boardings'!FR61)</f>
        <v>1895</v>
      </c>
      <c r="FS61" s="52">
        <f>SUM('Total Weekday Boardings'!FS61,'Total Saturday Boardings'!FS61,'Total Sunday-Holiday Boardings'!FS61)</f>
        <v>1833</v>
      </c>
      <c r="FT61" s="52">
        <f>SUM('Total Weekday Boardings'!FT61,'Total Saturday Boardings'!FT61,'Total Sunday-Holiday Boardings'!FT61)</f>
        <v>1638</v>
      </c>
      <c r="FU61" s="52">
        <v>1574</v>
      </c>
      <c r="FV61" s="52">
        <v>2499</v>
      </c>
      <c r="FW61" s="52">
        <v>2924</v>
      </c>
      <c r="FX61" s="52">
        <v>2781</v>
      </c>
      <c r="FY61" s="52">
        <v>2399</v>
      </c>
      <c r="FZ61" s="52">
        <v>1132</v>
      </c>
      <c r="GA61" s="52">
        <v>2016</v>
      </c>
      <c r="GB61" s="169">
        <v>2173</v>
      </c>
      <c r="GC61" s="171">
        <v>2887.5038520801236</v>
      </c>
      <c r="GD61" s="171">
        <v>2378</v>
      </c>
      <c r="GE61" s="169">
        <v>1364</v>
      </c>
      <c r="GF61" s="52">
        <v>1099</v>
      </c>
      <c r="GG61" s="52">
        <v>1282</v>
      </c>
      <c r="GH61" s="169">
        <v>1756</v>
      </c>
      <c r="GI61" s="52">
        <v>2552</v>
      </c>
      <c r="GJ61" s="236">
        <v>2371</v>
      </c>
      <c r="GK61" s="52">
        <v>1885</v>
      </c>
      <c r="GL61" s="52">
        <v>1409</v>
      </c>
    </row>
    <row r="62" spans="1:194" x14ac:dyDescent="0.3">
      <c r="A62" s="157" t="s">
        <v>86</v>
      </c>
      <c r="FO62" s="174">
        <v>6468</v>
      </c>
      <c r="FP62" s="174">
        <v>5625</v>
      </c>
      <c r="FQ62" s="145">
        <v>8126</v>
      </c>
      <c r="FR62" s="52">
        <f>SUM('Total Weekday Boardings'!FR62,'Total Saturday Boardings'!FR62,'Total Sunday-Holiday Boardings'!FR62)</f>
        <v>9086</v>
      </c>
      <c r="FS62" s="52">
        <f>SUM('Total Weekday Boardings'!FS62,'Total Saturday Boardings'!FS62,'Total Sunday-Holiday Boardings'!FS62)</f>
        <v>5223</v>
      </c>
      <c r="FT62" s="52">
        <f>SUM('Total Weekday Boardings'!FT62,'Total Saturday Boardings'!FT62,'Total Sunday-Holiday Boardings'!FT62)</f>
        <v>4531</v>
      </c>
      <c r="FU62" s="52">
        <v>4015</v>
      </c>
      <c r="FV62" s="52">
        <v>8451</v>
      </c>
      <c r="FW62" s="52">
        <v>10182</v>
      </c>
      <c r="FX62" s="52">
        <v>9074</v>
      </c>
      <c r="FY62" s="52">
        <v>9508</v>
      </c>
      <c r="FZ62" s="52">
        <v>5191</v>
      </c>
      <c r="GA62" s="52">
        <v>7683</v>
      </c>
      <c r="GB62" s="169">
        <v>7980</v>
      </c>
      <c r="GC62" s="171">
        <v>6935.3775038520807</v>
      </c>
      <c r="GD62" s="171">
        <v>8627</v>
      </c>
      <c r="GE62" s="169">
        <v>4492</v>
      </c>
      <c r="GF62" s="52">
        <v>2934</v>
      </c>
      <c r="GG62" s="52">
        <v>3117</v>
      </c>
      <c r="GH62" s="169">
        <v>6807</v>
      </c>
      <c r="GI62" s="52">
        <v>10182</v>
      </c>
      <c r="GJ62" s="236">
        <v>9467</v>
      </c>
      <c r="GK62" s="52">
        <v>8892</v>
      </c>
      <c r="GL62" s="52">
        <v>6042</v>
      </c>
    </row>
    <row r="63" spans="1:194" x14ac:dyDescent="0.3">
      <c r="A63" s="157" t="s">
        <v>87</v>
      </c>
      <c r="FO63" s="174">
        <v>4590</v>
      </c>
      <c r="FP63" s="174">
        <v>4035</v>
      </c>
      <c r="FQ63" s="145">
        <v>5835</v>
      </c>
      <c r="FR63" s="52">
        <f>SUM('Total Weekday Boardings'!FR63,'Total Saturday Boardings'!FR63,'Total Sunday-Holiday Boardings'!FR63)</f>
        <v>6612</v>
      </c>
      <c r="FS63" s="52">
        <f>SUM('Total Weekday Boardings'!FS63,'Total Saturday Boardings'!FS63,'Total Sunday-Holiday Boardings'!FS63)</f>
        <v>2707</v>
      </c>
      <c r="FT63" s="52">
        <f>SUM('Total Weekday Boardings'!FT63,'Total Saturday Boardings'!FT63,'Total Sunday-Holiday Boardings'!FT63)</f>
        <v>2639</v>
      </c>
      <c r="FU63" s="52">
        <v>2220</v>
      </c>
      <c r="FV63" s="52">
        <v>6542</v>
      </c>
      <c r="FW63" s="52">
        <v>8814</v>
      </c>
      <c r="FX63" s="52">
        <v>7738</v>
      </c>
      <c r="FY63" s="52">
        <v>7398</v>
      </c>
      <c r="FZ63" s="52">
        <v>2352</v>
      </c>
      <c r="GA63" s="52">
        <v>5980</v>
      </c>
      <c r="GB63" s="169">
        <v>6573</v>
      </c>
      <c r="GC63" s="171">
        <v>5777.0724191063182</v>
      </c>
      <c r="GD63" s="171">
        <v>6996</v>
      </c>
      <c r="GE63" s="169">
        <v>1800</v>
      </c>
      <c r="GF63" s="52">
        <v>1417</v>
      </c>
      <c r="GG63" s="52">
        <v>1525</v>
      </c>
      <c r="GH63" s="169">
        <v>4073</v>
      </c>
      <c r="GI63" s="52">
        <v>7808</v>
      </c>
      <c r="GJ63" s="236">
        <v>7034</v>
      </c>
      <c r="GK63" s="52">
        <v>6303</v>
      </c>
      <c r="GL63" s="52">
        <v>3673</v>
      </c>
    </row>
    <row r="64" spans="1:194" x14ac:dyDescent="0.3">
      <c r="A64" s="157" t="s">
        <v>88</v>
      </c>
      <c r="FO64" s="174">
        <v>7991</v>
      </c>
      <c r="FP64" s="174">
        <v>7731</v>
      </c>
      <c r="FQ64" s="145">
        <v>9282</v>
      </c>
      <c r="FR64" s="52">
        <f>SUM('Total Weekday Boardings'!FR64,'Total Saturday Boardings'!FR64,'Total Sunday-Holiday Boardings'!FR64)</f>
        <v>9933</v>
      </c>
      <c r="FS64" s="52">
        <f>SUM('Total Weekday Boardings'!FS64,'Total Saturday Boardings'!FS64,'Total Sunday-Holiday Boardings'!FS64)</f>
        <v>4232</v>
      </c>
      <c r="FT64" s="52">
        <f>SUM('Total Weekday Boardings'!FT64,'Total Saturday Boardings'!FT64,'Total Sunday-Holiday Boardings'!FT64)</f>
        <v>3293</v>
      </c>
      <c r="FU64" s="52">
        <v>3322</v>
      </c>
      <c r="FV64" s="52">
        <v>11053</v>
      </c>
      <c r="FW64" s="52">
        <v>13579</v>
      </c>
      <c r="FX64" s="52">
        <v>11451</v>
      </c>
      <c r="FY64" s="52">
        <v>9745</v>
      </c>
      <c r="FZ64" s="52">
        <v>3418</v>
      </c>
      <c r="GA64" s="52">
        <v>9386</v>
      </c>
      <c r="GB64" s="169">
        <v>10133</v>
      </c>
      <c r="GC64" s="171">
        <v>7896.5023112480749</v>
      </c>
      <c r="GD64" s="171">
        <v>9931</v>
      </c>
      <c r="GE64" s="169">
        <v>2945</v>
      </c>
      <c r="GF64" s="52">
        <v>2564</v>
      </c>
      <c r="GG64" s="52">
        <v>3038</v>
      </c>
      <c r="GH64" s="169">
        <v>7814</v>
      </c>
      <c r="GI64" s="52">
        <v>14061</v>
      </c>
      <c r="GJ64" s="236">
        <v>12371</v>
      </c>
      <c r="GK64" s="52">
        <v>10020</v>
      </c>
      <c r="GL64" s="52">
        <v>5500</v>
      </c>
    </row>
    <row r="65" spans="1:194" x14ac:dyDescent="0.3">
      <c r="A65" s="157" t="s">
        <v>89</v>
      </c>
      <c r="FO65" s="174">
        <v>9165</v>
      </c>
      <c r="FP65" s="174">
        <v>8493</v>
      </c>
      <c r="FQ65" s="145">
        <v>12464</v>
      </c>
      <c r="FR65" s="52">
        <f>SUM('Total Weekday Boardings'!FR65,'Total Saturday Boardings'!FR65,'Total Sunday-Holiday Boardings'!FR65)</f>
        <v>14573</v>
      </c>
      <c r="FS65" s="52">
        <f>SUM('Total Weekday Boardings'!FS65,'Total Saturday Boardings'!FS65,'Total Sunday-Holiday Boardings'!FS65)</f>
        <v>5129</v>
      </c>
      <c r="FT65" s="52">
        <f>SUM('Total Weekday Boardings'!FT65,'Total Saturday Boardings'!FT65,'Total Sunday-Holiday Boardings'!FT65)</f>
        <v>3736</v>
      </c>
      <c r="FU65" s="52">
        <v>2692</v>
      </c>
      <c r="FV65" s="52">
        <v>12080</v>
      </c>
      <c r="FW65" s="52">
        <v>16999</v>
      </c>
      <c r="FX65" s="52">
        <v>12956</v>
      </c>
      <c r="FY65" s="52">
        <v>12242</v>
      </c>
      <c r="FZ65" s="52">
        <v>3909</v>
      </c>
      <c r="GA65" s="52">
        <v>9720</v>
      </c>
      <c r="GB65" s="169">
        <v>11213</v>
      </c>
      <c r="GC65" s="171">
        <v>9478.0739599383669</v>
      </c>
      <c r="GD65" s="171">
        <v>12552</v>
      </c>
      <c r="GE65" s="169">
        <v>3486</v>
      </c>
      <c r="GF65" s="52">
        <v>1686</v>
      </c>
      <c r="GG65" s="52">
        <v>1728</v>
      </c>
      <c r="GH65" s="169">
        <v>7823</v>
      </c>
      <c r="GI65" s="52">
        <v>13731</v>
      </c>
      <c r="GJ65" s="236">
        <v>12809</v>
      </c>
      <c r="GK65" s="52">
        <v>11162</v>
      </c>
      <c r="GL65" s="52">
        <v>5633</v>
      </c>
    </row>
    <row r="66" spans="1:194" x14ac:dyDescent="0.3">
      <c r="A66" s="157" t="s">
        <v>90</v>
      </c>
      <c r="FO66" s="174">
        <v>11102</v>
      </c>
      <c r="FP66" s="174">
        <v>9362</v>
      </c>
      <c r="FQ66" s="145">
        <v>13338</v>
      </c>
      <c r="FR66" s="52">
        <f>SUM('Total Weekday Boardings'!FR66,'Total Saturday Boardings'!FR66,'Total Sunday-Holiday Boardings'!FR66)</f>
        <v>14827</v>
      </c>
      <c r="FS66" s="52">
        <f>SUM('Total Weekday Boardings'!FS66,'Total Saturday Boardings'!FS66,'Total Sunday-Holiday Boardings'!FS66)</f>
        <v>9271</v>
      </c>
      <c r="FT66" s="52">
        <f>SUM('Total Weekday Boardings'!FT66,'Total Saturday Boardings'!FT66,'Total Sunday-Holiday Boardings'!FT66)</f>
        <v>6609</v>
      </c>
      <c r="FU66" s="52">
        <v>6833</v>
      </c>
      <c r="FV66" s="52">
        <v>14723</v>
      </c>
      <c r="FW66" s="52">
        <v>19994</v>
      </c>
      <c r="FX66" s="52">
        <v>16751</v>
      </c>
      <c r="FY66" s="52">
        <v>15341</v>
      </c>
      <c r="FZ66" s="52">
        <v>6860</v>
      </c>
      <c r="GA66" s="52">
        <v>12549</v>
      </c>
      <c r="GB66" s="169">
        <v>14461</v>
      </c>
      <c r="GC66" s="171">
        <v>12313.959938366719</v>
      </c>
      <c r="GD66" s="171">
        <v>15319</v>
      </c>
      <c r="GE66" s="169">
        <v>7606</v>
      </c>
      <c r="GF66" s="52">
        <v>4866</v>
      </c>
      <c r="GG66" s="52">
        <v>4861</v>
      </c>
      <c r="GH66" s="169">
        <v>9982</v>
      </c>
      <c r="GI66" s="52">
        <v>16357</v>
      </c>
      <c r="GJ66" s="236">
        <v>15547</v>
      </c>
      <c r="GK66" s="52">
        <v>13205</v>
      </c>
      <c r="GL66" s="52">
        <v>7747</v>
      </c>
    </row>
    <row r="67" spans="1:194" x14ac:dyDescent="0.3">
      <c r="A67" s="157" t="s">
        <v>91</v>
      </c>
      <c r="FO67" s="174">
        <v>9485</v>
      </c>
      <c r="FP67" s="174">
        <v>7693</v>
      </c>
      <c r="FQ67" s="145">
        <v>11808</v>
      </c>
      <c r="FR67" s="52">
        <f>SUM('Total Weekday Boardings'!FR67,'Total Saturday Boardings'!FR67,'Total Sunday-Holiday Boardings'!FR67)</f>
        <v>11468</v>
      </c>
      <c r="FS67" s="52">
        <f>SUM('Total Weekday Boardings'!FS67,'Total Saturday Boardings'!FS67,'Total Sunday-Holiday Boardings'!FS67)</f>
        <v>8341</v>
      </c>
      <c r="FT67" s="52">
        <f>SUM('Total Weekday Boardings'!FT67,'Total Saturday Boardings'!FT67,'Total Sunday-Holiday Boardings'!FT67)</f>
        <v>6883</v>
      </c>
      <c r="FU67" s="52">
        <v>6636</v>
      </c>
      <c r="FV67" s="52">
        <v>15102</v>
      </c>
      <c r="FW67" s="52">
        <v>17422</v>
      </c>
      <c r="FX67" s="52">
        <v>15331</v>
      </c>
      <c r="FY67" s="52">
        <v>15156</v>
      </c>
      <c r="FZ67" s="52">
        <v>7910</v>
      </c>
      <c r="GA67" s="52">
        <v>12878</v>
      </c>
      <c r="GB67" s="169">
        <v>13497</v>
      </c>
      <c r="GC67" s="171">
        <v>10734.453004622497</v>
      </c>
      <c r="GD67" s="171">
        <v>12476</v>
      </c>
      <c r="GE67" s="169">
        <v>7071</v>
      </c>
      <c r="GF67" s="52">
        <v>5818</v>
      </c>
      <c r="GG67" s="52">
        <v>6074</v>
      </c>
      <c r="GH67" s="169">
        <v>11854</v>
      </c>
      <c r="GI67" s="52">
        <v>17486</v>
      </c>
      <c r="GJ67" s="236">
        <v>16552</v>
      </c>
      <c r="GK67" s="52">
        <v>14024</v>
      </c>
      <c r="GL67" s="52">
        <v>10000</v>
      </c>
    </row>
    <row r="68" spans="1:194" x14ac:dyDescent="0.3">
      <c r="A68" s="157" t="s">
        <v>92</v>
      </c>
      <c r="FO68" s="174">
        <v>772</v>
      </c>
      <c r="FP68" s="174">
        <v>609</v>
      </c>
      <c r="FQ68" s="145">
        <v>919</v>
      </c>
      <c r="FR68" s="52">
        <f>SUM('Total Weekday Boardings'!FR68,'Total Saturday Boardings'!FR68,'Total Sunday-Holiday Boardings'!FR68)</f>
        <v>895</v>
      </c>
      <c r="FS68" s="52">
        <f>SUM('Total Weekday Boardings'!FS68,'Total Saturday Boardings'!FS68,'Total Sunday-Holiday Boardings'!FS68)</f>
        <v>1118</v>
      </c>
      <c r="FT68" s="52">
        <f>SUM('Total Weekday Boardings'!FT68,'Total Saturday Boardings'!FT68,'Total Sunday-Holiday Boardings'!FT68)</f>
        <v>1173</v>
      </c>
      <c r="FU68" s="52">
        <v>1023</v>
      </c>
      <c r="FV68" s="52">
        <v>1314</v>
      </c>
      <c r="FW68" s="52">
        <v>946</v>
      </c>
      <c r="FX68" s="52">
        <v>785</v>
      </c>
      <c r="FY68" s="52">
        <v>612</v>
      </c>
      <c r="FZ68" s="52">
        <v>531</v>
      </c>
      <c r="GA68" s="52">
        <v>585</v>
      </c>
      <c r="GB68" s="169">
        <v>631</v>
      </c>
      <c r="GC68" s="171">
        <v>602.89676425269647</v>
      </c>
      <c r="GD68" s="171">
        <v>676</v>
      </c>
      <c r="GE68" s="169">
        <v>512</v>
      </c>
      <c r="GF68" s="52">
        <v>609</v>
      </c>
      <c r="GG68" s="52">
        <v>762</v>
      </c>
      <c r="GH68" s="169">
        <v>678</v>
      </c>
      <c r="GI68" s="52">
        <v>802</v>
      </c>
      <c r="GJ68" s="236">
        <v>677</v>
      </c>
      <c r="GK68" s="52">
        <v>566</v>
      </c>
      <c r="GL68" s="52">
        <v>512</v>
      </c>
    </row>
    <row r="69" spans="1:194" x14ac:dyDescent="0.3">
      <c r="A69" s="157" t="s">
        <v>93</v>
      </c>
      <c r="FO69" s="174">
        <v>513</v>
      </c>
      <c r="FP69" s="174">
        <v>494</v>
      </c>
      <c r="FQ69" s="145">
        <v>821</v>
      </c>
      <c r="FR69" s="52">
        <f>SUM('Total Weekday Boardings'!FR69,'Total Saturday Boardings'!FR69,'Total Sunday-Holiday Boardings'!FR69)</f>
        <v>683</v>
      </c>
      <c r="FS69" s="52">
        <f>SUM('Total Weekday Boardings'!FS69,'Total Saturday Boardings'!FS69,'Total Sunday-Holiday Boardings'!FS69)</f>
        <v>870</v>
      </c>
      <c r="FT69" s="52">
        <f>SUM('Total Weekday Boardings'!FT69,'Total Saturday Boardings'!FT69,'Total Sunday-Holiday Boardings'!FT69)</f>
        <v>891</v>
      </c>
      <c r="FU69" s="52">
        <v>912</v>
      </c>
      <c r="FV69" s="52">
        <v>1006</v>
      </c>
      <c r="FW69" s="52">
        <v>797</v>
      </c>
      <c r="FX69" s="52">
        <v>659</v>
      </c>
      <c r="FY69" s="52">
        <v>800</v>
      </c>
      <c r="FZ69" s="52">
        <v>608</v>
      </c>
      <c r="GA69" s="52">
        <v>679</v>
      </c>
      <c r="GB69" s="169">
        <v>696</v>
      </c>
      <c r="GC69" s="171">
        <v>506.88751926040067</v>
      </c>
      <c r="GD69" s="171">
        <v>720</v>
      </c>
      <c r="GE69" s="169">
        <v>630</v>
      </c>
      <c r="GF69" s="52">
        <v>654</v>
      </c>
      <c r="GG69" s="52">
        <v>706</v>
      </c>
      <c r="GH69" s="169">
        <v>588</v>
      </c>
      <c r="GI69" s="52">
        <v>750</v>
      </c>
      <c r="GJ69" s="236">
        <v>798</v>
      </c>
      <c r="GK69" s="52">
        <v>674</v>
      </c>
      <c r="GL69" s="52">
        <v>576</v>
      </c>
    </row>
    <row r="70" spans="1:194" ht="15" thickBot="1" x14ac:dyDescent="0.35">
      <c r="A70" s="158" t="s">
        <v>102</v>
      </c>
      <c r="FO70" s="145">
        <f>SUM(FO56:FO69)</f>
        <v>59496</v>
      </c>
      <c r="FP70" s="145">
        <f t="shared" ref="FP70:GA70" si="14">SUM(FP56:FP69)</f>
        <v>52337</v>
      </c>
      <c r="FQ70" s="145">
        <f t="shared" si="14"/>
        <v>75819</v>
      </c>
      <c r="FR70" s="145">
        <f t="shared" si="14"/>
        <v>79565</v>
      </c>
      <c r="FS70" s="145">
        <f t="shared" si="14"/>
        <v>49839</v>
      </c>
      <c r="FT70" s="145">
        <f t="shared" si="14"/>
        <v>41836</v>
      </c>
      <c r="FU70" s="145">
        <f t="shared" si="14"/>
        <v>38828</v>
      </c>
      <c r="FV70" s="145">
        <f t="shared" si="14"/>
        <v>85014</v>
      </c>
      <c r="FW70" s="145">
        <f t="shared" si="14"/>
        <v>103319</v>
      </c>
      <c r="FX70" s="145">
        <f t="shared" si="14"/>
        <v>87855</v>
      </c>
      <c r="FY70" s="145">
        <f t="shared" si="14"/>
        <v>81870</v>
      </c>
      <c r="FZ70" s="145">
        <f t="shared" si="14"/>
        <v>38889</v>
      </c>
      <c r="GA70" s="145">
        <f t="shared" si="14"/>
        <v>69607</v>
      </c>
      <c r="GB70" s="145">
        <f t="shared" ref="GB70:GH70" si="15">SUM(GB56:GB69)</f>
        <v>77459</v>
      </c>
      <c r="GC70" s="145">
        <f t="shared" si="15"/>
        <v>64521.309707241919</v>
      </c>
      <c r="GD70" s="145">
        <f t="shared" si="15"/>
        <v>79301</v>
      </c>
      <c r="GE70" s="145">
        <f t="shared" si="15"/>
        <v>37831</v>
      </c>
      <c r="GF70" s="52">
        <f t="shared" si="15"/>
        <v>29133</v>
      </c>
      <c r="GG70" s="145">
        <f t="shared" si="15"/>
        <v>35971</v>
      </c>
      <c r="GH70" s="145">
        <f t="shared" si="15"/>
        <v>64112</v>
      </c>
      <c r="GI70" s="145">
        <f>SUM(GI56:GI69)</f>
        <v>98166</v>
      </c>
      <c r="GJ70" s="236">
        <f>SUM(GJ56:GJ69)</f>
        <v>88523</v>
      </c>
      <c r="GK70" s="145">
        <f>SUM(GK56:GK69)</f>
        <v>74533</v>
      </c>
      <c r="GL70" s="145">
        <f>SUM(GL56:GL69)</f>
        <v>48007</v>
      </c>
    </row>
    <row r="71" spans="1:194" x14ac:dyDescent="0.3">
      <c r="A71" s="153"/>
    </row>
  </sheetData>
  <mergeCells count="33">
    <mergeCell ref="FU2:GF2"/>
    <mergeCell ref="FU51:GF51"/>
    <mergeCell ref="DY51:EJ51"/>
    <mergeCell ref="EK51:EV51"/>
    <mergeCell ref="BQ51:CB51"/>
    <mergeCell ref="CC51:CN51"/>
    <mergeCell ref="CO51:CZ51"/>
    <mergeCell ref="DA51:DL51"/>
    <mergeCell ref="DM2:DX2"/>
    <mergeCell ref="FI2:FT2"/>
    <mergeCell ref="FI51:FT51"/>
    <mergeCell ref="EW2:FH2"/>
    <mergeCell ref="EW51:FH51"/>
    <mergeCell ref="DA2:DL2"/>
    <mergeCell ref="EK2:EV2"/>
    <mergeCell ref="DY2:EJ2"/>
    <mergeCell ref="B51:H51"/>
    <mergeCell ref="I51:T51"/>
    <mergeCell ref="U51:AF51"/>
    <mergeCell ref="DM51:DX51"/>
    <mergeCell ref="AS51:BD51"/>
    <mergeCell ref="BE51:BP51"/>
    <mergeCell ref="AG51:AR51"/>
    <mergeCell ref="A2:A3"/>
    <mergeCell ref="B2:H2"/>
    <mergeCell ref="I2:T2"/>
    <mergeCell ref="U2:AF2"/>
    <mergeCell ref="AG2:AR2"/>
    <mergeCell ref="AS2:BD2"/>
    <mergeCell ref="BE2:BP2"/>
    <mergeCell ref="BQ2:CB2"/>
    <mergeCell ref="CC2:CN2"/>
    <mergeCell ref="CO2:CZ2"/>
  </mergeCells>
  <pageMargins left="0.7" right="0.7" top="0.75" bottom="0.75" header="0.3" footer="0.3"/>
  <pageSetup orientation="portrait" r:id="rId1"/>
  <ignoredErrors>
    <ignoredError sqref="EW51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GL71"/>
  <sheetViews>
    <sheetView zoomScale="70" zoomScaleNormal="70" workbookViewId="0">
      <pane xSplit="1" topLeftCell="FO1" activePane="topRight" state="frozen"/>
      <selection activeCell="FJ74" sqref="FJ74"/>
      <selection pane="topRight" activeCell="GJ1" sqref="GJ1:GJ1048576"/>
    </sheetView>
  </sheetViews>
  <sheetFormatPr defaultRowHeight="14.4" x14ac:dyDescent="0.3"/>
  <cols>
    <col min="1" max="1" width="40.33203125" bestFit="1" customWidth="1"/>
    <col min="2" max="164" width="9" customWidth="1"/>
    <col min="165" max="167" width="10.88671875" bestFit="1" customWidth="1"/>
    <col min="168" max="172" width="10.5546875" bestFit="1" customWidth="1"/>
    <col min="173" max="173" width="12.6640625" bestFit="1" customWidth="1"/>
    <col min="174" max="183" width="10.88671875" bestFit="1" customWidth="1"/>
    <col min="192" max="192" width="8.88671875" style="244"/>
  </cols>
  <sheetData>
    <row r="1" spans="1:194" s="5" customFormat="1" x14ac:dyDescent="0.3">
      <c r="A1" s="43" t="s">
        <v>55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GJ1" s="239"/>
    </row>
    <row r="2" spans="1:194" s="5" customFormat="1" x14ac:dyDescent="0.3">
      <c r="A2" s="193"/>
      <c r="B2" s="195"/>
      <c r="C2" s="196"/>
      <c r="D2" s="196"/>
      <c r="E2" s="196"/>
      <c r="F2" s="196"/>
      <c r="G2" s="196"/>
      <c r="H2" s="197"/>
      <c r="I2" s="195" t="s">
        <v>48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95" t="s">
        <v>47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7"/>
      <c r="AG2" s="192" t="s">
        <v>46</v>
      </c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 t="s">
        <v>45</v>
      </c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 t="s">
        <v>44</v>
      </c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 t="s">
        <v>2</v>
      </c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 t="s">
        <v>1</v>
      </c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 t="s">
        <v>0</v>
      </c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 t="s">
        <v>50</v>
      </c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 t="s">
        <v>72</v>
      </c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 t="s">
        <v>75</v>
      </c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 t="s">
        <v>76</v>
      </c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 t="s">
        <v>77</v>
      </c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5"/>
      <c r="FI2" s="192" t="s">
        <v>79</v>
      </c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5"/>
      <c r="FU2" s="201" t="s">
        <v>100</v>
      </c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202"/>
      <c r="GJ2" s="239"/>
    </row>
    <row r="3" spans="1:194" s="1" customFormat="1" ht="15" thickBot="1" x14ac:dyDescent="0.35">
      <c r="A3" s="194"/>
      <c r="B3" s="46">
        <v>39783</v>
      </c>
      <c r="C3" s="38">
        <v>39814</v>
      </c>
      <c r="D3" s="38">
        <v>39845</v>
      </c>
      <c r="E3" s="37">
        <v>39873</v>
      </c>
      <c r="F3" s="38">
        <v>39904</v>
      </c>
      <c r="G3" s="38">
        <v>39934</v>
      </c>
      <c r="H3" s="41">
        <v>39965</v>
      </c>
      <c r="I3" s="40">
        <v>39995</v>
      </c>
      <c r="J3" s="38">
        <v>40026</v>
      </c>
      <c r="K3" s="38">
        <v>40057</v>
      </c>
      <c r="L3" s="38">
        <v>40087</v>
      </c>
      <c r="M3" s="37">
        <v>40118</v>
      </c>
      <c r="N3" s="38">
        <v>40148</v>
      </c>
      <c r="O3" s="38">
        <v>40179</v>
      </c>
      <c r="P3" s="38">
        <v>40210</v>
      </c>
      <c r="Q3" s="37">
        <v>40238</v>
      </c>
      <c r="R3" s="38">
        <v>40269</v>
      </c>
      <c r="S3" s="38">
        <v>40299</v>
      </c>
      <c r="T3" s="41">
        <v>40330</v>
      </c>
      <c r="U3" s="40">
        <v>40360</v>
      </c>
      <c r="V3" s="38">
        <v>40391</v>
      </c>
      <c r="W3" s="38">
        <v>40422</v>
      </c>
      <c r="X3" s="38">
        <v>40452</v>
      </c>
      <c r="Y3" s="37">
        <v>40483</v>
      </c>
      <c r="Z3" s="38">
        <v>40513</v>
      </c>
      <c r="AA3" s="38">
        <v>40544</v>
      </c>
      <c r="AB3" s="38">
        <v>40575</v>
      </c>
      <c r="AC3" s="37">
        <v>40603</v>
      </c>
      <c r="AD3" s="38">
        <v>40634</v>
      </c>
      <c r="AE3" s="38">
        <v>40664</v>
      </c>
      <c r="AF3" s="41">
        <v>40695</v>
      </c>
      <c r="AG3" s="40">
        <v>40725</v>
      </c>
      <c r="AH3" s="38">
        <v>40756</v>
      </c>
      <c r="AI3" s="38">
        <v>40787</v>
      </c>
      <c r="AJ3" s="38">
        <v>40817</v>
      </c>
      <c r="AK3" s="37">
        <v>40848</v>
      </c>
      <c r="AL3" s="38">
        <v>40878</v>
      </c>
      <c r="AM3" s="38">
        <v>40909</v>
      </c>
      <c r="AN3" s="38">
        <v>40940</v>
      </c>
      <c r="AO3" s="37">
        <v>40969</v>
      </c>
      <c r="AP3" s="38">
        <v>41000</v>
      </c>
      <c r="AQ3" s="38">
        <v>41030</v>
      </c>
      <c r="AR3" s="41">
        <v>41061</v>
      </c>
      <c r="AS3" s="40">
        <v>41091</v>
      </c>
      <c r="AT3" s="38">
        <v>41122</v>
      </c>
      <c r="AU3" s="38">
        <v>41153</v>
      </c>
      <c r="AV3" s="38">
        <v>41183</v>
      </c>
      <c r="AW3" s="37">
        <v>41214</v>
      </c>
      <c r="AX3" s="38">
        <v>41244</v>
      </c>
      <c r="AY3" s="38">
        <v>41275</v>
      </c>
      <c r="AZ3" s="38">
        <v>41306</v>
      </c>
      <c r="BA3" s="37">
        <v>41334</v>
      </c>
      <c r="BB3" s="38">
        <v>41365</v>
      </c>
      <c r="BC3" s="38">
        <v>41395</v>
      </c>
      <c r="BD3" s="41">
        <v>41426</v>
      </c>
      <c r="BE3" s="40">
        <v>41456</v>
      </c>
      <c r="BF3" s="38">
        <v>41487</v>
      </c>
      <c r="BG3" s="38">
        <v>41518</v>
      </c>
      <c r="BH3" s="38">
        <v>41548</v>
      </c>
      <c r="BI3" s="37">
        <v>41579</v>
      </c>
      <c r="BJ3" s="38">
        <v>41609</v>
      </c>
      <c r="BK3" s="38">
        <v>41640</v>
      </c>
      <c r="BL3" s="38">
        <v>41671</v>
      </c>
      <c r="BM3" s="37">
        <v>41699</v>
      </c>
      <c r="BN3" s="38">
        <v>41730</v>
      </c>
      <c r="BO3" s="38">
        <v>41760</v>
      </c>
      <c r="BP3" s="41">
        <v>41791</v>
      </c>
      <c r="BQ3" s="40">
        <v>41821</v>
      </c>
      <c r="BR3" s="38">
        <v>41852</v>
      </c>
      <c r="BS3" s="38">
        <v>41883</v>
      </c>
      <c r="BT3" s="38">
        <v>41913</v>
      </c>
      <c r="BU3" s="37">
        <v>41944</v>
      </c>
      <c r="BV3" s="38">
        <v>41974</v>
      </c>
      <c r="BW3" s="38">
        <v>42005</v>
      </c>
      <c r="BX3" s="38">
        <v>42036</v>
      </c>
      <c r="BY3" s="37">
        <v>42064</v>
      </c>
      <c r="BZ3" s="38">
        <v>42095</v>
      </c>
      <c r="CA3" s="38">
        <v>42125</v>
      </c>
      <c r="CB3" s="41">
        <v>42156</v>
      </c>
      <c r="CC3" s="42">
        <v>42186</v>
      </c>
      <c r="CD3" s="38">
        <v>42217</v>
      </c>
      <c r="CE3" s="38">
        <v>42248</v>
      </c>
      <c r="CF3" s="38">
        <v>42278</v>
      </c>
      <c r="CG3" s="37">
        <v>42309</v>
      </c>
      <c r="CH3" s="38">
        <v>42339</v>
      </c>
      <c r="CI3" s="38">
        <v>42370</v>
      </c>
      <c r="CJ3" s="38">
        <v>42401</v>
      </c>
      <c r="CK3" s="37">
        <v>42430</v>
      </c>
      <c r="CL3" s="38">
        <v>42461</v>
      </c>
      <c r="CM3" s="38">
        <v>42491</v>
      </c>
      <c r="CN3" s="39">
        <v>42522</v>
      </c>
      <c r="CO3" s="40">
        <v>42552</v>
      </c>
      <c r="CP3" s="38">
        <v>42583</v>
      </c>
      <c r="CQ3" s="38">
        <v>42614</v>
      </c>
      <c r="CR3" s="38">
        <v>42644</v>
      </c>
      <c r="CS3" s="37">
        <v>42675</v>
      </c>
      <c r="CT3" s="38">
        <v>42705</v>
      </c>
      <c r="CU3" s="38">
        <v>42736</v>
      </c>
      <c r="CV3" s="38">
        <v>42767</v>
      </c>
      <c r="CW3" s="37">
        <v>42795</v>
      </c>
      <c r="CX3" s="38">
        <v>42826</v>
      </c>
      <c r="CY3" s="38">
        <v>42856</v>
      </c>
      <c r="CZ3" s="41">
        <v>42887</v>
      </c>
      <c r="DA3" s="40">
        <v>42917</v>
      </c>
      <c r="DB3" s="38">
        <v>42948</v>
      </c>
      <c r="DC3" s="38">
        <v>42979</v>
      </c>
      <c r="DD3" s="38">
        <v>43009</v>
      </c>
      <c r="DE3" s="37">
        <v>43040</v>
      </c>
      <c r="DF3" s="38">
        <v>43070</v>
      </c>
      <c r="DG3" s="38">
        <v>43101</v>
      </c>
      <c r="DH3" s="38">
        <v>43132</v>
      </c>
      <c r="DI3" s="37">
        <v>43160</v>
      </c>
      <c r="DJ3" s="38">
        <v>43191</v>
      </c>
      <c r="DK3" s="38">
        <v>43221</v>
      </c>
      <c r="DL3" s="41">
        <v>43252</v>
      </c>
      <c r="DM3" s="40">
        <v>43282</v>
      </c>
      <c r="DN3" s="38">
        <v>43313</v>
      </c>
      <c r="DO3" s="38">
        <v>43344</v>
      </c>
      <c r="DP3" s="38">
        <v>43374</v>
      </c>
      <c r="DQ3" s="37">
        <v>43405</v>
      </c>
      <c r="DR3" s="38">
        <v>43435</v>
      </c>
      <c r="DS3" s="38">
        <v>43466</v>
      </c>
      <c r="DT3" s="38">
        <v>43497</v>
      </c>
      <c r="DU3" s="37">
        <v>43525</v>
      </c>
      <c r="DV3" s="38">
        <v>43556</v>
      </c>
      <c r="DW3" s="38">
        <v>43586</v>
      </c>
      <c r="DX3" s="41">
        <v>43617</v>
      </c>
      <c r="DY3" s="40">
        <v>43647</v>
      </c>
      <c r="DZ3" s="38">
        <v>43678</v>
      </c>
      <c r="EA3" s="38">
        <v>43709</v>
      </c>
      <c r="EB3" s="38">
        <v>43739</v>
      </c>
      <c r="EC3" s="37">
        <v>43770</v>
      </c>
      <c r="ED3" s="38">
        <v>43800</v>
      </c>
      <c r="EE3" s="38">
        <v>43831</v>
      </c>
      <c r="EF3" s="38">
        <v>43862</v>
      </c>
      <c r="EG3" s="37">
        <v>43891</v>
      </c>
      <c r="EH3" s="38">
        <v>43922</v>
      </c>
      <c r="EI3" s="38">
        <v>43952</v>
      </c>
      <c r="EJ3" s="41">
        <v>43983</v>
      </c>
      <c r="EK3" s="40">
        <v>44013</v>
      </c>
      <c r="EL3" s="38">
        <v>44044</v>
      </c>
      <c r="EM3" s="38">
        <v>44075</v>
      </c>
      <c r="EN3" s="38">
        <v>44105</v>
      </c>
      <c r="EO3" s="37">
        <v>44136</v>
      </c>
      <c r="EP3" s="38">
        <v>44166</v>
      </c>
      <c r="EQ3" s="38">
        <v>44197</v>
      </c>
      <c r="ER3" s="38">
        <v>44228</v>
      </c>
      <c r="ES3" s="37">
        <v>44256</v>
      </c>
      <c r="ET3" s="38">
        <v>44287</v>
      </c>
      <c r="EU3" s="38">
        <v>44317</v>
      </c>
      <c r="EV3" s="41">
        <v>44348</v>
      </c>
      <c r="EW3" s="40">
        <v>44378</v>
      </c>
      <c r="EX3" s="38">
        <v>44409</v>
      </c>
      <c r="EY3" s="38">
        <v>44440</v>
      </c>
      <c r="EZ3" s="38">
        <v>44470</v>
      </c>
      <c r="FA3" s="37">
        <v>44501</v>
      </c>
      <c r="FB3" s="38">
        <v>44531</v>
      </c>
      <c r="FC3" s="38">
        <v>44562</v>
      </c>
      <c r="FD3" s="38">
        <v>44593</v>
      </c>
      <c r="FE3" s="37">
        <v>44621</v>
      </c>
      <c r="FF3" s="38">
        <v>44652</v>
      </c>
      <c r="FG3" s="38">
        <v>44682</v>
      </c>
      <c r="FH3" s="39">
        <v>44713</v>
      </c>
      <c r="FI3" s="40">
        <v>44764</v>
      </c>
      <c r="FJ3" s="38">
        <v>44795</v>
      </c>
      <c r="FK3" s="38">
        <v>44826</v>
      </c>
      <c r="FL3" s="38">
        <v>44856</v>
      </c>
      <c r="FM3" s="37">
        <v>44887</v>
      </c>
      <c r="FN3" s="38">
        <v>44917</v>
      </c>
      <c r="FO3" s="38">
        <v>44949</v>
      </c>
      <c r="FP3" s="38">
        <v>44980</v>
      </c>
      <c r="FQ3" s="37">
        <v>45008</v>
      </c>
      <c r="FR3" s="38">
        <v>45039</v>
      </c>
      <c r="FS3" s="38">
        <v>45069</v>
      </c>
      <c r="FT3" s="39">
        <v>45100</v>
      </c>
      <c r="FU3" s="173">
        <v>45130</v>
      </c>
      <c r="FV3" s="173">
        <v>45161</v>
      </c>
      <c r="FW3" s="173">
        <v>45192</v>
      </c>
      <c r="FX3" s="173">
        <v>45222</v>
      </c>
      <c r="FY3" s="173">
        <v>45253</v>
      </c>
      <c r="FZ3" s="173">
        <v>45283</v>
      </c>
      <c r="GA3" s="173">
        <v>45315</v>
      </c>
      <c r="GB3" s="173">
        <v>45345</v>
      </c>
      <c r="GC3" s="173">
        <v>45374</v>
      </c>
      <c r="GD3" s="173">
        <v>45405</v>
      </c>
      <c r="GE3" s="173">
        <v>45435</v>
      </c>
      <c r="GF3" s="173">
        <v>45466</v>
      </c>
      <c r="GG3" s="173">
        <v>45497</v>
      </c>
      <c r="GH3" s="173">
        <v>45529</v>
      </c>
      <c r="GI3" s="173">
        <v>45561</v>
      </c>
      <c r="GJ3" s="240">
        <v>45592</v>
      </c>
      <c r="GK3" s="173">
        <v>45624</v>
      </c>
      <c r="GL3" s="173">
        <v>45655</v>
      </c>
    </row>
    <row r="4" spans="1:194" s="1" customFormat="1" x14ac:dyDescent="0.3">
      <c r="A4" s="168" t="s">
        <v>96</v>
      </c>
      <c r="B4" s="160"/>
      <c r="C4" s="161"/>
      <c r="D4" s="161"/>
      <c r="E4" s="162"/>
      <c r="F4" s="161"/>
      <c r="G4" s="161"/>
      <c r="H4" s="163"/>
      <c r="I4" s="164"/>
      <c r="J4" s="161"/>
      <c r="K4" s="161"/>
      <c r="L4" s="161"/>
      <c r="M4" s="162"/>
      <c r="N4" s="161"/>
      <c r="O4" s="161"/>
      <c r="P4" s="161"/>
      <c r="Q4" s="162"/>
      <c r="R4" s="161"/>
      <c r="S4" s="161"/>
      <c r="T4" s="163"/>
      <c r="U4" s="164"/>
      <c r="V4" s="161"/>
      <c r="W4" s="161"/>
      <c r="X4" s="161"/>
      <c r="Y4" s="162"/>
      <c r="Z4" s="161"/>
      <c r="AA4" s="161"/>
      <c r="AB4" s="161"/>
      <c r="AC4" s="162"/>
      <c r="AD4" s="161"/>
      <c r="AE4" s="161"/>
      <c r="AF4" s="163"/>
      <c r="AG4" s="164"/>
      <c r="AH4" s="161"/>
      <c r="AI4" s="161"/>
      <c r="AJ4" s="161"/>
      <c r="AK4" s="162"/>
      <c r="AL4" s="161"/>
      <c r="AM4" s="161"/>
      <c r="AN4" s="161"/>
      <c r="AO4" s="162"/>
      <c r="AP4" s="161"/>
      <c r="AQ4" s="161"/>
      <c r="AR4" s="163"/>
      <c r="AS4" s="164"/>
      <c r="AT4" s="161"/>
      <c r="AU4" s="161"/>
      <c r="AV4" s="161"/>
      <c r="AW4" s="162"/>
      <c r="AX4" s="161"/>
      <c r="AY4" s="161"/>
      <c r="AZ4" s="161"/>
      <c r="BA4" s="162"/>
      <c r="BB4" s="161"/>
      <c r="BC4" s="161"/>
      <c r="BD4" s="163"/>
      <c r="BE4" s="164"/>
      <c r="BF4" s="161"/>
      <c r="BG4" s="161"/>
      <c r="BH4" s="161"/>
      <c r="BI4" s="162"/>
      <c r="BJ4" s="161"/>
      <c r="BK4" s="161"/>
      <c r="BL4" s="161"/>
      <c r="BM4" s="162"/>
      <c r="BN4" s="161"/>
      <c r="BO4" s="161"/>
      <c r="BP4" s="163"/>
      <c r="BQ4" s="164"/>
      <c r="BR4" s="161"/>
      <c r="BS4" s="161"/>
      <c r="BT4" s="161"/>
      <c r="BU4" s="162"/>
      <c r="BV4" s="161"/>
      <c r="BW4" s="161"/>
      <c r="BX4" s="161"/>
      <c r="BY4" s="162"/>
      <c r="BZ4" s="161"/>
      <c r="CA4" s="161"/>
      <c r="CB4" s="163"/>
      <c r="CC4" s="165"/>
      <c r="CD4" s="161"/>
      <c r="CE4" s="161"/>
      <c r="CF4" s="161"/>
      <c r="CG4" s="162"/>
      <c r="CH4" s="161"/>
      <c r="CI4" s="161"/>
      <c r="CJ4" s="161"/>
      <c r="CK4" s="162"/>
      <c r="CL4" s="161"/>
      <c r="CM4" s="161"/>
      <c r="CN4" s="166"/>
      <c r="CO4" s="164"/>
      <c r="CP4" s="161"/>
      <c r="CQ4" s="161"/>
      <c r="CR4" s="161"/>
      <c r="CS4" s="162"/>
      <c r="CT4" s="161"/>
      <c r="CU4" s="161"/>
      <c r="CV4" s="161"/>
      <c r="CW4" s="162"/>
      <c r="CX4" s="161"/>
      <c r="CY4" s="161"/>
      <c r="CZ4" s="163"/>
      <c r="DA4" s="164"/>
      <c r="DB4" s="161"/>
      <c r="DC4" s="161"/>
      <c r="DD4" s="161"/>
      <c r="DE4" s="162"/>
      <c r="DF4" s="161"/>
      <c r="DG4" s="161"/>
      <c r="DH4" s="161"/>
      <c r="DI4" s="162"/>
      <c r="DJ4" s="161"/>
      <c r="DK4" s="161"/>
      <c r="DL4" s="163"/>
      <c r="DM4" s="164"/>
      <c r="DN4" s="161"/>
      <c r="DO4" s="161"/>
      <c r="DP4" s="161"/>
      <c r="DQ4" s="162"/>
      <c r="DR4" s="161"/>
      <c r="DS4" s="161"/>
      <c r="DT4" s="161"/>
      <c r="DU4" s="162"/>
      <c r="DV4" s="161"/>
      <c r="DW4" s="161"/>
      <c r="DX4" s="163"/>
      <c r="DY4" s="159"/>
      <c r="DZ4" s="161"/>
      <c r="EA4" s="161"/>
      <c r="EB4" s="161"/>
      <c r="EC4" s="162"/>
      <c r="ED4" s="161"/>
      <c r="EE4" s="161"/>
      <c r="EF4" s="161"/>
      <c r="EG4" s="162"/>
      <c r="EH4" s="161"/>
      <c r="EI4" s="161"/>
      <c r="EJ4" s="163"/>
      <c r="EK4" s="159"/>
      <c r="EL4" s="161"/>
      <c r="EM4" s="161"/>
      <c r="EN4" s="167"/>
      <c r="EO4" s="162"/>
      <c r="EP4" s="161"/>
      <c r="EQ4" s="161"/>
      <c r="ER4" s="161"/>
      <c r="ES4" s="162"/>
      <c r="ET4" s="161"/>
      <c r="EU4" s="161"/>
      <c r="EV4" s="163"/>
      <c r="EW4" s="159"/>
      <c r="EX4" s="161"/>
      <c r="EY4" s="161"/>
      <c r="EZ4" s="167"/>
      <c r="FA4" s="162"/>
      <c r="FB4" s="167"/>
      <c r="FC4" s="161"/>
      <c r="FD4" s="161"/>
      <c r="FE4" s="159"/>
      <c r="FF4" s="167"/>
      <c r="FG4" s="167"/>
      <c r="FH4" s="167"/>
      <c r="FI4" s="159"/>
      <c r="FJ4" s="161"/>
      <c r="FK4" s="161"/>
      <c r="FL4" s="167"/>
      <c r="FM4" s="162"/>
      <c r="FN4" s="167"/>
      <c r="FO4" s="161"/>
      <c r="FP4" s="161"/>
      <c r="FQ4" s="159"/>
      <c r="FR4" s="167"/>
      <c r="FS4" s="167"/>
      <c r="FT4" s="167"/>
      <c r="FU4" s="178"/>
      <c r="FV4" s="178"/>
      <c r="FW4" s="178"/>
      <c r="FX4" s="178"/>
      <c r="FY4" s="178"/>
      <c r="FZ4" s="178"/>
      <c r="GA4" s="178">
        <v>6825</v>
      </c>
      <c r="GB4" s="18">
        <v>32825</v>
      </c>
      <c r="GC4" s="177">
        <v>30261</v>
      </c>
      <c r="GD4" s="18">
        <v>32598</v>
      </c>
      <c r="GE4" s="18">
        <v>31868</v>
      </c>
      <c r="GF4" s="177">
        <v>27587</v>
      </c>
      <c r="GG4" s="18">
        <v>34844</v>
      </c>
      <c r="GH4" s="18">
        <v>35830</v>
      </c>
      <c r="GI4" s="177">
        <v>11463</v>
      </c>
      <c r="GJ4" s="241">
        <v>38374</v>
      </c>
      <c r="GK4" s="184">
        <v>29122</v>
      </c>
      <c r="GL4" s="184">
        <v>33388</v>
      </c>
    </row>
    <row r="5" spans="1:194" s="1" customFormat="1" x14ac:dyDescent="0.3">
      <c r="A5" s="168" t="s">
        <v>97</v>
      </c>
      <c r="B5" s="160"/>
      <c r="C5" s="161"/>
      <c r="D5" s="161"/>
      <c r="E5" s="162"/>
      <c r="F5" s="161"/>
      <c r="G5" s="161"/>
      <c r="H5" s="163"/>
      <c r="I5" s="164"/>
      <c r="J5" s="161"/>
      <c r="K5" s="161"/>
      <c r="L5" s="161"/>
      <c r="M5" s="162"/>
      <c r="N5" s="161"/>
      <c r="O5" s="161"/>
      <c r="P5" s="161"/>
      <c r="Q5" s="162"/>
      <c r="R5" s="161"/>
      <c r="S5" s="161"/>
      <c r="T5" s="163"/>
      <c r="U5" s="164"/>
      <c r="V5" s="161"/>
      <c r="W5" s="161"/>
      <c r="X5" s="161"/>
      <c r="Y5" s="162"/>
      <c r="Z5" s="161"/>
      <c r="AA5" s="161"/>
      <c r="AB5" s="161"/>
      <c r="AC5" s="162"/>
      <c r="AD5" s="161"/>
      <c r="AE5" s="161"/>
      <c r="AF5" s="163"/>
      <c r="AG5" s="164"/>
      <c r="AH5" s="161"/>
      <c r="AI5" s="161"/>
      <c r="AJ5" s="161"/>
      <c r="AK5" s="162"/>
      <c r="AL5" s="161"/>
      <c r="AM5" s="161"/>
      <c r="AN5" s="161"/>
      <c r="AO5" s="162"/>
      <c r="AP5" s="161"/>
      <c r="AQ5" s="161"/>
      <c r="AR5" s="163"/>
      <c r="AS5" s="164"/>
      <c r="AT5" s="161"/>
      <c r="AU5" s="161"/>
      <c r="AV5" s="161"/>
      <c r="AW5" s="162"/>
      <c r="AX5" s="161"/>
      <c r="AY5" s="161"/>
      <c r="AZ5" s="161"/>
      <c r="BA5" s="162"/>
      <c r="BB5" s="161"/>
      <c r="BC5" s="161"/>
      <c r="BD5" s="163"/>
      <c r="BE5" s="164"/>
      <c r="BF5" s="161"/>
      <c r="BG5" s="161"/>
      <c r="BH5" s="161"/>
      <c r="BI5" s="162"/>
      <c r="BJ5" s="161"/>
      <c r="BK5" s="161"/>
      <c r="BL5" s="161"/>
      <c r="BM5" s="162"/>
      <c r="BN5" s="161"/>
      <c r="BO5" s="161"/>
      <c r="BP5" s="163"/>
      <c r="BQ5" s="164"/>
      <c r="BR5" s="161"/>
      <c r="BS5" s="161"/>
      <c r="BT5" s="161"/>
      <c r="BU5" s="162"/>
      <c r="BV5" s="161"/>
      <c r="BW5" s="161"/>
      <c r="BX5" s="161"/>
      <c r="BY5" s="162"/>
      <c r="BZ5" s="161"/>
      <c r="CA5" s="161"/>
      <c r="CB5" s="163"/>
      <c r="CC5" s="165"/>
      <c r="CD5" s="161"/>
      <c r="CE5" s="161"/>
      <c r="CF5" s="161"/>
      <c r="CG5" s="162"/>
      <c r="CH5" s="161"/>
      <c r="CI5" s="161"/>
      <c r="CJ5" s="161"/>
      <c r="CK5" s="162"/>
      <c r="CL5" s="161"/>
      <c r="CM5" s="161"/>
      <c r="CN5" s="166"/>
      <c r="CO5" s="164"/>
      <c r="CP5" s="161"/>
      <c r="CQ5" s="161"/>
      <c r="CR5" s="161"/>
      <c r="CS5" s="162"/>
      <c r="CT5" s="161"/>
      <c r="CU5" s="161"/>
      <c r="CV5" s="161"/>
      <c r="CW5" s="162"/>
      <c r="CX5" s="161"/>
      <c r="CY5" s="161"/>
      <c r="CZ5" s="163"/>
      <c r="DA5" s="164"/>
      <c r="DB5" s="161"/>
      <c r="DC5" s="161"/>
      <c r="DD5" s="161"/>
      <c r="DE5" s="162"/>
      <c r="DF5" s="161"/>
      <c r="DG5" s="161"/>
      <c r="DH5" s="161"/>
      <c r="DI5" s="162"/>
      <c r="DJ5" s="161"/>
      <c r="DK5" s="161"/>
      <c r="DL5" s="163"/>
      <c r="DM5" s="164"/>
      <c r="DN5" s="161"/>
      <c r="DO5" s="161"/>
      <c r="DP5" s="161"/>
      <c r="DQ5" s="162"/>
      <c r="DR5" s="161"/>
      <c r="DS5" s="161"/>
      <c r="DT5" s="161"/>
      <c r="DU5" s="162"/>
      <c r="DV5" s="161"/>
      <c r="DW5" s="161"/>
      <c r="DX5" s="163"/>
      <c r="DY5" s="159"/>
      <c r="DZ5" s="161"/>
      <c r="EA5" s="161"/>
      <c r="EB5" s="161"/>
      <c r="EC5" s="162"/>
      <c r="ED5" s="161"/>
      <c r="EE5" s="161"/>
      <c r="EF5" s="161"/>
      <c r="EG5" s="162"/>
      <c r="EH5" s="161"/>
      <c r="EI5" s="161"/>
      <c r="EJ5" s="163"/>
      <c r="EK5" s="159"/>
      <c r="EL5" s="161"/>
      <c r="EM5" s="161"/>
      <c r="EN5" s="167"/>
      <c r="EO5" s="162"/>
      <c r="EP5" s="161"/>
      <c r="EQ5" s="161"/>
      <c r="ER5" s="161"/>
      <c r="ES5" s="162"/>
      <c r="ET5" s="161"/>
      <c r="EU5" s="161"/>
      <c r="EV5" s="163"/>
      <c r="EW5" s="159"/>
      <c r="EX5" s="161"/>
      <c r="EY5" s="161"/>
      <c r="EZ5" s="167"/>
      <c r="FA5" s="162"/>
      <c r="FB5" s="167"/>
      <c r="FC5" s="161"/>
      <c r="FD5" s="161"/>
      <c r="FE5" s="159"/>
      <c r="FF5" s="167"/>
      <c r="FG5" s="167"/>
      <c r="FH5" s="167"/>
      <c r="FI5" s="159"/>
      <c r="FJ5" s="161"/>
      <c r="FK5" s="161"/>
      <c r="FL5" s="167"/>
      <c r="FM5" s="162"/>
      <c r="FN5" s="167"/>
      <c r="FO5" s="161"/>
      <c r="FP5" s="161"/>
      <c r="FQ5" s="159"/>
      <c r="FR5" s="167"/>
      <c r="FS5" s="167"/>
      <c r="FT5" s="167"/>
      <c r="FU5" s="178"/>
      <c r="FV5" s="178"/>
      <c r="FW5" s="178"/>
      <c r="FX5" s="178"/>
      <c r="FY5" s="178"/>
      <c r="FZ5" s="178"/>
      <c r="GA5" s="178">
        <v>396</v>
      </c>
      <c r="GB5" s="18">
        <v>2539</v>
      </c>
      <c r="GC5" s="177">
        <v>2666</v>
      </c>
      <c r="GD5" s="18">
        <v>2881</v>
      </c>
      <c r="GE5" s="18">
        <v>2226</v>
      </c>
      <c r="GF5" s="177">
        <v>2221</v>
      </c>
      <c r="GG5" s="18">
        <v>2673</v>
      </c>
      <c r="GH5" s="18">
        <v>3121</v>
      </c>
      <c r="GI5" s="177">
        <v>628</v>
      </c>
      <c r="GJ5" s="241">
        <v>3757</v>
      </c>
      <c r="GK5" s="184">
        <v>3248</v>
      </c>
      <c r="GL5" s="184">
        <v>2967</v>
      </c>
    </row>
    <row r="6" spans="1:194" s="1" customFormat="1" ht="15" thickBot="1" x14ac:dyDescent="0.35">
      <c r="A6" s="168" t="s">
        <v>98</v>
      </c>
      <c r="B6" s="160"/>
      <c r="C6" s="161"/>
      <c r="D6" s="161"/>
      <c r="E6" s="162"/>
      <c r="F6" s="161"/>
      <c r="G6" s="161"/>
      <c r="H6" s="163"/>
      <c r="I6" s="164"/>
      <c r="J6" s="161"/>
      <c r="K6" s="161"/>
      <c r="L6" s="161"/>
      <c r="M6" s="162"/>
      <c r="N6" s="161"/>
      <c r="O6" s="161"/>
      <c r="P6" s="161"/>
      <c r="Q6" s="162"/>
      <c r="R6" s="161"/>
      <c r="S6" s="161"/>
      <c r="T6" s="163"/>
      <c r="U6" s="164"/>
      <c r="V6" s="161"/>
      <c r="W6" s="161"/>
      <c r="X6" s="161"/>
      <c r="Y6" s="162"/>
      <c r="Z6" s="161"/>
      <c r="AA6" s="161"/>
      <c r="AB6" s="161"/>
      <c r="AC6" s="162"/>
      <c r="AD6" s="161"/>
      <c r="AE6" s="161"/>
      <c r="AF6" s="163"/>
      <c r="AG6" s="164"/>
      <c r="AH6" s="161"/>
      <c r="AI6" s="161"/>
      <c r="AJ6" s="161"/>
      <c r="AK6" s="162"/>
      <c r="AL6" s="161"/>
      <c r="AM6" s="161"/>
      <c r="AN6" s="161"/>
      <c r="AO6" s="162"/>
      <c r="AP6" s="161"/>
      <c r="AQ6" s="161"/>
      <c r="AR6" s="163"/>
      <c r="AS6" s="164"/>
      <c r="AT6" s="161"/>
      <c r="AU6" s="161"/>
      <c r="AV6" s="161"/>
      <c r="AW6" s="162"/>
      <c r="AX6" s="161"/>
      <c r="AY6" s="161"/>
      <c r="AZ6" s="161"/>
      <c r="BA6" s="162"/>
      <c r="BB6" s="161"/>
      <c r="BC6" s="161"/>
      <c r="BD6" s="163"/>
      <c r="BE6" s="164"/>
      <c r="BF6" s="161"/>
      <c r="BG6" s="161"/>
      <c r="BH6" s="161"/>
      <c r="BI6" s="162"/>
      <c r="BJ6" s="161"/>
      <c r="BK6" s="161"/>
      <c r="BL6" s="161"/>
      <c r="BM6" s="162"/>
      <c r="BN6" s="161"/>
      <c r="BO6" s="161"/>
      <c r="BP6" s="163"/>
      <c r="BQ6" s="164"/>
      <c r="BR6" s="161"/>
      <c r="BS6" s="161"/>
      <c r="BT6" s="161"/>
      <c r="BU6" s="162"/>
      <c r="BV6" s="161"/>
      <c r="BW6" s="161"/>
      <c r="BX6" s="161"/>
      <c r="BY6" s="162"/>
      <c r="BZ6" s="161"/>
      <c r="CA6" s="161"/>
      <c r="CB6" s="163"/>
      <c r="CC6" s="165"/>
      <c r="CD6" s="161"/>
      <c r="CE6" s="161"/>
      <c r="CF6" s="161"/>
      <c r="CG6" s="162"/>
      <c r="CH6" s="161"/>
      <c r="CI6" s="161"/>
      <c r="CJ6" s="161"/>
      <c r="CK6" s="162"/>
      <c r="CL6" s="161"/>
      <c r="CM6" s="161"/>
      <c r="CN6" s="166"/>
      <c r="CO6" s="164"/>
      <c r="CP6" s="161"/>
      <c r="CQ6" s="161"/>
      <c r="CR6" s="161"/>
      <c r="CS6" s="162"/>
      <c r="CT6" s="161"/>
      <c r="CU6" s="161"/>
      <c r="CV6" s="161"/>
      <c r="CW6" s="162"/>
      <c r="CX6" s="161"/>
      <c r="CY6" s="161"/>
      <c r="CZ6" s="163"/>
      <c r="DA6" s="164"/>
      <c r="DB6" s="161"/>
      <c r="DC6" s="161"/>
      <c r="DD6" s="161"/>
      <c r="DE6" s="162"/>
      <c r="DF6" s="161"/>
      <c r="DG6" s="161"/>
      <c r="DH6" s="161"/>
      <c r="DI6" s="162"/>
      <c r="DJ6" s="161"/>
      <c r="DK6" s="161"/>
      <c r="DL6" s="163"/>
      <c r="DM6" s="164"/>
      <c r="DN6" s="161"/>
      <c r="DO6" s="161"/>
      <c r="DP6" s="161"/>
      <c r="DQ6" s="162"/>
      <c r="DR6" s="161"/>
      <c r="DS6" s="161"/>
      <c r="DT6" s="161"/>
      <c r="DU6" s="162"/>
      <c r="DV6" s="161"/>
      <c r="DW6" s="161"/>
      <c r="DX6" s="163"/>
      <c r="DY6" s="159"/>
      <c r="DZ6" s="161"/>
      <c r="EA6" s="161"/>
      <c r="EB6" s="161"/>
      <c r="EC6" s="162"/>
      <c r="ED6" s="161"/>
      <c r="EE6" s="161"/>
      <c r="EF6" s="161"/>
      <c r="EG6" s="162"/>
      <c r="EH6" s="161"/>
      <c r="EI6" s="161"/>
      <c r="EJ6" s="163"/>
      <c r="EK6" s="159"/>
      <c r="EL6" s="161"/>
      <c r="EM6" s="161"/>
      <c r="EN6" s="167"/>
      <c r="EO6" s="162"/>
      <c r="EP6" s="161"/>
      <c r="EQ6" s="161"/>
      <c r="ER6" s="161"/>
      <c r="ES6" s="162"/>
      <c r="ET6" s="161"/>
      <c r="EU6" s="161"/>
      <c r="EV6" s="163"/>
      <c r="EW6" s="159"/>
      <c r="EX6" s="161"/>
      <c r="EY6" s="161"/>
      <c r="EZ6" s="167"/>
      <c r="FA6" s="162"/>
      <c r="FB6" s="167"/>
      <c r="FC6" s="161"/>
      <c r="FD6" s="161"/>
      <c r="FE6" s="159"/>
      <c r="FF6" s="167"/>
      <c r="FG6" s="167"/>
      <c r="FH6" s="167"/>
      <c r="FI6" s="159"/>
      <c r="FJ6" s="161"/>
      <c r="FK6" s="161"/>
      <c r="FL6" s="167"/>
      <c r="FM6" s="162"/>
      <c r="FN6" s="167"/>
      <c r="FO6" s="161"/>
      <c r="FP6" s="161"/>
      <c r="FQ6" s="159"/>
      <c r="FR6" s="167"/>
      <c r="FS6" s="167"/>
      <c r="FT6" s="167"/>
      <c r="FU6" s="178"/>
      <c r="FV6" s="178"/>
      <c r="FW6" s="178"/>
      <c r="FX6" s="178"/>
      <c r="FY6" s="178"/>
      <c r="FZ6" s="178"/>
      <c r="GA6" s="178">
        <v>511</v>
      </c>
      <c r="GB6" s="18">
        <v>4065</v>
      </c>
      <c r="GC6" s="177">
        <v>4015</v>
      </c>
      <c r="GD6" s="18">
        <v>3815</v>
      </c>
      <c r="GE6" s="18">
        <v>3691</v>
      </c>
      <c r="GF6" s="177">
        <v>3602</v>
      </c>
      <c r="GG6" s="18">
        <v>4228</v>
      </c>
      <c r="GH6" s="18">
        <v>4556</v>
      </c>
      <c r="GI6" s="177">
        <v>1018</v>
      </c>
      <c r="GJ6" s="241">
        <v>4741</v>
      </c>
      <c r="GK6" s="184">
        <v>4304</v>
      </c>
      <c r="GL6" s="184">
        <v>4059</v>
      </c>
    </row>
    <row r="7" spans="1:194" x14ac:dyDescent="0.3">
      <c r="A7" s="6" t="s">
        <v>32</v>
      </c>
      <c r="B7" s="12"/>
      <c r="C7" s="13"/>
      <c r="D7" s="13"/>
      <c r="E7" s="13"/>
      <c r="F7" s="13"/>
      <c r="G7" s="13"/>
      <c r="H7" s="14"/>
      <c r="I7" s="12" t="s">
        <v>33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  <c r="U7" s="12" t="s">
        <v>33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2" t="s">
        <v>33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2" t="s">
        <v>33</v>
      </c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4"/>
      <c r="BE7" s="12" t="s">
        <v>33</v>
      </c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4"/>
      <c r="BQ7" s="12" t="s">
        <v>33</v>
      </c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4"/>
      <c r="CC7" s="15"/>
      <c r="CD7" s="13"/>
      <c r="CE7" s="13"/>
      <c r="CF7" s="13"/>
      <c r="CG7" s="13"/>
      <c r="CH7" s="13"/>
      <c r="CI7" s="13"/>
      <c r="CJ7" s="13"/>
      <c r="CK7" s="13">
        <v>19180</v>
      </c>
      <c r="CL7" s="13">
        <v>49362</v>
      </c>
      <c r="CM7" s="13">
        <v>49079</v>
      </c>
      <c r="CN7" s="16">
        <v>55376</v>
      </c>
      <c r="CO7" s="12">
        <v>50278</v>
      </c>
      <c r="CP7" s="13">
        <v>59674</v>
      </c>
      <c r="CQ7" s="13">
        <v>53305</v>
      </c>
      <c r="CR7" s="13">
        <v>53605</v>
      </c>
      <c r="CS7" s="13">
        <v>48769</v>
      </c>
      <c r="CT7" s="13">
        <v>52853</v>
      </c>
      <c r="CU7" s="13">
        <v>52830</v>
      </c>
      <c r="CV7" s="13">
        <v>53482</v>
      </c>
      <c r="CW7" s="13">
        <v>62252</v>
      </c>
      <c r="CX7" s="13">
        <v>53403</v>
      </c>
      <c r="CY7" s="13">
        <v>62409</v>
      </c>
      <c r="CZ7" s="14">
        <v>60312</v>
      </c>
      <c r="DA7" s="12">
        <v>56330</v>
      </c>
      <c r="DB7" s="13">
        <v>70463</v>
      </c>
      <c r="DC7" s="13">
        <v>62132</v>
      </c>
      <c r="DD7" s="13">
        <v>67280</v>
      </c>
      <c r="DE7" s="13">
        <v>54564</v>
      </c>
      <c r="DF7" s="13">
        <v>59647</v>
      </c>
      <c r="DG7" s="13">
        <v>61662</v>
      </c>
      <c r="DH7" s="13">
        <v>58556</v>
      </c>
      <c r="DI7" s="13">
        <v>66919</v>
      </c>
      <c r="DJ7" s="13">
        <v>64559</v>
      </c>
      <c r="DK7" s="13">
        <v>64074</v>
      </c>
      <c r="DL7" s="14">
        <v>60004</v>
      </c>
      <c r="DM7" s="12">
        <v>59714</v>
      </c>
      <c r="DN7" s="13">
        <v>67412</v>
      </c>
      <c r="DO7" s="13">
        <v>59708</v>
      </c>
      <c r="DP7" s="13">
        <v>67508</v>
      </c>
      <c r="DQ7" s="13">
        <v>61571</v>
      </c>
      <c r="DR7" s="13">
        <v>58820</v>
      </c>
      <c r="DS7" s="13">
        <v>62923</v>
      </c>
      <c r="DT7" s="13">
        <v>56782</v>
      </c>
      <c r="DU7" s="13">
        <v>59548</v>
      </c>
      <c r="DV7" s="13">
        <v>62539</v>
      </c>
      <c r="DW7" s="13">
        <v>63921</v>
      </c>
      <c r="DX7" s="14">
        <v>55536</v>
      </c>
      <c r="DY7" s="100">
        <v>60904</v>
      </c>
      <c r="DZ7" s="13">
        <v>63419</v>
      </c>
      <c r="EA7" s="13">
        <v>58553</v>
      </c>
      <c r="EB7" s="13">
        <v>65901</v>
      </c>
      <c r="EC7" s="13">
        <v>57524</v>
      </c>
      <c r="ED7" s="13">
        <v>60597</v>
      </c>
      <c r="EE7" s="13">
        <v>66838</v>
      </c>
      <c r="EF7" s="13">
        <v>62545</v>
      </c>
      <c r="EG7" s="13">
        <v>57335</v>
      </c>
      <c r="EH7" s="13">
        <v>40328</v>
      </c>
      <c r="EI7" s="13">
        <v>34877</v>
      </c>
      <c r="EJ7" s="14">
        <v>35200</v>
      </c>
      <c r="EK7" s="100">
        <v>35239</v>
      </c>
      <c r="EL7" s="13">
        <v>34685</v>
      </c>
      <c r="EM7" s="13">
        <v>33135</v>
      </c>
      <c r="EN7" s="103">
        <v>34091</v>
      </c>
      <c r="EO7" s="13">
        <v>32432</v>
      </c>
      <c r="EP7" s="13">
        <v>28647</v>
      </c>
      <c r="EQ7" s="13">
        <v>13922</v>
      </c>
      <c r="ER7" s="13">
        <v>29750</v>
      </c>
      <c r="ES7" s="13">
        <v>33463</v>
      </c>
      <c r="ET7" s="13">
        <v>33248</v>
      </c>
      <c r="EU7" s="13">
        <v>29366</v>
      </c>
      <c r="EV7" s="14">
        <v>32221</v>
      </c>
      <c r="EW7" s="103">
        <v>31097</v>
      </c>
      <c r="EX7" s="13">
        <v>31188</v>
      </c>
      <c r="EY7" s="13">
        <v>31016</v>
      </c>
      <c r="EZ7" s="103">
        <v>31974</v>
      </c>
      <c r="FA7" s="13">
        <v>31202</v>
      </c>
      <c r="FB7" s="149">
        <v>33741</v>
      </c>
      <c r="FC7" s="13">
        <v>32089</v>
      </c>
      <c r="FD7" s="13">
        <v>37418</v>
      </c>
      <c r="FE7" s="149">
        <v>41438</v>
      </c>
      <c r="FF7" s="149">
        <v>35805</v>
      </c>
      <c r="FG7" s="149">
        <v>35082</v>
      </c>
      <c r="FH7" s="155">
        <v>33188</v>
      </c>
      <c r="FI7" s="103">
        <f>'Average Weekday Boardings'!FI7*20</f>
        <v>32917</v>
      </c>
      <c r="FJ7" s="13">
        <f>'Average Weekday Boardings'!FJ7*23</f>
        <v>40219</v>
      </c>
      <c r="FK7" s="13">
        <f>'Average Weekday Boardings'!FK7*21</f>
        <v>39221</v>
      </c>
      <c r="FL7" s="103">
        <v>36810</v>
      </c>
      <c r="FM7" s="13">
        <v>33935</v>
      </c>
      <c r="FN7" s="149">
        <v>33291</v>
      </c>
      <c r="FO7" s="13">
        <v>34677</v>
      </c>
      <c r="FP7" s="13">
        <v>18844</v>
      </c>
      <c r="FQ7" s="149">
        <v>41363</v>
      </c>
      <c r="FR7" s="149">
        <v>38244</v>
      </c>
      <c r="FS7" s="149">
        <v>39161</v>
      </c>
      <c r="FT7" s="155">
        <v>36180</v>
      </c>
      <c r="FU7" s="169">
        <v>36356</v>
      </c>
      <c r="FV7" s="169">
        <v>41745</v>
      </c>
      <c r="FW7" s="169">
        <v>33611</v>
      </c>
      <c r="FX7" s="169">
        <v>43332</v>
      </c>
      <c r="FY7" s="169">
        <v>42128</v>
      </c>
      <c r="FZ7" s="169">
        <v>41533</v>
      </c>
      <c r="GA7" s="169">
        <v>44009</v>
      </c>
      <c r="GB7" s="18">
        <v>19813</v>
      </c>
      <c r="GC7" s="52">
        <v>21041</v>
      </c>
      <c r="GD7" s="18">
        <v>18316</v>
      </c>
      <c r="GE7" s="18">
        <v>17826</v>
      </c>
      <c r="GF7" s="52">
        <v>16600</v>
      </c>
      <c r="GG7" s="18">
        <v>17509</v>
      </c>
      <c r="GH7" s="18">
        <v>18305</v>
      </c>
      <c r="GI7" s="52">
        <v>45911</v>
      </c>
      <c r="GJ7" s="242">
        <v>18360</v>
      </c>
      <c r="GK7" s="184">
        <v>18682</v>
      </c>
      <c r="GL7" s="184">
        <v>15627</v>
      </c>
    </row>
    <row r="8" spans="1:194" x14ac:dyDescent="0.3">
      <c r="A8" s="2" t="s">
        <v>30</v>
      </c>
      <c r="B8" s="17"/>
      <c r="C8" s="18"/>
      <c r="D8" s="18"/>
      <c r="E8" s="18"/>
      <c r="F8" s="18"/>
      <c r="G8" s="18"/>
      <c r="H8" s="19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7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7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  <c r="AS8" s="1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9"/>
      <c r="BE8" s="17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9"/>
      <c r="BQ8" s="17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9"/>
      <c r="CC8" s="20"/>
      <c r="CD8" s="18"/>
      <c r="CE8" s="18"/>
      <c r="CF8" s="18"/>
      <c r="CG8" s="18"/>
      <c r="CH8" s="18"/>
      <c r="CI8" s="18"/>
      <c r="CJ8" s="18"/>
      <c r="CK8" s="18">
        <v>7630</v>
      </c>
      <c r="CL8" s="18">
        <v>20347</v>
      </c>
      <c r="CM8" s="18">
        <v>21513</v>
      </c>
      <c r="CN8" s="21">
        <v>22400</v>
      </c>
      <c r="CO8" s="17">
        <v>20785</v>
      </c>
      <c r="CP8" s="18">
        <v>24810</v>
      </c>
      <c r="CQ8" s="18">
        <v>22671</v>
      </c>
      <c r="CR8" s="18">
        <v>23538</v>
      </c>
      <c r="CS8" s="18">
        <v>21322</v>
      </c>
      <c r="CT8" s="18">
        <v>22963</v>
      </c>
      <c r="CU8" s="18">
        <v>23366</v>
      </c>
      <c r="CV8" s="18">
        <v>23616</v>
      </c>
      <c r="CW8" s="18">
        <v>27301</v>
      </c>
      <c r="CX8" s="18">
        <v>24007</v>
      </c>
      <c r="CY8" s="18">
        <v>25605</v>
      </c>
      <c r="CZ8" s="19">
        <v>24636</v>
      </c>
      <c r="DA8" s="17">
        <v>21719</v>
      </c>
      <c r="DB8" s="18">
        <v>27463</v>
      </c>
      <c r="DC8" s="18">
        <v>24230</v>
      </c>
      <c r="DD8" s="18">
        <v>26830</v>
      </c>
      <c r="DE8" s="18">
        <v>23777</v>
      </c>
      <c r="DF8" s="18">
        <v>24313</v>
      </c>
      <c r="DG8" s="18">
        <v>26971</v>
      </c>
      <c r="DH8" s="18">
        <v>24716</v>
      </c>
      <c r="DI8" s="18">
        <v>27642</v>
      </c>
      <c r="DJ8" s="18">
        <v>26105</v>
      </c>
      <c r="DK8" s="18">
        <v>25696</v>
      </c>
      <c r="DL8" s="19">
        <v>23639</v>
      </c>
      <c r="DM8" s="17">
        <v>23440</v>
      </c>
      <c r="DN8" s="18">
        <v>27734</v>
      </c>
      <c r="DO8" s="18">
        <v>23484</v>
      </c>
      <c r="DP8" s="18">
        <v>29015</v>
      </c>
      <c r="DQ8" s="18">
        <v>26165</v>
      </c>
      <c r="DR8" s="18">
        <v>23417</v>
      </c>
      <c r="DS8" s="18">
        <v>26618</v>
      </c>
      <c r="DT8" s="18">
        <v>24364</v>
      </c>
      <c r="DU8" s="18">
        <v>24220</v>
      </c>
      <c r="DV8" s="18">
        <v>24177</v>
      </c>
      <c r="DW8" s="18">
        <v>24808</v>
      </c>
      <c r="DX8" s="19">
        <v>21436</v>
      </c>
      <c r="DY8" s="100">
        <v>22213</v>
      </c>
      <c r="DZ8" s="18">
        <v>22015</v>
      </c>
      <c r="EA8" s="18">
        <v>21605</v>
      </c>
      <c r="EB8" s="18">
        <v>26011</v>
      </c>
      <c r="EC8" s="18">
        <v>22840</v>
      </c>
      <c r="ED8" s="18">
        <v>23518</v>
      </c>
      <c r="EE8" s="18">
        <v>25091</v>
      </c>
      <c r="EF8" s="18">
        <v>23498</v>
      </c>
      <c r="EG8" s="18">
        <v>20819</v>
      </c>
      <c r="EH8" s="18">
        <v>13652</v>
      </c>
      <c r="EI8" s="18">
        <v>12323</v>
      </c>
      <c r="EJ8" s="19">
        <v>12407</v>
      </c>
      <c r="EK8" s="100">
        <v>11440</v>
      </c>
      <c r="EL8" s="18">
        <v>10528</v>
      </c>
      <c r="EM8" s="18">
        <v>10697</v>
      </c>
      <c r="EN8" s="104">
        <v>11722</v>
      </c>
      <c r="EO8" s="18">
        <v>10284</v>
      </c>
      <c r="EP8" s="18">
        <v>9298</v>
      </c>
      <c r="EQ8" s="18">
        <v>4983</v>
      </c>
      <c r="ER8" s="18">
        <v>9102</v>
      </c>
      <c r="ES8" s="18">
        <v>10882</v>
      </c>
      <c r="ET8" s="18">
        <v>11211</v>
      </c>
      <c r="EU8" s="18">
        <v>9296</v>
      </c>
      <c r="EV8" s="19">
        <v>10326</v>
      </c>
      <c r="EW8" s="103">
        <v>9915</v>
      </c>
      <c r="EX8" s="18">
        <v>10976</v>
      </c>
      <c r="EY8" s="18">
        <v>11162</v>
      </c>
      <c r="EZ8" s="104">
        <v>12212</v>
      </c>
      <c r="FA8" s="18">
        <v>13000</v>
      </c>
      <c r="FB8" s="149">
        <v>12910</v>
      </c>
      <c r="FC8" s="18">
        <v>11728</v>
      </c>
      <c r="FD8" s="18">
        <v>14358</v>
      </c>
      <c r="FE8" s="149">
        <v>17057</v>
      </c>
      <c r="FF8" s="149">
        <v>14627</v>
      </c>
      <c r="FG8" s="149">
        <v>14496</v>
      </c>
      <c r="FH8" s="155">
        <v>12369</v>
      </c>
      <c r="FI8" s="103">
        <f>'Average Weekday Boardings'!FI8*20</f>
        <v>11451</v>
      </c>
      <c r="FJ8" s="18">
        <f>'Average Weekday Boardings'!FJ8*23</f>
        <v>14908</v>
      </c>
      <c r="FK8" s="18">
        <f>'Average Weekday Boardings'!FK8*21</f>
        <v>15232</v>
      </c>
      <c r="FL8" s="104">
        <v>15479</v>
      </c>
      <c r="FM8" s="18">
        <v>14244</v>
      </c>
      <c r="FN8" s="149">
        <v>14487</v>
      </c>
      <c r="FO8" s="18">
        <v>15206</v>
      </c>
      <c r="FP8" s="18">
        <v>13908</v>
      </c>
      <c r="FQ8" s="149">
        <v>17841</v>
      </c>
      <c r="FR8" s="149">
        <v>16328</v>
      </c>
      <c r="FS8" s="149">
        <v>17533</v>
      </c>
      <c r="FT8" s="155">
        <v>15960</v>
      </c>
      <c r="FU8" s="169">
        <v>15221</v>
      </c>
      <c r="FV8" s="169">
        <v>17655</v>
      </c>
      <c r="FW8" s="169">
        <v>15475</v>
      </c>
      <c r="FX8" s="169">
        <v>17709</v>
      </c>
      <c r="FY8" s="169">
        <v>16524</v>
      </c>
      <c r="FZ8" s="169">
        <v>14403</v>
      </c>
      <c r="GA8" s="169">
        <v>15950</v>
      </c>
      <c r="GB8" s="18">
        <v>15960</v>
      </c>
      <c r="GC8" s="52">
        <v>15418</v>
      </c>
      <c r="GD8" s="18">
        <v>15142</v>
      </c>
      <c r="GE8" s="18">
        <v>15248</v>
      </c>
      <c r="GF8" s="52">
        <v>13223</v>
      </c>
      <c r="GG8" s="18">
        <v>13884</v>
      </c>
      <c r="GH8" s="18">
        <v>15617</v>
      </c>
      <c r="GI8" s="52">
        <v>15094</v>
      </c>
      <c r="GJ8" s="242">
        <v>16698</v>
      </c>
      <c r="GK8" s="184">
        <v>14454</v>
      </c>
      <c r="GL8" s="184">
        <v>14426</v>
      </c>
    </row>
    <row r="9" spans="1:194" ht="15" thickBot="1" x14ac:dyDescent="0.35">
      <c r="A9" s="7" t="s">
        <v>31</v>
      </c>
      <c r="B9" s="22"/>
      <c r="C9" s="23"/>
      <c r="D9" s="23"/>
      <c r="E9" s="23"/>
      <c r="F9" s="23"/>
      <c r="G9" s="23"/>
      <c r="H9" s="24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2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22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4"/>
      <c r="AS9" s="22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4"/>
      <c r="BE9" s="22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4"/>
      <c r="BQ9" s="22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4"/>
      <c r="CC9" s="25"/>
      <c r="CD9" s="23"/>
      <c r="CE9" s="23"/>
      <c r="CF9" s="23"/>
      <c r="CG9" s="23"/>
      <c r="CH9" s="23"/>
      <c r="CI9" s="23"/>
      <c r="CJ9" s="23"/>
      <c r="CK9" s="23">
        <v>10110</v>
      </c>
      <c r="CL9" s="23">
        <v>26750</v>
      </c>
      <c r="CM9" s="23">
        <v>27617</v>
      </c>
      <c r="CN9" s="26">
        <v>28840</v>
      </c>
      <c r="CO9" s="22">
        <v>27202</v>
      </c>
      <c r="CP9" s="23">
        <v>32881</v>
      </c>
      <c r="CQ9" s="23">
        <v>30795</v>
      </c>
      <c r="CR9" s="23">
        <v>31747</v>
      </c>
      <c r="CS9" s="23">
        <v>27658</v>
      </c>
      <c r="CT9" s="23">
        <v>30699</v>
      </c>
      <c r="CU9" s="23">
        <v>30438</v>
      </c>
      <c r="CV9" s="23">
        <v>29985</v>
      </c>
      <c r="CW9" s="23">
        <v>34475</v>
      </c>
      <c r="CX9" s="23">
        <v>30446</v>
      </c>
      <c r="CY9" s="23">
        <v>31389</v>
      </c>
      <c r="CZ9" s="24">
        <v>29021</v>
      </c>
      <c r="DA9" s="22">
        <v>26368</v>
      </c>
      <c r="DB9" s="23">
        <v>33553</v>
      </c>
      <c r="DC9" s="23">
        <v>30617</v>
      </c>
      <c r="DD9" s="23">
        <v>34095</v>
      </c>
      <c r="DE9" s="23">
        <v>29833</v>
      </c>
      <c r="DF9" s="23">
        <v>30104</v>
      </c>
      <c r="DG9" s="23">
        <v>33015</v>
      </c>
      <c r="DH9" s="23">
        <v>30769</v>
      </c>
      <c r="DI9" s="23">
        <v>34426</v>
      </c>
      <c r="DJ9" s="23">
        <v>32586</v>
      </c>
      <c r="DK9" s="23">
        <v>32355</v>
      </c>
      <c r="DL9" s="24">
        <v>29593</v>
      </c>
      <c r="DM9" s="22">
        <v>27665</v>
      </c>
      <c r="DN9" s="23">
        <v>33267</v>
      </c>
      <c r="DO9" s="23">
        <v>28108</v>
      </c>
      <c r="DP9" s="23">
        <v>35307</v>
      </c>
      <c r="DQ9" s="23">
        <v>32875</v>
      </c>
      <c r="DR9" s="23">
        <v>29385</v>
      </c>
      <c r="DS9" s="23">
        <v>32200</v>
      </c>
      <c r="DT9" s="23">
        <v>29403</v>
      </c>
      <c r="DU9" s="23">
        <v>30113</v>
      </c>
      <c r="DV9" s="23">
        <v>31040</v>
      </c>
      <c r="DW9" s="23">
        <v>31174</v>
      </c>
      <c r="DX9" s="24">
        <v>25301</v>
      </c>
      <c r="DY9" s="100">
        <v>26615</v>
      </c>
      <c r="DZ9" s="23">
        <v>28825</v>
      </c>
      <c r="EA9" s="23">
        <v>27628</v>
      </c>
      <c r="EB9" s="23">
        <v>33532</v>
      </c>
      <c r="EC9" s="23">
        <v>29289</v>
      </c>
      <c r="ED9" s="23">
        <v>28467</v>
      </c>
      <c r="EE9" s="23">
        <v>30331</v>
      </c>
      <c r="EF9" s="23">
        <v>28792</v>
      </c>
      <c r="EG9" s="23">
        <v>24967</v>
      </c>
      <c r="EH9" s="23">
        <v>17158</v>
      </c>
      <c r="EI9" s="23">
        <v>14702</v>
      </c>
      <c r="EJ9" s="24">
        <v>14656</v>
      </c>
      <c r="EK9" s="23">
        <v>14206</v>
      </c>
      <c r="EL9" s="23">
        <v>13138</v>
      </c>
      <c r="EM9" s="23">
        <v>13599</v>
      </c>
      <c r="EN9" s="105">
        <v>15439</v>
      </c>
      <c r="EO9" s="23">
        <v>12650</v>
      </c>
      <c r="EP9" s="23">
        <v>11707</v>
      </c>
      <c r="EQ9" s="23">
        <v>6462</v>
      </c>
      <c r="ER9" s="23">
        <v>11946</v>
      </c>
      <c r="ES9" s="23">
        <v>14214</v>
      </c>
      <c r="ET9" s="23">
        <v>14401</v>
      </c>
      <c r="EU9" s="23">
        <v>12373</v>
      </c>
      <c r="EV9" s="24">
        <v>13013</v>
      </c>
      <c r="EW9" s="23">
        <v>12147</v>
      </c>
      <c r="EX9" s="23">
        <v>13791</v>
      </c>
      <c r="EY9" s="23">
        <v>14489</v>
      </c>
      <c r="EZ9" s="105">
        <v>15853</v>
      </c>
      <c r="FA9" s="23">
        <v>15454</v>
      </c>
      <c r="FB9" s="23">
        <v>15592</v>
      </c>
      <c r="FC9" s="23">
        <v>14740</v>
      </c>
      <c r="FD9" s="23">
        <v>18187</v>
      </c>
      <c r="FE9" s="23">
        <v>21443</v>
      </c>
      <c r="FF9" s="23">
        <v>18823</v>
      </c>
      <c r="FG9" s="23">
        <v>17789</v>
      </c>
      <c r="FH9" s="26">
        <v>15629</v>
      </c>
      <c r="FI9" s="23">
        <f>'Average Weekday Boardings'!FI9*20</f>
        <v>14194</v>
      </c>
      <c r="FJ9" s="23">
        <f>'Average Weekday Boardings'!FJ9*23</f>
        <v>19892</v>
      </c>
      <c r="FK9" s="23">
        <f>'Average Weekday Boardings'!FK9*21</f>
        <v>20329</v>
      </c>
      <c r="FL9" s="105">
        <v>19805</v>
      </c>
      <c r="FM9" s="23">
        <v>19633</v>
      </c>
      <c r="FN9" s="23">
        <v>19302</v>
      </c>
      <c r="FO9" s="23">
        <v>20408</v>
      </c>
      <c r="FP9" s="23">
        <v>17788</v>
      </c>
      <c r="FQ9" s="23">
        <v>22999</v>
      </c>
      <c r="FR9" s="23">
        <v>21437</v>
      </c>
      <c r="FS9" s="23">
        <v>22984</v>
      </c>
      <c r="FT9" s="26">
        <v>19746</v>
      </c>
      <c r="FU9" s="169">
        <v>18158</v>
      </c>
      <c r="FV9" s="169">
        <v>22167</v>
      </c>
      <c r="FW9" s="169">
        <v>20006</v>
      </c>
      <c r="FX9" s="169">
        <v>21544</v>
      </c>
      <c r="FY9" s="169">
        <v>20939</v>
      </c>
      <c r="FZ9" s="169">
        <v>18854</v>
      </c>
      <c r="GA9" s="169">
        <v>19871</v>
      </c>
      <c r="GB9" s="18">
        <v>19882</v>
      </c>
      <c r="GC9" s="52">
        <v>20306</v>
      </c>
      <c r="GD9" s="18">
        <v>19966</v>
      </c>
      <c r="GE9" s="18">
        <v>20526</v>
      </c>
      <c r="GF9" s="52">
        <v>17372</v>
      </c>
      <c r="GG9" s="18">
        <v>18765</v>
      </c>
      <c r="GH9" s="18">
        <v>18679</v>
      </c>
      <c r="GI9" s="52">
        <v>18085</v>
      </c>
      <c r="GJ9" s="242">
        <v>19437</v>
      </c>
      <c r="GK9" s="184">
        <v>17322</v>
      </c>
      <c r="GL9" s="184">
        <v>17059</v>
      </c>
    </row>
    <row r="10" spans="1:194" x14ac:dyDescent="0.3">
      <c r="A10" s="8" t="s">
        <v>3</v>
      </c>
      <c r="B10" s="12"/>
      <c r="C10" s="13">
        <v>62087</v>
      </c>
      <c r="D10" s="13">
        <v>69526</v>
      </c>
      <c r="E10" s="13">
        <v>76068</v>
      </c>
      <c r="F10" s="13">
        <v>73293</v>
      </c>
      <c r="G10" s="13">
        <v>65107</v>
      </c>
      <c r="H10" s="14">
        <v>63784</v>
      </c>
      <c r="I10" s="12">
        <v>50075</v>
      </c>
      <c r="J10" s="13">
        <v>57601</v>
      </c>
      <c r="K10" s="13">
        <v>63113</v>
      </c>
      <c r="L10" s="13">
        <v>71584</v>
      </c>
      <c r="M10" s="13">
        <v>68021</v>
      </c>
      <c r="N10" s="13">
        <v>63113</v>
      </c>
      <c r="O10" s="68">
        <v>62467</v>
      </c>
      <c r="P10" s="68">
        <v>64540</v>
      </c>
      <c r="Q10" s="68">
        <v>75156</v>
      </c>
      <c r="R10" s="68">
        <v>83106</v>
      </c>
      <c r="S10" s="68">
        <v>62439</v>
      </c>
      <c r="T10" s="69">
        <v>74073</v>
      </c>
      <c r="U10" s="70">
        <v>62416</v>
      </c>
      <c r="V10" s="68">
        <v>74550</v>
      </c>
      <c r="W10" s="68">
        <v>77269</v>
      </c>
      <c r="X10" s="68">
        <v>77136</v>
      </c>
      <c r="Y10" s="68">
        <v>66904</v>
      </c>
      <c r="Z10" s="68">
        <v>72849</v>
      </c>
      <c r="AA10" s="13">
        <v>71702</v>
      </c>
      <c r="AB10" s="13">
        <v>70583</v>
      </c>
      <c r="AC10" s="13">
        <v>80005</v>
      </c>
      <c r="AD10" s="13">
        <v>75344</v>
      </c>
      <c r="AE10" s="13">
        <v>68751</v>
      </c>
      <c r="AF10" s="14">
        <v>70838</v>
      </c>
      <c r="AG10" s="12">
        <v>63365</v>
      </c>
      <c r="AH10" s="13">
        <v>78251</v>
      </c>
      <c r="AI10" s="13">
        <v>78475</v>
      </c>
      <c r="AJ10" s="13">
        <v>78691</v>
      </c>
      <c r="AK10" s="13">
        <v>66506</v>
      </c>
      <c r="AL10" s="13">
        <v>72841</v>
      </c>
      <c r="AM10" s="13">
        <v>72877</v>
      </c>
      <c r="AN10" s="13">
        <v>73151</v>
      </c>
      <c r="AO10" s="13">
        <v>77620</v>
      </c>
      <c r="AP10" s="13">
        <v>76606</v>
      </c>
      <c r="AQ10" s="13">
        <v>77199</v>
      </c>
      <c r="AR10" s="14">
        <v>67433</v>
      </c>
      <c r="AS10" s="12">
        <v>64763</v>
      </c>
      <c r="AT10" s="13">
        <v>81463</v>
      </c>
      <c r="AU10" s="13">
        <v>72218</v>
      </c>
      <c r="AV10" s="13">
        <v>85936</v>
      </c>
      <c r="AW10" s="13">
        <v>75222</v>
      </c>
      <c r="AX10" s="13">
        <v>73152</v>
      </c>
      <c r="AY10" s="13">
        <v>76420</v>
      </c>
      <c r="AZ10" s="13">
        <v>79215</v>
      </c>
      <c r="BA10" s="13">
        <v>82874</v>
      </c>
      <c r="BB10" s="13">
        <v>88357</v>
      </c>
      <c r="BC10" s="13">
        <v>83609</v>
      </c>
      <c r="BD10" s="14">
        <v>68886</v>
      </c>
      <c r="BE10" s="12">
        <v>71621</v>
      </c>
      <c r="BF10" s="13">
        <v>87946</v>
      </c>
      <c r="BG10" s="13">
        <v>82165</v>
      </c>
      <c r="BH10" s="13">
        <v>89660</v>
      </c>
      <c r="BI10" s="13">
        <v>74733.767918065336</v>
      </c>
      <c r="BJ10" s="13">
        <v>76787</v>
      </c>
      <c r="BK10" s="13">
        <v>87581</v>
      </c>
      <c r="BL10" s="13">
        <v>78877</v>
      </c>
      <c r="BM10" s="13">
        <v>84765</v>
      </c>
      <c r="BN10" s="13">
        <v>85246</v>
      </c>
      <c r="BO10" s="13">
        <v>75937</v>
      </c>
      <c r="BP10" s="14">
        <v>71776</v>
      </c>
      <c r="BQ10" s="12">
        <v>70537</v>
      </c>
      <c r="BR10" s="13">
        <v>75003</v>
      </c>
      <c r="BS10" s="13">
        <v>78155</v>
      </c>
      <c r="BT10" s="13">
        <v>86317</v>
      </c>
      <c r="BU10" s="13">
        <v>65158</v>
      </c>
      <c r="BV10" s="13">
        <v>78949</v>
      </c>
      <c r="BW10" s="13">
        <v>86697</v>
      </c>
      <c r="BX10" s="13">
        <v>76575</v>
      </c>
      <c r="BY10" s="13">
        <v>85357</v>
      </c>
      <c r="BZ10" s="13">
        <v>84677</v>
      </c>
      <c r="CA10" s="13">
        <v>74781</v>
      </c>
      <c r="CB10" s="14">
        <v>81360</v>
      </c>
      <c r="CC10" s="15">
        <v>77159</v>
      </c>
      <c r="CD10" s="13">
        <v>82584</v>
      </c>
      <c r="CE10" s="13">
        <v>83352</v>
      </c>
      <c r="CF10" s="13">
        <v>84836</v>
      </c>
      <c r="CG10" s="13">
        <v>64659</v>
      </c>
      <c r="CH10" s="13">
        <v>74800</v>
      </c>
      <c r="CI10" s="13">
        <v>70377</v>
      </c>
      <c r="CJ10" s="13">
        <v>75653</v>
      </c>
      <c r="CK10" s="13">
        <v>73184</v>
      </c>
      <c r="CL10" s="13">
        <v>49570</v>
      </c>
      <c r="CM10" s="13">
        <v>47234</v>
      </c>
      <c r="CN10" s="16">
        <v>47398</v>
      </c>
      <c r="CO10" s="12">
        <v>42067</v>
      </c>
      <c r="CP10" s="13">
        <v>52729</v>
      </c>
      <c r="CQ10" s="13">
        <v>49049</v>
      </c>
      <c r="CR10" s="13">
        <v>48441</v>
      </c>
      <c r="CS10" s="13">
        <v>42778</v>
      </c>
      <c r="CT10" s="13">
        <v>47521</v>
      </c>
      <c r="CU10" s="13">
        <v>45300</v>
      </c>
      <c r="CV10" s="13">
        <v>45003</v>
      </c>
      <c r="CW10" s="13">
        <v>52289</v>
      </c>
      <c r="CX10" s="13">
        <v>45788</v>
      </c>
      <c r="CY10" s="13">
        <v>46712</v>
      </c>
      <c r="CZ10" s="14">
        <v>41913</v>
      </c>
      <c r="DA10" s="12">
        <v>37048</v>
      </c>
      <c r="DB10" s="13">
        <v>47809</v>
      </c>
      <c r="DC10" s="13">
        <v>43084</v>
      </c>
      <c r="DD10" s="13">
        <v>47763</v>
      </c>
      <c r="DE10" s="13">
        <v>41506</v>
      </c>
      <c r="DF10" s="13">
        <v>44090</v>
      </c>
      <c r="DG10" s="13">
        <v>44936</v>
      </c>
      <c r="DH10" s="13">
        <v>41809</v>
      </c>
      <c r="DI10" s="13">
        <v>48297</v>
      </c>
      <c r="DJ10" s="13">
        <v>45522</v>
      </c>
      <c r="DK10" s="13">
        <v>43509</v>
      </c>
      <c r="DL10" s="14">
        <v>38413</v>
      </c>
      <c r="DM10" s="12">
        <v>35569</v>
      </c>
      <c r="DN10" s="13">
        <v>44498</v>
      </c>
      <c r="DO10" s="13">
        <v>37904</v>
      </c>
      <c r="DP10" s="13">
        <v>47611</v>
      </c>
      <c r="DQ10" s="13">
        <v>43202</v>
      </c>
      <c r="DR10" s="13">
        <v>39929</v>
      </c>
      <c r="DS10" s="13">
        <v>42226</v>
      </c>
      <c r="DT10" s="13">
        <v>38587</v>
      </c>
      <c r="DU10" s="13">
        <v>41133</v>
      </c>
      <c r="DV10" s="13">
        <v>41329</v>
      </c>
      <c r="DW10" s="13">
        <v>39053</v>
      </c>
      <c r="DX10" s="14">
        <v>33270</v>
      </c>
      <c r="DY10" s="13">
        <v>33986</v>
      </c>
      <c r="DZ10" s="13">
        <v>38878</v>
      </c>
      <c r="EA10" s="13">
        <v>36293</v>
      </c>
      <c r="EB10" s="13">
        <v>43091</v>
      </c>
      <c r="EC10" s="13">
        <v>37882</v>
      </c>
      <c r="ED10" s="13">
        <v>37655</v>
      </c>
      <c r="EE10" s="13">
        <v>38229</v>
      </c>
      <c r="EF10" s="13">
        <v>36873</v>
      </c>
      <c r="EG10" s="13">
        <v>31576</v>
      </c>
      <c r="EH10" s="13">
        <v>20528</v>
      </c>
      <c r="EI10" s="13">
        <v>19445</v>
      </c>
      <c r="EJ10" s="14">
        <v>19361</v>
      </c>
      <c r="EK10" s="13">
        <v>17855</v>
      </c>
      <c r="EL10" s="13">
        <v>16195</v>
      </c>
      <c r="EM10" s="13">
        <v>16792</v>
      </c>
      <c r="EN10" s="106">
        <v>18392</v>
      </c>
      <c r="EO10" s="13">
        <v>16582</v>
      </c>
      <c r="EP10" s="13">
        <v>13846</v>
      </c>
      <c r="EQ10" s="13">
        <v>7437</v>
      </c>
      <c r="ER10" s="13">
        <v>14247</v>
      </c>
      <c r="ES10" s="13">
        <v>17255</v>
      </c>
      <c r="ET10" s="13">
        <v>18531</v>
      </c>
      <c r="EU10" s="13">
        <v>15695</v>
      </c>
      <c r="EV10" s="14">
        <v>16284</v>
      </c>
      <c r="EW10" s="13">
        <v>15910</v>
      </c>
      <c r="EX10" s="13">
        <v>17552</v>
      </c>
      <c r="EY10" s="13">
        <v>18342</v>
      </c>
      <c r="EZ10" s="106">
        <v>20060</v>
      </c>
      <c r="FA10" s="13">
        <v>21289</v>
      </c>
      <c r="FB10" s="13">
        <v>21782</v>
      </c>
      <c r="FC10" s="13">
        <v>19391</v>
      </c>
      <c r="FD10" s="13">
        <v>23710</v>
      </c>
      <c r="FE10" s="13">
        <v>28873</v>
      </c>
      <c r="FF10" s="13">
        <v>26330</v>
      </c>
      <c r="FG10" s="13">
        <v>24831</v>
      </c>
      <c r="FH10" s="16">
        <v>20586</v>
      </c>
      <c r="FI10" s="13">
        <f>'Average Weekday Boardings'!FI10*20</f>
        <v>19290</v>
      </c>
      <c r="FJ10" s="13">
        <f>'Average Weekday Boardings'!FJ10*23</f>
        <v>26286</v>
      </c>
      <c r="FK10" s="13">
        <f>'Average Weekday Boardings'!FK10*21</f>
        <v>27129</v>
      </c>
      <c r="FL10" s="106">
        <v>27817</v>
      </c>
      <c r="FM10" s="13">
        <v>26708</v>
      </c>
      <c r="FN10" s="13">
        <v>27261</v>
      </c>
      <c r="FO10" s="13">
        <v>28069</v>
      </c>
      <c r="FP10" s="13">
        <v>24258</v>
      </c>
      <c r="FQ10" s="13">
        <v>30937</v>
      </c>
      <c r="FR10" s="13">
        <v>28604</v>
      </c>
      <c r="FS10" s="13">
        <v>30204</v>
      </c>
      <c r="FT10" s="16">
        <v>24446</v>
      </c>
      <c r="FU10" s="169">
        <v>20464</v>
      </c>
      <c r="FV10" s="169">
        <v>25343</v>
      </c>
      <c r="FW10" s="169">
        <v>23177</v>
      </c>
      <c r="FX10" s="169">
        <v>26311</v>
      </c>
      <c r="FY10" s="169">
        <v>24114</v>
      </c>
      <c r="FZ10" s="169">
        <v>22643</v>
      </c>
      <c r="GA10" s="169">
        <v>24358</v>
      </c>
      <c r="GB10" s="18">
        <v>24606</v>
      </c>
      <c r="GC10" s="52">
        <v>24027</v>
      </c>
      <c r="GD10" s="18">
        <v>24054</v>
      </c>
      <c r="GE10" s="18">
        <v>24073</v>
      </c>
      <c r="GF10" s="52">
        <v>19410</v>
      </c>
      <c r="GG10" s="18">
        <v>20004</v>
      </c>
      <c r="GH10" s="18">
        <v>23582</v>
      </c>
      <c r="GI10" s="52">
        <v>22783</v>
      </c>
      <c r="GJ10" s="242">
        <v>25037</v>
      </c>
      <c r="GK10" s="184">
        <v>22193</v>
      </c>
      <c r="GL10" s="184">
        <v>22015</v>
      </c>
    </row>
    <row r="11" spans="1:194" x14ac:dyDescent="0.3">
      <c r="A11" s="3" t="s">
        <v>4</v>
      </c>
      <c r="B11" s="17"/>
      <c r="C11" s="18">
        <v>16694</v>
      </c>
      <c r="D11" s="18">
        <v>20065</v>
      </c>
      <c r="E11" s="18">
        <v>21180</v>
      </c>
      <c r="F11" s="18">
        <v>24669</v>
      </c>
      <c r="G11" s="18">
        <v>20178</v>
      </c>
      <c r="H11" s="19">
        <v>22113</v>
      </c>
      <c r="I11" s="17">
        <v>22278</v>
      </c>
      <c r="J11" s="18">
        <v>26516</v>
      </c>
      <c r="K11" s="18">
        <v>27737</v>
      </c>
      <c r="L11" s="18">
        <v>31642</v>
      </c>
      <c r="M11" s="18">
        <v>28221</v>
      </c>
      <c r="N11" s="18">
        <v>30090</v>
      </c>
      <c r="O11" s="62">
        <v>27619</v>
      </c>
      <c r="P11" s="62">
        <v>30770</v>
      </c>
      <c r="Q11" s="62">
        <v>35454</v>
      </c>
      <c r="R11" s="62">
        <v>36347</v>
      </c>
      <c r="S11" s="62">
        <v>36629</v>
      </c>
      <c r="T11" s="63">
        <v>32740</v>
      </c>
      <c r="U11" s="64">
        <v>26684</v>
      </c>
      <c r="V11" s="62">
        <v>37961</v>
      </c>
      <c r="W11" s="62">
        <v>38515</v>
      </c>
      <c r="X11" s="62">
        <v>40556</v>
      </c>
      <c r="Y11" s="62">
        <v>33572</v>
      </c>
      <c r="Z11" s="62">
        <v>32947</v>
      </c>
      <c r="AA11" s="18">
        <v>34652</v>
      </c>
      <c r="AB11" s="18">
        <v>32401</v>
      </c>
      <c r="AC11" s="18">
        <v>36727</v>
      </c>
      <c r="AD11" s="18">
        <v>36209</v>
      </c>
      <c r="AE11" s="18">
        <v>34041</v>
      </c>
      <c r="AF11" s="19">
        <v>31914</v>
      </c>
      <c r="AG11" s="17">
        <v>28309</v>
      </c>
      <c r="AH11" s="18">
        <v>38938</v>
      </c>
      <c r="AI11" s="18">
        <v>41450</v>
      </c>
      <c r="AJ11" s="18">
        <v>40233</v>
      </c>
      <c r="AK11" s="18">
        <v>35502</v>
      </c>
      <c r="AL11" s="18">
        <v>36661</v>
      </c>
      <c r="AM11" s="18">
        <v>36234</v>
      </c>
      <c r="AN11" s="18">
        <v>37039</v>
      </c>
      <c r="AO11" s="18">
        <v>40523</v>
      </c>
      <c r="AP11" s="18">
        <v>42975</v>
      </c>
      <c r="AQ11" s="18">
        <v>42746</v>
      </c>
      <c r="AR11" s="19">
        <v>35153</v>
      </c>
      <c r="AS11" s="17">
        <v>32973</v>
      </c>
      <c r="AT11" s="18">
        <v>47470</v>
      </c>
      <c r="AU11" s="18">
        <v>41974</v>
      </c>
      <c r="AV11" s="18">
        <v>50910</v>
      </c>
      <c r="AW11" s="18">
        <v>45942</v>
      </c>
      <c r="AX11" s="18">
        <v>41196</v>
      </c>
      <c r="AY11" s="18">
        <v>43987</v>
      </c>
      <c r="AZ11" s="18">
        <v>43120</v>
      </c>
      <c r="BA11" s="18">
        <v>44923</v>
      </c>
      <c r="BB11" s="18">
        <v>48194</v>
      </c>
      <c r="BC11" s="18">
        <v>45116</v>
      </c>
      <c r="BD11" s="19">
        <v>35954</v>
      </c>
      <c r="BE11" s="17">
        <v>37814</v>
      </c>
      <c r="BF11" s="18">
        <v>47569</v>
      </c>
      <c r="BG11" s="18">
        <v>45180</v>
      </c>
      <c r="BH11" s="18">
        <v>48724</v>
      </c>
      <c r="BI11" s="18">
        <v>40734.892223108334</v>
      </c>
      <c r="BJ11" s="18">
        <v>39109</v>
      </c>
      <c r="BK11" s="18">
        <v>44877</v>
      </c>
      <c r="BL11" s="18">
        <v>42012</v>
      </c>
      <c r="BM11" s="18">
        <v>44950</v>
      </c>
      <c r="BN11" s="18">
        <v>47392</v>
      </c>
      <c r="BO11" s="18">
        <v>42600</v>
      </c>
      <c r="BP11" s="19">
        <v>36199</v>
      </c>
      <c r="BQ11" s="17">
        <v>35290</v>
      </c>
      <c r="BR11" s="18">
        <v>41677</v>
      </c>
      <c r="BS11" s="18">
        <v>44547</v>
      </c>
      <c r="BT11" s="18">
        <v>48488</v>
      </c>
      <c r="BU11" s="18">
        <v>37206</v>
      </c>
      <c r="BV11" s="18">
        <v>41913</v>
      </c>
      <c r="BW11" s="18">
        <v>43891</v>
      </c>
      <c r="BX11" s="18">
        <v>40477</v>
      </c>
      <c r="BY11" s="18">
        <v>43666</v>
      </c>
      <c r="BZ11" s="18">
        <v>46291</v>
      </c>
      <c r="CA11" s="18">
        <v>39111</v>
      </c>
      <c r="CB11" s="19">
        <v>38788</v>
      </c>
      <c r="CC11" s="20">
        <v>37913</v>
      </c>
      <c r="CD11" s="18">
        <v>43660</v>
      </c>
      <c r="CE11" s="18">
        <v>47155</v>
      </c>
      <c r="CF11" s="18">
        <v>49677</v>
      </c>
      <c r="CG11" s="18">
        <v>40755</v>
      </c>
      <c r="CH11" s="18">
        <v>41122</v>
      </c>
      <c r="CI11" s="18">
        <v>40579</v>
      </c>
      <c r="CJ11" s="18">
        <v>42853</v>
      </c>
      <c r="CK11" s="18">
        <v>48035</v>
      </c>
      <c r="CL11" s="18">
        <v>48124</v>
      </c>
      <c r="CM11" s="18">
        <v>44136</v>
      </c>
      <c r="CN11" s="21">
        <v>42896</v>
      </c>
      <c r="CO11" s="17">
        <v>37718</v>
      </c>
      <c r="CP11" s="18">
        <v>51029</v>
      </c>
      <c r="CQ11" s="18">
        <v>48645</v>
      </c>
      <c r="CR11" s="18">
        <v>47907</v>
      </c>
      <c r="CS11" s="18">
        <v>42141</v>
      </c>
      <c r="CT11" s="18">
        <v>44003</v>
      </c>
      <c r="CU11" s="18">
        <v>45232</v>
      </c>
      <c r="CV11" s="18">
        <v>45963</v>
      </c>
      <c r="CW11" s="18">
        <v>51384</v>
      </c>
      <c r="CX11" s="18">
        <v>46948</v>
      </c>
      <c r="CY11" s="18">
        <v>50285</v>
      </c>
      <c r="CZ11" s="19">
        <v>42169</v>
      </c>
      <c r="DA11" s="17">
        <v>37119</v>
      </c>
      <c r="DB11" s="18">
        <v>51453</v>
      </c>
      <c r="DC11" s="18">
        <v>48228</v>
      </c>
      <c r="DD11" s="18">
        <v>50882</v>
      </c>
      <c r="DE11" s="18">
        <v>43249</v>
      </c>
      <c r="DF11" s="18">
        <v>42882</v>
      </c>
      <c r="DG11" s="18">
        <v>47279</v>
      </c>
      <c r="DH11" s="18">
        <v>43798</v>
      </c>
      <c r="DI11" s="18">
        <v>46597</v>
      </c>
      <c r="DJ11" s="18">
        <v>45601</v>
      </c>
      <c r="DK11" s="18">
        <v>44175</v>
      </c>
      <c r="DL11" s="19">
        <v>37214</v>
      </c>
      <c r="DM11" s="17">
        <v>35398</v>
      </c>
      <c r="DN11" s="18">
        <v>46570</v>
      </c>
      <c r="DO11" s="18">
        <v>41040</v>
      </c>
      <c r="DP11" s="18">
        <v>48813</v>
      </c>
      <c r="DQ11" s="18">
        <v>44871</v>
      </c>
      <c r="DR11" s="18">
        <v>39265</v>
      </c>
      <c r="DS11" s="18">
        <v>43476</v>
      </c>
      <c r="DT11" s="18">
        <v>39894</v>
      </c>
      <c r="DU11" s="18">
        <v>40272</v>
      </c>
      <c r="DV11" s="18">
        <v>40263</v>
      </c>
      <c r="DW11" s="18">
        <v>36280</v>
      </c>
      <c r="DX11" s="19">
        <v>32024</v>
      </c>
      <c r="DY11" s="100">
        <v>32410</v>
      </c>
      <c r="DZ11" s="18">
        <v>38958</v>
      </c>
      <c r="EA11" s="18">
        <v>38062</v>
      </c>
      <c r="EB11" s="18">
        <v>44495</v>
      </c>
      <c r="EC11" s="18">
        <v>37358</v>
      </c>
      <c r="ED11" s="18">
        <v>35704</v>
      </c>
      <c r="EE11" s="18">
        <v>38749</v>
      </c>
      <c r="EF11" s="18">
        <v>37568</v>
      </c>
      <c r="EG11" s="18">
        <v>29231</v>
      </c>
      <c r="EH11" s="18">
        <v>17575</v>
      </c>
      <c r="EI11" s="18">
        <v>16167</v>
      </c>
      <c r="EJ11" s="19">
        <v>16375</v>
      </c>
      <c r="EK11" s="100">
        <v>15652</v>
      </c>
      <c r="EL11" s="18">
        <v>15064</v>
      </c>
      <c r="EM11" s="18">
        <v>15454</v>
      </c>
      <c r="EN11" s="103">
        <v>17329</v>
      </c>
      <c r="EO11" s="18">
        <v>14637</v>
      </c>
      <c r="EP11" s="18">
        <v>12000</v>
      </c>
      <c r="EQ11" s="18">
        <v>6511</v>
      </c>
      <c r="ER11" s="18">
        <v>12512</v>
      </c>
      <c r="ES11" s="18">
        <v>15227</v>
      </c>
      <c r="ET11" s="18">
        <v>16946</v>
      </c>
      <c r="EU11" s="18">
        <v>14136</v>
      </c>
      <c r="EV11" s="19">
        <v>15252</v>
      </c>
      <c r="EW11" s="103">
        <v>14053</v>
      </c>
      <c r="EX11" s="18">
        <v>18852</v>
      </c>
      <c r="EY11" s="18">
        <v>18402</v>
      </c>
      <c r="EZ11" s="103">
        <v>18332</v>
      </c>
      <c r="FA11" s="18">
        <v>20233</v>
      </c>
      <c r="FB11" s="149">
        <v>19069</v>
      </c>
      <c r="FC11" s="18">
        <v>17632</v>
      </c>
      <c r="FD11" s="18">
        <v>21254</v>
      </c>
      <c r="FE11" s="149">
        <v>25085</v>
      </c>
      <c r="FF11" s="149">
        <v>22776</v>
      </c>
      <c r="FG11" s="149">
        <v>20829</v>
      </c>
      <c r="FH11" s="155">
        <v>17196</v>
      </c>
      <c r="FI11" s="103">
        <f>'Average Weekday Boardings'!FI11*20</f>
        <v>15551</v>
      </c>
      <c r="FJ11" s="18">
        <f>'Average Weekday Boardings'!FJ11*23</f>
        <v>22912</v>
      </c>
      <c r="FK11" s="18">
        <f>'Average Weekday Boardings'!FK11*21</f>
        <v>24819</v>
      </c>
      <c r="FL11" s="103">
        <v>24133</v>
      </c>
      <c r="FM11" s="18">
        <v>23269</v>
      </c>
      <c r="FN11" s="149">
        <v>23021</v>
      </c>
      <c r="FO11" s="18">
        <v>25099</v>
      </c>
      <c r="FP11" s="18">
        <v>22996</v>
      </c>
      <c r="FQ11" s="149">
        <v>29145</v>
      </c>
      <c r="FR11" s="149">
        <v>28216</v>
      </c>
      <c r="FS11" s="149">
        <v>29250</v>
      </c>
      <c r="FT11" s="155">
        <v>24614</v>
      </c>
      <c r="FU11" s="169">
        <v>21177</v>
      </c>
      <c r="FV11" s="169">
        <v>26914</v>
      </c>
      <c r="FW11" s="169">
        <v>24491</v>
      </c>
      <c r="FX11" s="169">
        <v>27228</v>
      </c>
      <c r="FY11" s="169">
        <v>25377</v>
      </c>
      <c r="FZ11" s="169">
        <v>22689</v>
      </c>
      <c r="GA11" s="169">
        <v>26049</v>
      </c>
      <c r="GB11" s="18">
        <v>26876</v>
      </c>
      <c r="GC11" s="52">
        <v>24924</v>
      </c>
      <c r="GD11" s="18">
        <v>24768</v>
      </c>
      <c r="GE11" s="18">
        <v>23950</v>
      </c>
      <c r="GF11" s="52">
        <v>19691</v>
      </c>
      <c r="GG11" s="18">
        <v>20644</v>
      </c>
      <c r="GH11" s="18">
        <v>25847</v>
      </c>
      <c r="GI11" s="52">
        <v>25831</v>
      </c>
      <c r="GJ11" s="242">
        <v>27645</v>
      </c>
      <c r="GK11" s="184">
        <v>24396</v>
      </c>
      <c r="GL11" s="184">
        <v>22824</v>
      </c>
    </row>
    <row r="12" spans="1:194" x14ac:dyDescent="0.3">
      <c r="A12" s="3" t="s">
        <v>5</v>
      </c>
      <c r="B12" s="17"/>
      <c r="C12" s="18">
        <v>10698</v>
      </c>
      <c r="D12" s="18">
        <v>15097</v>
      </c>
      <c r="E12" s="18">
        <v>12854</v>
      </c>
      <c r="F12" s="18">
        <v>14723</v>
      </c>
      <c r="G12" s="18">
        <v>14600</v>
      </c>
      <c r="H12" s="19">
        <v>13513</v>
      </c>
      <c r="I12" s="17">
        <v>13735</v>
      </c>
      <c r="J12" s="18">
        <v>16348</v>
      </c>
      <c r="K12" s="18">
        <v>17494</v>
      </c>
      <c r="L12" s="18">
        <v>19656</v>
      </c>
      <c r="M12" s="18">
        <v>19672</v>
      </c>
      <c r="N12" s="18">
        <v>18960</v>
      </c>
      <c r="O12" s="62">
        <v>17152</v>
      </c>
      <c r="P12" s="62">
        <v>19388</v>
      </c>
      <c r="Q12" s="62">
        <v>22339</v>
      </c>
      <c r="R12" s="62">
        <v>22572</v>
      </c>
      <c r="S12" s="62">
        <v>16796</v>
      </c>
      <c r="T12" s="63">
        <v>19368</v>
      </c>
      <c r="U12" s="64">
        <v>15582</v>
      </c>
      <c r="V12" s="62">
        <v>22478</v>
      </c>
      <c r="W12" s="62">
        <v>22211</v>
      </c>
      <c r="X12" s="62">
        <v>20313</v>
      </c>
      <c r="Y12" s="62">
        <v>18637</v>
      </c>
      <c r="Z12" s="62">
        <v>20168</v>
      </c>
      <c r="AA12" s="18">
        <v>20884</v>
      </c>
      <c r="AB12" s="18">
        <v>19103</v>
      </c>
      <c r="AC12" s="18">
        <v>22098</v>
      </c>
      <c r="AD12" s="18">
        <v>22049</v>
      </c>
      <c r="AE12" s="18">
        <v>19833</v>
      </c>
      <c r="AF12" s="19">
        <v>17475</v>
      </c>
      <c r="AG12" s="17">
        <v>15981</v>
      </c>
      <c r="AH12" s="18">
        <v>23104</v>
      </c>
      <c r="AI12" s="18">
        <v>23419</v>
      </c>
      <c r="AJ12" s="18">
        <v>22953</v>
      </c>
      <c r="AK12" s="18">
        <v>19872</v>
      </c>
      <c r="AL12" s="18">
        <v>21753</v>
      </c>
      <c r="AM12" s="18">
        <v>21684</v>
      </c>
      <c r="AN12" s="18">
        <v>21984</v>
      </c>
      <c r="AO12" s="18">
        <v>23655</v>
      </c>
      <c r="AP12" s="18">
        <v>25668</v>
      </c>
      <c r="AQ12" s="18">
        <v>25307</v>
      </c>
      <c r="AR12" s="19">
        <v>19317</v>
      </c>
      <c r="AS12" s="17">
        <v>18936</v>
      </c>
      <c r="AT12" s="18">
        <v>28046</v>
      </c>
      <c r="AU12" s="18">
        <v>24927</v>
      </c>
      <c r="AV12" s="18">
        <v>28018</v>
      </c>
      <c r="AW12" s="18">
        <v>25291</v>
      </c>
      <c r="AX12" s="18">
        <v>23686</v>
      </c>
      <c r="AY12" s="18">
        <v>25028</v>
      </c>
      <c r="AZ12" s="18">
        <v>24202</v>
      </c>
      <c r="BA12" s="18">
        <v>24299</v>
      </c>
      <c r="BB12" s="18">
        <v>28472</v>
      </c>
      <c r="BC12" s="18">
        <v>26943</v>
      </c>
      <c r="BD12" s="19">
        <v>21030</v>
      </c>
      <c r="BE12" s="17">
        <v>22133</v>
      </c>
      <c r="BF12" s="18">
        <v>27468</v>
      </c>
      <c r="BG12" s="18">
        <v>26009</v>
      </c>
      <c r="BH12" s="18">
        <v>27132</v>
      </c>
      <c r="BI12" s="18">
        <v>23090.301976385745</v>
      </c>
      <c r="BJ12" s="18">
        <v>22859</v>
      </c>
      <c r="BK12" s="18">
        <v>25540</v>
      </c>
      <c r="BL12" s="18">
        <v>23928</v>
      </c>
      <c r="BM12" s="18">
        <v>24974</v>
      </c>
      <c r="BN12" s="18">
        <v>26406</v>
      </c>
      <c r="BO12" s="18">
        <v>23383</v>
      </c>
      <c r="BP12" s="19">
        <v>19606</v>
      </c>
      <c r="BQ12" s="17">
        <v>19630</v>
      </c>
      <c r="BR12" s="18">
        <v>23930</v>
      </c>
      <c r="BS12" s="18">
        <v>25711</v>
      </c>
      <c r="BT12" s="18">
        <v>27513</v>
      </c>
      <c r="BU12" s="18">
        <v>20587</v>
      </c>
      <c r="BV12" s="18">
        <v>23486</v>
      </c>
      <c r="BW12" s="18">
        <v>23916</v>
      </c>
      <c r="BX12" s="18">
        <v>22218</v>
      </c>
      <c r="BY12" s="18">
        <v>23932</v>
      </c>
      <c r="BZ12" s="18">
        <v>25987</v>
      </c>
      <c r="CA12" s="18">
        <v>21918</v>
      </c>
      <c r="CB12" s="19">
        <v>22111</v>
      </c>
      <c r="CC12" s="20">
        <v>22329</v>
      </c>
      <c r="CD12" s="18">
        <v>26373</v>
      </c>
      <c r="CE12" s="18">
        <v>26521</v>
      </c>
      <c r="CF12" s="18">
        <v>27952</v>
      </c>
      <c r="CG12" s="18">
        <v>23083</v>
      </c>
      <c r="CH12" s="18">
        <v>24067</v>
      </c>
      <c r="CI12" s="18">
        <v>24308</v>
      </c>
      <c r="CJ12" s="18">
        <v>25279</v>
      </c>
      <c r="CK12" s="18">
        <v>27942</v>
      </c>
      <c r="CL12" s="18">
        <v>27573</v>
      </c>
      <c r="CM12" s="18">
        <v>26748</v>
      </c>
      <c r="CN12" s="21">
        <v>25346</v>
      </c>
      <c r="CO12" s="17">
        <v>22132</v>
      </c>
      <c r="CP12" s="18">
        <v>29689</v>
      </c>
      <c r="CQ12" s="18">
        <v>29914</v>
      </c>
      <c r="CR12" s="18">
        <v>29011</v>
      </c>
      <c r="CS12" s="18">
        <v>26174</v>
      </c>
      <c r="CT12" s="18">
        <v>27089</v>
      </c>
      <c r="CU12" s="18">
        <v>27595</v>
      </c>
      <c r="CV12" s="18">
        <v>27944</v>
      </c>
      <c r="CW12" s="18">
        <v>30341</v>
      </c>
      <c r="CX12" s="18">
        <v>27373</v>
      </c>
      <c r="CY12" s="18">
        <v>28889</v>
      </c>
      <c r="CZ12" s="19">
        <v>23759</v>
      </c>
      <c r="DA12" s="17">
        <v>20958</v>
      </c>
      <c r="DB12" s="18">
        <v>28381</v>
      </c>
      <c r="DC12" s="18">
        <v>26918</v>
      </c>
      <c r="DD12" s="18">
        <v>29223</v>
      </c>
      <c r="DE12" s="18">
        <v>24908</v>
      </c>
      <c r="DF12" s="18">
        <v>23763</v>
      </c>
      <c r="DG12" s="18">
        <v>24857</v>
      </c>
      <c r="DH12" s="18">
        <v>23047</v>
      </c>
      <c r="DI12" s="18">
        <v>23797</v>
      </c>
      <c r="DJ12" s="18">
        <v>23977</v>
      </c>
      <c r="DK12" s="18">
        <v>23349</v>
      </c>
      <c r="DL12" s="19">
        <v>20552</v>
      </c>
      <c r="DM12" s="17">
        <v>18845</v>
      </c>
      <c r="DN12" s="18">
        <v>25421</v>
      </c>
      <c r="DO12" s="18">
        <v>21022</v>
      </c>
      <c r="DP12" s="18">
        <v>24459</v>
      </c>
      <c r="DQ12" s="18">
        <v>21583</v>
      </c>
      <c r="DR12" s="18">
        <v>20708</v>
      </c>
      <c r="DS12" s="18">
        <v>22581</v>
      </c>
      <c r="DT12" s="18">
        <v>19772</v>
      </c>
      <c r="DU12" s="18">
        <v>20724</v>
      </c>
      <c r="DV12" s="18">
        <v>20976</v>
      </c>
      <c r="DW12" s="18">
        <v>20912</v>
      </c>
      <c r="DX12" s="19">
        <v>16845</v>
      </c>
      <c r="DY12" s="100">
        <v>17365</v>
      </c>
      <c r="DZ12" s="18">
        <v>20810</v>
      </c>
      <c r="EA12" s="18">
        <v>19989</v>
      </c>
      <c r="EB12" s="18">
        <v>22337</v>
      </c>
      <c r="EC12" s="18">
        <v>18246</v>
      </c>
      <c r="ED12" s="18">
        <v>17297</v>
      </c>
      <c r="EE12" s="18">
        <v>19212</v>
      </c>
      <c r="EF12" s="18">
        <v>18017</v>
      </c>
      <c r="EG12" s="18">
        <v>14310</v>
      </c>
      <c r="EH12" s="18">
        <v>9382</v>
      </c>
      <c r="EI12" s="18">
        <v>8773</v>
      </c>
      <c r="EJ12" s="19">
        <v>8520</v>
      </c>
      <c r="EK12" s="100">
        <v>7925</v>
      </c>
      <c r="EL12" s="18">
        <v>7543</v>
      </c>
      <c r="EM12" s="18">
        <v>8052</v>
      </c>
      <c r="EN12" s="103">
        <v>8416</v>
      </c>
      <c r="EO12" s="18">
        <v>8115</v>
      </c>
      <c r="EP12" s="18">
        <v>6435</v>
      </c>
      <c r="EQ12" s="18">
        <v>3240</v>
      </c>
      <c r="ER12" s="18">
        <v>6576</v>
      </c>
      <c r="ES12" s="18">
        <v>8628</v>
      </c>
      <c r="ET12" s="18">
        <v>9481</v>
      </c>
      <c r="EU12" s="18">
        <v>7969</v>
      </c>
      <c r="EV12" s="19">
        <v>8769</v>
      </c>
      <c r="EW12" s="103">
        <v>7754</v>
      </c>
      <c r="EX12" s="18">
        <v>10610</v>
      </c>
      <c r="EY12" s="18">
        <v>10930</v>
      </c>
      <c r="EZ12" s="103">
        <v>10588</v>
      </c>
      <c r="FA12" s="18">
        <v>11697</v>
      </c>
      <c r="FB12" s="149">
        <v>10979</v>
      </c>
      <c r="FC12" s="18">
        <v>9891</v>
      </c>
      <c r="FD12" s="18">
        <v>11717</v>
      </c>
      <c r="FE12" s="149">
        <v>14203</v>
      </c>
      <c r="FF12" s="149">
        <v>13023</v>
      </c>
      <c r="FG12" s="149">
        <v>12227</v>
      </c>
      <c r="FH12" s="155">
        <v>9763</v>
      </c>
      <c r="FI12" s="103">
        <f>'Average Weekday Boardings'!FI12*20</f>
        <v>9159</v>
      </c>
      <c r="FJ12" s="18">
        <f>'Average Weekday Boardings'!FJ12*23</f>
        <v>12801</v>
      </c>
      <c r="FK12" s="18">
        <f>'Average Weekday Boardings'!FK12*21</f>
        <v>13638</v>
      </c>
      <c r="FL12" s="103">
        <v>12445</v>
      </c>
      <c r="FM12" s="18">
        <v>12239</v>
      </c>
      <c r="FN12" s="149">
        <v>11841</v>
      </c>
      <c r="FO12" s="18">
        <v>12198</v>
      </c>
      <c r="FP12" s="18">
        <v>10698</v>
      </c>
      <c r="FQ12" s="149">
        <v>13707</v>
      </c>
      <c r="FR12" s="149">
        <v>12937</v>
      </c>
      <c r="FS12" s="149">
        <v>14969</v>
      </c>
      <c r="FT12" s="155">
        <v>12527</v>
      </c>
      <c r="FU12" s="169">
        <v>10482</v>
      </c>
      <c r="FV12" s="169">
        <v>13774</v>
      </c>
      <c r="FW12" s="169">
        <v>13509</v>
      </c>
      <c r="FX12" s="169">
        <v>14982</v>
      </c>
      <c r="FY12" s="169">
        <v>13656</v>
      </c>
      <c r="FZ12" s="169">
        <v>11954</v>
      </c>
      <c r="GA12" s="169">
        <v>14352</v>
      </c>
      <c r="GB12" s="18">
        <v>14477</v>
      </c>
      <c r="GC12" s="52">
        <v>13577</v>
      </c>
      <c r="GD12" s="18">
        <v>14442</v>
      </c>
      <c r="GE12" s="18">
        <v>13781</v>
      </c>
      <c r="GF12" s="52">
        <v>11020</v>
      </c>
      <c r="GG12" s="18">
        <v>10833</v>
      </c>
      <c r="GH12" s="18">
        <v>13535</v>
      </c>
      <c r="GI12" s="52">
        <v>13188</v>
      </c>
      <c r="GJ12" s="242">
        <v>13359</v>
      </c>
      <c r="GK12" s="184">
        <v>11800</v>
      </c>
      <c r="GL12" s="184">
        <v>11813</v>
      </c>
    </row>
    <row r="13" spans="1:194" x14ac:dyDescent="0.3">
      <c r="A13" s="3" t="s">
        <v>6</v>
      </c>
      <c r="B13" s="17"/>
      <c r="C13" s="18">
        <v>17271</v>
      </c>
      <c r="D13" s="18">
        <v>11336</v>
      </c>
      <c r="E13" s="18">
        <v>8522</v>
      </c>
      <c r="F13" s="18">
        <v>8893</v>
      </c>
      <c r="G13" s="18">
        <v>6759</v>
      </c>
      <c r="H13" s="19">
        <v>6268</v>
      </c>
      <c r="I13" s="17">
        <v>5141</v>
      </c>
      <c r="J13" s="18">
        <v>6119</v>
      </c>
      <c r="K13" s="18">
        <v>9109</v>
      </c>
      <c r="L13" s="18">
        <v>8862</v>
      </c>
      <c r="M13" s="18">
        <v>9355</v>
      </c>
      <c r="N13" s="18">
        <v>9388</v>
      </c>
      <c r="O13" s="62">
        <v>7733</v>
      </c>
      <c r="P13" s="62">
        <v>9600</v>
      </c>
      <c r="Q13" s="62">
        <v>12961</v>
      </c>
      <c r="R13" s="62">
        <v>10177</v>
      </c>
      <c r="S13" s="62">
        <v>7897</v>
      </c>
      <c r="T13" s="63">
        <v>20051</v>
      </c>
      <c r="U13" s="64">
        <v>15936</v>
      </c>
      <c r="V13" s="62">
        <v>22866</v>
      </c>
      <c r="W13" s="62">
        <v>21465</v>
      </c>
      <c r="X13" s="62">
        <v>21661</v>
      </c>
      <c r="Y13" s="62">
        <v>19958</v>
      </c>
      <c r="Z13" s="62">
        <v>22524</v>
      </c>
      <c r="AA13" s="18">
        <v>22385</v>
      </c>
      <c r="AB13" s="18">
        <v>21042</v>
      </c>
      <c r="AC13" s="18">
        <v>25439</v>
      </c>
      <c r="AD13" s="18">
        <v>24654</v>
      </c>
      <c r="AE13" s="18">
        <v>21272</v>
      </c>
      <c r="AF13" s="19">
        <v>20006</v>
      </c>
      <c r="AG13" s="17">
        <v>17773</v>
      </c>
      <c r="AH13" s="18">
        <v>23679</v>
      </c>
      <c r="AI13" s="18">
        <v>24997</v>
      </c>
      <c r="AJ13" s="18">
        <v>23737</v>
      </c>
      <c r="AK13" s="18">
        <v>20564</v>
      </c>
      <c r="AL13" s="18">
        <v>21582</v>
      </c>
      <c r="AM13" s="18">
        <v>22378</v>
      </c>
      <c r="AN13" s="18">
        <v>22700</v>
      </c>
      <c r="AO13" s="18">
        <v>24557</v>
      </c>
      <c r="AP13" s="18">
        <v>25977</v>
      </c>
      <c r="AQ13" s="18">
        <v>24516</v>
      </c>
      <c r="AR13" s="19">
        <v>19491</v>
      </c>
      <c r="AS13" s="17">
        <v>17343</v>
      </c>
      <c r="AT13" s="18">
        <v>24235</v>
      </c>
      <c r="AU13" s="18">
        <v>22296</v>
      </c>
      <c r="AV13" s="18">
        <v>27925</v>
      </c>
      <c r="AW13" s="18">
        <v>24237</v>
      </c>
      <c r="AX13" s="18">
        <v>21333</v>
      </c>
      <c r="AY13" s="18">
        <v>23750</v>
      </c>
      <c r="AZ13" s="18">
        <v>23227</v>
      </c>
      <c r="BA13" s="18">
        <v>23462</v>
      </c>
      <c r="BB13" s="18">
        <v>26078</v>
      </c>
      <c r="BC13" s="18">
        <v>23617</v>
      </c>
      <c r="BD13" s="19">
        <v>18390</v>
      </c>
      <c r="BE13" s="17">
        <v>18754</v>
      </c>
      <c r="BF13" s="18">
        <v>21510</v>
      </c>
      <c r="BG13" s="18">
        <v>21632</v>
      </c>
      <c r="BH13" s="18">
        <v>24490</v>
      </c>
      <c r="BI13" s="18">
        <v>20073.874026831683</v>
      </c>
      <c r="BJ13" s="18">
        <v>19226</v>
      </c>
      <c r="BK13" s="18">
        <v>22207</v>
      </c>
      <c r="BL13" s="18">
        <v>20722</v>
      </c>
      <c r="BM13" s="18">
        <v>22380</v>
      </c>
      <c r="BN13" s="18">
        <v>23513</v>
      </c>
      <c r="BO13" s="18">
        <v>20580</v>
      </c>
      <c r="BP13" s="19">
        <v>18281</v>
      </c>
      <c r="BQ13" s="17">
        <v>16922</v>
      </c>
      <c r="BR13" s="18">
        <v>18962</v>
      </c>
      <c r="BS13" s="18">
        <v>21278</v>
      </c>
      <c r="BT13" s="18">
        <v>23714</v>
      </c>
      <c r="BU13" s="18">
        <v>17760</v>
      </c>
      <c r="BV13" s="18">
        <v>20168</v>
      </c>
      <c r="BW13" s="18">
        <v>24093</v>
      </c>
      <c r="BX13" s="18">
        <v>20225</v>
      </c>
      <c r="BY13" s="18">
        <v>22395</v>
      </c>
      <c r="BZ13" s="18">
        <v>23397</v>
      </c>
      <c r="CA13" s="18">
        <v>18949</v>
      </c>
      <c r="CB13" s="19">
        <v>16957</v>
      </c>
      <c r="CC13" s="20">
        <v>16402</v>
      </c>
      <c r="CD13" s="18">
        <v>18885</v>
      </c>
      <c r="CE13" s="18">
        <v>21447</v>
      </c>
      <c r="CF13" s="18">
        <v>22704</v>
      </c>
      <c r="CG13" s="18">
        <v>18010</v>
      </c>
      <c r="CH13" s="18">
        <v>19766</v>
      </c>
      <c r="CI13" s="18">
        <v>19726</v>
      </c>
      <c r="CJ13" s="18">
        <v>20134</v>
      </c>
      <c r="CK13" s="18">
        <v>23120</v>
      </c>
      <c r="CL13" s="18">
        <v>23241</v>
      </c>
      <c r="CM13" s="18">
        <v>20575</v>
      </c>
      <c r="CN13" s="21">
        <v>19125</v>
      </c>
      <c r="CO13" s="17">
        <v>14900</v>
      </c>
      <c r="CP13" s="18">
        <v>21183</v>
      </c>
      <c r="CQ13" s="18">
        <v>21397</v>
      </c>
      <c r="CR13" s="18">
        <v>20957</v>
      </c>
      <c r="CS13" s="18">
        <v>18275</v>
      </c>
      <c r="CT13" s="18">
        <v>19444</v>
      </c>
      <c r="CU13" s="18">
        <v>19852</v>
      </c>
      <c r="CV13" s="18">
        <v>20498</v>
      </c>
      <c r="CW13" s="18">
        <v>24001</v>
      </c>
      <c r="CX13" s="18">
        <v>21634</v>
      </c>
      <c r="CY13" s="18">
        <v>21573</v>
      </c>
      <c r="CZ13" s="19">
        <v>17816</v>
      </c>
      <c r="DA13" s="17">
        <v>14612</v>
      </c>
      <c r="DB13" s="18">
        <v>22462</v>
      </c>
      <c r="DC13" s="18">
        <v>20017</v>
      </c>
      <c r="DD13" s="18">
        <v>23010</v>
      </c>
      <c r="DE13" s="18">
        <v>19262</v>
      </c>
      <c r="DF13" s="18">
        <v>18523</v>
      </c>
      <c r="DG13" s="18">
        <v>20241</v>
      </c>
      <c r="DH13" s="18">
        <v>19587</v>
      </c>
      <c r="DI13" s="18">
        <v>21638</v>
      </c>
      <c r="DJ13" s="18">
        <v>21355</v>
      </c>
      <c r="DK13" s="18">
        <v>19987</v>
      </c>
      <c r="DL13" s="19">
        <v>15436</v>
      </c>
      <c r="DM13" s="17">
        <v>13670</v>
      </c>
      <c r="DN13" s="18">
        <v>19259</v>
      </c>
      <c r="DO13" s="18">
        <v>16552</v>
      </c>
      <c r="DP13" s="18">
        <v>20178</v>
      </c>
      <c r="DQ13" s="18">
        <v>18697</v>
      </c>
      <c r="DR13" s="18">
        <v>16705</v>
      </c>
      <c r="DS13" s="18">
        <v>18479</v>
      </c>
      <c r="DT13" s="18">
        <v>17287</v>
      </c>
      <c r="DU13" s="18">
        <v>18439</v>
      </c>
      <c r="DV13" s="18">
        <v>19284</v>
      </c>
      <c r="DW13" s="18">
        <v>18938</v>
      </c>
      <c r="DX13" s="19">
        <v>15106</v>
      </c>
      <c r="DY13" s="100">
        <v>14245</v>
      </c>
      <c r="DZ13" s="18">
        <v>16923</v>
      </c>
      <c r="EA13" s="18">
        <v>16743</v>
      </c>
      <c r="EB13" s="18">
        <v>18900</v>
      </c>
      <c r="EC13" s="18">
        <v>16925</v>
      </c>
      <c r="ED13" s="18">
        <v>14671</v>
      </c>
      <c r="EE13" s="18">
        <v>15977</v>
      </c>
      <c r="EF13" s="18">
        <v>15823</v>
      </c>
      <c r="EG13" s="18">
        <v>11286</v>
      </c>
      <c r="EH13" s="18">
        <v>5909</v>
      </c>
      <c r="EI13" s="18">
        <v>5512</v>
      </c>
      <c r="EJ13" s="19">
        <v>5920</v>
      </c>
      <c r="EK13" s="100">
        <v>5723</v>
      </c>
      <c r="EL13" s="18">
        <v>5497</v>
      </c>
      <c r="EM13" s="18">
        <v>5698</v>
      </c>
      <c r="EN13" s="103">
        <v>6597</v>
      </c>
      <c r="EO13" s="18">
        <v>6602</v>
      </c>
      <c r="EP13" s="18">
        <v>5073</v>
      </c>
      <c r="EQ13" s="18">
        <v>2693</v>
      </c>
      <c r="ER13" s="18">
        <v>5141</v>
      </c>
      <c r="ES13" s="18">
        <v>6641</v>
      </c>
      <c r="ET13" s="18">
        <v>7350</v>
      </c>
      <c r="EU13" s="18">
        <v>6405</v>
      </c>
      <c r="EV13" s="19">
        <v>6880</v>
      </c>
      <c r="EW13" s="103">
        <v>6400</v>
      </c>
      <c r="EX13" s="18">
        <v>7468</v>
      </c>
      <c r="EY13" s="18">
        <v>7452</v>
      </c>
      <c r="EZ13" s="103">
        <v>7962</v>
      </c>
      <c r="FA13" s="18">
        <v>8567</v>
      </c>
      <c r="FB13" s="149">
        <v>8205</v>
      </c>
      <c r="FC13" s="18">
        <v>7336</v>
      </c>
      <c r="FD13" s="18">
        <v>8833</v>
      </c>
      <c r="FE13" s="149">
        <v>11196</v>
      </c>
      <c r="FF13" s="149">
        <v>10272</v>
      </c>
      <c r="FG13" s="149">
        <v>9468</v>
      </c>
      <c r="FH13" s="155">
        <v>7369</v>
      </c>
      <c r="FI13" s="103">
        <f>'Average Weekday Boardings'!FI13*20</f>
        <v>7451</v>
      </c>
      <c r="FJ13" s="18">
        <f>'Average Weekday Boardings'!FJ13*23</f>
        <v>8770</v>
      </c>
      <c r="FK13" s="18">
        <f>'Average Weekday Boardings'!FK13*21</f>
        <v>9490</v>
      </c>
      <c r="FL13" s="103">
        <v>9496</v>
      </c>
      <c r="FM13" s="18">
        <v>9715</v>
      </c>
      <c r="FN13" s="149">
        <v>8998</v>
      </c>
      <c r="FO13" s="18">
        <v>9837</v>
      </c>
      <c r="FP13" s="18">
        <v>10339</v>
      </c>
      <c r="FQ13" s="149">
        <v>12015</v>
      </c>
      <c r="FR13" s="149">
        <v>11353</v>
      </c>
      <c r="FS13" s="149">
        <v>11821</v>
      </c>
      <c r="FT13" s="155">
        <v>10320</v>
      </c>
      <c r="FU13" s="169">
        <v>8634</v>
      </c>
      <c r="FV13" s="169">
        <v>10287</v>
      </c>
      <c r="FW13" s="169">
        <v>10178</v>
      </c>
      <c r="FX13" s="169">
        <v>13234</v>
      </c>
      <c r="FY13" s="169">
        <v>10960</v>
      </c>
      <c r="FZ13" s="169">
        <v>9989</v>
      </c>
      <c r="GA13" s="169">
        <v>10879</v>
      </c>
      <c r="GB13" s="18">
        <v>11140</v>
      </c>
      <c r="GC13" s="52">
        <v>10744</v>
      </c>
      <c r="GD13" s="18">
        <v>10879</v>
      </c>
      <c r="GE13" s="18">
        <v>10184</v>
      </c>
      <c r="GF13" s="52">
        <v>8868</v>
      </c>
      <c r="GG13" s="18">
        <v>8612</v>
      </c>
      <c r="GH13" s="18">
        <v>9862</v>
      </c>
      <c r="GI13" s="52">
        <v>9731</v>
      </c>
      <c r="GJ13" s="242">
        <v>10320</v>
      </c>
      <c r="GK13" s="184">
        <v>9675</v>
      </c>
      <c r="GL13" s="184">
        <v>9021</v>
      </c>
    </row>
    <row r="14" spans="1:194" x14ac:dyDescent="0.3">
      <c r="A14" s="3" t="s">
        <v>7</v>
      </c>
      <c r="B14" s="17"/>
      <c r="C14" s="18">
        <v>13939</v>
      </c>
      <c r="D14" s="18">
        <v>19021</v>
      </c>
      <c r="E14" s="18">
        <v>17202</v>
      </c>
      <c r="F14" s="18">
        <v>20554</v>
      </c>
      <c r="G14" s="18">
        <v>13703</v>
      </c>
      <c r="H14" s="19">
        <v>8074</v>
      </c>
      <c r="I14" s="17">
        <v>10334</v>
      </c>
      <c r="J14" s="18">
        <v>12299</v>
      </c>
      <c r="K14" s="18">
        <v>28343</v>
      </c>
      <c r="L14" s="18">
        <v>29977</v>
      </c>
      <c r="M14" s="18">
        <v>25980</v>
      </c>
      <c r="N14" s="18">
        <v>27404</v>
      </c>
      <c r="O14" s="62">
        <v>26159</v>
      </c>
      <c r="P14" s="62">
        <v>27001</v>
      </c>
      <c r="Q14" s="62">
        <v>31111</v>
      </c>
      <c r="R14" s="62">
        <v>34425</v>
      </c>
      <c r="S14" s="62">
        <v>25733</v>
      </c>
      <c r="T14" s="63">
        <v>19646</v>
      </c>
      <c r="U14" s="64">
        <v>8749</v>
      </c>
      <c r="V14" s="62">
        <v>29728</v>
      </c>
      <c r="W14" s="62">
        <v>30215</v>
      </c>
      <c r="X14" s="62">
        <v>24820</v>
      </c>
      <c r="Y14" s="62">
        <v>25916</v>
      </c>
      <c r="Z14" s="62">
        <v>20774</v>
      </c>
      <c r="AA14" s="18">
        <v>27568</v>
      </c>
      <c r="AB14" s="18">
        <v>25920</v>
      </c>
      <c r="AC14" s="18">
        <v>26528</v>
      </c>
      <c r="AD14" s="18">
        <v>27287</v>
      </c>
      <c r="AE14" s="18">
        <v>22158</v>
      </c>
      <c r="AF14" s="19">
        <v>16661</v>
      </c>
      <c r="AG14" s="17">
        <v>8912</v>
      </c>
      <c r="AH14" s="18">
        <v>27493</v>
      </c>
      <c r="AI14" s="18">
        <v>30909</v>
      </c>
      <c r="AJ14" s="18">
        <v>25724</v>
      </c>
      <c r="AK14" s="18">
        <v>25802</v>
      </c>
      <c r="AL14" s="18">
        <v>23134</v>
      </c>
      <c r="AM14" s="18">
        <v>23920</v>
      </c>
      <c r="AN14" s="18">
        <v>26419</v>
      </c>
      <c r="AO14" s="18">
        <v>24941</v>
      </c>
      <c r="AP14" s="18">
        <v>29044</v>
      </c>
      <c r="AQ14" s="18">
        <v>26860</v>
      </c>
      <c r="AR14" s="19">
        <v>15012</v>
      </c>
      <c r="AS14" s="17">
        <v>11271</v>
      </c>
      <c r="AT14" s="18">
        <v>33805</v>
      </c>
      <c r="AU14" s="18">
        <v>33462</v>
      </c>
      <c r="AV14" s="18">
        <v>32331</v>
      </c>
      <c r="AW14" s="18">
        <v>30792</v>
      </c>
      <c r="AX14" s="18">
        <v>24348</v>
      </c>
      <c r="AY14" s="18">
        <v>27783</v>
      </c>
      <c r="AZ14" s="18">
        <v>27166</v>
      </c>
      <c r="BA14" s="18">
        <v>25347</v>
      </c>
      <c r="BB14" s="18">
        <v>29689</v>
      </c>
      <c r="BC14" s="18">
        <v>25270</v>
      </c>
      <c r="BD14" s="19">
        <v>14953</v>
      </c>
      <c r="BE14" s="17">
        <v>11018</v>
      </c>
      <c r="BF14" s="18">
        <v>30555</v>
      </c>
      <c r="BG14" s="18">
        <v>31661</v>
      </c>
      <c r="BH14" s="18">
        <v>30342</v>
      </c>
      <c r="BI14" s="18">
        <v>26910.774432894519</v>
      </c>
      <c r="BJ14" s="18">
        <v>21892</v>
      </c>
      <c r="BK14" s="18">
        <v>27755</v>
      </c>
      <c r="BL14" s="18">
        <v>26572</v>
      </c>
      <c r="BM14" s="18">
        <v>23827</v>
      </c>
      <c r="BN14" s="18">
        <v>29083</v>
      </c>
      <c r="BO14" s="18">
        <v>24163</v>
      </c>
      <c r="BP14" s="19">
        <v>14935</v>
      </c>
      <c r="BQ14" s="17">
        <v>10283</v>
      </c>
      <c r="BR14" s="18">
        <v>27799</v>
      </c>
      <c r="BS14" s="18">
        <v>30206</v>
      </c>
      <c r="BT14" s="18">
        <v>28025</v>
      </c>
      <c r="BU14" s="18">
        <v>22874</v>
      </c>
      <c r="BV14" s="18">
        <v>21130</v>
      </c>
      <c r="BW14" s="18">
        <v>25968</v>
      </c>
      <c r="BX14" s="18">
        <v>24810</v>
      </c>
      <c r="BY14" s="18">
        <v>23984</v>
      </c>
      <c r="BZ14" s="18">
        <v>27256</v>
      </c>
      <c r="CA14" s="18">
        <v>21320</v>
      </c>
      <c r="CB14" s="19">
        <v>15839</v>
      </c>
      <c r="CC14" s="20">
        <v>10690</v>
      </c>
      <c r="CD14" s="18">
        <v>27959</v>
      </c>
      <c r="CE14" s="18">
        <v>30319</v>
      </c>
      <c r="CF14" s="18">
        <v>26856</v>
      </c>
      <c r="CG14" s="18">
        <v>24702</v>
      </c>
      <c r="CH14" s="18">
        <v>20536</v>
      </c>
      <c r="CI14" s="18">
        <v>24832</v>
      </c>
      <c r="CJ14" s="18">
        <v>26018</v>
      </c>
      <c r="CK14" s="18">
        <v>24636</v>
      </c>
      <c r="CL14" s="18">
        <v>25512</v>
      </c>
      <c r="CM14" s="18">
        <v>20453</v>
      </c>
      <c r="CN14" s="21">
        <v>16121</v>
      </c>
      <c r="CO14" s="17">
        <v>8555</v>
      </c>
      <c r="CP14" s="18">
        <v>27823</v>
      </c>
      <c r="CQ14" s="18">
        <v>29016</v>
      </c>
      <c r="CR14" s="18">
        <v>24302</v>
      </c>
      <c r="CS14" s="18">
        <v>26462</v>
      </c>
      <c r="CT14" s="18">
        <v>23265</v>
      </c>
      <c r="CU14" s="18">
        <v>23241</v>
      </c>
      <c r="CV14" s="18">
        <v>25454</v>
      </c>
      <c r="CW14" s="18">
        <v>25181</v>
      </c>
      <c r="CX14" s="18">
        <v>24991</v>
      </c>
      <c r="CY14" s="18">
        <v>23934</v>
      </c>
      <c r="CZ14" s="19">
        <v>15112</v>
      </c>
      <c r="DA14" s="17">
        <v>9295</v>
      </c>
      <c r="DB14" s="18">
        <v>27708</v>
      </c>
      <c r="DC14" s="18">
        <v>28222</v>
      </c>
      <c r="DD14" s="18">
        <v>26639</v>
      </c>
      <c r="DE14" s="18">
        <v>25421</v>
      </c>
      <c r="DF14" s="18">
        <v>20839</v>
      </c>
      <c r="DG14" s="18">
        <v>24308</v>
      </c>
      <c r="DH14" s="18">
        <v>23544</v>
      </c>
      <c r="DI14" s="18">
        <v>21687</v>
      </c>
      <c r="DJ14" s="18">
        <v>22167</v>
      </c>
      <c r="DK14" s="18">
        <v>19498</v>
      </c>
      <c r="DL14" s="19">
        <v>12808</v>
      </c>
      <c r="DM14" s="17">
        <v>8259</v>
      </c>
      <c r="DN14" s="18">
        <v>27012</v>
      </c>
      <c r="DO14" s="18">
        <v>24788</v>
      </c>
      <c r="DP14" s="18">
        <v>25963</v>
      </c>
      <c r="DQ14" s="18">
        <v>25432</v>
      </c>
      <c r="DR14" s="18">
        <v>19576</v>
      </c>
      <c r="DS14" s="18">
        <v>24706</v>
      </c>
      <c r="DT14" s="18">
        <v>23049</v>
      </c>
      <c r="DU14" s="18">
        <v>21615</v>
      </c>
      <c r="DV14" s="18">
        <v>24200</v>
      </c>
      <c r="DW14" s="18">
        <v>19686</v>
      </c>
      <c r="DX14" s="19">
        <v>11870</v>
      </c>
      <c r="DY14" s="100">
        <v>8583</v>
      </c>
      <c r="DZ14" s="18">
        <v>24695</v>
      </c>
      <c r="EA14" s="18">
        <v>25049</v>
      </c>
      <c r="EB14" s="18">
        <v>24940</v>
      </c>
      <c r="EC14" s="18">
        <v>22527</v>
      </c>
      <c r="ED14" s="18">
        <v>18629</v>
      </c>
      <c r="EE14" s="18">
        <v>23839</v>
      </c>
      <c r="EF14" s="18">
        <v>21526</v>
      </c>
      <c r="EG14" s="18">
        <v>10303</v>
      </c>
      <c r="EH14" s="18">
        <v>3353</v>
      </c>
      <c r="EI14" s="18">
        <v>3576</v>
      </c>
      <c r="EJ14" s="19">
        <v>3463</v>
      </c>
      <c r="EK14" s="100">
        <v>3376</v>
      </c>
      <c r="EL14" s="18">
        <v>3392</v>
      </c>
      <c r="EM14" s="18">
        <v>3823</v>
      </c>
      <c r="EN14" s="103">
        <v>4478</v>
      </c>
      <c r="EO14" s="18">
        <v>4125</v>
      </c>
      <c r="EP14" s="18">
        <v>3176</v>
      </c>
      <c r="EQ14" s="18">
        <v>1621</v>
      </c>
      <c r="ER14" s="18">
        <v>2957</v>
      </c>
      <c r="ES14" s="18">
        <v>4957</v>
      </c>
      <c r="ET14" s="18">
        <v>9224</v>
      </c>
      <c r="EU14" s="18">
        <v>6778</v>
      </c>
      <c r="EV14" s="19">
        <v>5644</v>
      </c>
      <c r="EW14" s="103">
        <v>3972</v>
      </c>
      <c r="EX14" s="18">
        <v>14495</v>
      </c>
      <c r="EY14" s="18">
        <v>15228</v>
      </c>
      <c r="EZ14" s="103">
        <v>12680</v>
      </c>
      <c r="FA14" s="18">
        <v>13750</v>
      </c>
      <c r="FB14" s="149">
        <v>9964</v>
      </c>
      <c r="FC14" s="18">
        <v>10684</v>
      </c>
      <c r="FD14" s="18">
        <v>13285</v>
      </c>
      <c r="FE14" s="149">
        <v>14986</v>
      </c>
      <c r="FF14" s="149">
        <v>13589</v>
      </c>
      <c r="FG14" s="149">
        <v>11574</v>
      </c>
      <c r="FH14" s="155">
        <v>5461</v>
      </c>
      <c r="FI14" s="103">
        <f>'Average Weekday Boardings'!FI14*20</f>
        <v>3772</v>
      </c>
      <c r="FJ14" s="18">
        <f>'Average Weekday Boardings'!FJ14*23</f>
        <v>12322</v>
      </c>
      <c r="FK14" s="18">
        <f>'Average Weekday Boardings'!FK14*21</f>
        <v>13934</v>
      </c>
      <c r="FL14" s="103">
        <v>12152</v>
      </c>
      <c r="FM14" s="18">
        <v>12988</v>
      </c>
      <c r="FN14" s="149">
        <v>10616</v>
      </c>
      <c r="FO14" s="18">
        <v>12479</v>
      </c>
      <c r="FP14" s="18">
        <v>12277</v>
      </c>
      <c r="FQ14" s="149">
        <v>13650</v>
      </c>
      <c r="FR14" s="149">
        <v>14177</v>
      </c>
      <c r="FS14" s="149">
        <v>14555</v>
      </c>
      <c r="FT14" s="155">
        <v>7114</v>
      </c>
      <c r="FU14" s="169">
        <v>4122</v>
      </c>
      <c r="FV14" s="169">
        <v>13584</v>
      </c>
      <c r="FW14" s="169">
        <v>13808</v>
      </c>
      <c r="FX14" s="169">
        <v>13605</v>
      </c>
      <c r="FY14" s="169">
        <v>14975</v>
      </c>
      <c r="FZ14" s="169">
        <v>11196</v>
      </c>
      <c r="GA14" s="169">
        <v>12565</v>
      </c>
      <c r="GB14" s="18">
        <v>14954</v>
      </c>
      <c r="GC14" s="52">
        <v>11898</v>
      </c>
      <c r="GD14" s="18">
        <v>14039</v>
      </c>
      <c r="GE14" s="18">
        <v>12643</v>
      </c>
      <c r="GF14" s="52">
        <v>5929</v>
      </c>
      <c r="GG14" s="18">
        <v>4417</v>
      </c>
      <c r="GH14" s="18">
        <v>15144</v>
      </c>
      <c r="GI14" s="52">
        <v>14930</v>
      </c>
      <c r="GJ14" s="242">
        <v>13997</v>
      </c>
      <c r="GK14" s="184">
        <v>13932</v>
      </c>
      <c r="GL14" s="184">
        <v>11610</v>
      </c>
    </row>
    <row r="15" spans="1:194" x14ac:dyDescent="0.3">
      <c r="A15" s="3" t="s">
        <v>8</v>
      </c>
      <c r="B15" s="17"/>
      <c r="C15" s="18">
        <v>20158</v>
      </c>
      <c r="D15" s="18">
        <v>25057</v>
      </c>
      <c r="E15" s="18">
        <v>25663</v>
      </c>
      <c r="F15" s="18">
        <v>28466</v>
      </c>
      <c r="G15" s="18">
        <v>25994</v>
      </c>
      <c r="H15" s="19">
        <v>20087</v>
      </c>
      <c r="I15" s="17">
        <v>24164</v>
      </c>
      <c r="J15" s="18">
        <v>28761</v>
      </c>
      <c r="K15" s="18">
        <v>27932</v>
      </c>
      <c r="L15" s="18">
        <v>30148</v>
      </c>
      <c r="M15" s="18">
        <v>27808</v>
      </c>
      <c r="N15" s="18">
        <v>28109</v>
      </c>
      <c r="O15" s="62">
        <v>26308</v>
      </c>
      <c r="P15" s="62">
        <v>28745</v>
      </c>
      <c r="Q15" s="62">
        <v>33120</v>
      </c>
      <c r="R15" s="62">
        <v>34622</v>
      </c>
      <c r="S15" s="62">
        <v>26329</v>
      </c>
      <c r="T15" s="63">
        <v>31680</v>
      </c>
      <c r="U15" s="64">
        <v>25577</v>
      </c>
      <c r="V15" s="62">
        <v>33489</v>
      </c>
      <c r="W15" s="62">
        <v>32885</v>
      </c>
      <c r="X15" s="62">
        <v>32843</v>
      </c>
      <c r="Y15" s="62">
        <v>30159</v>
      </c>
      <c r="Z15" s="62">
        <v>30456</v>
      </c>
      <c r="AA15" s="18">
        <v>32377</v>
      </c>
      <c r="AB15" s="18">
        <v>31847</v>
      </c>
      <c r="AC15" s="18">
        <v>36202</v>
      </c>
      <c r="AD15" s="18">
        <v>34524</v>
      </c>
      <c r="AE15" s="18">
        <v>32833</v>
      </c>
      <c r="AF15" s="19">
        <v>29929</v>
      </c>
      <c r="AG15" s="17">
        <v>26165</v>
      </c>
      <c r="AH15" s="18">
        <v>34836</v>
      </c>
      <c r="AI15" s="18">
        <v>34999</v>
      </c>
      <c r="AJ15" s="18">
        <v>33299</v>
      </c>
      <c r="AK15" s="18">
        <v>30516</v>
      </c>
      <c r="AL15" s="18">
        <v>31854</v>
      </c>
      <c r="AM15" s="18">
        <v>33839</v>
      </c>
      <c r="AN15" s="18">
        <v>34093</v>
      </c>
      <c r="AO15" s="18">
        <v>39485</v>
      </c>
      <c r="AP15" s="18">
        <v>39464</v>
      </c>
      <c r="AQ15" s="18">
        <v>38933</v>
      </c>
      <c r="AR15" s="19">
        <v>31516</v>
      </c>
      <c r="AS15" s="17">
        <v>30229</v>
      </c>
      <c r="AT15" s="18">
        <v>40515</v>
      </c>
      <c r="AU15" s="18">
        <v>34411</v>
      </c>
      <c r="AV15" s="18">
        <v>42726</v>
      </c>
      <c r="AW15" s="18">
        <v>38151</v>
      </c>
      <c r="AX15" s="18">
        <v>34734</v>
      </c>
      <c r="AY15" s="18">
        <v>37109</v>
      </c>
      <c r="AZ15" s="18">
        <v>36006</v>
      </c>
      <c r="BA15" s="18">
        <v>37592</v>
      </c>
      <c r="BB15" s="18">
        <v>41207</v>
      </c>
      <c r="BC15" s="18">
        <v>38365</v>
      </c>
      <c r="BD15" s="19">
        <v>30754</v>
      </c>
      <c r="BE15" s="17">
        <v>32296</v>
      </c>
      <c r="BF15" s="18">
        <v>37312</v>
      </c>
      <c r="BG15" s="18">
        <v>36867</v>
      </c>
      <c r="BH15" s="18">
        <v>42159</v>
      </c>
      <c r="BI15" s="18">
        <v>35075.306672272789</v>
      </c>
      <c r="BJ15" s="18">
        <v>34036</v>
      </c>
      <c r="BK15" s="18">
        <v>40046</v>
      </c>
      <c r="BL15" s="18">
        <v>37684</v>
      </c>
      <c r="BM15" s="18">
        <v>39002</v>
      </c>
      <c r="BN15" s="18">
        <v>41782</v>
      </c>
      <c r="BO15" s="18">
        <v>37070</v>
      </c>
      <c r="BP15" s="19">
        <v>33135</v>
      </c>
      <c r="BQ15" s="17">
        <v>32826</v>
      </c>
      <c r="BR15" s="18">
        <v>37166</v>
      </c>
      <c r="BS15" s="18">
        <v>39208</v>
      </c>
      <c r="BT15" s="18">
        <v>43696</v>
      </c>
      <c r="BU15" s="18">
        <v>33812</v>
      </c>
      <c r="BV15" s="18">
        <v>38224</v>
      </c>
      <c r="BW15" s="18">
        <v>40158</v>
      </c>
      <c r="BX15" s="18">
        <v>36510</v>
      </c>
      <c r="BY15" s="18">
        <v>40748</v>
      </c>
      <c r="BZ15" s="18">
        <v>41778</v>
      </c>
      <c r="CA15" s="18">
        <v>34941</v>
      </c>
      <c r="CB15" s="19">
        <v>33842</v>
      </c>
      <c r="CC15" s="20">
        <v>32687</v>
      </c>
      <c r="CD15" s="18">
        <v>37860</v>
      </c>
      <c r="CE15" s="18">
        <v>40090</v>
      </c>
      <c r="CF15" s="18">
        <v>41792</v>
      </c>
      <c r="CG15" s="18">
        <v>34236</v>
      </c>
      <c r="CH15" s="18">
        <v>35984</v>
      </c>
      <c r="CI15" s="18">
        <v>39072</v>
      </c>
      <c r="CJ15" s="18">
        <v>39036</v>
      </c>
      <c r="CK15" s="18">
        <v>42556</v>
      </c>
      <c r="CL15" s="18">
        <v>41719</v>
      </c>
      <c r="CM15" s="18">
        <v>39211</v>
      </c>
      <c r="CN15" s="21">
        <v>37699</v>
      </c>
      <c r="CO15" s="17">
        <v>32097</v>
      </c>
      <c r="CP15" s="18">
        <v>41294</v>
      </c>
      <c r="CQ15" s="18">
        <v>40003</v>
      </c>
      <c r="CR15" s="18">
        <v>40562</v>
      </c>
      <c r="CS15" s="18">
        <v>35763</v>
      </c>
      <c r="CT15" s="18">
        <v>36352</v>
      </c>
      <c r="CU15" s="18">
        <v>37416</v>
      </c>
      <c r="CV15" s="18">
        <v>37424</v>
      </c>
      <c r="CW15" s="18">
        <v>42502</v>
      </c>
      <c r="CX15" s="18">
        <v>37039</v>
      </c>
      <c r="CY15" s="18">
        <v>38737</v>
      </c>
      <c r="CZ15" s="19">
        <v>33167</v>
      </c>
      <c r="DA15" s="17">
        <v>29040</v>
      </c>
      <c r="DB15" s="18">
        <v>37743</v>
      </c>
      <c r="DC15" s="18">
        <v>34005</v>
      </c>
      <c r="DD15" s="18">
        <v>40064</v>
      </c>
      <c r="DE15" s="18">
        <v>32568</v>
      </c>
      <c r="DF15" s="18">
        <v>31223</v>
      </c>
      <c r="DG15" s="18">
        <v>35151</v>
      </c>
      <c r="DH15" s="18">
        <v>32965</v>
      </c>
      <c r="DI15" s="18">
        <v>37010</v>
      </c>
      <c r="DJ15" s="18">
        <v>35673</v>
      </c>
      <c r="DK15" s="18">
        <v>34779</v>
      </c>
      <c r="DL15" s="19">
        <v>30144</v>
      </c>
      <c r="DM15" s="17">
        <v>26695</v>
      </c>
      <c r="DN15" s="18">
        <v>34253</v>
      </c>
      <c r="DO15" s="18">
        <v>29909</v>
      </c>
      <c r="DP15" s="18">
        <v>35552</v>
      </c>
      <c r="DQ15" s="18">
        <v>33236</v>
      </c>
      <c r="DR15" s="18">
        <v>29282</v>
      </c>
      <c r="DS15" s="18">
        <v>33809</v>
      </c>
      <c r="DT15" s="18">
        <v>30048</v>
      </c>
      <c r="DU15" s="18">
        <v>33045</v>
      </c>
      <c r="DV15" s="18">
        <v>32010</v>
      </c>
      <c r="DW15" s="18">
        <v>31275</v>
      </c>
      <c r="DX15" s="19">
        <v>25919</v>
      </c>
      <c r="DY15" s="100">
        <v>25669</v>
      </c>
      <c r="DZ15" s="18">
        <v>30429</v>
      </c>
      <c r="EA15" s="18">
        <v>29125</v>
      </c>
      <c r="EB15" s="18">
        <v>34130</v>
      </c>
      <c r="EC15" s="18">
        <v>28904</v>
      </c>
      <c r="ED15" s="18">
        <v>27874</v>
      </c>
      <c r="EE15" s="18">
        <v>30761</v>
      </c>
      <c r="EF15" s="18">
        <v>29096</v>
      </c>
      <c r="EG15" s="18">
        <v>23299</v>
      </c>
      <c r="EH15" s="18">
        <v>13485</v>
      </c>
      <c r="EI15" s="18">
        <v>12235</v>
      </c>
      <c r="EJ15" s="19">
        <v>12504</v>
      </c>
      <c r="EK15" s="100">
        <v>12152</v>
      </c>
      <c r="EL15" s="18">
        <v>11056</v>
      </c>
      <c r="EM15" s="18">
        <v>12332</v>
      </c>
      <c r="EN15" s="103">
        <v>12888</v>
      </c>
      <c r="EO15" s="18">
        <v>11025</v>
      </c>
      <c r="EP15" s="18">
        <v>9112</v>
      </c>
      <c r="EQ15" s="18">
        <v>4865</v>
      </c>
      <c r="ER15" s="18">
        <v>9380</v>
      </c>
      <c r="ES15" s="18">
        <v>11451</v>
      </c>
      <c r="ET15" s="18">
        <v>12684</v>
      </c>
      <c r="EU15" s="18">
        <v>10758</v>
      </c>
      <c r="EV15" s="19">
        <v>11940</v>
      </c>
      <c r="EW15" s="103">
        <v>10687</v>
      </c>
      <c r="EX15" s="18">
        <v>13040</v>
      </c>
      <c r="EY15" s="18">
        <v>13656</v>
      </c>
      <c r="EZ15" s="103">
        <v>14625</v>
      </c>
      <c r="FA15" s="18">
        <v>15124</v>
      </c>
      <c r="FB15" s="149">
        <v>14188</v>
      </c>
      <c r="FC15" s="18">
        <v>12590</v>
      </c>
      <c r="FD15" s="18">
        <v>15428</v>
      </c>
      <c r="FE15" s="149">
        <v>18702</v>
      </c>
      <c r="FF15" s="149">
        <v>16530</v>
      </c>
      <c r="FG15" s="149">
        <v>15269</v>
      </c>
      <c r="FH15" s="155">
        <v>12613</v>
      </c>
      <c r="FI15" s="103">
        <f>'Average Weekday Boardings'!FI15*20</f>
        <v>11776</v>
      </c>
      <c r="FJ15" s="18">
        <f>'Average Weekday Boardings'!FJ15*23</f>
        <v>14891</v>
      </c>
      <c r="FK15" s="18">
        <f>'Average Weekday Boardings'!FK15*21</f>
        <v>16463</v>
      </c>
      <c r="FL15" s="103">
        <v>16340</v>
      </c>
      <c r="FM15" s="18">
        <v>15116</v>
      </c>
      <c r="FN15" s="149">
        <v>14725</v>
      </c>
      <c r="FO15" s="18">
        <v>16330</v>
      </c>
      <c r="FP15" s="18">
        <v>15149</v>
      </c>
      <c r="FQ15" s="149">
        <v>19250</v>
      </c>
      <c r="FR15" s="149">
        <v>18179</v>
      </c>
      <c r="FS15" s="149">
        <v>18737</v>
      </c>
      <c r="FT15" s="155">
        <v>16498</v>
      </c>
      <c r="FU15" s="169">
        <v>14838</v>
      </c>
      <c r="FV15" s="169">
        <v>18424</v>
      </c>
      <c r="FW15" s="169">
        <v>16660</v>
      </c>
      <c r="FX15" s="169">
        <v>19111</v>
      </c>
      <c r="FY15" s="169">
        <v>18184</v>
      </c>
      <c r="FZ15" s="169">
        <v>16507</v>
      </c>
      <c r="GA15" s="169">
        <v>18096</v>
      </c>
      <c r="GB15" s="18">
        <v>19294</v>
      </c>
      <c r="GC15" s="52">
        <v>19738</v>
      </c>
      <c r="GD15" s="18">
        <v>19546</v>
      </c>
      <c r="GE15" s="18">
        <v>19110</v>
      </c>
      <c r="GF15" s="52">
        <v>16033</v>
      </c>
      <c r="GG15" s="18">
        <v>16753</v>
      </c>
      <c r="GH15" s="18">
        <v>18630</v>
      </c>
      <c r="GI15" s="52">
        <v>17781</v>
      </c>
      <c r="GJ15" s="242">
        <v>19387</v>
      </c>
      <c r="GK15" s="184">
        <v>16523</v>
      </c>
      <c r="GL15" s="184">
        <v>16202</v>
      </c>
    </row>
    <row r="16" spans="1:194" x14ac:dyDescent="0.3">
      <c r="A16" s="3" t="s">
        <v>9</v>
      </c>
      <c r="B16" s="17"/>
      <c r="C16" s="18">
        <v>14838</v>
      </c>
      <c r="D16" s="18">
        <v>18572</v>
      </c>
      <c r="E16" s="18">
        <v>18572</v>
      </c>
      <c r="F16" s="18">
        <v>19001</v>
      </c>
      <c r="G16" s="18">
        <v>17858</v>
      </c>
      <c r="H16" s="19">
        <v>14499</v>
      </c>
      <c r="I16" s="17">
        <v>14740</v>
      </c>
      <c r="J16" s="18">
        <v>17544</v>
      </c>
      <c r="K16" s="18">
        <v>15110</v>
      </c>
      <c r="L16" s="18">
        <v>16651</v>
      </c>
      <c r="M16" s="18">
        <v>15265</v>
      </c>
      <c r="N16" s="18">
        <v>17108</v>
      </c>
      <c r="O16" s="62">
        <v>14531</v>
      </c>
      <c r="P16" s="62">
        <v>17495</v>
      </c>
      <c r="Q16" s="62">
        <v>20158</v>
      </c>
      <c r="R16" s="62">
        <v>19122</v>
      </c>
      <c r="S16" s="62">
        <v>14195</v>
      </c>
      <c r="T16" s="63">
        <v>18737</v>
      </c>
      <c r="U16" s="64">
        <v>15114</v>
      </c>
      <c r="V16" s="62">
        <v>18687</v>
      </c>
      <c r="W16" s="62">
        <v>18781</v>
      </c>
      <c r="X16" s="62">
        <v>18436</v>
      </c>
      <c r="Y16" s="62">
        <v>18027</v>
      </c>
      <c r="Z16" s="62">
        <v>17309</v>
      </c>
      <c r="AA16" s="18">
        <v>18347</v>
      </c>
      <c r="AB16" s="18">
        <v>17826</v>
      </c>
      <c r="AC16" s="18">
        <v>20776</v>
      </c>
      <c r="AD16" s="18">
        <v>20495</v>
      </c>
      <c r="AE16" s="18">
        <v>19640</v>
      </c>
      <c r="AF16" s="19">
        <v>18148</v>
      </c>
      <c r="AG16" s="17">
        <v>16598</v>
      </c>
      <c r="AH16" s="18">
        <v>21626</v>
      </c>
      <c r="AI16" s="18">
        <v>20992</v>
      </c>
      <c r="AJ16" s="18">
        <v>21458</v>
      </c>
      <c r="AK16" s="18">
        <v>18604</v>
      </c>
      <c r="AL16" s="18">
        <v>19584</v>
      </c>
      <c r="AM16" s="18">
        <v>20362</v>
      </c>
      <c r="AN16" s="18">
        <v>20337</v>
      </c>
      <c r="AO16" s="18">
        <v>22823</v>
      </c>
      <c r="AP16" s="18">
        <v>22959</v>
      </c>
      <c r="AQ16" s="18">
        <v>23009</v>
      </c>
      <c r="AR16" s="19">
        <v>19792</v>
      </c>
      <c r="AS16" s="17">
        <v>18996</v>
      </c>
      <c r="AT16" s="18">
        <v>24011</v>
      </c>
      <c r="AU16" s="18">
        <v>19682</v>
      </c>
      <c r="AV16" s="18">
        <v>26535</v>
      </c>
      <c r="AW16" s="18">
        <v>22957</v>
      </c>
      <c r="AX16" s="18">
        <v>20362</v>
      </c>
      <c r="AY16" s="18">
        <v>22682</v>
      </c>
      <c r="AZ16" s="18">
        <v>22191</v>
      </c>
      <c r="BA16" s="18">
        <v>22809</v>
      </c>
      <c r="BB16" s="18">
        <v>23833</v>
      </c>
      <c r="BC16" s="18">
        <v>23299</v>
      </c>
      <c r="BD16" s="19">
        <v>17956</v>
      </c>
      <c r="BE16" s="17">
        <v>18664</v>
      </c>
      <c r="BF16" s="18">
        <v>21157</v>
      </c>
      <c r="BG16" s="18">
        <v>20677</v>
      </c>
      <c r="BH16" s="18">
        <v>23603</v>
      </c>
      <c r="BI16" s="18">
        <v>19335.40404051945</v>
      </c>
      <c r="BJ16" s="18">
        <v>18631</v>
      </c>
      <c r="BK16" s="18">
        <v>21720</v>
      </c>
      <c r="BL16" s="18">
        <v>20362</v>
      </c>
      <c r="BM16" s="18">
        <v>23262</v>
      </c>
      <c r="BN16" s="18">
        <v>23077</v>
      </c>
      <c r="BO16" s="18">
        <v>20252</v>
      </c>
      <c r="BP16" s="19">
        <v>19363</v>
      </c>
      <c r="BQ16" s="17">
        <v>19263</v>
      </c>
      <c r="BR16" s="18">
        <v>19602</v>
      </c>
      <c r="BS16" s="18">
        <v>20868</v>
      </c>
      <c r="BT16" s="18">
        <v>23357</v>
      </c>
      <c r="BU16" s="18">
        <v>17668</v>
      </c>
      <c r="BV16" s="18">
        <v>19823</v>
      </c>
      <c r="BW16" s="18">
        <v>21897</v>
      </c>
      <c r="BX16" s="18">
        <v>20336</v>
      </c>
      <c r="BY16" s="18">
        <v>22258</v>
      </c>
      <c r="BZ16" s="18">
        <v>22343</v>
      </c>
      <c r="CA16" s="18">
        <v>19879</v>
      </c>
      <c r="CB16" s="19">
        <v>19755</v>
      </c>
      <c r="CC16" s="20">
        <v>18938</v>
      </c>
      <c r="CD16" s="18">
        <v>19644</v>
      </c>
      <c r="CE16" s="18">
        <v>21617</v>
      </c>
      <c r="CF16" s="18">
        <v>24168</v>
      </c>
      <c r="CG16" s="18">
        <v>19487</v>
      </c>
      <c r="CH16" s="18">
        <v>20092</v>
      </c>
      <c r="CI16" s="18">
        <v>20575</v>
      </c>
      <c r="CJ16" s="18">
        <v>22254</v>
      </c>
      <c r="CK16" s="18">
        <v>25719</v>
      </c>
      <c r="CL16" s="18">
        <v>25069</v>
      </c>
      <c r="CM16" s="18">
        <v>23403</v>
      </c>
      <c r="CN16" s="21">
        <v>22986</v>
      </c>
      <c r="CO16" s="17">
        <v>19850</v>
      </c>
      <c r="CP16" s="18">
        <v>25123</v>
      </c>
      <c r="CQ16" s="18">
        <v>23477</v>
      </c>
      <c r="CR16" s="18">
        <v>25147</v>
      </c>
      <c r="CS16" s="18">
        <v>22619</v>
      </c>
      <c r="CT16" s="18">
        <v>23012</v>
      </c>
      <c r="CU16" s="18">
        <v>22981</v>
      </c>
      <c r="CV16" s="18">
        <v>22593</v>
      </c>
      <c r="CW16" s="18">
        <v>25383</v>
      </c>
      <c r="CX16" s="18">
        <v>22521</v>
      </c>
      <c r="CY16" s="18">
        <v>23065</v>
      </c>
      <c r="CZ16" s="19">
        <v>21262</v>
      </c>
      <c r="DA16" s="17">
        <v>18234</v>
      </c>
      <c r="DB16" s="18">
        <v>22452</v>
      </c>
      <c r="DC16" s="18">
        <v>20212</v>
      </c>
      <c r="DD16" s="18">
        <v>22864</v>
      </c>
      <c r="DE16" s="18">
        <v>19659</v>
      </c>
      <c r="DF16" s="18">
        <v>18604</v>
      </c>
      <c r="DG16" s="18">
        <v>21166</v>
      </c>
      <c r="DH16" s="18">
        <v>19477</v>
      </c>
      <c r="DI16" s="18">
        <v>23050</v>
      </c>
      <c r="DJ16" s="18">
        <v>22081</v>
      </c>
      <c r="DK16" s="18">
        <v>21721</v>
      </c>
      <c r="DL16" s="19">
        <v>18418</v>
      </c>
      <c r="DM16" s="17">
        <v>17165</v>
      </c>
      <c r="DN16" s="18">
        <v>20199</v>
      </c>
      <c r="DO16" s="18">
        <v>17526</v>
      </c>
      <c r="DP16" s="18">
        <v>21351</v>
      </c>
      <c r="DQ16" s="18">
        <v>19580</v>
      </c>
      <c r="DR16" s="18">
        <v>17229</v>
      </c>
      <c r="DS16" s="18">
        <v>20687</v>
      </c>
      <c r="DT16" s="18">
        <v>17694</v>
      </c>
      <c r="DU16" s="18">
        <v>20135</v>
      </c>
      <c r="DV16" s="18">
        <v>20115</v>
      </c>
      <c r="DW16" s="18">
        <v>19464</v>
      </c>
      <c r="DX16" s="19">
        <v>16628</v>
      </c>
      <c r="DY16" s="100">
        <v>16577</v>
      </c>
      <c r="DZ16" s="18">
        <v>18519</v>
      </c>
      <c r="EA16" s="18">
        <v>18390</v>
      </c>
      <c r="EB16" s="18">
        <v>21027</v>
      </c>
      <c r="EC16" s="18">
        <v>17298</v>
      </c>
      <c r="ED16" s="18">
        <v>16677</v>
      </c>
      <c r="EE16" s="18">
        <v>17954</v>
      </c>
      <c r="EF16" s="18">
        <v>17258</v>
      </c>
      <c r="EG16" s="18">
        <v>13814</v>
      </c>
      <c r="EH16" s="18">
        <v>8076</v>
      </c>
      <c r="EI16" s="18">
        <v>7793</v>
      </c>
      <c r="EJ16" s="19">
        <v>8320</v>
      </c>
      <c r="EK16" s="100">
        <v>8248</v>
      </c>
      <c r="EL16" s="18">
        <v>7475</v>
      </c>
      <c r="EM16" s="18">
        <v>7707</v>
      </c>
      <c r="EN16" s="103">
        <v>8013</v>
      </c>
      <c r="EO16" s="18">
        <v>7544</v>
      </c>
      <c r="EP16" s="18">
        <v>5775</v>
      </c>
      <c r="EQ16" s="18">
        <v>2838</v>
      </c>
      <c r="ER16" s="18">
        <v>6048</v>
      </c>
      <c r="ES16" s="18">
        <v>7241</v>
      </c>
      <c r="ET16" s="18">
        <v>7818</v>
      </c>
      <c r="EU16" s="18">
        <v>7039</v>
      </c>
      <c r="EV16" s="19">
        <v>7900</v>
      </c>
      <c r="EW16" s="103">
        <v>7304</v>
      </c>
      <c r="EX16" s="18">
        <v>8196</v>
      </c>
      <c r="EY16" s="18">
        <v>7995</v>
      </c>
      <c r="EZ16" s="103">
        <v>7966</v>
      </c>
      <c r="FA16" s="18">
        <v>8453</v>
      </c>
      <c r="FB16" s="149">
        <v>8044</v>
      </c>
      <c r="FC16" s="18">
        <v>7132</v>
      </c>
      <c r="FD16" s="18">
        <v>8333</v>
      </c>
      <c r="FE16" s="149">
        <v>9994</v>
      </c>
      <c r="FF16" s="149">
        <v>9321</v>
      </c>
      <c r="FG16" s="149">
        <v>8909</v>
      </c>
      <c r="FH16" s="155">
        <v>7563</v>
      </c>
      <c r="FI16" s="103">
        <f>'Average Weekday Boardings'!FI16*20</f>
        <v>6753</v>
      </c>
      <c r="FJ16" s="18">
        <f>'Average Weekday Boardings'!FJ16*23</f>
        <v>8506</v>
      </c>
      <c r="FK16" s="18">
        <f>'Average Weekday Boardings'!FK16*21</f>
        <v>8504</v>
      </c>
      <c r="FL16" s="103">
        <v>8627</v>
      </c>
      <c r="FM16" s="18">
        <v>8188</v>
      </c>
      <c r="FN16" s="149">
        <v>7916</v>
      </c>
      <c r="FO16" s="18">
        <v>9075</v>
      </c>
      <c r="FP16" s="18">
        <v>8630</v>
      </c>
      <c r="FQ16" s="149">
        <v>10875</v>
      </c>
      <c r="FR16" s="149">
        <v>9792</v>
      </c>
      <c r="FS16" s="149">
        <v>10653</v>
      </c>
      <c r="FT16" s="155">
        <v>10410</v>
      </c>
      <c r="FU16" s="169">
        <v>9260</v>
      </c>
      <c r="FV16" s="169">
        <v>10629</v>
      </c>
      <c r="FW16" s="169">
        <v>9046</v>
      </c>
      <c r="FX16" s="169">
        <v>10442</v>
      </c>
      <c r="FY16" s="169">
        <v>9920</v>
      </c>
      <c r="FZ16" s="169">
        <v>9303</v>
      </c>
      <c r="GA16" s="169">
        <v>10692</v>
      </c>
      <c r="GB16" s="18">
        <v>10678</v>
      </c>
      <c r="GC16" s="52">
        <v>10278</v>
      </c>
      <c r="GD16" s="18">
        <v>10506</v>
      </c>
      <c r="GE16" s="18">
        <v>10431</v>
      </c>
      <c r="GF16" s="52">
        <v>9225</v>
      </c>
      <c r="GG16" s="18">
        <v>9778</v>
      </c>
      <c r="GH16" s="18">
        <v>10792</v>
      </c>
      <c r="GI16" s="52">
        <v>10043</v>
      </c>
      <c r="GJ16" s="242">
        <v>11260</v>
      </c>
      <c r="GK16" s="184">
        <v>9636</v>
      </c>
      <c r="GL16" s="184">
        <v>9423</v>
      </c>
    </row>
    <row r="17" spans="1:194" x14ac:dyDescent="0.3">
      <c r="A17" s="3" t="s">
        <v>10</v>
      </c>
      <c r="B17" s="17"/>
      <c r="C17" s="18">
        <v>24125</v>
      </c>
      <c r="D17" s="18">
        <v>28679</v>
      </c>
      <c r="E17" s="18">
        <v>28733</v>
      </c>
      <c r="F17" s="18">
        <v>31515</v>
      </c>
      <c r="G17" s="18">
        <v>28905</v>
      </c>
      <c r="H17" s="19">
        <v>28606</v>
      </c>
      <c r="I17" s="17">
        <v>26977</v>
      </c>
      <c r="J17" s="18">
        <v>30109</v>
      </c>
      <c r="K17" s="18">
        <v>31021</v>
      </c>
      <c r="L17" s="18">
        <v>34547</v>
      </c>
      <c r="M17" s="18">
        <v>30206</v>
      </c>
      <c r="N17" s="18">
        <v>31538</v>
      </c>
      <c r="O17" s="62">
        <v>30147</v>
      </c>
      <c r="P17" s="62">
        <v>32251</v>
      </c>
      <c r="Q17" s="62">
        <v>37160</v>
      </c>
      <c r="R17" s="62">
        <v>39674</v>
      </c>
      <c r="S17" s="62">
        <v>30138</v>
      </c>
      <c r="T17" s="63">
        <v>34831</v>
      </c>
      <c r="U17" s="64">
        <v>26625</v>
      </c>
      <c r="V17" s="62">
        <v>35299</v>
      </c>
      <c r="W17" s="62">
        <v>35211</v>
      </c>
      <c r="X17" s="62">
        <v>34371</v>
      </c>
      <c r="Y17" s="62">
        <v>32552</v>
      </c>
      <c r="Z17" s="62">
        <v>31989</v>
      </c>
      <c r="AA17" s="18">
        <v>34846</v>
      </c>
      <c r="AB17" s="18">
        <v>34347</v>
      </c>
      <c r="AC17" s="18">
        <v>37313</v>
      </c>
      <c r="AD17" s="18">
        <v>38314</v>
      </c>
      <c r="AE17" s="18">
        <v>32854</v>
      </c>
      <c r="AF17" s="19">
        <v>32869</v>
      </c>
      <c r="AG17" s="17">
        <v>27918</v>
      </c>
      <c r="AH17" s="18">
        <v>38179</v>
      </c>
      <c r="AI17" s="18">
        <v>37154</v>
      </c>
      <c r="AJ17" s="18">
        <v>36594</v>
      </c>
      <c r="AK17" s="18">
        <v>31244</v>
      </c>
      <c r="AL17" s="18">
        <v>30842</v>
      </c>
      <c r="AM17" s="18">
        <v>33158</v>
      </c>
      <c r="AN17" s="18">
        <v>33488</v>
      </c>
      <c r="AO17" s="18">
        <v>36999</v>
      </c>
      <c r="AP17" s="18">
        <v>38464</v>
      </c>
      <c r="AQ17" s="18">
        <v>37421</v>
      </c>
      <c r="AR17" s="19">
        <v>31912</v>
      </c>
      <c r="AS17" s="17">
        <v>29577</v>
      </c>
      <c r="AT17" s="18">
        <v>39297</v>
      </c>
      <c r="AU17" s="18">
        <v>36547</v>
      </c>
      <c r="AV17" s="18">
        <v>43144</v>
      </c>
      <c r="AW17" s="18">
        <v>36799</v>
      </c>
      <c r="AX17" s="18">
        <v>32389</v>
      </c>
      <c r="AY17" s="18">
        <v>35913</v>
      </c>
      <c r="AZ17" s="18">
        <v>34834</v>
      </c>
      <c r="BA17" s="18">
        <v>35690</v>
      </c>
      <c r="BB17" s="18">
        <v>39306</v>
      </c>
      <c r="BC17" s="18">
        <v>37004</v>
      </c>
      <c r="BD17" s="19">
        <v>30365</v>
      </c>
      <c r="BE17" s="17">
        <v>29769</v>
      </c>
      <c r="BF17" s="18">
        <v>36610</v>
      </c>
      <c r="BG17" s="18">
        <v>35556</v>
      </c>
      <c r="BH17" s="18">
        <v>40209</v>
      </c>
      <c r="BI17" s="18">
        <v>33326.989068066367</v>
      </c>
      <c r="BJ17" s="18">
        <v>30658</v>
      </c>
      <c r="BK17" s="18">
        <v>37600</v>
      </c>
      <c r="BL17" s="18">
        <v>35309</v>
      </c>
      <c r="BM17" s="18">
        <v>37900</v>
      </c>
      <c r="BN17" s="18">
        <v>40190</v>
      </c>
      <c r="BO17" s="18">
        <v>35700</v>
      </c>
      <c r="BP17" s="19">
        <v>32806</v>
      </c>
      <c r="BQ17" s="17">
        <v>29676</v>
      </c>
      <c r="BR17" s="18">
        <v>33395</v>
      </c>
      <c r="BS17" s="18">
        <v>36260</v>
      </c>
      <c r="BT17" s="18">
        <v>39741</v>
      </c>
      <c r="BU17" s="18">
        <v>30238</v>
      </c>
      <c r="BV17" s="18">
        <v>33866</v>
      </c>
      <c r="BW17" s="18">
        <v>36934</v>
      </c>
      <c r="BX17" s="18">
        <v>33456</v>
      </c>
      <c r="BY17" s="18">
        <v>36725</v>
      </c>
      <c r="BZ17" s="18">
        <v>37559</v>
      </c>
      <c r="CA17" s="18">
        <v>33157</v>
      </c>
      <c r="CB17" s="19">
        <v>31639</v>
      </c>
      <c r="CC17" s="20">
        <v>30378</v>
      </c>
      <c r="CD17" s="18">
        <v>35242</v>
      </c>
      <c r="CE17" s="18">
        <v>37384</v>
      </c>
      <c r="CF17" s="18">
        <v>38524</v>
      </c>
      <c r="CG17" s="18">
        <v>32400</v>
      </c>
      <c r="CH17" s="18">
        <v>33643</v>
      </c>
      <c r="CI17" s="18">
        <v>35314</v>
      </c>
      <c r="CJ17" s="18">
        <v>36427</v>
      </c>
      <c r="CK17" s="18">
        <v>40692</v>
      </c>
      <c r="CL17" s="18">
        <v>39841</v>
      </c>
      <c r="CM17" s="18">
        <v>36358</v>
      </c>
      <c r="CN17" s="21">
        <v>34666</v>
      </c>
      <c r="CO17" s="17">
        <v>28936</v>
      </c>
      <c r="CP17" s="18">
        <v>38238</v>
      </c>
      <c r="CQ17" s="18">
        <v>37821</v>
      </c>
      <c r="CR17" s="18">
        <v>37522</v>
      </c>
      <c r="CS17" s="18">
        <v>33630</v>
      </c>
      <c r="CT17" s="18">
        <v>33994</v>
      </c>
      <c r="CU17" s="18">
        <v>34646</v>
      </c>
      <c r="CV17" s="18">
        <v>35189</v>
      </c>
      <c r="CW17" s="18">
        <v>40326</v>
      </c>
      <c r="CX17" s="18">
        <v>36294</v>
      </c>
      <c r="CY17" s="18">
        <v>37740</v>
      </c>
      <c r="CZ17" s="19">
        <v>32909</v>
      </c>
      <c r="DA17" s="17">
        <v>27719</v>
      </c>
      <c r="DB17" s="18">
        <v>37562</v>
      </c>
      <c r="DC17" s="18">
        <v>33768</v>
      </c>
      <c r="DD17" s="18">
        <v>37250</v>
      </c>
      <c r="DE17" s="18">
        <v>33253</v>
      </c>
      <c r="DF17" s="18">
        <v>31676</v>
      </c>
      <c r="DG17" s="18">
        <v>35694</v>
      </c>
      <c r="DH17" s="18">
        <v>34756</v>
      </c>
      <c r="DI17" s="18">
        <v>37887</v>
      </c>
      <c r="DJ17" s="18">
        <v>37005</v>
      </c>
      <c r="DK17" s="18">
        <v>36558</v>
      </c>
      <c r="DL17" s="19">
        <v>30035</v>
      </c>
      <c r="DM17" s="17">
        <v>28531</v>
      </c>
      <c r="DN17" s="18">
        <v>35706</v>
      </c>
      <c r="DO17" s="18">
        <v>31891</v>
      </c>
      <c r="DP17" s="18">
        <v>37526</v>
      </c>
      <c r="DQ17" s="18">
        <v>34727</v>
      </c>
      <c r="DR17" s="18">
        <v>30701</v>
      </c>
      <c r="DS17" s="18">
        <v>36024</v>
      </c>
      <c r="DT17" s="18">
        <v>32696</v>
      </c>
      <c r="DU17" s="18">
        <v>34560</v>
      </c>
      <c r="DV17" s="18">
        <v>34803</v>
      </c>
      <c r="DW17" s="18">
        <v>31995</v>
      </c>
      <c r="DX17" s="19">
        <v>30120</v>
      </c>
      <c r="DY17" s="100">
        <v>29812</v>
      </c>
      <c r="DZ17" s="18">
        <v>34686</v>
      </c>
      <c r="EA17" s="18">
        <v>33325</v>
      </c>
      <c r="EB17" s="18">
        <v>37506</v>
      </c>
      <c r="EC17" s="18">
        <v>32547</v>
      </c>
      <c r="ED17" s="18">
        <v>29812</v>
      </c>
      <c r="EE17" s="18">
        <v>32576</v>
      </c>
      <c r="EF17" s="18">
        <v>32030</v>
      </c>
      <c r="EG17" s="18">
        <v>24133</v>
      </c>
      <c r="EH17" s="18">
        <v>13420</v>
      </c>
      <c r="EI17" s="18">
        <v>12163</v>
      </c>
      <c r="EJ17" s="19">
        <v>13453</v>
      </c>
      <c r="EK17" s="100">
        <v>11937</v>
      </c>
      <c r="EL17" s="18">
        <v>11767</v>
      </c>
      <c r="EM17" s="18">
        <v>12147</v>
      </c>
      <c r="EN17" s="103">
        <v>13165</v>
      </c>
      <c r="EO17" s="18">
        <v>13551</v>
      </c>
      <c r="EP17" s="18">
        <v>9645</v>
      </c>
      <c r="EQ17" s="18">
        <v>4758</v>
      </c>
      <c r="ER17" s="18">
        <v>10119</v>
      </c>
      <c r="ES17" s="18">
        <v>12364</v>
      </c>
      <c r="ET17" s="18">
        <v>13945</v>
      </c>
      <c r="EU17" s="18">
        <v>12294</v>
      </c>
      <c r="EV17" s="19">
        <v>13919</v>
      </c>
      <c r="EW17" s="103">
        <v>13141</v>
      </c>
      <c r="EX17" s="18">
        <v>15337</v>
      </c>
      <c r="EY17" s="18">
        <v>15765</v>
      </c>
      <c r="EZ17" s="103">
        <v>15883</v>
      </c>
      <c r="FA17" s="18">
        <v>16734</v>
      </c>
      <c r="FB17" s="149">
        <v>15628</v>
      </c>
      <c r="FC17" s="18">
        <v>14176</v>
      </c>
      <c r="FD17" s="18">
        <v>17251</v>
      </c>
      <c r="FE17" s="149">
        <v>21263</v>
      </c>
      <c r="FF17" s="149">
        <v>19557</v>
      </c>
      <c r="FG17" s="149">
        <v>17124</v>
      </c>
      <c r="FH17" s="155">
        <v>13985</v>
      </c>
      <c r="FI17" s="103">
        <f>'Average Weekday Boardings'!FI17*20</f>
        <v>13529</v>
      </c>
      <c r="FJ17" s="18">
        <f>'Average Weekday Boardings'!FJ17*23</f>
        <v>17570</v>
      </c>
      <c r="FK17" s="18">
        <f>'Average Weekday Boardings'!FK17*21</f>
        <v>17900</v>
      </c>
      <c r="FL17" s="103">
        <v>17997</v>
      </c>
      <c r="FM17" s="18">
        <v>16964</v>
      </c>
      <c r="FN17" s="149">
        <v>16105</v>
      </c>
      <c r="FO17" s="18">
        <v>18160</v>
      </c>
      <c r="FP17" s="18">
        <v>17311</v>
      </c>
      <c r="FQ17" s="149">
        <v>21753</v>
      </c>
      <c r="FR17" s="149">
        <v>19875</v>
      </c>
      <c r="FS17" s="149">
        <v>21661</v>
      </c>
      <c r="FT17" s="155">
        <v>19406</v>
      </c>
      <c r="FU17" s="169">
        <v>16027</v>
      </c>
      <c r="FV17" s="169">
        <v>18922</v>
      </c>
      <c r="FW17" s="169">
        <v>18154</v>
      </c>
      <c r="FX17" s="169">
        <v>21496</v>
      </c>
      <c r="FY17" s="169">
        <v>19847</v>
      </c>
      <c r="FZ17" s="169">
        <v>17679</v>
      </c>
      <c r="GA17" s="169">
        <v>20249</v>
      </c>
      <c r="GB17" s="18">
        <v>21733</v>
      </c>
      <c r="GC17" s="52">
        <v>21146</v>
      </c>
      <c r="GD17" s="18">
        <v>21558</v>
      </c>
      <c r="GE17" s="18">
        <v>21665</v>
      </c>
      <c r="GF17" s="52">
        <v>18420</v>
      </c>
      <c r="GG17" s="18">
        <v>19093</v>
      </c>
      <c r="GH17" s="18">
        <v>21363</v>
      </c>
      <c r="GI17" s="52">
        <v>20688</v>
      </c>
      <c r="GJ17" s="242">
        <v>22843</v>
      </c>
      <c r="GK17" s="184">
        <v>18945</v>
      </c>
      <c r="GL17" s="184">
        <v>17512</v>
      </c>
    </row>
    <row r="18" spans="1:194" x14ac:dyDescent="0.3">
      <c r="A18" s="3" t="s">
        <v>11</v>
      </c>
      <c r="B18" s="17"/>
      <c r="C18" s="18">
        <v>9040</v>
      </c>
      <c r="D18" s="18">
        <v>10356</v>
      </c>
      <c r="E18" s="18">
        <v>11569</v>
      </c>
      <c r="F18" s="18">
        <v>12190</v>
      </c>
      <c r="G18" s="18">
        <v>9988</v>
      </c>
      <c r="H18" s="19">
        <v>9621</v>
      </c>
      <c r="I18" s="17">
        <v>8607</v>
      </c>
      <c r="J18" s="18">
        <v>10244</v>
      </c>
      <c r="K18" s="18">
        <v>10223</v>
      </c>
      <c r="L18" s="18">
        <v>10514</v>
      </c>
      <c r="M18" s="18">
        <v>9826</v>
      </c>
      <c r="N18" s="18">
        <v>10085</v>
      </c>
      <c r="O18" s="62">
        <v>9175</v>
      </c>
      <c r="P18" s="62">
        <v>10313</v>
      </c>
      <c r="Q18" s="62">
        <v>11883</v>
      </c>
      <c r="R18" s="62">
        <v>12075</v>
      </c>
      <c r="S18" s="62">
        <v>8881</v>
      </c>
      <c r="T18" s="63">
        <v>11372</v>
      </c>
      <c r="U18" s="64">
        <v>8773</v>
      </c>
      <c r="V18" s="62">
        <v>10015</v>
      </c>
      <c r="W18" s="62">
        <v>10433</v>
      </c>
      <c r="X18" s="62">
        <v>11459</v>
      </c>
      <c r="Y18" s="62">
        <v>9491</v>
      </c>
      <c r="Z18" s="62">
        <v>9811</v>
      </c>
      <c r="AA18" s="18">
        <v>10356</v>
      </c>
      <c r="AB18" s="18">
        <v>10682</v>
      </c>
      <c r="AC18" s="18">
        <v>12865</v>
      </c>
      <c r="AD18" s="18">
        <v>11631</v>
      </c>
      <c r="AE18" s="18">
        <v>10592</v>
      </c>
      <c r="AF18" s="19">
        <v>9729</v>
      </c>
      <c r="AG18" s="17">
        <v>8913</v>
      </c>
      <c r="AH18" s="18">
        <v>10988</v>
      </c>
      <c r="AI18" s="18">
        <v>11078</v>
      </c>
      <c r="AJ18" s="18">
        <v>11285</v>
      </c>
      <c r="AK18" s="18">
        <v>9245</v>
      </c>
      <c r="AL18" s="18">
        <v>9755</v>
      </c>
      <c r="AM18" s="18">
        <v>10424</v>
      </c>
      <c r="AN18" s="18">
        <v>11301</v>
      </c>
      <c r="AO18" s="18">
        <v>12713</v>
      </c>
      <c r="AP18" s="18">
        <v>13001</v>
      </c>
      <c r="AQ18" s="18">
        <v>12565</v>
      </c>
      <c r="AR18" s="19">
        <v>10675</v>
      </c>
      <c r="AS18" s="17">
        <v>9742</v>
      </c>
      <c r="AT18" s="18">
        <v>11777</v>
      </c>
      <c r="AU18" s="18">
        <v>10697</v>
      </c>
      <c r="AV18" s="18">
        <v>14103</v>
      </c>
      <c r="AW18" s="18">
        <v>11795</v>
      </c>
      <c r="AX18" s="18">
        <v>10977</v>
      </c>
      <c r="AY18" s="18">
        <v>11367</v>
      </c>
      <c r="AZ18" s="18">
        <v>11979</v>
      </c>
      <c r="BA18" s="18">
        <v>12957</v>
      </c>
      <c r="BB18" s="18">
        <v>13447</v>
      </c>
      <c r="BC18" s="18">
        <v>13288</v>
      </c>
      <c r="BD18" s="19">
        <v>10284</v>
      </c>
      <c r="BE18" s="17">
        <v>10734</v>
      </c>
      <c r="BF18" s="18">
        <v>11077</v>
      </c>
      <c r="BG18" s="18">
        <v>11015</v>
      </c>
      <c r="BH18" s="18">
        <v>12783</v>
      </c>
      <c r="BI18" s="18">
        <v>10761.283256820461</v>
      </c>
      <c r="BJ18" s="18">
        <v>10181</v>
      </c>
      <c r="BK18" s="18">
        <v>11607</v>
      </c>
      <c r="BL18" s="18">
        <v>11667</v>
      </c>
      <c r="BM18" s="18">
        <v>12985</v>
      </c>
      <c r="BN18" s="18">
        <v>12363</v>
      </c>
      <c r="BO18" s="18">
        <v>10810</v>
      </c>
      <c r="BP18" s="19">
        <v>10139</v>
      </c>
      <c r="BQ18" s="17">
        <v>9545</v>
      </c>
      <c r="BR18" s="18">
        <v>9892</v>
      </c>
      <c r="BS18" s="18">
        <v>10860</v>
      </c>
      <c r="BT18" s="18">
        <v>12700</v>
      </c>
      <c r="BU18" s="18">
        <v>9745</v>
      </c>
      <c r="BV18" s="18">
        <v>11186</v>
      </c>
      <c r="BW18" s="18">
        <v>12480</v>
      </c>
      <c r="BX18" s="18">
        <v>11043</v>
      </c>
      <c r="BY18" s="18">
        <v>13613</v>
      </c>
      <c r="BZ18" s="18">
        <v>12243</v>
      </c>
      <c r="CA18" s="18">
        <v>10627</v>
      </c>
      <c r="CB18" s="19">
        <v>9945</v>
      </c>
      <c r="CC18" s="20">
        <v>9783</v>
      </c>
      <c r="CD18" s="18">
        <v>10579</v>
      </c>
      <c r="CE18" s="18">
        <v>11915</v>
      </c>
      <c r="CF18" s="18">
        <v>13096</v>
      </c>
      <c r="CG18" s="18">
        <v>10873</v>
      </c>
      <c r="CH18" s="18">
        <v>11629</v>
      </c>
      <c r="CI18" s="18">
        <v>11283</v>
      </c>
      <c r="CJ18" s="18">
        <v>12424</v>
      </c>
      <c r="CK18" s="18">
        <v>14928</v>
      </c>
      <c r="CL18" s="18">
        <v>14244</v>
      </c>
      <c r="CM18" s="18">
        <v>12746</v>
      </c>
      <c r="CN18" s="21">
        <v>12050</v>
      </c>
      <c r="CO18" s="17">
        <v>10595</v>
      </c>
      <c r="CP18" s="18">
        <v>13888</v>
      </c>
      <c r="CQ18" s="18">
        <v>12999</v>
      </c>
      <c r="CR18" s="18">
        <v>12702</v>
      </c>
      <c r="CS18" s="18">
        <v>11802</v>
      </c>
      <c r="CT18" s="18">
        <v>11637</v>
      </c>
      <c r="CU18" s="18">
        <v>11897</v>
      </c>
      <c r="CV18" s="18">
        <v>12266</v>
      </c>
      <c r="CW18" s="18">
        <v>14876</v>
      </c>
      <c r="CX18" s="18">
        <v>12687</v>
      </c>
      <c r="CY18" s="18">
        <v>12445</v>
      </c>
      <c r="CZ18" s="19">
        <v>10995</v>
      </c>
      <c r="DA18" s="17">
        <v>9689</v>
      </c>
      <c r="DB18" s="18">
        <v>11840</v>
      </c>
      <c r="DC18" s="18">
        <v>10592</v>
      </c>
      <c r="DD18" s="18">
        <v>12010</v>
      </c>
      <c r="DE18" s="18">
        <v>9589</v>
      </c>
      <c r="DF18" s="18">
        <v>9080</v>
      </c>
      <c r="DG18" s="18">
        <v>11005</v>
      </c>
      <c r="DH18" s="18">
        <v>10602</v>
      </c>
      <c r="DI18" s="18">
        <v>12108</v>
      </c>
      <c r="DJ18" s="18">
        <v>11313</v>
      </c>
      <c r="DK18" s="18">
        <v>10638</v>
      </c>
      <c r="DL18" s="19">
        <v>9259</v>
      </c>
      <c r="DM18" s="17">
        <v>8686</v>
      </c>
      <c r="DN18" s="18">
        <v>10191</v>
      </c>
      <c r="DO18" s="18">
        <v>9298</v>
      </c>
      <c r="DP18" s="18">
        <v>12181</v>
      </c>
      <c r="DQ18" s="18">
        <v>11218</v>
      </c>
      <c r="DR18" s="18">
        <v>9762</v>
      </c>
      <c r="DS18" s="18">
        <v>11219</v>
      </c>
      <c r="DT18" s="18">
        <v>10123</v>
      </c>
      <c r="DU18" s="18">
        <v>11514</v>
      </c>
      <c r="DV18" s="18">
        <v>3169</v>
      </c>
      <c r="DW18" s="18">
        <v>9224</v>
      </c>
      <c r="DX18" s="19">
        <v>9405</v>
      </c>
      <c r="DY18" s="100">
        <v>8991</v>
      </c>
      <c r="DZ18" s="18">
        <v>10686</v>
      </c>
      <c r="EA18" s="18">
        <v>9601</v>
      </c>
      <c r="EB18" s="18">
        <v>11577</v>
      </c>
      <c r="EC18" s="18">
        <v>10403</v>
      </c>
      <c r="ED18" s="18">
        <v>9599</v>
      </c>
      <c r="EE18" s="18">
        <v>10770</v>
      </c>
      <c r="EF18" s="18">
        <v>10333</v>
      </c>
      <c r="EG18" s="18">
        <v>7622</v>
      </c>
      <c r="EH18" s="18">
        <v>3881</v>
      </c>
      <c r="EI18" s="18">
        <v>3780</v>
      </c>
      <c r="EJ18" s="19">
        <v>3729</v>
      </c>
      <c r="EK18" s="100">
        <v>3783</v>
      </c>
      <c r="EL18" s="18">
        <v>3582</v>
      </c>
      <c r="EM18" s="18">
        <v>4086</v>
      </c>
      <c r="EN18" s="103">
        <v>4262</v>
      </c>
      <c r="EO18" s="18">
        <v>4291</v>
      </c>
      <c r="EP18" s="18">
        <v>3355</v>
      </c>
      <c r="EQ18" s="18">
        <v>1737</v>
      </c>
      <c r="ER18" s="18">
        <v>3220</v>
      </c>
      <c r="ES18" s="18">
        <v>4242</v>
      </c>
      <c r="ET18" s="18">
        <v>4687</v>
      </c>
      <c r="EU18" s="18">
        <v>3905</v>
      </c>
      <c r="EV18" s="19">
        <v>4402</v>
      </c>
      <c r="EW18" s="103">
        <v>4177</v>
      </c>
      <c r="EX18" s="18">
        <v>4893</v>
      </c>
      <c r="EY18" s="18">
        <v>4537</v>
      </c>
      <c r="EZ18" s="103">
        <v>4676</v>
      </c>
      <c r="FA18" s="18">
        <v>5211</v>
      </c>
      <c r="FB18" s="149">
        <v>4993</v>
      </c>
      <c r="FC18" s="18">
        <v>3958</v>
      </c>
      <c r="FD18" s="18">
        <v>4925</v>
      </c>
      <c r="FE18" s="149">
        <v>6349</v>
      </c>
      <c r="FF18" s="149">
        <v>5561</v>
      </c>
      <c r="FG18" s="149">
        <v>5066</v>
      </c>
      <c r="FH18" s="155">
        <v>4194</v>
      </c>
      <c r="FI18" s="103">
        <f>'Average Weekday Boardings'!FI18*20</f>
        <v>3892</v>
      </c>
      <c r="FJ18" s="18">
        <f>'Average Weekday Boardings'!FJ18*23</f>
        <v>5130</v>
      </c>
      <c r="FK18" s="18">
        <f>'Average Weekday Boardings'!FK18*21</f>
        <v>4969</v>
      </c>
      <c r="FL18" s="103">
        <v>4953</v>
      </c>
      <c r="FM18" s="18">
        <v>4708</v>
      </c>
      <c r="FN18" s="149">
        <v>4568</v>
      </c>
      <c r="FO18" s="18">
        <v>5230</v>
      </c>
      <c r="FP18" s="18">
        <v>5154</v>
      </c>
      <c r="FQ18" s="149">
        <v>7073</v>
      </c>
      <c r="FR18" s="149">
        <v>6078</v>
      </c>
      <c r="FS18" s="149">
        <v>6465</v>
      </c>
      <c r="FT18" s="155">
        <v>5767</v>
      </c>
      <c r="FU18" s="169">
        <v>4626</v>
      </c>
      <c r="FV18" s="169">
        <v>5413</v>
      </c>
      <c r="FW18" s="169">
        <v>5413</v>
      </c>
      <c r="FX18" s="169">
        <v>7028</v>
      </c>
      <c r="FY18" s="169">
        <v>6257</v>
      </c>
      <c r="FZ18" s="169">
        <v>5574</v>
      </c>
      <c r="GA18" s="169">
        <v>6195</v>
      </c>
      <c r="GB18" s="18">
        <v>6299</v>
      </c>
      <c r="GC18" s="52">
        <v>6557</v>
      </c>
      <c r="GD18" s="18">
        <v>6472</v>
      </c>
      <c r="GE18" s="18">
        <v>5876</v>
      </c>
      <c r="GF18" s="52">
        <v>5283</v>
      </c>
      <c r="GG18" s="18">
        <v>5423</v>
      </c>
      <c r="GH18" s="18">
        <v>6178</v>
      </c>
      <c r="GI18" s="52">
        <v>6022</v>
      </c>
      <c r="GJ18" s="242">
        <v>6975</v>
      </c>
      <c r="GK18" s="184">
        <v>5770</v>
      </c>
      <c r="GL18" s="184">
        <v>5410</v>
      </c>
    </row>
    <row r="19" spans="1:194" x14ac:dyDescent="0.3">
      <c r="A19" s="3" t="s">
        <v>12</v>
      </c>
      <c r="B19" s="17"/>
      <c r="C19" s="18">
        <v>27127</v>
      </c>
      <c r="D19" s="18">
        <v>29753</v>
      </c>
      <c r="E19" s="18">
        <v>27142</v>
      </c>
      <c r="F19" s="18">
        <v>20046</v>
      </c>
      <c r="G19" s="18">
        <v>31373</v>
      </c>
      <c r="H19" s="19">
        <v>24869</v>
      </c>
      <c r="I19" s="17">
        <v>32392</v>
      </c>
      <c r="J19" s="18">
        <v>38555</v>
      </c>
      <c r="K19" s="18">
        <v>33366</v>
      </c>
      <c r="L19" s="18">
        <v>37551</v>
      </c>
      <c r="M19" s="18">
        <v>38224</v>
      </c>
      <c r="N19" s="18">
        <v>34692</v>
      </c>
      <c r="O19" s="62">
        <v>32769</v>
      </c>
      <c r="P19" s="62">
        <v>33477</v>
      </c>
      <c r="Q19" s="62">
        <v>38573</v>
      </c>
      <c r="R19" s="62">
        <v>42134</v>
      </c>
      <c r="S19" s="62">
        <v>31993</v>
      </c>
      <c r="T19" s="63">
        <v>37964</v>
      </c>
      <c r="U19" s="64">
        <v>31601</v>
      </c>
      <c r="V19" s="62">
        <v>39175</v>
      </c>
      <c r="W19" s="62">
        <v>38733</v>
      </c>
      <c r="X19" s="62">
        <v>37851</v>
      </c>
      <c r="Y19" s="62">
        <v>34371</v>
      </c>
      <c r="Z19" s="62">
        <v>36001</v>
      </c>
      <c r="AA19" s="18">
        <v>37574</v>
      </c>
      <c r="AB19" s="18">
        <v>34613</v>
      </c>
      <c r="AC19" s="18">
        <v>40725</v>
      </c>
      <c r="AD19" s="18">
        <v>39196</v>
      </c>
      <c r="AE19" s="18">
        <v>35436</v>
      </c>
      <c r="AF19" s="19">
        <v>32984</v>
      </c>
      <c r="AG19" s="17">
        <v>29236</v>
      </c>
      <c r="AH19" s="18">
        <v>39673</v>
      </c>
      <c r="AI19" s="18">
        <v>38791</v>
      </c>
      <c r="AJ19" s="18">
        <v>38759</v>
      </c>
      <c r="AK19" s="18">
        <v>33437</v>
      </c>
      <c r="AL19" s="18">
        <v>34407</v>
      </c>
      <c r="AM19" s="18">
        <v>36026</v>
      </c>
      <c r="AN19" s="18">
        <v>35002</v>
      </c>
      <c r="AO19" s="18">
        <v>39588</v>
      </c>
      <c r="AP19" s="18">
        <v>40160</v>
      </c>
      <c r="AQ19" s="18">
        <v>40370</v>
      </c>
      <c r="AR19" s="19">
        <v>34578</v>
      </c>
      <c r="AS19" s="17">
        <v>32854</v>
      </c>
      <c r="AT19" s="18">
        <v>41321</v>
      </c>
      <c r="AU19" s="18">
        <v>37469</v>
      </c>
      <c r="AV19" s="18">
        <v>46841</v>
      </c>
      <c r="AW19" s="18">
        <v>38981</v>
      </c>
      <c r="AX19" s="18">
        <v>35313</v>
      </c>
      <c r="AY19" s="18">
        <v>39000</v>
      </c>
      <c r="AZ19" s="18">
        <v>38051</v>
      </c>
      <c r="BA19" s="18">
        <v>39535</v>
      </c>
      <c r="BB19" s="18">
        <v>42315</v>
      </c>
      <c r="BC19" s="18">
        <v>39920</v>
      </c>
      <c r="BD19" s="19">
        <v>34214</v>
      </c>
      <c r="BE19" s="17">
        <v>36354</v>
      </c>
      <c r="BF19" s="18">
        <v>41029</v>
      </c>
      <c r="BG19" s="18">
        <v>39714</v>
      </c>
      <c r="BH19" s="18">
        <v>44429</v>
      </c>
      <c r="BI19" s="18">
        <v>36367.629148319189</v>
      </c>
      <c r="BJ19" s="18">
        <v>34923</v>
      </c>
      <c r="BK19" s="18">
        <v>40874</v>
      </c>
      <c r="BL19" s="18">
        <v>38298</v>
      </c>
      <c r="BM19" s="18">
        <v>40664</v>
      </c>
      <c r="BN19" s="18">
        <v>43502</v>
      </c>
      <c r="BO19" s="18">
        <v>39076</v>
      </c>
      <c r="BP19" s="19">
        <v>36439</v>
      </c>
      <c r="BQ19" s="17">
        <v>36520</v>
      </c>
      <c r="BR19" s="18">
        <v>38329</v>
      </c>
      <c r="BS19" s="18">
        <v>40787</v>
      </c>
      <c r="BT19" s="18">
        <v>47347</v>
      </c>
      <c r="BU19" s="18">
        <v>34753</v>
      </c>
      <c r="BV19" s="18">
        <v>38522</v>
      </c>
      <c r="BW19" s="18">
        <v>41475</v>
      </c>
      <c r="BX19" s="18">
        <v>38220</v>
      </c>
      <c r="BY19" s="18">
        <v>43301</v>
      </c>
      <c r="BZ19" s="18">
        <v>42222</v>
      </c>
      <c r="CA19" s="18">
        <v>36721</v>
      </c>
      <c r="CB19" s="19">
        <v>37654</v>
      </c>
      <c r="CC19" s="20">
        <v>37363</v>
      </c>
      <c r="CD19" s="18">
        <v>38937</v>
      </c>
      <c r="CE19" s="18">
        <v>43795</v>
      </c>
      <c r="CF19" s="18">
        <v>45524</v>
      </c>
      <c r="CG19" s="18">
        <v>36530</v>
      </c>
      <c r="CH19" s="18">
        <v>38591</v>
      </c>
      <c r="CI19" s="18">
        <v>39390</v>
      </c>
      <c r="CJ19" s="18">
        <v>40958</v>
      </c>
      <c r="CK19" s="18">
        <v>46168</v>
      </c>
      <c r="CL19" s="18">
        <v>43885</v>
      </c>
      <c r="CM19" s="18">
        <v>41613</v>
      </c>
      <c r="CN19" s="21">
        <v>40883</v>
      </c>
      <c r="CO19" s="17">
        <v>36426</v>
      </c>
      <c r="CP19" s="18">
        <v>45231</v>
      </c>
      <c r="CQ19" s="18">
        <v>42485</v>
      </c>
      <c r="CR19" s="18">
        <v>42255</v>
      </c>
      <c r="CS19" s="18">
        <v>37159</v>
      </c>
      <c r="CT19" s="18">
        <v>36252</v>
      </c>
      <c r="CU19" s="18">
        <v>38351</v>
      </c>
      <c r="CV19" s="18">
        <v>37275</v>
      </c>
      <c r="CW19" s="18">
        <v>45854</v>
      </c>
      <c r="CX19" s="18">
        <v>38423</v>
      </c>
      <c r="CY19" s="18">
        <v>41428</v>
      </c>
      <c r="CZ19" s="19">
        <v>38145</v>
      </c>
      <c r="DA19" s="17">
        <v>28587</v>
      </c>
      <c r="DB19" s="18">
        <v>30148</v>
      </c>
      <c r="DC19" s="18">
        <v>26253</v>
      </c>
      <c r="DD19" s="18">
        <v>29955</v>
      </c>
      <c r="DE19" s="18">
        <v>25615</v>
      </c>
      <c r="DF19" s="18">
        <v>24463</v>
      </c>
      <c r="DG19" s="18">
        <v>27341</v>
      </c>
      <c r="DH19" s="18">
        <v>25438</v>
      </c>
      <c r="DI19" s="18">
        <v>28420</v>
      </c>
      <c r="DJ19" s="18">
        <v>27543</v>
      </c>
      <c r="DK19" s="18">
        <v>26426</v>
      </c>
      <c r="DL19" s="19">
        <v>25619</v>
      </c>
      <c r="DM19" s="17">
        <v>29612</v>
      </c>
      <c r="DN19" s="18">
        <v>38141</v>
      </c>
      <c r="DO19" s="18">
        <v>32851</v>
      </c>
      <c r="DP19" s="18">
        <v>41102</v>
      </c>
      <c r="DQ19" s="18">
        <v>35712</v>
      </c>
      <c r="DR19" s="18">
        <v>30940</v>
      </c>
      <c r="DS19" s="18">
        <v>37037</v>
      </c>
      <c r="DT19" s="18">
        <v>33762</v>
      </c>
      <c r="DU19" s="18">
        <v>34590</v>
      </c>
      <c r="DV19" s="18">
        <v>36347</v>
      </c>
      <c r="DW19" s="18">
        <v>34076</v>
      </c>
      <c r="DX19" s="19">
        <v>30049</v>
      </c>
      <c r="DY19" s="100">
        <v>30761</v>
      </c>
      <c r="DZ19" s="18">
        <v>34368</v>
      </c>
      <c r="EA19" s="18">
        <v>33818</v>
      </c>
      <c r="EB19" s="18">
        <v>38983</v>
      </c>
      <c r="EC19" s="18">
        <v>32063</v>
      </c>
      <c r="ED19" s="18">
        <v>29634</v>
      </c>
      <c r="EE19" s="18">
        <v>33892</v>
      </c>
      <c r="EF19" s="18">
        <v>32363</v>
      </c>
      <c r="EG19" s="18">
        <v>23786</v>
      </c>
      <c r="EH19" s="18">
        <v>11613</v>
      </c>
      <c r="EI19" s="18">
        <v>10490</v>
      </c>
      <c r="EJ19" s="19">
        <v>11618</v>
      </c>
      <c r="EK19" s="100">
        <v>10205</v>
      </c>
      <c r="EL19" s="18">
        <v>9772</v>
      </c>
      <c r="EM19" s="18">
        <v>10397</v>
      </c>
      <c r="EN19" s="103">
        <v>11515</v>
      </c>
      <c r="EO19" s="18">
        <v>12786</v>
      </c>
      <c r="EP19" s="18">
        <v>8349</v>
      </c>
      <c r="EQ19" s="18">
        <v>4506</v>
      </c>
      <c r="ER19" s="18">
        <v>9192</v>
      </c>
      <c r="ES19" s="18">
        <v>12889</v>
      </c>
      <c r="ET19" s="18">
        <v>11394</v>
      </c>
      <c r="EU19" s="18">
        <v>10450</v>
      </c>
      <c r="EV19" s="19">
        <v>12491</v>
      </c>
      <c r="EW19" s="103">
        <v>12397</v>
      </c>
      <c r="EX19" s="18">
        <v>13969</v>
      </c>
      <c r="EY19" s="18">
        <v>15158</v>
      </c>
      <c r="EZ19" s="103">
        <v>15584</v>
      </c>
      <c r="FA19" s="18">
        <v>16138</v>
      </c>
      <c r="FB19" s="149">
        <v>14998</v>
      </c>
      <c r="FC19" s="18">
        <v>13499</v>
      </c>
      <c r="FD19" s="18">
        <v>16762</v>
      </c>
      <c r="FE19" s="149">
        <v>20750</v>
      </c>
      <c r="FF19" s="149">
        <v>18363</v>
      </c>
      <c r="FG19" s="149">
        <v>16761</v>
      </c>
      <c r="FH19" s="155">
        <v>14337</v>
      </c>
      <c r="FI19" s="103">
        <f>'Average Weekday Boardings'!FI19*20</f>
        <v>13970</v>
      </c>
      <c r="FJ19" s="18">
        <f>'Average Weekday Boardings'!FJ19*23</f>
        <v>17738</v>
      </c>
      <c r="FK19" s="18">
        <f>'Average Weekday Boardings'!FK19*21</f>
        <v>17957</v>
      </c>
      <c r="FL19" s="103">
        <v>17861</v>
      </c>
      <c r="FM19" s="18">
        <v>16403</v>
      </c>
      <c r="FN19" s="149">
        <v>16357</v>
      </c>
      <c r="FO19" s="18">
        <v>18324</v>
      </c>
      <c r="FP19" s="18">
        <v>17892</v>
      </c>
      <c r="FQ19" s="149">
        <v>21415</v>
      </c>
      <c r="FR19" s="149">
        <v>19938</v>
      </c>
      <c r="FS19" s="149">
        <v>20794</v>
      </c>
      <c r="FT19" s="155">
        <v>19435</v>
      </c>
      <c r="FU19" s="169">
        <v>16796</v>
      </c>
      <c r="FV19" s="169">
        <v>20028</v>
      </c>
      <c r="FW19" s="169">
        <v>18850</v>
      </c>
      <c r="FX19" s="169">
        <v>22179</v>
      </c>
      <c r="FY19" s="169">
        <v>19585</v>
      </c>
      <c r="FZ19" s="169">
        <v>17431</v>
      </c>
      <c r="GA19" s="169">
        <v>20527</v>
      </c>
      <c r="GB19" s="18">
        <v>22225</v>
      </c>
      <c r="GC19" s="52">
        <v>21967</v>
      </c>
      <c r="GD19" s="18">
        <v>21802</v>
      </c>
      <c r="GE19" s="18">
        <v>22346</v>
      </c>
      <c r="GF19" s="52">
        <v>21197</v>
      </c>
      <c r="GG19" s="18">
        <v>23269</v>
      </c>
      <c r="GH19" s="18">
        <v>24413</v>
      </c>
      <c r="GI19" s="52">
        <v>23128</v>
      </c>
      <c r="GJ19" s="242">
        <v>23396</v>
      </c>
      <c r="GK19" s="184">
        <v>18640</v>
      </c>
      <c r="GL19" s="184">
        <v>18047</v>
      </c>
    </row>
    <row r="20" spans="1:194" x14ac:dyDescent="0.3">
      <c r="A20" s="3" t="s">
        <v>13</v>
      </c>
      <c r="B20" s="17"/>
      <c r="C20" s="85">
        <v>12298</v>
      </c>
      <c r="D20" s="85">
        <v>26784</v>
      </c>
      <c r="E20" s="85">
        <v>33418</v>
      </c>
      <c r="F20" s="85">
        <v>41052</v>
      </c>
      <c r="G20" s="85">
        <v>30622</v>
      </c>
      <c r="H20" s="86">
        <v>34631</v>
      </c>
      <c r="I20" s="87">
        <v>40778</v>
      </c>
      <c r="J20" s="85">
        <v>48536</v>
      </c>
      <c r="K20" s="85">
        <v>46932</v>
      </c>
      <c r="L20" s="85">
        <v>53387</v>
      </c>
      <c r="M20" s="85">
        <v>47578</v>
      </c>
      <c r="N20" s="85">
        <v>35891</v>
      </c>
      <c r="O20" s="88">
        <v>46588</v>
      </c>
      <c r="P20" s="88">
        <v>41040</v>
      </c>
      <c r="Q20" s="88">
        <v>47287</v>
      </c>
      <c r="R20" s="88">
        <v>61309</v>
      </c>
      <c r="S20" s="88">
        <v>46379</v>
      </c>
      <c r="T20" s="63">
        <v>17959</v>
      </c>
      <c r="U20" s="64">
        <v>14073</v>
      </c>
      <c r="V20" s="62">
        <v>17388</v>
      </c>
      <c r="W20" s="62">
        <v>17968</v>
      </c>
      <c r="X20" s="62">
        <v>18368</v>
      </c>
      <c r="Y20" s="62">
        <v>16495</v>
      </c>
      <c r="Z20" s="62">
        <v>17132</v>
      </c>
      <c r="AA20" s="18">
        <v>17951</v>
      </c>
      <c r="AB20" s="18">
        <v>17137</v>
      </c>
      <c r="AC20" s="18">
        <v>20781</v>
      </c>
      <c r="AD20" s="18">
        <v>20248</v>
      </c>
      <c r="AE20" s="18">
        <v>17854</v>
      </c>
      <c r="AF20" s="19">
        <v>17726</v>
      </c>
      <c r="AG20" s="17">
        <v>15564</v>
      </c>
      <c r="AH20" s="18">
        <v>19484</v>
      </c>
      <c r="AI20" s="18">
        <v>18903</v>
      </c>
      <c r="AJ20" s="18">
        <v>18656</v>
      </c>
      <c r="AK20" s="18">
        <v>15635</v>
      </c>
      <c r="AL20" s="18">
        <v>15770</v>
      </c>
      <c r="AM20" s="18">
        <v>16591</v>
      </c>
      <c r="AN20" s="18">
        <v>17932</v>
      </c>
      <c r="AO20" s="18">
        <v>19941</v>
      </c>
      <c r="AP20" s="18">
        <v>19799</v>
      </c>
      <c r="AQ20" s="18">
        <v>18257</v>
      </c>
      <c r="AR20" s="19">
        <v>15710</v>
      </c>
      <c r="AS20" s="17">
        <v>15261</v>
      </c>
      <c r="AT20" s="18">
        <v>19224</v>
      </c>
      <c r="AU20" s="18">
        <v>17928</v>
      </c>
      <c r="AV20" s="18">
        <v>22073</v>
      </c>
      <c r="AW20" s="18">
        <v>19101</v>
      </c>
      <c r="AX20" s="18">
        <v>17274</v>
      </c>
      <c r="AY20" s="18">
        <v>17811</v>
      </c>
      <c r="AZ20" s="18">
        <v>17430</v>
      </c>
      <c r="BA20" s="18">
        <v>19645</v>
      </c>
      <c r="BB20" s="18">
        <v>21429</v>
      </c>
      <c r="BC20" s="18">
        <v>20386</v>
      </c>
      <c r="BD20" s="19">
        <v>16068</v>
      </c>
      <c r="BE20" s="17">
        <v>16774</v>
      </c>
      <c r="BF20" s="18">
        <v>19076</v>
      </c>
      <c r="BG20" s="18">
        <v>19100</v>
      </c>
      <c r="BH20" s="18">
        <v>22637</v>
      </c>
      <c r="BI20" s="18">
        <v>18825.940457066339</v>
      </c>
      <c r="BJ20" s="18">
        <v>18407</v>
      </c>
      <c r="BK20" s="18">
        <v>21682</v>
      </c>
      <c r="BL20" s="18">
        <v>19801</v>
      </c>
      <c r="BM20" s="18">
        <v>27844</v>
      </c>
      <c r="BN20" s="18">
        <v>21945</v>
      </c>
      <c r="BO20" s="18">
        <v>20132</v>
      </c>
      <c r="BP20" s="19">
        <v>19022</v>
      </c>
      <c r="BQ20" s="17">
        <v>17823</v>
      </c>
      <c r="BR20" s="18">
        <v>19889</v>
      </c>
      <c r="BS20" s="18">
        <v>21430</v>
      </c>
      <c r="BT20" s="18">
        <v>24647</v>
      </c>
      <c r="BU20" s="18">
        <v>17939</v>
      </c>
      <c r="BV20" s="18">
        <v>19020</v>
      </c>
      <c r="BW20" s="18">
        <v>21974</v>
      </c>
      <c r="BX20" s="18">
        <v>21372</v>
      </c>
      <c r="BY20" s="18">
        <v>24837</v>
      </c>
      <c r="BZ20" s="18">
        <v>24430</v>
      </c>
      <c r="CA20" s="18">
        <v>19994</v>
      </c>
      <c r="CB20" s="19">
        <v>20346</v>
      </c>
      <c r="CC20" s="20">
        <v>20647</v>
      </c>
      <c r="CD20" s="18">
        <v>22280</v>
      </c>
      <c r="CE20" s="18">
        <v>23075</v>
      </c>
      <c r="CF20" s="18">
        <v>25104</v>
      </c>
      <c r="CG20" s="18">
        <v>21531</v>
      </c>
      <c r="CH20" s="18">
        <v>21555</v>
      </c>
      <c r="CI20" s="18">
        <v>18913</v>
      </c>
      <c r="CJ20" s="18">
        <v>21933</v>
      </c>
      <c r="CK20" s="18">
        <v>25555</v>
      </c>
      <c r="CL20" s="18">
        <v>23533</v>
      </c>
      <c r="CM20" s="18">
        <v>21566</v>
      </c>
      <c r="CN20" s="21">
        <v>21342</v>
      </c>
      <c r="CO20" s="17">
        <v>19351</v>
      </c>
      <c r="CP20" s="18">
        <v>24073</v>
      </c>
      <c r="CQ20" s="18">
        <v>22305</v>
      </c>
      <c r="CR20" s="18">
        <v>22682</v>
      </c>
      <c r="CS20" s="18">
        <v>19533</v>
      </c>
      <c r="CT20" s="18">
        <v>20168</v>
      </c>
      <c r="CU20" s="18">
        <v>20321</v>
      </c>
      <c r="CV20" s="18">
        <v>21268</v>
      </c>
      <c r="CW20" s="18">
        <v>28456</v>
      </c>
      <c r="CX20" s="18">
        <v>22645</v>
      </c>
      <c r="CY20" s="18">
        <v>23588</v>
      </c>
      <c r="CZ20" s="19">
        <v>21388</v>
      </c>
      <c r="DA20" s="17">
        <v>18961</v>
      </c>
      <c r="DB20" s="18">
        <v>25178</v>
      </c>
      <c r="DC20" s="18">
        <v>21813</v>
      </c>
      <c r="DD20" s="18">
        <v>24322</v>
      </c>
      <c r="DE20" s="18">
        <v>20233</v>
      </c>
      <c r="DF20" s="18">
        <v>19191</v>
      </c>
      <c r="DG20" s="18">
        <v>21489</v>
      </c>
      <c r="DH20" s="18">
        <v>20660</v>
      </c>
      <c r="DI20" s="18">
        <v>23780</v>
      </c>
      <c r="DJ20" s="18">
        <v>22454</v>
      </c>
      <c r="DK20" s="18">
        <v>22024</v>
      </c>
      <c r="DL20" s="19">
        <v>19475</v>
      </c>
      <c r="DM20" s="17">
        <v>18801</v>
      </c>
      <c r="DN20" s="18">
        <v>22652</v>
      </c>
      <c r="DO20" s="18">
        <v>18642</v>
      </c>
      <c r="DP20" s="18">
        <v>23187</v>
      </c>
      <c r="DQ20" s="18">
        <v>20483</v>
      </c>
      <c r="DR20" s="18">
        <v>18400</v>
      </c>
      <c r="DS20" s="18">
        <v>21153</v>
      </c>
      <c r="DT20" s="18">
        <v>18951</v>
      </c>
      <c r="DU20" s="18">
        <v>21265</v>
      </c>
      <c r="DV20" s="18">
        <v>21411</v>
      </c>
      <c r="DW20" s="18">
        <v>19935</v>
      </c>
      <c r="DX20" s="19">
        <v>17478</v>
      </c>
      <c r="DY20" s="100">
        <v>16752</v>
      </c>
      <c r="DZ20" s="18">
        <v>19332</v>
      </c>
      <c r="EA20" s="18">
        <v>18080</v>
      </c>
      <c r="EB20" s="18">
        <v>21276</v>
      </c>
      <c r="EC20" s="18">
        <v>18940</v>
      </c>
      <c r="ED20" s="18">
        <v>17630</v>
      </c>
      <c r="EE20" s="18">
        <v>20316</v>
      </c>
      <c r="EF20" s="18">
        <v>19360</v>
      </c>
      <c r="EG20" s="18">
        <v>15623</v>
      </c>
      <c r="EH20" s="18">
        <v>8198</v>
      </c>
      <c r="EI20" s="18">
        <v>7863</v>
      </c>
      <c r="EJ20" s="19">
        <v>7612</v>
      </c>
      <c r="EK20" s="100">
        <v>7395</v>
      </c>
      <c r="EL20" s="18">
        <v>7098</v>
      </c>
      <c r="EM20" s="18">
        <v>7680</v>
      </c>
      <c r="EN20" s="103">
        <v>8279</v>
      </c>
      <c r="EO20" s="18">
        <v>9140</v>
      </c>
      <c r="EP20" s="18">
        <v>6394</v>
      </c>
      <c r="EQ20" s="18">
        <v>3285</v>
      </c>
      <c r="ER20" s="18">
        <v>6618</v>
      </c>
      <c r="ES20" s="18">
        <v>7940</v>
      </c>
      <c r="ET20" s="18">
        <v>8741</v>
      </c>
      <c r="EU20" s="18">
        <v>8141</v>
      </c>
      <c r="EV20" s="19">
        <v>9597</v>
      </c>
      <c r="EW20" s="103">
        <v>8780</v>
      </c>
      <c r="EX20" s="18">
        <v>10103</v>
      </c>
      <c r="EY20" s="18">
        <v>10138</v>
      </c>
      <c r="EZ20" s="103">
        <v>10872</v>
      </c>
      <c r="FA20" s="18">
        <v>10621</v>
      </c>
      <c r="FB20" s="149">
        <v>10779</v>
      </c>
      <c r="FC20" s="18">
        <v>9152</v>
      </c>
      <c r="FD20" s="18">
        <v>11842</v>
      </c>
      <c r="FE20" s="149">
        <v>15461</v>
      </c>
      <c r="FF20" s="149">
        <v>17359</v>
      </c>
      <c r="FG20" s="149">
        <v>15911</v>
      </c>
      <c r="FH20" s="155">
        <v>11734</v>
      </c>
      <c r="FI20" s="103">
        <f>'Average Weekday Boardings'!FI20*20</f>
        <v>9395</v>
      </c>
      <c r="FJ20" s="18">
        <f>'Average Weekday Boardings'!FJ20*23</f>
        <v>11967</v>
      </c>
      <c r="FK20" s="18">
        <f>'Average Weekday Boardings'!FK20*21</f>
        <v>12338</v>
      </c>
      <c r="FL20" s="103">
        <v>12339</v>
      </c>
      <c r="FM20" s="18">
        <v>11416</v>
      </c>
      <c r="FN20" s="149">
        <v>10681</v>
      </c>
      <c r="FO20" s="18">
        <v>11841</v>
      </c>
      <c r="FP20" s="18">
        <v>14992</v>
      </c>
      <c r="FQ20" s="149">
        <v>15812</v>
      </c>
      <c r="FR20" s="149">
        <v>14265</v>
      </c>
      <c r="FS20" s="149">
        <v>15506</v>
      </c>
      <c r="FT20" s="155">
        <v>13620</v>
      </c>
      <c r="FU20" s="169">
        <v>11798</v>
      </c>
      <c r="FV20" s="169">
        <v>13060</v>
      </c>
      <c r="FW20" s="169">
        <v>12413</v>
      </c>
      <c r="FX20" s="169">
        <v>16173</v>
      </c>
      <c r="FY20" s="169">
        <v>14466</v>
      </c>
      <c r="FZ20" s="169">
        <v>13399</v>
      </c>
      <c r="GA20" s="169">
        <v>16090</v>
      </c>
      <c r="GB20" s="18">
        <v>15916</v>
      </c>
      <c r="GC20" s="52">
        <v>15622</v>
      </c>
      <c r="GD20" s="18">
        <v>16373</v>
      </c>
      <c r="GE20" s="18">
        <v>15276</v>
      </c>
      <c r="GF20" s="52">
        <v>13779</v>
      </c>
      <c r="GG20" s="18">
        <v>14529</v>
      </c>
      <c r="GH20" s="18">
        <v>15397</v>
      </c>
      <c r="GI20" s="52">
        <v>14399</v>
      </c>
      <c r="GJ20" s="242">
        <v>15521</v>
      </c>
      <c r="GK20" s="184">
        <v>13510</v>
      </c>
      <c r="GL20" s="184">
        <v>12596</v>
      </c>
    </row>
    <row r="21" spans="1:194" x14ac:dyDescent="0.3">
      <c r="A21" s="3" t="s">
        <v>34</v>
      </c>
      <c r="B21" s="17"/>
      <c r="C21" s="18">
        <v>24603</v>
      </c>
      <c r="D21" s="18">
        <v>25369</v>
      </c>
      <c r="E21" s="18">
        <v>27342</v>
      </c>
      <c r="F21" s="18">
        <v>29736</v>
      </c>
      <c r="G21" s="18">
        <v>20738</v>
      </c>
      <c r="H21" s="19">
        <v>27025</v>
      </c>
      <c r="I21" s="17">
        <v>21317</v>
      </c>
      <c r="J21" s="18">
        <v>23372</v>
      </c>
      <c r="K21" s="18">
        <v>21677</v>
      </c>
      <c r="L21" s="18">
        <v>23539</v>
      </c>
      <c r="M21" s="18">
        <v>22797</v>
      </c>
      <c r="N21" s="18">
        <v>22865</v>
      </c>
      <c r="O21" s="62">
        <v>20541</v>
      </c>
      <c r="P21" s="62">
        <v>23382</v>
      </c>
      <c r="Q21" s="62">
        <v>26941</v>
      </c>
      <c r="R21" s="62">
        <v>27032</v>
      </c>
      <c r="S21" s="62">
        <v>20159</v>
      </c>
      <c r="T21" s="63">
        <v>23699</v>
      </c>
      <c r="U21" s="64">
        <v>20111</v>
      </c>
      <c r="V21" s="62">
        <v>32707</v>
      </c>
      <c r="W21" s="62">
        <v>41457</v>
      </c>
      <c r="X21" s="62">
        <v>38841</v>
      </c>
      <c r="Y21" s="62">
        <v>32973</v>
      </c>
      <c r="Z21" s="62">
        <v>24963</v>
      </c>
      <c r="AA21" s="18">
        <v>30492</v>
      </c>
      <c r="AB21" s="18">
        <v>33213</v>
      </c>
      <c r="AC21" s="18">
        <v>35815</v>
      </c>
      <c r="AD21" s="18">
        <v>33569</v>
      </c>
      <c r="AE21" s="18">
        <v>23063</v>
      </c>
      <c r="AF21" s="19">
        <v>23012</v>
      </c>
      <c r="AG21" s="17">
        <v>21259</v>
      </c>
      <c r="AH21" s="18">
        <v>36248</v>
      </c>
      <c r="AI21" s="18">
        <v>43618</v>
      </c>
      <c r="AJ21" s="18">
        <v>40912</v>
      </c>
      <c r="AK21" s="18">
        <v>34090</v>
      </c>
      <c r="AL21" s="18">
        <v>25257</v>
      </c>
      <c r="AM21" s="18">
        <v>41351</v>
      </c>
      <c r="AN21" s="18">
        <v>40805</v>
      </c>
      <c r="AO21" s="18">
        <v>44419</v>
      </c>
      <c r="AP21" s="18">
        <v>46072</v>
      </c>
      <c r="AQ21" s="18">
        <v>44073</v>
      </c>
      <c r="AR21" s="19">
        <v>38459</v>
      </c>
      <c r="AS21" s="17">
        <v>36395</v>
      </c>
      <c r="AT21" s="18">
        <v>48826</v>
      </c>
      <c r="AU21" s="18">
        <v>36517</v>
      </c>
      <c r="AV21" s="18">
        <v>53437</v>
      </c>
      <c r="AW21" s="18">
        <v>46202</v>
      </c>
      <c r="AX21" s="18">
        <v>40296</v>
      </c>
      <c r="AY21" s="18">
        <v>45184</v>
      </c>
      <c r="AZ21" s="18">
        <v>43855</v>
      </c>
      <c r="BA21" s="18">
        <v>44601</v>
      </c>
      <c r="BB21" s="18">
        <v>49063</v>
      </c>
      <c r="BC21" s="18">
        <v>44240</v>
      </c>
      <c r="BD21" s="19">
        <v>37369</v>
      </c>
      <c r="BE21" s="17">
        <v>39123</v>
      </c>
      <c r="BF21" s="18">
        <v>48300</v>
      </c>
      <c r="BG21" s="18">
        <v>48182</v>
      </c>
      <c r="BH21" s="18">
        <v>52837</v>
      </c>
      <c r="BI21" s="18">
        <v>43067.327480422377</v>
      </c>
      <c r="BJ21" s="18">
        <v>40326</v>
      </c>
      <c r="BK21" s="18">
        <v>47884</v>
      </c>
      <c r="BL21" s="18">
        <v>44814</v>
      </c>
      <c r="BM21" s="18">
        <v>47197</v>
      </c>
      <c r="BN21" s="18">
        <v>49381</v>
      </c>
      <c r="BO21" s="18">
        <v>44607</v>
      </c>
      <c r="BP21" s="19">
        <v>40462</v>
      </c>
      <c r="BQ21" s="17">
        <v>39990</v>
      </c>
      <c r="BR21" s="18">
        <v>45713</v>
      </c>
      <c r="BS21" s="18">
        <v>48232</v>
      </c>
      <c r="BT21" s="18">
        <v>53388</v>
      </c>
      <c r="BU21" s="18">
        <v>40057</v>
      </c>
      <c r="BV21" s="18">
        <v>42848</v>
      </c>
      <c r="BW21" s="18">
        <v>46958</v>
      </c>
      <c r="BX21" s="18">
        <v>43489</v>
      </c>
      <c r="BY21" s="18">
        <v>47464</v>
      </c>
      <c r="BZ21" s="18">
        <v>47413</v>
      </c>
      <c r="CA21" s="18">
        <v>39164</v>
      </c>
      <c r="CB21" s="19">
        <v>40157</v>
      </c>
      <c r="CC21" s="20">
        <v>39927</v>
      </c>
      <c r="CD21" s="18">
        <v>44167</v>
      </c>
      <c r="CE21" s="18">
        <v>50147</v>
      </c>
      <c r="CF21" s="18">
        <v>51019</v>
      </c>
      <c r="CG21" s="18">
        <v>42311</v>
      </c>
      <c r="CH21" s="18">
        <v>42828</v>
      </c>
      <c r="CI21" s="18">
        <v>42555</v>
      </c>
      <c r="CJ21" s="18">
        <v>46094</v>
      </c>
      <c r="CK21" s="18">
        <v>50044</v>
      </c>
      <c r="CL21" s="18">
        <v>49871</v>
      </c>
      <c r="CM21" s="18">
        <v>24197</v>
      </c>
      <c r="CN21" s="21">
        <v>45848</v>
      </c>
      <c r="CO21" s="17">
        <v>40153</v>
      </c>
      <c r="CP21" s="18">
        <v>55307</v>
      </c>
      <c r="CQ21" s="18">
        <v>51487</v>
      </c>
      <c r="CR21" s="18">
        <v>50548</v>
      </c>
      <c r="CS21" s="18">
        <v>49496</v>
      </c>
      <c r="CT21" s="18">
        <v>46875</v>
      </c>
      <c r="CU21" s="18">
        <v>49811</v>
      </c>
      <c r="CV21" s="18">
        <v>47395</v>
      </c>
      <c r="CW21" s="18">
        <v>53292</v>
      </c>
      <c r="CX21" s="18">
        <v>46820</v>
      </c>
      <c r="CY21" s="18">
        <v>47200</v>
      </c>
      <c r="CZ21" s="19">
        <v>43412</v>
      </c>
      <c r="DA21" s="17">
        <v>22106</v>
      </c>
      <c r="DB21" s="18">
        <v>50091</v>
      </c>
      <c r="DC21" s="18">
        <v>44137</v>
      </c>
      <c r="DD21" s="18">
        <v>48793</v>
      </c>
      <c r="DE21" s="18">
        <v>41942</v>
      </c>
      <c r="DF21" s="18">
        <v>38982</v>
      </c>
      <c r="DG21" s="18">
        <v>45258</v>
      </c>
      <c r="DH21" s="18">
        <v>42627</v>
      </c>
      <c r="DI21" s="18">
        <v>45930</v>
      </c>
      <c r="DJ21" s="18">
        <v>45979</v>
      </c>
      <c r="DK21" s="18">
        <v>43348</v>
      </c>
      <c r="DL21" s="19">
        <v>38799</v>
      </c>
      <c r="DM21" s="17">
        <v>38203</v>
      </c>
      <c r="DN21" s="18">
        <v>48512</v>
      </c>
      <c r="DO21" s="18">
        <v>42153</v>
      </c>
      <c r="DP21" s="18">
        <v>50373</v>
      </c>
      <c r="DQ21" s="18">
        <v>44109</v>
      </c>
      <c r="DR21" s="18">
        <v>36913</v>
      </c>
      <c r="DS21" s="18">
        <v>44960</v>
      </c>
      <c r="DT21" s="18">
        <v>41003</v>
      </c>
      <c r="DU21" s="18">
        <v>42036</v>
      </c>
      <c r="DV21" s="18">
        <v>25710</v>
      </c>
      <c r="DW21" s="18">
        <v>40028</v>
      </c>
      <c r="DX21" s="19">
        <v>34352</v>
      </c>
      <c r="DY21" s="100">
        <v>35639</v>
      </c>
      <c r="DZ21" s="18">
        <v>41755</v>
      </c>
      <c r="EA21" s="18">
        <v>41732</v>
      </c>
      <c r="EB21" s="18">
        <v>46271</v>
      </c>
      <c r="EC21" s="18">
        <v>37776</v>
      </c>
      <c r="ED21" s="18">
        <v>32880</v>
      </c>
      <c r="EE21" s="18">
        <v>36578</v>
      </c>
      <c r="EF21" s="18">
        <v>36091</v>
      </c>
      <c r="EG21" s="18">
        <v>27863</v>
      </c>
      <c r="EH21" s="18">
        <v>15883</v>
      </c>
      <c r="EI21" s="18">
        <v>13833</v>
      </c>
      <c r="EJ21" s="19">
        <v>13862</v>
      </c>
      <c r="EK21" s="100">
        <v>13608</v>
      </c>
      <c r="EL21" s="18">
        <v>13489</v>
      </c>
      <c r="EM21" s="18">
        <v>13591</v>
      </c>
      <c r="EN21" s="103">
        <v>14792</v>
      </c>
      <c r="EO21" s="18">
        <v>12465</v>
      </c>
      <c r="EP21" s="18">
        <v>9286</v>
      </c>
      <c r="EQ21" s="18">
        <v>5406</v>
      </c>
      <c r="ER21" s="18">
        <v>5360</v>
      </c>
      <c r="ES21" s="18">
        <v>13656</v>
      </c>
      <c r="ET21" s="18">
        <v>13314</v>
      </c>
      <c r="EU21" s="18">
        <v>11723</v>
      </c>
      <c r="EV21" s="19">
        <v>12965</v>
      </c>
      <c r="EW21" s="103">
        <v>12078</v>
      </c>
      <c r="EX21" s="18">
        <v>15259</v>
      </c>
      <c r="EY21" s="18">
        <v>16938</v>
      </c>
      <c r="EZ21" s="103">
        <v>16212</v>
      </c>
      <c r="FA21" s="18">
        <v>16782</v>
      </c>
      <c r="FB21" s="149">
        <v>15023</v>
      </c>
      <c r="FC21" s="18">
        <v>13947</v>
      </c>
      <c r="FD21" s="18">
        <v>17456</v>
      </c>
      <c r="FE21" s="149">
        <v>20568</v>
      </c>
      <c r="FF21" s="149">
        <v>10384</v>
      </c>
      <c r="FG21" s="149">
        <v>13174</v>
      </c>
      <c r="FH21" s="155">
        <v>21045</v>
      </c>
      <c r="FI21" s="103">
        <f>'Average Weekday Boardings'!FI21*20</f>
        <v>12635</v>
      </c>
      <c r="FJ21" s="18">
        <f>'Average Weekday Boardings'!FJ21*23</f>
        <v>11145</v>
      </c>
      <c r="FK21" s="18">
        <f>'Average Weekday Boardings'!FK21*21</f>
        <v>12587</v>
      </c>
      <c r="FL21" s="103">
        <v>11617</v>
      </c>
      <c r="FM21" s="18">
        <v>10615</v>
      </c>
      <c r="FN21" s="149">
        <v>9026</v>
      </c>
      <c r="FO21" s="18">
        <v>11781</v>
      </c>
      <c r="FP21" s="18">
        <v>9809</v>
      </c>
      <c r="FQ21" s="149">
        <v>13016</v>
      </c>
      <c r="FR21" s="149">
        <v>11781</v>
      </c>
      <c r="FS21" s="149">
        <v>11022</v>
      </c>
      <c r="FT21" s="155">
        <v>10694</v>
      </c>
      <c r="FU21" s="169">
        <v>9134</v>
      </c>
      <c r="FV21" s="169">
        <v>12298</v>
      </c>
      <c r="FW21" s="169">
        <v>11656</v>
      </c>
      <c r="FX21" s="169">
        <v>13174</v>
      </c>
      <c r="FY21" s="169">
        <v>12230</v>
      </c>
      <c r="FZ21" s="169">
        <v>9665</v>
      </c>
      <c r="GA21" s="169">
        <v>10317</v>
      </c>
      <c r="GB21" s="18">
        <v>12775</v>
      </c>
      <c r="GC21" s="52">
        <v>11413</v>
      </c>
      <c r="GD21" s="18">
        <v>11853</v>
      </c>
      <c r="GE21" s="18">
        <v>11266</v>
      </c>
      <c r="GF21" s="52">
        <v>9532</v>
      </c>
      <c r="GG21" s="18">
        <v>10521</v>
      </c>
      <c r="GH21" s="18">
        <v>12099</v>
      </c>
      <c r="GI21" s="52">
        <v>12085</v>
      </c>
      <c r="GJ21" s="242">
        <v>12966</v>
      </c>
      <c r="GK21" s="184">
        <v>10876</v>
      </c>
      <c r="GL21" s="184">
        <v>9513</v>
      </c>
    </row>
    <row r="22" spans="1:194" x14ac:dyDescent="0.3">
      <c r="A22" s="3" t="s">
        <v>35</v>
      </c>
      <c r="B22" s="17"/>
      <c r="C22" s="18">
        <v>13774</v>
      </c>
      <c r="D22" s="18">
        <v>19956</v>
      </c>
      <c r="E22" s="18">
        <v>17331</v>
      </c>
      <c r="F22" s="18">
        <v>22509</v>
      </c>
      <c r="G22" s="18">
        <v>14232</v>
      </c>
      <c r="H22" s="19">
        <v>11976</v>
      </c>
      <c r="I22" s="17">
        <v>10398</v>
      </c>
      <c r="J22" s="18">
        <v>12376</v>
      </c>
      <c r="K22" s="18">
        <v>13683</v>
      </c>
      <c r="L22" s="18">
        <v>22788</v>
      </c>
      <c r="M22" s="18">
        <v>17923</v>
      </c>
      <c r="N22" s="18">
        <v>20291</v>
      </c>
      <c r="O22" s="62">
        <v>19886</v>
      </c>
      <c r="P22" s="62">
        <v>17682</v>
      </c>
      <c r="Q22" s="62">
        <v>20373</v>
      </c>
      <c r="R22" s="62">
        <v>26170</v>
      </c>
      <c r="S22" s="62">
        <v>19955</v>
      </c>
      <c r="T22" s="63">
        <v>42027</v>
      </c>
      <c r="U22" s="64">
        <v>34197</v>
      </c>
      <c r="V22" s="62">
        <v>45237</v>
      </c>
      <c r="W22" s="62">
        <v>45058</v>
      </c>
      <c r="X22" s="62">
        <v>43807</v>
      </c>
      <c r="Y22" s="62">
        <v>38598</v>
      </c>
      <c r="Z22" s="62">
        <v>36723</v>
      </c>
      <c r="AA22" s="18">
        <v>38859</v>
      </c>
      <c r="AB22" s="18">
        <v>38387</v>
      </c>
      <c r="AC22" s="18">
        <v>42612</v>
      </c>
      <c r="AD22" s="18">
        <v>39913</v>
      </c>
      <c r="AE22" s="18">
        <v>35720</v>
      </c>
      <c r="AF22" s="19">
        <v>32517</v>
      </c>
      <c r="AG22" s="17">
        <v>31217</v>
      </c>
      <c r="AH22" s="18">
        <v>42637</v>
      </c>
      <c r="AI22" s="18">
        <v>44289</v>
      </c>
      <c r="AJ22" s="18">
        <v>43977</v>
      </c>
      <c r="AK22" s="18">
        <v>38395</v>
      </c>
      <c r="AL22" s="18">
        <v>37485</v>
      </c>
      <c r="AM22" s="18">
        <v>37014</v>
      </c>
      <c r="AN22" s="18">
        <v>37050</v>
      </c>
      <c r="AO22" s="18">
        <v>36421</v>
      </c>
      <c r="AP22" s="18">
        <v>36064</v>
      </c>
      <c r="AQ22" s="18">
        <v>26461</v>
      </c>
      <c r="AR22" s="19">
        <v>24655</v>
      </c>
      <c r="AS22" s="17">
        <v>23338</v>
      </c>
      <c r="AT22" s="18">
        <v>36023</v>
      </c>
      <c r="AU22" s="18">
        <v>45584</v>
      </c>
      <c r="AV22" s="18">
        <v>46161</v>
      </c>
      <c r="AW22" s="18">
        <v>37307</v>
      </c>
      <c r="AX22" s="18">
        <v>28337</v>
      </c>
      <c r="AY22" s="18">
        <v>36943</v>
      </c>
      <c r="AZ22" s="18">
        <v>35585</v>
      </c>
      <c r="BA22" s="18">
        <v>33259</v>
      </c>
      <c r="BB22" s="18">
        <v>37432</v>
      </c>
      <c r="BC22" s="18">
        <v>27750</v>
      </c>
      <c r="BD22" s="19">
        <v>24027</v>
      </c>
      <c r="BE22" s="17">
        <v>24808</v>
      </c>
      <c r="BF22" s="18">
        <v>32471</v>
      </c>
      <c r="BG22" s="18">
        <v>39945</v>
      </c>
      <c r="BH22" s="18">
        <v>40613</v>
      </c>
      <c r="BI22" s="18">
        <v>32573.386500067412</v>
      </c>
      <c r="BJ22" s="18">
        <v>25979</v>
      </c>
      <c r="BK22" s="18">
        <v>35523</v>
      </c>
      <c r="BL22" s="18">
        <v>33360</v>
      </c>
      <c r="BM22" s="18">
        <v>32427</v>
      </c>
      <c r="BN22" s="18">
        <v>35171</v>
      </c>
      <c r="BO22" s="18">
        <v>25547</v>
      </c>
      <c r="BP22" s="19">
        <v>24268</v>
      </c>
      <c r="BQ22" s="17">
        <v>24266</v>
      </c>
      <c r="BR22" s="18">
        <v>30814</v>
      </c>
      <c r="BS22" s="18">
        <v>38901</v>
      </c>
      <c r="BT22" s="18">
        <v>40035</v>
      </c>
      <c r="BU22" s="18">
        <v>29417</v>
      </c>
      <c r="BV22" s="18">
        <v>26601</v>
      </c>
      <c r="BW22" s="18">
        <v>34000</v>
      </c>
      <c r="BX22" s="18">
        <v>33219</v>
      </c>
      <c r="BY22" s="18">
        <v>34508</v>
      </c>
      <c r="BZ22" s="18">
        <v>33888</v>
      </c>
      <c r="CA22" s="18">
        <v>24088</v>
      </c>
      <c r="CB22" s="19">
        <v>27361</v>
      </c>
      <c r="CC22" s="20">
        <v>25462</v>
      </c>
      <c r="CD22" s="18">
        <v>31643</v>
      </c>
      <c r="CE22" s="18">
        <v>36426</v>
      </c>
      <c r="CF22" s="18">
        <v>34948</v>
      </c>
      <c r="CG22" s="18">
        <v>28031</v>
      </c>
      <c r="CH22" s="18">
        <v>24082</v>
      </c>
      <c r="CI22" s="18">
        <v>27352</v>
      </c>
      <c r="CJ22" s="18">
        <v>30065</v>
      </c>
      <c r="CK22" s="18">
        <v>33055</v>
      </c>
      <c r="CL22" s="18">
        <v>30345</v>
      </c>
      <c r="CM22" s="18">
        <v>46484</v>
      </c>
      <c r="CN22" s="21">
        <v>24597</v>
      </c>
      <c r="CO22" s="17">
        <v>21432</v>
      </c>
      <c r="CP22" s="18">
        <v>31766</v>
      </c>
      <c r="CQ22" s="18">
        <v>34575</v>
      </c>
      <c r="CR22" s="18">
        <v>31252</v>
      </c>
      <c r="CS22" s="18">
        <v>24763</v>
      </c>
      <c r="CT22" s="18">
        <v>19273</v>
      </c>
      <c r="CU22" s="18">
        <v>25228</v>
      </c>
      <c r="CV22" s="18">
        <v>26389</v>
      </c>
      <c r="CW22" s="18">
        <v>31330</v>
      </c>
      <c r="CX22" s="18">
        <v>27917</v>
      </c>
      <c r="CY22" s="18">
        <v>25384</v>
      </c>
      <c r="CZ22" s="19">
        <v>25024</v>
      </c>
      <c r="DA22" s="17">
        <v>37465</v>
      </c>
      <c r="DB22" s="18">
        <v>32885</v>
      </c>
      <c r="DC22" s="18">
        <v>30856</v>
      </c>
      <c r="DD22" s="18">
        <v>31724</v>
      </c>
      <c r="DE22" s="18">
        <v>27045</v>
      </c>
      <c r="DF22" s="18">
        <v>22265</v>
      </c>
      <c r="DG22" s="18">
        <v>28915</v>
      </c>
      <c r="DH22" s="18">
        <v>26927</v>
      </c>
      <c r="DI22" s="18">
        <v>28517</v>
      </c>
      <c r="DJ22" s="18">
        <v>28538</v>
      </c>
      <c r="DK22" s="18">
        <v>24131</v>
      </c>
      <c r="DL22" s="19">
        <v>22778</v>
      </c>
      <c r="DM22" s="17">
        <v>21544</v>
      </c>
      <c r="DN22" s="18">
        <v>29367</v>
      </c>
      <c r="DO22" s="18">
        <v>26667</v>
      </c>
      <c r="DP22" s="18">
        <v>31729</v>
      </c>
      <c r="DQ22" s="18">
        <v>27541</v>
      </c>
      <c r="DR22" s="18">
        <v>20812</v>
      </c>
      <c r="DS22" s="18">
        <v>28549</v>
      </c>
      <c r="DT22" s="18">
        <v>24830</v>
      </c>
      <c r="DU22" s="18">
        <v>25210</v>
      </c>
      <c r="DV22" s="18">
        <v>44124</v>
      </c>
      <c r="DW22" s="18">
        <v>21176</v>
      </c>
      <c r="DX22" s="19">
        <v>18893</v>
      </c>
      <c r="DY22" s="100">
        <v>20706</v>
      </c>
      <c r="DZ22" s="18">
        <v>24681</v>
      </c>
      <c r="EA22" s="18">
        <v>25901</v>
      </c>
      <c r="EB22" s="18">
        <v>30098</v>
      </c>
      <c r="EC22" s="18">
        <v>24627</v>
      </c>
      <c r="ED22" s="18">
        <v>22124</v>
      </c>
      <c r="EE22" s="18">
        <v>26664</v>
      </c>
      <c r="EF22" s="18">
        <v>25201</v>
      </c>
      <c r="EG22" s="18">
        <v>18077</v>
      </c>
      <c r="EH22" s="18">
        <v>10522</v>
      </c>
      <c r="EI22" s="18">
        <v>9649</v>
      </c>
      <c r="EJ22" s="19">
        <v>9866</v>
      </c>
      <c r="EK22" s="100">
        <v>10277</v>
      </c>
      <c r="EL22" s="18">
        <v>10375</v>
      </c>
      <c r="EM22" s="18">
        <v>10525</v>
      </c>
      <c r="EN22" s="103">
        <v>11445</v>
      </c>
      <c r="EO22" s="18">
        <v>8846</v>
      </c>
      <c r="EP22" s="18">
        <v>7274</v>
      </c>
      <c r="EQ22" s="18">
        <v>3196</v>
      </c>
      <c r="ER22" s="18">
        <v>10783</v>
      </c>
      <c r="ES22" s="18">
        <v>5363</v>
      </c>
      <c r="ET22" s="18">
        <v>8524</v>
      </c>
      <c r="EU22" s="18">
        <v>7167</v>
      </c>
      <c r="EV22" s="19">
        <v>8159</v>
      </c>
      <c r="EW22" s="103">
        <v>8549</v>
      </c>
      <c r="EX22" s="18">
        <v>10645</v>
      </c>
      <c r="EY22" s="18">
        <v>12528</v>
      </c>
      <c r="EZ22" s="103">
        <v>12086</v>
      </c>
      <c r="FA22" s="18">
        <v>11950</v>
      </c>
      <c r="FB22" s="149">
        <v>10179</v>
      </c>
      <c r="FC22" s="18">
        <v>9743</v>
      </c>
      <c r="FD22" s="18">
        <v>12429</v>
      </c>
      <c r="FE22" s="149">
        <v>14242</v>
      </c>
      <c r="FF22" s="149">
        <v>17597</v>
      </c>
      <c r="FG22" s="149">
        <v>10358</v>
      </c>
      <c r="FH22" s="155">
        <v>0</v>
      </c>
      <c r="FI22" s="103">
        <f>'Average Weekday Boardings'!FI22*20</f>
        <v>7802</v>
      </c>
      <c r="FJ22" s="18">
        <f>'Average Weekday Boardings'!FJ22*23</f>
        <v>16950</v>
      </c>
      <c r="FK22" s="18">
        <f>'Average Weekday Boardings'!FK22*21</f>
        <v>17908</v>
      </c>
      <c r="FL22" s="103">
        <v>17472</v>
      </c>
      <c r="FM22" s="18">
        <v>15853</v>
      </c>
      <c r="FN22" s="149">
        <v>14276</v>
      </c>
      <c r="FO22" s="18">
        <v>16788</v>
      </c>
      <c r="FP22" s="18">
        <v>15919</v>
      </c>
      <c r="FQ22" s="149">
        <v>19397</v>
      </c>
      <c r="FR22" s="149">
        <v>18183</v>
      </c>
      <c r="FS22" s="149">
        <v>18637</v>
      </c>
      <c r="FT22" s="155">
        <v>16537</v>
      </c>
      <c r="FU22" s="169">
        <v>13766</v>
      </c>
      <c r="FV22" s="169">
        <v>18231</v>
      </c>
      <c r="FW22" s="169">
        <v>16531</v>
      </c>
      <c r="FX22" s="169">
        <v>19252</v>
      </c>
      <c r="FY22" s="169">
        <v>18442</v>
      </c>
      <c r="FZ22" s="169">
        <v>14970</v>
      </c>
      <c r="GA22" s="169">
        <v>18192</v>
      </c>
      <c r="GB22" s="18">
        <v>19165</v>
      </c>
      <c r="GC22" s="52">
        <v>17781</v>
      </c>
      <c r="GD22" s="18">
        <v>18266</v>
      </c>
      <c r="GE22" s="18">
        <v>17319</v>
      </c>
      <c r="GF22" s="52">
        <v>15126</v>
      </c>
      <c r="GG22" s="18">
        <v>16475</v>
      </c>
      <c r="GH22" s="18">
        <v>18964</v>
      </c>
      <c r="GI22" s="52">
        <v>18193</v>
      </c>
      <c r="GJ22" s="242">
        <v>20037</v>
      </c>
      <c r="GK22" s="184">
        <v>15487</v>
      </c>
      <c r="GL22" s="184">
        <v>14130</v>
      </c>
    </row>
    <row r="23" spans="1:194" x14ac:dyDescent="0.3">
      <c r="A23" s="3" t="s">
        <v>36</v>
      </c>
      <c r="B23" s="17"/>
      <c r="C23" s="18">
        <v>7407</v>
      </c>
      <c r="D23" s="18">
        <v>26794</v>
      </c>
      <c r="E23" s="18">
        <v>28045</v>
      </c>
      <c r="F23" s="18">
        <v>28346</v>
      </c>
      <c r="G23" s="18">
        <v>24848</v>
      </c>
      <c r="H23" s="19">
        <v>26352</v>
      </c>
      <c r="I23" s="17">
        <v>25783</v>
      </c>
      <c r="J23" s="18">
        <v>28233</v>
      </c>
      <c r="K23" s="18">
        <v>34578</v>
      </c>
      <c r="L23" s="18">
        <v>35127</v>
      </c>
      <c r="M23" s="18">
        <v>29223</v>
      </c>
      <c r="N23" s="18">
        <v>36922</v>
      </c>
      <c r="O23" s="62">
        <v>30653</v>
      </c>
      <c r="P23" s="62">
        <v>34689</v>
      </c>
      <c r="Q23" s="62">
        <v>39969</v>
      </c>
      <c r="R23" s="62">
        <v>40339</v>
      </c>
      <c r="S23" s="62">
        <v>30639</v>
      </c>
      <c r="T23" s="63">
        <v>14831</v>
      </c>
      <c r="U23" s="64">
        <v>11662</v>
      </c>
      <c r="V23" s="62">
        <v>13539</v>
      </c>
      <c r="W23" s="62">
        <v>14259</v>
      </c>
      <c r="X23" s="62">
        <v>15631</v>
      </c>
      <c r="Y23" s="62">
        <v>15112</v>
      </c>
      <c r="Z23" s="62">
        <v>15705</v>
      </c>
      <c r="AA23" s="18">
        <v>16126</v>
      </c>
      <c r="AB23" s="18">
        <v>15835</v>
      </c>
      <c r="AC23" s="18">
        <v>19118</v>
      </c>
      <c r="AD23" s="18">
        <v>19491</v>
      </c>
      <c r="AE23" s="18">
        <v>17196</v>
      </c>
      <c r="AF23" s="19">
        <v>17326</v>
      </c>
      <c r="AG23" s="17">
        <v>15382</v>
      </c>
      <c r="AH23" s="18">
        <v>19220</v>
      </c>
      <c r="AI23" s="18">
        <v>18884</v>
      </c>
      <c r="AJ23" s="18">
        <v>18955</v>
      </c>
      <c r="AK23" s="18">
        <v>15329</v>
      </c>
      <c r="AL23" s="18">
        <v>15642</v>
      </c>
      <c r="AM23" s="18">
        <v>17093</v>
      </c>
      <c r="AN23" s="18">
        <v>17384</v>
      </c>
      <c r="AO23" s="18">
        <v>19204</v>
      </c>
      <c r="AP23" s="18">
        <v>19367</v>
      </c>
      <c r="AQ23" s="18">
        <v>19509</v>
      </c>
      <c r="AR23" s="19">
        <v>18007</v>
      </c>
      <c r="AS23" s="17">
        <v>16826</v>
      </c>
      <c r="AT23" s="18">
        <v>19349</v>
      </c>
      <c r="AU23" s="18">
        <v>21747</v>
      </c>
      <c r="AV23" s="18">
        <v>22037</v>
      </c>
      <c r="AW23" s="18">
        <v>18344</v>
      </c>
      <c r="AX23" s="18">
        <v>16035</v>
      </c>
      <c r="AY23" s="18">
        <v>17968</v>
      </c>
      <c r="AZ23" s="18">
        <v>18259</v>
      </c>
      <c r="BA23" s="18">
        <v>18871</v>
      </c>
      <c r="BB23" s="18">
        <v>20362</v>
      </c>
      <c r="BC23" s="18">
        <v>19068</v>
      </c>
      <c r="BD23" s="19">
        <v>16250</v>
      </c>
      <c r="BE23" s="17">
        <v>16556</v>
      </c>
      <c r="BF23" s="18">
        <v>18186</v>
      </c>
      <c r="BG23" s="18">
        <v>18320</v>
      </c>
      <c r="BH23" s="18">
        <v>20976</v>
      </c>
      <c r="BI23" s="18">
        <v>16830.457351976729</v>
      </c>
      <c r="BJ23" s="18">
        <v>16311</v>
      </c>
      <c r="BK23" s="18">
        <v>19143</v>
      </c>
      <c r="BL23" s="18">
        <v>17926</v>
      </c>
      <c r="BM23" s="18">
        <v>18519</v>
      </c>
      <c r="BN23" s="18">
        <v>19928</v>
      </c>
      <c r="BO23" s="18">
        <v>17605</v>
      </c>
      <c r="BP23" s="19">
        <v>17290</v>
      </c>
      <c r="BQ23" s="17">
        <v>17513</v>
      </c>
      <c r="BR23" s="18">
        <v>17302</v>
      </c>
      <c r="BS23" s="18">
        <v>17837</v>
      </c>
      <c r="BT23" s="18">
        <v>19631</v>
      </c>
      <c r="BU23" s="18">
        <v>13972</v>
      </c>
      <c r="BV23" s="18">
        <v>16411</v>
      </c>
      <c r="BW23" s="18">
        <v>16923</v>
      </c>
      <c r="BX23" s="18">
        <v>15695</v>
      </c>
      <c r="BY23" s="18">
        <v>18009</v>
      </c>
      <c r="BZ23" s="18">
        <v>18318</v>
      </c>
      <c r="CA23" s="18">
        <v>15588</v>
      </c>
      <c r="CB23" s="19">
        <v>17057</v>
      </c>
      <c r="CC23" s="20">
        <v>16487</v>
      </c>
      <c r="CD23" s="18">
        <v>16194</v>
      </c>
      <c r="CE23" s="18">
        <v>18575</v>
      </c>
      <c r="CF23" s="18">
        <v>20211</v>
      </c>
      <c r="CG23" s="18">
        <v>15461</v>
      </c>
      <c r="CH23" s="18">
        <v>17799</v>
      </c>
      <c r="CI23" s="18">
        <v>16822</v>
      </c>
      <c r="CJ23" s="18">
        <v>18206</v>
      </c>
      <c r="CK23" s="18">
        <v>25502</v>
      </c>
      <c r="CL23" s="18">
        <v>23416</v>
      </c>
      <c r="CM23" s="18">
        <v>17834</v>
      </c>
      <c r="CN23" s="21">
        <v>22927</v>
      </c>
      <c r="CO23" s="17">
        <v>16454</v>
      </c>
      <c r="CP23" s="18">
        <v>18225</v>
      </c>
      <c r="CQ23" s="18">
        <v>16848</v>
      </c>
      <c r="CR23" s="18">
        <v>16998</v>
      </c>
      <c r="CS23" s="18">
        <v>14954</v>
      </c>
      <c r="CT23" s="18">
        <v>15770</v>
      </c>
      <c r="CU23" s="18">
        <v>16102</v>
      </c>
      <c r="CV23" s="18">
        <v>15431</v>
      </c>
      <c r="CW23" s="18">
        <v>19407</v>
      </c>
      <c r="CX23" s="18">
        <v>16972</v>
      </c>
      <c r="CY23" s="18">
        <v>17197</v>
      </c>
      <c r="CZ23" s="19">
        <v>16699</v>
      </c>
      <c r="DA23" s="17">
        <v>14608</v>
      </c>
      <c r="DB23" s="18">
        <v>18496</v>
      </c>
      <c r="DC23" s="18">
        <v>15922</v>
      </c>
      <c r="DD23" s="18">
        <v>17609</v>
      </c>
      <c r="DE23" s="18">
        <v>14765</v>
      </c>
      <c r="DF23" s="18">
        <v>14588</v>
      </c>
      <c r="DG23" s="18">
        <v>21300</v>
      </c>
      <c r="DH23" s="18">
        <v>19026</v>
      </c>
      <c r="DI23" s="18">
        <v>22796</v>
      </c>
      <c r="DJ23" s="18">
        <v>24250</v>
      </c>
      <c r="DK23" s="18">
        <v>22768</v>
      </c>
      <c r="DL23" s="19">
        <v>19454</v>
      </c>
      <c r="DM23" s="17">
        <v>18696</v>
      </c>
      <c r="DN23" s="18">
        <v>22032</v>
      </c>
      <c r="DO23" s="18">
        <v>18683</v>
      </c>
      <c r="DP23" s="18">
        <v>22958</v>
      </c>
      <c r="DQ23" s="18">
        <v>21420</v>
      </c>
      <c r="DR23" s="18">
        <v>19569</v>
      </c>
      <c r="DS23" s="18">
        <v>22111</v>
      </c>
      <c r="DT23" s="18">
        <v>18756</v>
      </c>
      <c r="DU23" s="18">
        <v>20990</v>
      </c>
      <c r="DV23" s="18">
        <v>17578</v>
      </c>
      <c r="DW23" s="18">
        <v>22188</v>
      </c>
      <c r="DX23" s="19">
        <v>19002</v>
      </c>
      <c r="DY23" s="100">
        <v>20091</v>
      </c>
      <c r="DZ23" s="18">
        <v>22836</v>
      </c>
      <c r="EA23" s="18">
        <v>19711</v>
      </c>
      <c r="EB23" s="18">
        <v>24061</v>
      </c>
      <c r="EC23" s="18">
        <v>20616</v>
      </c>
      <c r="ED23" s="18">
        <v>21128</v>
      </c>
      <c r="EE23" s="18">
        <v>22430</v>
      </c>
      <c r="EF23" s="18">
        <v>21362</v>
      </c>
      <c r="EG23" s="18">
        <v>16678</v>
      </c>
      <c r="EH23" s="18">
        <v>8357</v>
      </c>
      <c r="EI23" s="18">
        <v>7537</v>
      </c>
      <c r="EJ23" s="19">
        <v>7922</v>
      </c>
      <c r="EK23" s="100">
        <v>7555</v>
      </c>
      <c r="EL23" s="18">
        <v>8060</v>
      </c>
      <c r="EM23" s="18">
        <v>8603</v>
      </c>
      <c r="EN23" s="103">
        <v>9876</v>
      </c>
      <c r="EO23" s="18">
        <v>10873</v>
      </c>
      <c r="EP23" s="18">
        <v>4179</v>
      </c>
      <c r="EQ23" s="18">
        <v>3401</v>
      </c>
      <c r="ER23" s="18">
        <v>3453</v>
      </c>
      <c r="ES23" s="18">
        <v>3066</v>
      </c>
      <c r="ET23" s="18">
        <v>9595</v>
      </c>
      <c r="EU23" s="18">
        <v>8588</v>
      </c>
      <c r="EV23" s="19">
        <v>10334</v>
      </c>
      <c r="EW23" s="103">
        <v>10561</v>
      </c>
      <c r="EX23" s="18">
        <v>10655</v>
      </c>
      <c r="EY23" s="18">
        <v>9999</v>
      </c>
      <c r="EZ23" s="103">
        <v>10724</v>
      </c>
      <c r="FA23" s="18">
        <v>11738</v>
      </c>
      <c r="FB23" s="149">
        <v>10967</v>
      </c>
      <c r="FC23" s="18">
        <v>9120</v>
      </c>
      <c r="FD23" s="18">
        <v>11589</v>
      </c>
      <c r="FE23" s="149">
        <v>13813</v>
      </c>
      <c r="FF23" s="149">
        <v>7050</v>
      </c>
      <c r="FG23" s="149">
        <v>9376</v>
      </c>
      <c r="FH23" s="155">
        <v>16407</v>
      </c>
      <c r="FI23" s="103">
        <f>'Average Weekday Boardings'!FI23*20</f>
        <v>10000</v>
      </c>
      <c r="FJ23" s="18">
        <f>'Average Weekday Boardings'!FJ23*23</f>
        <v>7430</v>
      </c>
      <c r="FK23" s="18">
        <f>'Average Weekday Boardings'!FK23*21</f>
        <v>6835</v>
      </c>
      <c r="FL23" s="103">
        <v>7208</v>
      </c>
      <c r="FM23" s="18">
        <v>6814</v>
      </c>
      <c r="FN23" s="149">
        <v>6645</v>
      </c>
      <c r="FO23" s="18">
        <v>7550</v>
      </c>
      <c r="FP23" s="18">
        <v>6678</v>
      </c>
      <c r="FQ23" s="149">
        <v>9281</v>
      </c>
      <c r="FR23" s="149">
        <v>8632</v>
      </c>
      <c r="FS23" s="149">
        <v>9150</v>
      </c>
      <c r="FT23" s="155">
        <v>8474</v>
      </c>
      <c r="FU23" s="169">
        <v>8008</v>
      </c>
      <c r="FV23" s="169">
        <v>8452</v>
      </c>
      <c r="FW23" s="169">
        <v>7576</v>
      </c>
      <c r="FX23" s="169">
        <v>9750</v>
      </c>
      <c r="FY23" s="169">
        <v>8555</v>
      </c>
      <c r="FZ23" s="169">
        <v>7063</v>
      </c>
      <c r="GA23" s="169">
        <v>7171</v>
      </c>
      <c r="GB23" s="18">
        <v>8452</v>
      </c>
      <c r="GC23" s="52">
        <v>8167</v>
      </c>
      <c r="GD23" s="18">
        <v>8099</v>
      </c>
      <c r="GE23" s="18">
        <v>8343</v>
      </c>
      <c r="GF23" s="52">
        <v>7545</v>
      </c>
      <c r="GG23" s="18">
        <v>7630</v>
      </c>
      <c r="GH23" s="18">
        <v>8162</v>
      </c>
      <c r="GI23" s="52">
        <v>7682</v>
      </c>
      <c r="GJ23" s="242">
        <v>8178</v>
      </c>
      <c r="GK23" s="184">
        <v>7487</v>
      </c>
      <c r="GL23" s="184">
        <v>7184</v>
      </c>
    </row>
    <row r="24" spans="1:194" x14ac:dyDescent="0.3">
      <c r="A24" s="3" t="s">
        <v>37</v>
      </c>
      <c r="B24" s="17"/>
      <c r="C24" s="18">
        <v>7118</v>
      </c>
      <c r="D24" s="18">
        <v>10262</v>
      </c>
      <c r="E24" s="18">
        <v>6979</v>
      </c>
      <c r="F24" s="18">
        <v>9649</v>
      </c>
      <c r="G24" s="18">
        <v>7747</v>
      </c>
      <c r="H24" s="19">
        <v>8545</v>
      </c>
      <c r="I24" s="17">
        <v>9303</v>
      </c>
      <c r="J24" s="18">
        <v>11073</v>
      </c>
      <c r="K24" s="18">
        <v>9441</v>
      </c>
      <c r="L24" s="18">
        <v>10471</v>
      </c>
      <c r="M24" s="18">
        <v>12106</v>
      </c>
      <c r="N24" s="18">
        <v>10048</v>
      </c>
      <c r="O24" s="62">
        <v>9138</v>
      </c>
      <c r="P24" s="62">
        <v>10275</v>
      </c>
      <c r="Q24" s="62">
        <v>11839</v>
      </c>
      <c r="R24" s="62">
        <v>12025</v>
      </c>
      <c r="S24" s="62">
        <v>8843</v>
      </c>
      <c r="T24" s="63">
        <v>16777</v>
      </c>
      <c r="U24" s="64">
        <v>14842</v>
      </c>
      <c r="V24" s="62">
        <v>17587</v>
      </c>
      <c r="W24" s="62">
        <v>17827</v>
      </c>
      <c r="X24" s="62">
        <v>19260</v>
      </c>
      <c r="Y24" s="62">
        <v>18780</v>
      </c>
      <c r="Z24" s="62">
        <v>18417</v>
      </c>
      <c r="AA24" s="18">
        <v>20067</v>
      </c>
      <c r="AB24" s="18">
        <v>20732</v>
      </c>
      <c r="AC24" s="18">
        <v>22866</v>
      </c>
      <c r="AD24" s="18">
        <v>21358</v>
      </c>
      <c r="AE24" s="18">
        <v>20084</v>
      </c>
      <c r="AF24" s="19">
        <v>21026</v>
      </c>
      <c r="AG24" s="17">
        <v>18350</v>
      </c>
      <c r="AH24" s="18">
        <v>20911</v>
      </c>
      <c r="AI24" s="18">
        <v>20596</v>
      </c>
      <c r="AJ24" s="18">
        <v>20517</v>
      </c>
      <c r="AK24" s="18">
        <v>17315</v>
      </c>
      <c r="AL24" s="18">
        <v>18467</v>
      </c>
      <c r="AM24" s="18">
        <v>19462</v>
      </c>
      <c r="AN24" s="18">
        <v>20683</v>
      </c>
      <c r="AO24" s="18">
        <v>24188</v>
      </c>
      <c r="AP24" s="18">
        <v>23394</v>
      </c>
      <c r="AQ24" s="18">
        <v>24200</v>
      </c>
      <c r="AR24" s="19">
        <v>21535</v>
      </c>
      <c r="AS24" s="17">
        <v>20609</v>
      </c>
      <c r="AT24" s="18">
        <v>23702</v>
      </c>
      <c r="AU24" s="18">
        <v>16402</v>
      </c>
      <c r="AV24" s="18">
        <v>24468</v>
      </c>
      <c r="AW24" s="18">
        <v>21728</v>
      </c>
      <c r="AX24" s="18">
        <v>19705</v>
      </c>
      <c r="AY24" s="18">
        <v>20477</v>
      </c>
      <c r="AZ24" s="18">
        <v>20369</v>
      </c>
      <c r="BA24" s="18">
        <v>22843</v>
      </c>
      <c r="BB24" s="18">
        <v>23503</v>
      </c>
      <c r="BC24" s="18">
        <v>23605</v>
      </c>
      <c r="BD24" s="19">
        <v>19245</v>
      </c>
      <c r="BE24" s="17">
        <v>20376</v>
      </c>
      <c r="BF24" s="18">
        <v>22399</v>
      </c>
      <c r="BG24" s="18">
        <v>22427</v>
      </c>
      <c r="BH24" s="18">
        <v>26189</v>
      </c>
      <c r="BI24" s="18">
        <v>20808.308658027454</v>
      </c>
      <c r="BJ24" s="18">
        <v>22016</v>
      </c>
      <c r="BK24" s="18">
        <v>25230</v>
      </c>
      <c r="BL24" s="18">
        <v>23057</v>
      </c>
      <c r="BM24" s="18">
        <v>24714</v>
      </c>
      <c r="BN24" s="18">
        <v>24395</v>
      </c>
      <c r="BO24" s="18">
        <v>23386</v>
      </c>
      <c r="BP24" s="19">
        <v>22084</v>
      </c>
      <c r="BQ24" s="17">
        <v>20949</v>
      </c>
      <c r="BR24" s="18">
        <v>21107</v>
      </c>
      <c r="BS24" s="18">
        <v>21960</v>
      </c>
      <c r="BT24" s="18">
        <v>24805</v>
      </c>
      <c r="BU24" s="18">
        <v>19058</v>
      </c>
      <c r="BV24" s="18">
        <v>22213</v>
      </c>
      <c r="BW24" s="18">
        <v>37146</v>
      </c>
      <c r="BX24" s="18">
        <v>21068</v>
      </c>
      <c r="BY24" s="18">
        <v>23658</v>
      </c>
      <c r="BZ24" s="18">
        <v>23886</v>
      </c>
      <c r="CA24" s="18">
        <v>20691</v>
      </c>
      <c r="CB24" s="19">
        <v>22658</v>
      </c>
      <c r="CC24" s="20">
        <v>21673</v>
      </c>
      <c r="CD24" s="18">
        <v>21584</v>
      </c>
      <c r="CE24" s="18">
        <v>20937</v>
      </c>
      <c r="CF24" s="18">
        <v>22039</v>
      </c>
      <c r="CG24" s="18">
        <v>18025</v>
      </c>
      <c r="CH24" s="18">
        <v>20949</v>
      </c>
      <c r="CI24" s="18">
        <v>20749</v>
      </c>
      <c r="CJ24" s="18">
        <v>20322</v>
      </c>
      <c r="CK24" s="18">
        <v>19629</v>
      </c>
      <c r="CL24" s="18">
        <v>18922</v>
      </c>
      <c r="CM24" s="18">
        <v>22028</v>
      </c>
      <c r="CN24" s="21">
        <v>18331</v>
      </c>
      <c r="CO24" s="17">
        <v>19761</v>
      </c>
      <c r="CP24" s="18">
        <v>22842</v>
      </c>
      <c r="CQ24" s="18">
        <v>21550</v>
      </c>
      <c r="CR24" s="18">
        <v>21585</v>
      </c>
      <c r="CS24" s="18">
        <v>19384</v>
      </c>
      <c r="CT24" s="18">
        <v>20904</v>
      </c>
      <c r="CU24" s="18">
        <v>20650</v>
      </c>
      <c r="CV24" s="18">
        <v>19642</v>
      </c>
      <c r="CW24" s="18">
        <v>24187</v>
      </c>
      <c r="CX24" s="18">
        <v>21671</v>
      </c>
      <c r="CY24" s="18">
        <v>24151</v>
      </c>
      <c r="CZ24" s="19">
        <v>22068</v>
      </c>
      <c r="DA24" s="17">
        <v>18906</v>
      </c>
      <c r="DB24" s="18">
        <v>23622</v>
      </c>
      <c r="DC24" s="18">
        <v>20878</v>
      </c>
      <c r="DD24" s="18">
        <v>22507</v>
      </c>
      <c r="DE24" s="18">
        <v>19558</v>
      </c>
      <c r="DF24" s="18">
        <v>19662</v>
      </c>
      <c r="DG24" s="18">
        <v>16704</v>
      </c>
      <c r="DH24" s="18">
        <v>15285</v>
      </c>
      <c r="DI24" s="18">
        <v>18513</v>
      </c>
      <c r="DJ24" s="18">
        <v>22131</v>
      </c>
      <c r="DK24" s="18">
        <v>18450</v>
      </c>
      <c r="DL24" s="19">
        <v>16189</v>
      </c>
      <c r="DM24" s="17">
        <v>15154</v>
      </c>
      <c r="DN24" s="18">
        <v>17130</v>
      </c>
      <c r="DO24" s="18">
        <v>14075</v>
      </c>
      <c r="DP24" s="18">
        <v>18062</v>
      </c>
      <c r="DQ24" s="18">
        <v>16205</v>
      </c>
      <c r="DR24" s="18">
        <v>14738</v>
      </c>
      <c r="DS24" s="18">
        <v>17460</v>
      </c>
      <c r="DT24" s="18">
        <v>15220</v>
      </c>
      <c r="DU24" s="18">
        <v>16597</v>
      </c>
      <c r="DV24" s="18">
        <v>21489</v>
      </c>
      <c r="DW24" s="18">
        <v>16384</v>
      </c>
      <c r="DX24" s="19">
        <v>14194</v>
      </c>
      <c r="DY24" s="100">
        <v>13976</v>
      </c>
      <c r="DZ24" s="18">
        <v>16140</v>
      </c>
      <c r="EA24" s="18">
        <v>14460</v>
      </c>
      <c r="EB24" s="18">
        <v>16774</v>
      </c>
      <c r="EC24" s="18">
        <v>13876</v>
      </c>
      <c r="ED24" s="18">
        <v>13450</v>
      </c>
      <c r="EE24" s="18">
        <v>14567</v>
      </c>
      <c r="EF24" s="18">
        <v>13996</v>
      </c>
      <c r="EG24" s="18">
        <v>10634</v>
      </c>
      <c r="EH24" s="18">
        <v>5164</v>
      </c>
      <c r="EI24" s="18">
        <v>4394</v>
      </c>
      <c r="EJ24" s="19">
        <v>4880</v>
      </c>
      <c r="EK24" s="100">
        <v>4738</v>
      </c>
      <c r="EL24" s="18">
        <v>4549</v>
      </c>
      <c r="EM24" s="18">
        <v>5139</v>
      </c>
      <c r="EN24" s="103">
        <v>5514</v>
      </c>
      <c r="EO24" s="18">
        <v>5715</v>
      </c>
      <c r="EP24" s="18">
        <v>7338</v>
      </c>
      <c r="EQ24" s="18">
        <v>2214</v>
      </c>
      <c r="ER24" s="18">
        <v>6557</v>
      </c>
      <c r="ES24" s="18">
        <v>10157</v>
      </c>
      <c r="ET24" s="18">
        <v>5481</v>
      </c>
      <c r="EU24" s="18">
        <v>4809</v>
      </c>
      <c r="EV24" s="19">
        <v>5805</v>
      </c>
      <c r="EW24" s="103">
        <v>5575</v>
      </c>
      <c r="EX24" s="18">
        <v>5798</v>
      </c>
      <c r="EY24" s="18">
        <v>5579</v>
      </c>
      <c r="EZ24" s="103">
        <v>5978</v>
      </c>
      <c r="FA24" s="18">
        <v>6220</v>
      </c>
      <c r="FB24" s="149">
        <v>6290</v>
      </c>
      <c r="FC24" s="18">
        <v>5526</v>
      </c>
      <c r="FD24" s="18">
        <v>6463</v>
      </c>
      <c r="FE24" s="149">
        <v>8723</v>
      </c>
      <c r="FF24" s="149">
        <v>11282</v>
      </c>
      <c r="FG24" s="149">
        <v>7513</v>
      </c>
      <c r="FH24" s="155">
        <v>0</v>
      </c>
      <c r="FI24" s="103">
        <f>'Average Weekday Boardings'!FI24*20</f>
        <v>5423</v>
      </c>
      <c r="FJ24" s="18">
        <f>'Average Weekday Boardings'!FJ24*23</f>
        <v>11605</v>
      </c>
      <c r="FK24" s="18">
        <f>'Average Weekday Boardings'!FK24*21</f>
        <v>11846</v>
      </c>
      <c r="FL24" s="103">
        <v>11740</v>
      </c>
      <c r="FM24" s="18">
        <v>10920</v>
      </c>
      <c r="FN24" s="149">
        <v>11228</v>
      </c>
      <c r="FO24" s="18">
        <v>12230</v>
      </c>
      <c r="FP24" s="18">
        <v>12671</v>
      </c>
      <c r="FQ24" s="149">
        <v>15866</v>
      </c>
      <c r="FR24" s="149">
        <v>14178</v>
      </c>
      <c r="FS24" s="149">
        <v>15211</v>
      </c>
      <c r="FT24" s="155">
        <v>14350</v>
      </c>
      <c r="FU24" s="169">
        <v>13226</v>
      </c>
      <c r="FV24" s="169">
        <v>14512</v>
      </c>
      <c r="FW24" s="169">
        <v>11683</v>
      </c>
      <c r="FX24" s="169">
        <v>15847</v>
      </c>
      <c r="FY24" s="169">
        <v>14746</v>
      </c>
      <c r="FZ24" s="169">
        <v>12804</v>
      </c>
      <c r="GA24" s="169">
        <v>15550</v>
      </c>
      <c r="GB24" s="18">
        <v>15241</v>
      </c>
      <c r="GC24" s="52">
        <v>15560</v>
      </c>
      <c r="GD24" s="18">
        <v>15784</v>
      </c>
      <c r="GE24" s="18">
        <v>15105</v>
      </c>
      <c r="GF24" s="52">
        <v>13586</v>
      </c>
      <c r="GG24" s="18">
        <v>14458</v>
      </c>
      <c r="GH24" s="18">
        <v>15308</v>
      </c>
      <c r="GI24" s="52">
        <v>13905</v>
      </c>
      <c r="GJ24" s="242">
        <v>15421</v>
      </c>
      <c r="GK24" s="184">
        <v>13539</v>
      </c>
      <c r="GL24" s="184">
        <v>12792</v>
      </c>
    </row>
    <row r="25" spans="1:194" x14ac:dyDescent="0.3">
      <c r="A25" s="3" t="s">
        <v>38</v>
      </c>
      <c r="B25" s="17"/>
      <c r="C25" s="18">
        <v>17048</v>
      </c>
      <c r="D25" s="18">
        <v>17769</v>
      </c>
      <c r="E25" s="18">
        <v>27032</v>
      </c>
      <c r="F25" s="18">
        <v>36611</v>
      </c>
      <c r="G25" s="18">
        <v>23636</v>
      </c>
      <c r="H25" s="19">
        <v>23000</v>
      </c>
      <c r="I25" s="17">
        <v>9628</v>
      </c>
      <c r="J25" s="18">
        <v>11460</v>
      </c>
      <c r="K25" s="18">
        <v>30043</v>
      </c>
      <c r="L25" s="18">
        <v>13390</v>
      </c>
      <c r="M25" s="18">
        <v>10593</v>
      </c>
      <c r="N25" s="18">
        <v>11478</v>
      </c>
      <c r="O25" s="62">
        <v>11684</v>
      </c>
      <c r="P25" s="62">
        <v>17738</v>
      </c>
      <c r="Q25" s="62">
        <v>22438</v>
      </c>
      <c r="R25" s="62">
        <v>15377</v>
      </c>
      <c r="S25" s="62">
        <v>11371</v>
      </c>
      <c r="T25" s="63">
        <v>20052</v>
      </c>
      <c r="U25" s="64">
        <v>13093</v>
      </c>
      <c r="V25" s="62">
        <v>12409</v>
      </c>
      <c r="W25" s="62">
        <v>12280</v>
      </c>
      <c r="X25" s="62">
        <v>11455</v>
      </c>
      <c r="Y25" s="62">
        <v>10624</v>
      </c>
      <c r="Z25" s="62">
        <v>10668</v>
      </c>
      <c r="AA25" s="18">
        <v>16589</v>
      </c>
      <c r="AB25" s="18">
        <v>16847</v>
      </c>
      <c r="AC25" s="18">
        <v>21460</v>
      </c>
      <c r="AD25" s="18">
        <v>29641</v>
      </c>
      <c r="AE25" s="18">
        <v>19357</v>
      </c>
      <c r="AF25" s="19">
        <v>22385</v>
      </c>
      <c r="AG25" s="17">
        <v>23946</v>
      </c>
      <c r="AH25" s="18">
        <v>23875</v>
      </c>
      <c r="AI25" s="18">
        <v>21996</v>
      </c>
      <c r="AJ25" s="18">
        <v>16904</v>
      </c>
      <c r="AK25" s="18">
        <v>8926</v>
      </c>
      <c r="AL25" s="18">
        <v>12513</v>
      </c>
      <c r="AM25" s="18">
        <v>15823</v>
      </c>
      <c r="AN25" s="18">
        <v>16677</v>
      </c>
      <c r="AO25" s="18">
        <v>21645</v>
      </c>
      <c r="AP25" s="18">
        <v>29117</v>
      </c>
      <c r="AQ25" s="18">
        <v>23276</v>
      </c>
      <c r="AR25" s="19">
        <v>20965</v>
      </c>
      <c r="AS25" s="17">
        <v>18277</v>
      </c>
      <c r="AT25" s="18">
        <v>18108</v>
      </c>
      <c r="AU25" s="18">
        <v>11455</v>
      </c>
      <c r="AV25" s="18">
        <v>20087</v>
      </c>
      <c r="AW25" s="18">
        <v>14979</v>
      </c>
      <c r="AX25" s="18">
        <v>12386</v>
      </c>
      <c r="AY25" s="18">
        <v>17505</v>
      </c>
      <c r="AZ25" s="18">
        <v>14872</v>
      </c>
      <c r="BA25" s="18">
        <v>20896</v>
      </c>
      <c r="BB25" s="18">
        <v>26978</v>
      </c>
      <c r="BC25" s="18">
        <v>21329</v>
      </c>
      <c r="BD25" s="19">
        <v>15856</v>
      </c>
      <c r="BE25" s="17">
        <v>19102</v>
      </c>
      <c r="BF25" s="18">
        <v>18463</v>
      </c>
      <c r="BG25" s="18">
        <v>16276</v>
      </c>
      <c r="BH25" s="18">
        <v>15441</v>
      </c>
      <c r="BI25" s="18">
        <v>13375.18453350761</v>
      </c>
      <c r="BJ25" s="18">
        <v>11931</v>
      </c>
      <c r="BK25" s="18">
        <v>15856</v>
      </c>
      <c r="BL25" s="18">
        <v>18529</v>
      </c>
      <c r="BM25" s="18">
        <v>23452</v>
      </c>
      <c r="BN25" s="18">
        <v>25611</v>
      </c>
      <c r="BO25" s="18">
        <v>16852</v>
      </c>
      <c r="BP25" s="19">
        <v>22047</v>
      </c>
      <c r="BQ25" s="17">
        <v>16250</v>
      </c>
      <c r="BR25" s="18">
        <v>16244</v>
      </c>
      <c r="BS25" s="18">
        <v>16102</v>
      </c>
      <c r="BT25" s="18">
        <v>14986</v>
      </c>
      <c r="BU25" s="18">
        <v>13199</v>
      </c>
      <c r="BV25" s="18">
        <v>13767</v>
      </c>
      <c r="BW25" s="18">
        <v>38857</v>
      </c>
      <c r="BX25" s="18">
        <v>17207</v>
      </c>
      <c r="BY25" s="18">
        <v>18445</v>
      </c>
      <c r="BZ25" s="18">
        <v>23820</v>
      </c>
      <c r="CA25" s="18">
        <v>20364</v>
      </c>
      <c r="CB25" s="19">
        <v>18532</v>
      </c>
      <c r="CC25" s="20">
        <v>14233</v>
      </c>
      <c r="CD25" s="18">
        <v>15808</v>
      </c>
      <c r="CE25" s="18">
        <v>16744</v>
      </c>
      <c r="CF25" s="18">
        <v>19159</v>
      </c>
      <c r="CG25" s="18">
        <v>14189</v>
      </c>
      <c r="CH25" s="18">
        <v>14496</v>
      </c>
      <c r="CI25" s="18">
        <v>14675</v>
      </c>
      <c r="CJ25" s="18">
        <v>16845</v>
      </c>
      <c r="CK25" s="18">
        <v>20884</v>
      </c>
      <c r="CL25" s="18">
        <v>28013</v>
      </c>
      <c r="CM25" s="18">
        <v>20807</v>
      </c>
      <c r="CN25" s="21">
        <v>24563</v>
      </c>
      <c r="CO25" s="17">
        <v>14281</v>
      </c>
      <c r="CP25" s="18">
        <v>17431</v>
      </c>
      <c r="CQ25" s="18">
        <v>15148</v>
      </c>
      <c r="CR25" s="18">
        <v>13882</v>
      </c>
      <c r="CS25" s="18">
        <v>12026</v>
      </c>
      <c r="CT25" s="18">
        <v>12969</v>
      </c>
      <c r="CU25" s="18">
        <v>12558</v>
      </c>
      <c r="CV25" s="18">
        <v>13451</v>
      </c>
      <c r="CW25" s="18">
        <v>21667</v>
      </c>
      <c r="CX25" s="18">
        <v>22212</v>
      </c>
      <c r="CY25" s="18">
        <v>22875</v>
      </c>
      <c r="CZ25" s="19">
        <v>17666</v>
      </c>
      <c r="DA25" s="17">
        <v>12692</v>
      </c>
      <c r="DB25" s="18">
        <v>19875</v>
      </c>
      <c r="DC25" s="18">
        <v>15674</v>
      </c>
      <c r="DD25" s="18">
        <v>17725</v>
      </c>
      <c r="DE25" s="18">
        <v>12089</v>
      </c>
      <c r="DF25" s="18">
        <v>11510</v>
      </c>
      <c r="DG25" s="18">
        <v>9257</v>
      </c>
      <c r="DH25" s="18">
        <v>8553</v>
      </c>
      <c r="DI25" s="18">
        <v>13150</v>
      </c>
      <c r="DJ25" s="18">
        <v>15555</v>
      </c>
      <c r="DK25" s="18">
        <v>16339</v>
      </c>
      <c r="DL25" s="19">
        <v>12154</v>
      </c>
      <c r="DM25" s="17">
        <v>11238</v>
      </c>
      <c r="DN25" s="18">
        <v>11856</v>
      </c>
      <c r="DO25" s="18">
        <v>11670</v>
      </c>
      <c r="DP25" s="18">
        <v>11454</v>
      </c>
      <c r="DQ25" s="18">
        <v>10136</v>
      </c>
      <c r="DR25" s="18">
        <v>8893</v>
      </c>
      <c r="DS25" s="18">
        <v>11136</v>
      </c>
      <c r="DT25" s="18">
        <v>8476</v>
      </c>
      <c r="DU25" s="18">
        <v>11461</v>
      </c>
      <c r="DV25" s="18">
        <v>13755</v>
      </c>
      <c r="DW25" s="18">
        <v>19628</v>
      </c>
      <c r="DX25" s="19">
        <v>17079</v>
      </c>
      <c r="DY25" s="100">
        <v>13640</v>
      </c>
      <c r="DZ25" s="18">
        <v>17958</v>
      </c>
      <c r="EA25" s="18">
        <v>15742</v>
      </c>
      <c r="EB25" s="18">
        <v>13440</v>
      </c>
      <c r="EC25" s="18">
        <v>15015</v>
      </c>
      <c r="ED25" s="18">
        <v>12715</v>
      </c>
      <c r="EE25" s="18">
        <v>15727</v>
      </c>
      <c r="EF25" s="18">
        <v>13650</v>
      </c>
      <c r="EG25" s="18">
        <v>6967</v>
      </c>
      <c r="EH25" s="18">
        <v>3936</v>
      </c>
      <c r="EI25" s="18">
        <v>3142</v>
      </c>
      <c r="EJ25" s="19">
        <v>3991</v>
      </c>
      <c r="EK25" s="100">
        <v>4273</v>
      </c>
      <c r="EL25" s="18">
        <v>4410</v>
      </c>
      <c r="EM25" s="18">
        <v>4865</v>
      </c>
      <c r="EN25" s="103">
        <v>3612</v>
      </c>
      <c r="EO25" s="18">
        <v>9922</v>
      </c>
      <c r="EP25" s="18">
        <v>3414</v>
      </c>
      <c r="EQ25" s="18">
        <v>1052</v>
      </c>
      <c r="ER25" s="18">
        <v>1277</v>
      </c>
      <c r="ES25" s="18">
        <v>3057</v>
      </c>
      <c r="ET25" s="18">
        <v>7224</v>
      </c>
      <c r="EU25" s="18">
        <v>6408</v>
      </c>
      <c r="EV25" s="19">
        <v>8720</v>
      </c>
      <c r="EW25" s="103">
        <v>9766</v>
      </c>
      <c r="EX25" s="18">
        <v>8151</v>
      </c>
      <c r="EY25" s="18">
        <v>7892</v>
      </c>
      <c r="EZ25" s="103">
        <v>7255</v>
      </c>
      <c r="FA25" s="18">
        <v>8238</v>
      </c>
      <c r="FB25" s="149">
        <v>8778</v>
      </c>
      <c r="FC25" s="18">
        <v>7073</v>
      </c>
      <c r="FD25" s="18">
        <v>8675</v>
      </c>
      <c r="FE25" s="149">
        <v>9927</v>
      </c>
      <c r="FF25" s="149">
        <v>14331</v>
      </c>
      <c r="FG25" s="149">
        <v>7623</v>
      </c>
      <c r="FH25" s="155">
        <v>0</v>
      </c>
      <c r="FI25" s="103">
        <f>'Average Weekday Boardings'!FI25*20</f>
        <v>6851</v>
      </c>
      <c r="FJ25" s="18">
        <f>'Average Weekday Boardings'!FJ25*23</f>
        <v>8042</v>
      </c>
      <c r="FK25" s="18">
        <f>'Average Weekday Boardings'!FK25*21</f>
        <v>10159</v>
      </c>
      <c r="FL25" s="103">
        <v>7432</v>
      </c>
      <c r="FM25" s="18">
        <v>9891</v>
      </c>
      <c r="FN25" s="149">
        <v>8067</v>
      </c>
      <c r="FO25" s="18">
        <v>8424</v>
      </c>
      <c r="FP25" s="18">
        <v>11849</v>
      </c>
      <c r="FQ25" s="149">
        <v>14691</v>
      </c>
      <c r="FR25" s="149">
        <v>14238</v>
      </c>
      <c r="FS25" s="149">
        <v>11989</v>
      </c>
      <c r="FT25" s="155">
        <v>12819</v>
      </c>
      <c r="FU25" s="169">
        <v>10851</v>
      </c>
      <c r="FV25" s="169">
        <v>10627</v>
      </c>
      <c r="FW25" s="169">
        <v>9725</v>
      </c>
      <c r="FX25" s="169">
        <v>22602</v>
      </c>
      <c r="FY25" s="169">
        <v>13186</v>
      </c>
      <c r="FZ25" s="169">
        <v>10811</v>
      </c>
      <c r="GA25" s="169">
        <v>8814</v>
      </c>
      <c r="GB25" s="18">
        <v>7740</v>
      </c>
      <c r="GC25" s="52">
        <v>13342</v>
      </c>
      <c r="GD25" s="18">
        <v>17330</v>
      </c>
      <c r="GE25" s="18">
        <v>12718</v>
      </c>
      <c r="GF25" s="52">
        <v>12806</v>
      </c>
      <c r="GG25" s="18">
        <v>11162</v>
      </c>
      <c r="GH25" s="18">
        <v>13530</v>
      </c>
      <c r="GI25" s="52">
        <v>13013</v>
      </c>
      <c r="GJ25" s="242">
        <v>10649</v>
      </c>
      <c r="GK25" s="184">
        <v>10762</v>
      </c>
      <c r="GL25" s="184">
        <v>9489</v>
      </c>
    </row>
    <row r="26" spans="1:194" x14ac:dyDescent="0.3">
      <c r="A26" s="3" t="s">
        <v>39</v>
      </c>
      <c r="B26" s="17"/>
      <c r="C26" s="18">
        <v>9774</v>
      </c>
      <c r="D26" s="18">
        <v>12583</v>
      </c>
      <c r="E26" s="18">
        <v>16885</v>
      </c>
      <c r="F26" s="18">
        <v>25065</v>
      </c>
      <c r="G26" s="18">
        <v>19803</v>
      </c>
      <c r="H26" s="19">
        <v>16495</v>
      </c>
      <c r="I26" s="17">
        <v>6868</v>
      </c>
      <c r="J26" s="18">
        <v>8174</v>
      </c>
      <c r="K26" s="18">
        <v>17260</v>
      </c>
      <c r="L26" s="18">
        <v>9828</v>
      </c>
      <c r="M26" s="18">
        <v>7645</v>
      </c>
      <c r="N26" s="18">
        <v>14020</v>
      </c>
      <c r="O26" s="62">
        <v>8576</v>
      </c>
      <c r="P26" s="62">
        <v>17269</v>
      </c>
      <c r="Q26" s="62">
        <v>21898</v>
      </c>
      <c r="R26" s="62">
        <v>11286</v>
      </c>
      <c r="S26" s="62">
        <v>11733</v>
      </c>
      <c r="T26" s="63">
        <v>27243</v>
      </c>
      <c r="U26" s="64">
        <v>17286</v>
      </c>
      <c r="V26" s="62">
        <v>15864</v>
      </c>
      <c r="W26" s="62">
        <v>16428</v>
      </c>
      <c r="X26" s="62">
        <v>14702</v>
      </c>
      <c r="Y26" s="62">
        <v>13649</v>
      </c>
      <c r="Z26" s="62">
        <v>15547</v>
      </c>
      <c r="AA26" s="18">
        <v>10338</v>
      </c>
      <c r="AB26" s="18">
        <v>9873</v>
      </c>
      <c r="AC26" s="18">
        <v>12502</v>
      </c>
      <c r="AD26" s="18">
        <v>17411</v>
      </c>
      <c r="AE26" s="18">
        <v>12306</v>
      </c>
      <c r="AF26" s="19">
        <v>16401</v>
      </c>
      <c r="AG26" s="17">
        <v>17059</v>
      </c>
      <c r="AH26" s="18">
        <v>17975</v>
      </c>
      <c r="AI26" s="18">
        <v>15095</v>
      </c>
      <c r="AJ26" s="18">
        <v>12570</v>
      </c>
      <c r="AK26" s="18">
        <v>7636</v>
      </c>
      <c r="AL26" s="18">
        <v>8373</v>
      </c>
      <c r="AM26" s="18">
        <v>10324</v>
      </c>
      <c r="AN26" s="18">
        <v>11828</v>
      </c>
      <c r="AO26" s="18">
        <v>15228</v>
      </c>
      <c r="AP26" s="18">
        <v>18260</v>
      </c>
      <c r="AQ26" s="18">
        <v>15841</v>
      </c>
      <c r="AR26" s="19">
        <v>14238</v>
      </c>
      <c r="AS26" s="17">
        <v>12429</v>
      </c>
      <c r="AT26" s="18">
        <v>12582</v>
      </c>
      <c r="AU26" s="18">
        <v>20184</v>
      </c>
      <c r="AV26" s="18">
        <v>12258</v>
      </c>
      <c r="AW26" s="18">
        <v>8919</v>
      </c>
      <c r="AX26" s="18">
        <v>7490</v>
      </c>
      <c r="AY26" s="18">
        <v>9732</v>
      </c>
      <c r="AZ26" s="18">
        <v>8621</v>
      </c>
      <c r="BA26" s="18">
        <v>11513</v>
      </c>
      <c r="BB26" s="18">
        <v>15738</v>
      </c>
      <c r="BC26" s="18">
        <v>15996</v>
      </c>
      <c r="BD26" s="19">
        <v>11038</v>
      </c>
      <c r="BE26" s="17">
        <v>13021</v>
      </c>
      <c r="BF26" s="18">
        <v>11646</v>
      </c>
      <c r="BG26" s="18">
        <v>10421</v>
      </c>
      <c r="BH26" s="18">
        <v>8977</v>
      </c>
      <c r="BI26" s="18">
        <v>7539.0521963269248</v>
      </c>
      <c r="BJ26" s="18">
        <v>6818</v>
      </c>
      <c r="BK26" s="18">
        <v>9231</v>
      </c>
      <c r="BL26" s="18">
        <v>9804</v>
      </c>
      <c r="BM26" s="18">
        <v>15140</v>
      </c>
      <c r="BN26" s="18">
        <v>14723</v>
      </c>
      <c r="BO26" s="18">
        <v>11418</v>
      </c>
      <c r="BP26" s="19">
        <v>15439</v>
      </c>
      <c r="BQ26" s="17">
        <v>10554</v>
      </c>
      <c r="BR26" s="18">
        <v>10483</v>
      </c>
      <c r="BS26" s="18">
        <v>9903</v>
      </c>
      <c r="BT26" s="18">
        <v>9500</v>
      </c>
      <c r="BU26" s="18">
        <v>7805</v>
      </c>
      <c r="BV26" s="18">
        <v>8105</v>
      </c>
      <c r="BW26" s="18">
        <v>14270</v>
      </c>
      <c r="BX26" s="18">
        <v>10906</v>
      </c>
      <c r="BY26" s="18">
        <v>11499</v>
      </c>
      <c r="BZ26" s="18">
        <v>14744</v>
      </c>
      <c r="CA26" s="18">
        <v>14744</v>
      </c>
      <c r="CB26" s="19">
        <v>13635</v>
      </c>
      <c r="CC26" s="20">
        <v>9839</v>
      </c>
      <c r="CD26" s="18">
        <v>12515</v>
      </c>
      <c r="CE26" s="18">
        <v>10453</v>
      </c>
      <c r="CF26" s="18">
        <v>11760</v>
      </c>
      <c r="CG26" s="18">
        <v>8113</v>
      </c>
      <c r="CH26" s="18">
        <v>7888</v>
      </c>
      <c r="CI26" s="18">
        <v>8262</v>
      </c>
      <c r="CJ26" s="18">
        <v>9176</v>
      </c>
      <c r="CK26" s="18">
        <v>11645</v>
      </c>
      <c r="CL26" s="18">
        <v>17336</v>
      </c>
      <c r="CM26" s="18">
        <v>14200</v>
      </c>
      <c r="CN26" s="21">
        <v>17428</v>
      </c>
      <c r="CO26" s="17">
        <v>10345</v>
      </c>
      <c r="CP26" s="18">
        <v>12815</v>
      </c>
      <c r="CQ26" s="18">
        <v>11294</v>
      </c>
      <c r="CR26" s="18">
        <v>9820</v>
      </c>
      <c r="CS26" s="18">
        <v>7886</v>
      </c>
      <c r="CT26" s="18">
        <v>8137</v>
      </c>
      <c r="CU26" s="18">
        <v>8301</v>
      </c>
      <c r="CV26" s="18">
        <v>8768</v>
      </c>
      <c r="CW26" s="18">
        <v>13918</v>
      </c>
      <c r="CX26" s="18">
        <v>14319</v>
      </c>
      <c r="CY26" s="18">
        <v>18226</v>
      </c>
      <c r="CZ26" s="19">
        <v>15005</v>
      </c>
      <c r="DA26" s="17">
        <v>10720</v>
      </c>
      <c r="DB26" s="18">
        <v>14078</v>
      </c>
      <c r="DC26" s="18">
        <v>12757</v>
      </c>
      <c r="DD26" s="18">
        <v>13492</v>
      </c>
      <c r="DE26" s="18">
        <v>9002</v>
      </c>
      <c r="DF26" s="18">
        <v>9435</v>
      </c>
      <c r="DG26" s="18">
        <v>12704</v>
      </c>
      <c r="DH26" s="18">
        <v>11391</v>
      </c>
      <c r="DI26" s="18">
        <v>19472</v>
      </c>
      <c r="DJ26" s="18">
        <v>20945</v>
      </c>
      <c r="DK26" s="18">
        <v>21852</v>
      </c>
      <c r="DL26" s="19">
        <v>14353</v>
      </c>
      <c r="DM26" s="17">
        <v>14411</v>
      </c>
      <c r="DN26" s="18">
        <v>15816</v>
      </c>
      <c r="DO26" s="18">
        <v>15015</v>
      </c>
      <c r="DP26" s="18">
        <v>15146</v>
      </c>
      <c r="DQ26" s="18">
        <v>13848</v>
      </c>
      <c r="DR26" s="18">
        <v>11771</v>
      </c>
      <c r="DS26" s="18">
        <v>14390</v>
      </c>
      <c r="DT26" s="18">
        <v>12296</v>
      </c>
      <c r="DU26" s="18">
        <v>15510</v>
      </c>
      <c r="DV26" s="18">
        <v>18506</v>
      </c>
      <c r="DW26" s="18">
        <v>13953</v>
      </c>
      <c r="DX26" s="19">
        <v>12732</v>
      </c>
      <c r="DY26" s="100">
        <v>9981</v>
      </c>
      <c r="DZ26" s="18">
        <v>11568</v>
      </c>
      <c r="EA26" s="18">
        <v>11218</v>
      </c>
      <c r="EB26" s="18">
        <v>9782</v>
      </c>
      <c r="EC26" s="18">
        <v>10055</v>
      </c>
      <c r="ED26" s="18">
        <v>9297</v>
      </c>
      <c r="EE26" s="18">
        <v>9863</v>
      </c>
      <c r="EF26" s="18">
        <v>9249</v>
      </c>
      <c r="EG26" s="18">
        <v>9659</v>
      </c>
      <c r="EH26" s="18">
        <v>4272</v>
      </c>
      <c r="EI26" s="18">
        <v>3918</v>
      </c>
      <c r="EJ26" s="19">
        <v>4300</v>
      </c>
      <c r="EK26" s="100">
        <v>4027</v>
      </c>
      <c r="EL26" s="18">
        <v>4289</v>
      </c>
      <c r="EM26" s="18">
        <v>4346</v>
      </c>
      <c r="EN26" s="103">
        <v>4770</v>
      </c>
      <c r="EO26" s="18">
        <v>6619</v>
      </c>
      <c r="EP26" s="18">
        <v>2812</v>
      </c>
      <c r="EQ26" s="18">
        <v>1614</v>
      </c>
      <c r="ER26" s="18">
        <v>4920</v>
      </c>
      <c r="ES26" s="18">
        <v>4998</v>
      </c>
      <c r="ET26" s="18">
        <v>5376</v>
      </c>
      <c r="EU26" s="18">
        <v>4468</v>
      </c>
      <c r="EV26" s="19">
        <v>6113</v>
      </c>
      <c r="EW26" s="103">
        <v>6483</v>
      </c>
      <c r="EX26" s="18">
        <v>5479</v>
      </c>
      <c r="EY26" s="18">
        <v>4762</v>
      </c>
      <c r="EZ26" s="103">
        <v>5216</v>
      </c>
      <c r="FA26" s="18">
        <v>5687</v>
      </c>
      <c r="FB26" s="149">
        <v>5603</v>
      </c>
      <c r="FC26" s="18">
        <v>4288</v>
      </c>
      <c r="FD26" s="18">
        <v>5661</v>
      </c>
      <c r="FE26" s="149">
        <v>6348</v>
      </c>
      <c r="FF26" s="149">
        <v>4357</v>
      </c>
      <c r="FG26" s="149">
        <v>10137</v>
      </c>
      <c r="FH26" s="155">
        <v>12358</v>
      </c>
      <c r="FI26" s="103">
        <f>'Average Weekday Boardings'!FI26*20</f>
        <v>5640</v>
      </c>
      <c r="FJ26" s="18">
        <f>'Average Weekday Boardings'!FJ26*23</f>
        <v>5754</v>
      </c>
      <c r="FK26" s="18">
        <f>'Average Weekday Boardings'!FK26*21</f>
        <v>7608</v>
      </c>
      <c r="FL26" s="103">
        <v>5451</v>
      </c>
      <c r="FM26" s="18">
        <v>6642</v>
      </c>
      <c r="FN26" s="149">
        <v>5591</v>
      </c>
      <c r="FO26" s="18">
        <v>5647</v>
      </c>
      <c r="FP26" s="18">
        <v>7046</v>
      </c>
      <c r="FQ26" s="149">
        <v>9470</v>
      </c>
      <c r="FR26" s="149">
        <v>10021</v>
      </c>
      <c r="FS26" s="149">
        <v>9085</v>
      </c>
      <c r="FT26" s="155">
        <v>8909</v>
      </c>
      <c r="FU26" s="169">
        <v>7721</v>
      </c>
      <c r="FV26" s="169">
        <v>6997</v>
      </c>
      <c r="FW26" s="169">
        <v>6432</v>
      </c>
      <c r="FX26" s="169">
        <v>14625</v>
      </c>
      <c r="FY26" s="169">
        <v>8682</v>
      </c>
      <c r="FZ26" s="169">
        <v>7437</v>
      </c>
      <c r="GA26" s="169">
        <v>7701</v>
      </c>
      <c r="GB26" s="18">
        <v>11571</v>
      </c>
      <c r="GC26" s="52">
        <v>8239</v>
      </c>
      <c r="GD26" s="18">
        <v>10654</v>
      </c>
      <c r="GE26" s="18">
        <v>8238</v>
      </c>
      <c r="GF26" s="52">
        <v>8606</v>
      </c>
      <c r="GG26" s="18">
        <v>7663</v>
      </c>
      <c r="GH26" s="18">
        <v>9429</v>
      </c>
      <c r="GI26" s="52">
        <v>9086</v>
      </c>
      <c r="GJ26" s="242">
        <v>6877</v>
      </c>
      <c r="GK26" s="184">
        <v>7312</v>
      </c>
      <c r="GL26" s="184">
        <v>5606</v>
      </c>
    </row>
    <row r="27" spans="1:194" x14ac:dyDescent="0.3">
      <c r="A27" s="3" t="s">
        <v>40</v>
      </c>
      <c r="B27" s="17"/>
      <c r="C27" s="18">
        <v>5089</v>
      </c>
      <c r="D27" s="18">
        <v>5349</v>
      </c>
      <c r="E27" s="18">
        <v>5399</v>
      </c>
      <c r="F27" s="18">
        <v>5689</v>
      </c>
      <c r="G27" s="18">
        <v>5329</v>
      </c>
      <c r="H27" s="19">
        <v>6437</v>
      </c>
      <c r="I27" s="17">
        <v>5412</v>
      </c>
      <c r="J27" s="18">
        <v>6441</v>
      </c>
      <c r="K27" s="18">
        <v>6529</v>
      </c>
      <c r="L27" s="18">
        <v>5332</v>
      </c>
      <c r="M27" s="18">
        <v>5562</v>
      </c>
      <c r="N27" s="18">
        <v>7408</v>
      </c>
      <c r="O27" s="62">
        <v>4644</v>
      </c>
      <c r="P27" s="62">
        <v>7575</v>
      </c>
      <c r="Q27" s="62">
        <v>8928</v>
      </c>
      <c r="R27" s="62">
        <v>6111</v>
      </c>
      <c r="S27" s="62">
        <v>4384</v>
      </c>
      <c r="T27" s="63">
        <v>4933</v>
      </c>
      <c r="U27" s="64">
        <v>4037</v>
      </c>
      <c r="V27" s="62">
        <v>4925</v>
      </c>
      <c r="W27" s="62">
        <v>5489</v>
      </c>
      <c r="X27" s="62">
        <v>5165</v>
      </c>
      <c r="Y27" s="62">
        <v>4912</v>
      </c>
      <c r="Z27" s="62">
        <v>4674</v>
      </c>
      <c r="AA27" s="18">
        <v>7028</v>
      </c>
      <c r="AB27" s="18">
        <v>6539</v>
      </c>
      <c r="AC27" s="18">
        <v>7604</v>
      </c>
      <c r="AD27" s="18">
        <v>7486</v>
      </c>
      <c r="AE27" s="18">
        <v>7001</v>
      </c>
      <c r="AF27" s="19">
        <v>7371</v>
      </c>
      <c r="AG27" s="17">
        <v>6540</v>
      </c>
      <c r="AH27" s="18">
        <v>7362</v>
      </c>
      <c r="AI27" s="18">
        <v>7522</v>
      </c>
      <c r="AJ27" s="18">
        <v>7338</v>
      </c>
      <c r="AK27" s="18">
        <v>6312</v>
      </c>
      <c r="AL27" s="18">
        <v>7484</v>
      </c>
      <c r="AM27" s="18">
        <v>7525</v>
      </c>
      <c r="AN27" s="18">
        <v>7505</v>
      </c>
      <c r="AO27" s="18">
        <v>8602</v>
      </c>
      <c r="AP27" s="18">
        <v>8504</v>
      </c>
      <c r="AQ27" s="18">
        <v>9179</v>
      </c>
      <c r="AR27" s="19">
        <v>7914</v>
      </c>
      <c r="AS27" s="17">
        <v>8061</v>
      </c>
      <c r="AT27" s="18">
        <v>8498</v>
      </c>
      <c r="AU27" s="18">
        <v>6071</v>
      </c>
      <c r="AV27" s="18">
        <v>9243</v>
      </c>
      <c r="AW27" s="18">
        <v>7747</v>
      </c>
      <c r="AX27" s="18">
        <v>7449</v>
      </c>
      <c r="AY27" s="18">
        <v>7945</v>
      </c>
      <c r="AZ27" s="18">
        <v>7434</v>
      </c>
      <c r="BA27" s="18">
        <v>8039</v>
      </c>
      <c r="BB27" s="18">
        <v>8769</v>
      </c>
      <c r="BC27" s="18">
        <v>9049</v>
      </c>
      <c r="BD27" s="19">
        <v>7430</v>
      </c>
      <c r="BE27" s="17">
        <v>7918</v>
      </c>
      <c r="BF27" s="18">
        <v>8931</v>
      </c>
      <c r="BG27" s="18">
        <v>8386</v>
      </c>
      <c r="BH27" s="18">
        <v>9605</v>
      </c>
      <c r="BI27" s="18">
        <v>7887.1015751216246</v>
      </c>
      <c r="BJ27" s="18">
        <v>7441</v>
      </c>
      <c r="BK27" s="18">
        <v>8977</v>
      </c>
      <c r="BL27" s="18">
        <v>8508</v>
      </c>
      <c r="BM27" s="18">
        <v>13215</v>
      </c>
      <c r="BN27" s="18">
        <v>9465</v>
      </c>
      <c r="BO27" s="18">
        <v>8661</v>
      </c>
      <c r="BP27" s="19">
        <v>8011</v>
      </c>
      <c r="BQ27" s="17">
        <v>8222</v>
      </c>
      <c r="BR27" s="18">
        <v>8211</v>
      </c>
      <c r="BS27" s="18">
        <v>8550</v>
      </c>
      <c r="BT27" s="18">
        <v>9450</v>
      </c>
      <c r="BU27" s="18">
        <v>6951</v>
      </c>
      <c r="BV27" s="18">
        <v>8455</v>
      </c>
      <c r="BW27" s="18">
        <v>9389</v>
      </c>
      <c r="BX27" s="18">
        <v>7989</v>
      </c>
      <c r="BY27" s="18">
        <v>8963</v>
      </c>
      <c r="BZ27" s="18">
        <v>8598</v>
      </c>
      <c r="CA27" s="18">
        <v>7759</v>
      </c>
      <c r="CB27" s="19">
        <v>7902</v>
      </c>
      <c r="CC27" s="20">
        <v>8024</v>
      </c>
      <c r="CD27" s="18">
        <v>8053</v>
      </c>
      <c r="CE27" s="18">
        <v>8908</v>
      </c>
      <c r="CF27" s="18">
        <v>9251</v>
      </c>
      <c r="CG27" s="18">
        <v>8419</v>
      </c>
      <c r="CH27" s="18">
        <v>8732</v>
      </c>
      <c r="CI27" s="18">
        <v>8472</v>
      </c>
      <c r="CJ27" s="18">
        <v>8595</v>
      </c>
      <c r="CK27" s="18">
        <v>9744</v>
      </c>
      <c r="CL27" s="18">
        <v>9432</v>
      </c>
      <c r="CM27" s="18">
        <v>6431</v>
      </c>
      <c r="CN27" s="21">
        <v>9583</v>
      </c>
      <c r="CO27" s="17">
        <v>8017</v>
      </c>
      <c r="CP27" s="18">
        <v>9662</v>
      </c>
      <c r="CQ27" s="18">
        <v>9352</v>
      </c>
      <c r="CR27" s="18">
        <v>9693</v>
      </c>
      <c r="CS27" s="18">
        <v>8379</v>
      </c>
      <c r="CT27" s="18">
        <v>8772</v>
      </c>
      <c r="CU27" s="18">
        <v>9412</v>
      </c>
      <c r="CV27" s="18">
        <v>9043</v>
      </c>
      <c r="CW27" s="18">
        <v>10355</v>
      </c>
      <c r="CX27" s="18">
        <v>9113</v>
      </c>
      <c r="CY27" s="18">
        <v>9215</v>
      </c>
      <c r="CZ27" s="19">
        <v>8863</v>
      </c>
      <c r="DA27" s="17">
        <v>5696</v>
      </c>
      <c r="DB27" s="18">
        <v>9708</v>
      </c>
      <c r="DC27" s="18">
        <v>8369</v>
      </c>
      <c r="DD27" s="18">
        <v>9379</v>
      </c>
      <c r="DE27" s="18">
        <v>7984</v>
      </c>
      <c r="DF27" s="18">
        <v>7957</v>
      </c>
      <c r="DG27" s="18">
        <v>7091</v>
      </c>
      <c r="DH27" s="18">
        <v>6595</v>
      </c>
      <c r="DI27" s="18">
        <v>7477</v>
      </c>
      <c r="DJ27" s="18">
        <v>6880</v>
      </c>
      <c r="DK27" s="18">
        <v>6915</v>
      </c>
      <c r="DL27" s="19">
        <v>5932</v>
      </c>
      <c r="DM27" s="17">
        <v>5929</v>
      </c>
      <c r="DN27" s="18">
        <v>6729</v>
      </c>
      <c r="DO27" s="18">
        <v>5906</v>
      </c>
      <c r="DP27" s="18">
        <v>7615</v>
      </c>
      <c r="DQ27" s="18">
        <v>6955</v>
      </c>
      <c r="DR27" s="18">
        <v>6138</v>
      </c>
      <c r="DS27" s="18">
        <v>7005</v>
      </c>
      <c r="DT27" s="18">
        <v>6471</v>
      </c>
      <c r="DU27" s="18">
        <v>6665</v>
      </c>
      <c r="DV27" s="18">
        <v>2553</v>
      </c>
      <c r="DW27" s="18">
        <v>7480</v>
      </c>
      <c r="DX27" s="19">
        <v>7204</v>
      </c>
      <c r="DY27" s="100">
        <v>7485</v>
      </c>
      <c r="DZ27" s="18">
        <v>7592</v>
      </c>
      <c r="EA27" s="18">
        <v>7388</v>
      </c>
      <c r="EB27" s="18">
        <v>9233</v>
      </c>
      <c r="EC27" s="18">
        <v>8009</v>
      </c>
      <c r="ED27" s="18">
        <v>7496</v>
      </c>
      <c r="EE27" s="18">
        <v>7937</v>
      </c>
      <c r="EF27" s="18">
        <v>7474</v>
      </c>
      <c r="EG27" s="18">
        <v>5159</v>
      </c>
      <c r="EH27" s="18">
        <v>3186</v>
      </c>
      <c r="EI27" s="18">
        <v>2827</v>
      </c>
      <c r="EJ27" s="19">
        <v>2986</v>
      </c>
      <c r="EK27" s="100">
        <v>2795</v>
      </c>
      <c r="EL27" s="18">
        <v>2687</v>
      </c>
      <c r="EM27" s="18">
        <v>3473</v>
      </c>
      <c r="EN27" s="103">
        <v>3076</v>
      </c>
      <c r="EO27" s="18">
        <v>2624</v>
      </c>
      <c r="EP27" s="18">
        <v>2768</v>
      </c>
      <c r="EQ27" s="18">
        <v>1216</v>
      </c>
      <c r="ER27" s="18">
        <v>2504</v>
      </c>
      <c r="ES27" s="18">
        <v>2649</v>
      </c>
      <c r="ET27" s="18">
        <v>2750</v>
      </c>
      <c r="EU27" s="18">
        <v>2448</v>
      </c>
      <c r="EV27" s="19">
        <v>2986</v>
      </c>
      <c r="EW27" s="103">
        <v>2528</v>
      </c>
      <c r="EX27" s="18">
        <v>2929</v>
      </c>
      <c r="EY27" s="18">
        <v>2988</v>
      </c>
      <c r="EZ27" s="103">
        <v>3241</v>
      </c>
      <c r="FA27" s="18">
        <v>3409</v>
      </c>
      <c r="FB27" s="149">
        <v>3385</v>
      </c>
      <c r="FC27" s="18">
        <v>2850</v>
      </c>
      <c r="FD27" s="18">
        <v>3521</v>
      </c>
      <c r="FE27" s="149">
        <v>4370</v>
      </c>
      <c r="FF27" s="149">
        <v>4008</v>
      </c>
      <c r="FG27" s="149">
        <v>4146</v>
      </c>
      <c r="FH27" s="155">
        <v>3698</v>
      </c>
      <c r="FI27" s="103">
        <f>'Average Weekday Boardings'!FI27*20</f>
        <v>2989</v>
      </c>
      <c r="FJ27" s="18">
        <f>'Average Weekday Boardings'!FJ27*23</f>
        <v>3610</v>
      </c>
      <c r="FK27" s="18">
        <f>'Average Weekday Boardings'!FK27*21</f>
        <v>3590</v>
      </c>
      <c r="FL27" s="103">
        <v>3459</v>
      </c>
      <c r="FM27" s="18">
        <v>3184</v>
      </c>
      <c r="FN27" s="149">
        <v>3245</v>
      </c>
      <c r="FO27" s="18">
        <v>3747</v>
      </c>
      <c r="FP27" s="18">
        <v>3499</v>
      </c>
      <c r="FQ27" s="149">
        <v>4519</v>
      </c>
      <c r="FR27" s="149">
        <v>4410</v>
      </c>
      <c r="FS27" s="149">
        <v>4647</v>
      </c>
      <c r="FT27" s="155">
        <v>4265</v>
      </c>
      <c r="FU27" s="169">
        <v>3630</v>
      </c>
      <c r="FV27" s="169">
        <v>4529</v>
      </c>
      <c r="FW27" s="169">
        <v>3984</v>
      </c>
      <c r="FX27" s="169">
        <v>5221</v>
      </c>
      <c r="FY27" s="169">
        <v>4470</v>
      </c>
      <c r="FZ27" s="169">
        <v>4080</v>
      </c>
      <c r="GA27" s="169">
        <v>4656</v>
      </c>
      <c r="GB27" s="18">
        <v>4736</v>
      </c>
      <c r="GC27" s="52">
        <v>4455</v>
      </c>
      <c r="GD27" s="18">
        <v>4274</v>
      </c>
      <c r="GE27" s="18">
        <v>4204</v>
      </c>
      <c r="GF27" s="52">
        <v>3551</v>
      </c>
      <c r="GG27" s="18">
        <v>3622</v>
      </c>
      <c r="GH27" s="18">
        <v>4073</v>
      </c>
      <c r="GI27" s="52">
        <v>3929</v>
      </c>
      <c r="GJ27" s="242">
        <v>4280</v>
      </c>
      <c r="GK27" s="184">
        <v>3731</v>
      </c>
      <c r="GL27" s="184">
        <v>3424</v>
      </c>
    </row>
    <row r="28" spans="1:194" x14ac:dyDescent="0.3">
      <c r="A28" s="3" t="s">
        <v>41</v>
      </c>
      <c r="B28" s="17"/>
      <c r="C28" s="18">
        <v>3101</v>
      </c>
      <c r="D28" s="18">
        <v>5725</v>
      </c>
      <c r="E28" s="18">
        <v>4824</v>
      </c>
      <c r="F28" s="18">
        <v>5574</v>
      </c>
      <c r="G28" s="18">
        <v>4436</v>
      </c>
      <c r="H28" s="19">
        <v>4575</v>
      </c>
      <c r="I28" s="17">
        <v>4188</v>
      </c>
      <c r="J28" s="18">
        <v>4984</v>
      </c>
      <c r="K28" s="18">
        <v>4281</v>
      </c>
      <c r="L28" s="18">
        <v>4420</v>
      </c>
      <c r="M28" s="18">
        <v>3930</v>
      </c>
      <c r="N28" s="18">
        <v>6272</v>
      </c>
      <c r="O28" s="62">
        <v>3857</v>
      </c>
      <c r="P28" s="62">
        <v>4369</v>
      </c>
      <c r="Q28" s="62">
        <v>5335</v>
      </c>
      <c r="R28" s="62">
        <v>5076</v>
      </c>
      <c r="S28" s="62">
        <v>4051</v>
      </c>
      <c r="T28" s="63">
        <v>7084</v>
      </c>
      <c r="U28" s="64">
        <v>6351</v>
      </c>
      <c r="V28" s="62">
        <v>6569</v>
      </c>
      <c r="W28" s="62">
        <v>6685</v>
      </c>
      <c r="X28" s="62">
        <v>6992</v>
      </c>
      <c r="Y28" s="62">
        <v>6492</v>
      </c>
      <c r="Z28" s="62">
        <v>6859</v>
      </c>
      <c r="AA28" s="18">
        <v>4990</v>
      </c>
      <c r="AB28" s="18">
        <v>5198</v>
      </c>
      <c r="AC28" s="18">
        <v>5871</v>
      </c>
      <c r="AD28" s="18">
        <v>6036</v>
      </c>
      <c r="AE28" s="18">
        <v>5389</v>
      </c>
      <c r="AF28" s="19">
        <v>5040</v>
      </c>
      <c r="AG28" s="17">
        <v>4848</v>
      </c>
      <c r="AH28" s="18">
        <v>5683</v>
      </c>
      <c r="AI28" s="18">
        <v>5791</v>
      </c>
      <c r="AJ28" s="18">
        <v>5559</v>
      </c>
      <c r="AK28" s="18">
        <v>4776</v>
      </c>
      <c r="AL28" s="18">
        <v>5185</v>
      </c>
      <c r="AM28" s="18">
        <v>5314</v>
      </c>
      <c r="AN28" s="18">
        <v>5163</v>
      </c>
      <c r="AO28" s="18">
        <v>5916</v>
      </c>
      <c r="AP28" s="18">
        <v>6620</v>
      </c>
      <c r="AQ28" s="18">
        <v>6036</v>
      </c>
      <c r="AR28" s="19">
        <v>5508</v>
      </c>
      <c r="AS28" s="17">
        <v>5048</v>
      </c>
      <c r="AT28" s="18">
        <v>5946</v>
      </c>
      <c r="AU28" s="18">
        <v>7553</v>
      </c>
      <c r="AV28" s="18">
        <v>6589</v>
      </c>
      <c r="AW28" s="18">
        <v>5845</v>
      </c>
      <c r="AX28" s="18">
        <v>5138</v>
      </c>
      <c r="AY28" s="18">
        <v>5724</v>
      </c>
      <c r="AZ28" s="18">
        <v>5585</v>
      </c>
      <c r="BA28" s="18">
        <v>5641</v>
      </c>
      <c r="BB28" s="18">
        <v>6516</v>
      </c>
      <c r="BC28" s="18">
        <v>5913</v>
      </c>
      <c r="BD28" s="19">
        <v>5024</v>
      </c>
      <c r="BE28" s="17">
        <v>5399</v>
      </c>
      <c r="BF28" s="18">
        <v>6007</v>
      </c>
      <c r="BG28" s="18">
        <v>5957</v>
      </c>
      <c r="BH28" s="18">
        <v>6781</v>
      </c>
      <c r="BI28" s="18">
        <v>5591.9933526348386</v>
      </c>
      <c r="BJ28" s="18">
        <v>5323</v>
      </c>
      <c r="BK28" s="18">
        <v>6324</v>
      </c>
      <c r="BL28" s="18">
        <v>6099</v>
      </c>
      <c r="BM28" s="18">
        <v>7242</v>
      </c>
      <c r="BN28" s="18">
        <v>7375</v>
      </c>
      <c r="BO28" s="18">
        <v>6510</v>
      </c>
      <c r="BP28" s="19">
        <v>5878</v>
      </c>
      <c r="BQ28" s="17">
        <v>5934</v>
      </c>
      <c r="BR28" s="18">
        <v>6317</v>
      </c>
      <c r="BS28" s="18">
        <v>6637</v>
      </c>
      <c r="BT28" s="18">
        <v>7575</v>
      </c>
      <c r="BU28" s="18">
        <v>5257</v>
      </c>
      <c r="BV28" s="18">
        <v>5898</v>
      </c>
      <c r="BW28" s="18">
        <v>6277</v>
      </c>
      <c r="BX28" s="18">
        <v>5937</v>
      </c>
      <c r="BY28" s="18">
        <v>6635</v>
      </c>
      <c r="BZ28" s="18">
        <v>7010</v>
      </c>
      <c r="CA28" s="18">
        <v>5786</v>
      </c>
      <c r="CB28" s="19">
        <v>5736</v>
      </c>
      <c r="CC28" s="20">
        <v>5878</v>
      </c>
      <c r="CD28" s="18">
        <v>6144</v>
      </c>
      <c r="CE28" s="18">
        <v>7048</v>
      </c>
      <c r="CF28" s="18">
        <v>7341</v>
      </c>
      <c r="CG28" s="18">
        <v>5957</v>
      </c>
      <c r="CH28" s="18">
        <v>6242</v>
      </c>
      <c r="CI28" s="18">
        <v>5793</v>
      </c>
      <c r="CJ28" s="18">
        <v>6609</v>
      </c>
      <c r="CK28" s="18">
        <v>7567</v>
      </c>
      <c r="CL28" s="18">
        <v>7237</v>
      </c>
      <c r="CM28" s="18">
        <v>9095</v>
      </c>
      <c r="CN28" s="21">
        <v>6676</v>
      </c>
      <c r="CO28" s="17">
        <v>5925</v>
      </c>
      <c r="CP28" s="18">
        <v>7670</v>
      </c>
      <c r="CQ28" s="18">
        <v>7522</v>
      </c>
      <c r="CR28" s="18">
        <v>7410</v>
      </c>
      <c r="CS28" s="18">
        <v>6157</v>
      </c>
      <c r="CT28" s="18">
        <v>6274</v>
      </c>
      <c r="CU28" s="18">
        <v>6645</v>
      </c>
      <c r="CV28" s="18">
        <v>6476</v>
      </c>
      <c r="CW28" s="18">
        <v>7897</v>
      </c>
      <c r="CX28" s="18">
        <v>6783</v>
      </c>
      <c r="CY28" s="18">
        <v>7026</v>
      </c>
      <c r="CZ28" s="19">
        <v>6564</v>
      </c>
      <c r="DA28" s="17">
        <v>7570</v>
      </c>
      <c r="DB28" s="18">
        <v>7076</v>
      </c>
      <c r="DC28" s="18">
        <v>6106</v>
      </c>
      <c r="DD28" s="18">
        <v>7149</v>
      </c>
      <c r="DE28" s="18">
        <v>6421</v>
      </c>
      <c r="DF28" s="18">
        <v>6263</v>
      </c>
      <c r="DG28" s="18">
        <v>9264</v>
      </c>
      <c r="DH28" s="18">
        <v>8400</v>
      </c>
      <c r="DI28" s="18">
        <v>9210</v>
      </c>
      <c r="DJ28" s="18">
        <v>8893</v>
      </c>
      <c r="DK28" s="18">
        <v>9362</v>
      </c>
      <c r="DL28" s="19">
        <v>7985</v>
      </c>
      <c r="DM28" s="17">
        <v>7888</v>
      </c>
      <c r="DN28" s="18">
        <v>9107</v>
      </c>
      <c r="DO28" s="18">
        <v>7599</v>
      </c>
      <c r="DP28" s="18">
        <v>9200</v>
      </c>
      <c r="DQ28" s="18">
        <v>8013</v>
      </c>
      <c r="DR28" s="18">
        <v>7633</v>
      </c>
      <c r="DS28" s="18">
        <v>8797</v>
      </c>
      <c r="DT28" s="18">
        <v>8010</v>
      </c>
      <c r="DU28" s="18">
        <v>7933</v>
      </c>
      <c r="DV28" s="18">
        <v>7085</v>
      </c>
      <c r="DW28" s="18">
        <v>6578</v>
      </c>
      <c r="DX28" s="19">
        <v>5338</v>
      </c>
      <c r="DY28" s="100">
        <v>5441</v>
      </c>
      <c r="DZ28" s="18">
        <v>6013</v>
      </c>
      <c r="EA28" s="18">
        <v>6233</v>
      </c>
      <c r="EB28" s="18">
        <v>7679</v>
      </c>
      <c r="EC28" s="18">
        <v>6745</v>
      </c>
      <c r="ED28" s="18">
        <v>5997</v>
      </c>
      <c r="EE28" s="18">
        <v>6487</v>
      </c>
      <c r="EF28" s="18">
        <v>6208</v>
      </c>
      <c r="EG28" s="18">
        <v>6208</v>
      </c>
      <c r="EH28" s="18">
        <v>4334</v>
      </c>
      <c r="EI28" s="18">
        <v>3862</v>
      </c>
      <c r="EJ28" s="19">
        <v>4140</v>
      </c>
      <c r="EK28" s="100">
        <v>3404</v>
      </c>
      <c r="EL28" s="18">
        <v>3368</v>
      </c>
      <c r="EM28" s="18">
        <v>2720</v>
      </c>
      <c r="EN28" s="103">
        <v>3593</v>
      </c>
      <c r="EO28" s="18">
        <v>3511</v>
      </c>
      <c r="EP28" s="18">
        <v>2399</v>
      </c>
      <c r="EQ28" s="18">
        <v>1421</v>
      </c>
      <c r="ER28" s="18">
        <v>2970</v>
      </c>
      <c r="ES28" s="18">
        <v>3792</v>
      </c>
      <c r="ET28" s="18">
        <v>3197</v>
      </c>
      <c r="EU28" s="18">
        <v>2922</v>
      </c>
      <c r="EV28" s="19">
        <v>3450</v>
      </c>
      <c r="EW28" s="103">
        <v>3414</v>
      </c>
      <c r="EX28" s="18">
        <v>3688</v>
      </c>
      <c r="EY28" s="18">
        <v>3573</v>
      </c>
      <c r="EZ28" s="103">
        <v>3854</v>
      </c>
      <c r="FA28" s="18">
        <v>3893</v>
      </c>
      <c r="FB28" s="149">
        <v>3964</v>
      </c>
      <c r="FC28" s="18">
        <v>3716</v>
      </c>
      <c r="FD28" s="18">
        <v>4446</v>
      </c>
      <c r="FE28" s="149">
        <v>5209</v>
      </c>
      <c r="FF28" s="149">
        <v>6178</v>
      </c>
      <c r="FG28" s="149">
        <v>6347</v>
      </c>
      <c r="FH28" s="155">
        <v>4841</v>
      </c>
      <c r="FI28" s="103">
        <f>'Average Weekday Boardings'!FI28*20</f>
        <v>3539</v>
      </c>
      <c r="FJ28" s="18">
        <f>'Average Weekday Boardings'!FJ28*23</f>
        <v>4077.0000000000005</v>
      </c>
      <c r="FK28" s="18">
        <f>'Average Weekday Boardings'!FK28*21</f>
        <v>4155</v>
      </c>
      <c r="FL28" s="103">
        <v>4059</v>
      </c>
      <c r="FM28" s="18">
        <v>4064</v>
      </c>
      <c r="FN28" s="149">
        <v>4075</v>
      </c>
      <c r="FO28" s="18">
        <v>4494</v>
      </c>
      <c r="FP28" s="18">
        <v>4265</v>
      </c>
      <c r="FQ28" s="149">
        <v>5397</v>
      </c>
      <c r="FR28" s="149">
        <v>5017</v>
      </c>
      <c r="FS28" s="149">
        <v>5395</v>
      </c>
      <c r="FT28" s="155">
        <v>4818</v>
      </c>
      <c r="FU28" s="169">
        <v>4212</v>
      </c>
      <c r="FV28" s="169">
        <v>4748</v>
      </c>
      <c r="FW28" s="169">
        <v>4690</v>
      </c>
      <c r="FX28" s="169">
        <v>5332</v>
      </c>
      <c r="FY28" s="169">
        <v>4678</v>
      </c>
      <c r="FZ28" s="169">
        <v>4074</v>
      </c>
      <c r="GA28" s="169">
        <v>5143</v>
      </c>
      <c r="GB28" s="18">
        <v>4898</v>
      </c>
      <c r="GC28" s="52">
        <v>4803</v>
      </c>
      <c r="GD28" s="18">
        <v>4535</v>
      </c>
      <c r="GE28" s="18">
        <v>4668</v>
      </c>
      <c r="GF28" s="52">
        <v>4288</v>
      </c>
      <c r="GG28" s="18">
        <v>4797</v>
      </c>
      <c r="GH28" s="18">
        <v>4988</v>
      </c>
      <c r="GI28" s="52">
        <v>4722</v>
      </c>
      <c r="GJ28" s="242">
        <v>4935</v>
      </c>
      <c r="GK28" s="184">
        <v>4499</v>
      </c>
      <c r="GL28" s="184">
        <v>4047</v>
      </c>
    </row>
    <row r="29" spans="1:194" x14ac:dyDescent="0.3">
      <c r="A29" s="3" t="s">
        <v>42</v>
      </c>
      <c r="B29" s="17"/>
      <c r="C29" s="18">
        <v>7638</v>
      </c>
      <c r="D29" s="18">
        <v>9906</v>
      </c>
      <c r="E29" s="18">
        <v>12008</v>
      </c>
      <c r="F29" s="18">
        <v>6578</v>
      </c>
      <c r="G29" s="18">
        <v>6191</v>
      </c>
      <c r="H29" s="19">
        <v>6784</v>
      </c>
      <c r="I29" s="17">
        <v>6829</v>
      </c>
      <c r="J29" s="18">
        <v>8128</v>
      </c>
      <c r="K29" s="18">
        <v>8776</v>
      </c>
      <c r="L29" s="18">
        <v>7875</v>
      </c>
      <c r="M29" s="18">
        <v>8057</v>
      </c>
      <c r="N29" s="18">
        <v>8343</v>
      </c>
      <c r="O29" s="62">
        <v>6872</v>
      </c>
      <c r="P29" s="62">
        <v>8532</v>
      </c>
      <c r="Q29" s="62">
        <v>9919</v>
      </c>
      <c r="R29" s="62">
        <v>9044</v>
      </c>
      <c r="S29" s="62">
        <v>7043</v>
      </c>
      <c r="T29" s="63">
        <v>8557</v>
      </c>
      <c r="U29" s="64">
        <v>7527</v>
      </c>
      <c r="V29" s="62">
        <v>8797</v>
      </c>
      <c r="W29" s="62">
        <v>9292</v>
      </c>
      <c r="X29" s="62">
        <v>8970</v>
      </c>
      <c r="Y29" s="62">
        <v>8279</v>
      </c>
      <c r="Z29" s="62">
        <v>9121</v>
      </c>
      <c r="AA29" s="18">
        <v>9777</v>
      </c>
      <c r="AB29" s="18">
        <v>9285</v>
      </c>
      <c r="AC29" s="18">
        <v>11328</v>
      </c>
      <c r="AD29" s="18">
        <v>10965</v>
      </c>
      <c r="AE29" s="18">
        <v>10290</v>
      </c>
      <c r="AF29" s="19">
        <v>9769</v>
      </c>
      <c r="AG29" s="17">
        <v>8511</v>
      </c>
      <c r="AH29" s="18">
        <v>10666</v>
      </c>
      <c r="AI29" s="18">
        <v>10705</v>
      </c>
      <c r="AJ29" s="18">
        <v>10573</v>
      </c>
      <c r="AK29" s="18">
        <v>9251</v>
      </c>
      <c r="AL29" s="18">
        <v>9502</v>
      </c>
      <c r="AM29" s="18">
        <v>10183</v>
      </c>
      <c r="AN29" s="18">
        <v>9880</v>
      </c>
      <c r="AO29" s="18">
        <v>10646</v>
      </c>
      <c r="AP29" s="18">
        <v>11569</v>
      </c>
      <c r="AQ29" s="18">
        <v>11375</v>
      </c>
      <c r="AR29" s="19">
        <v>10515</v>
      </c>
      <c r="AS29" s="17">
        <v>9897</v>
      </c>
      <c r="AT29" s="18">
        <v>12027</v>
      </c>
      <c r="AU29" s="18">
        <v>10288</v>
      </c>
      <c r="AV29" s="18">
        <v>13706</v>
      </c>
      <c r="AW29" s="18">
        <v>11898</v>
      </c>
      <c r="AX29" s="18">
        <v>11116</v>
      </c>
      <c r="AY29" s="18">
        <v>11558</v>
      </c>
      <c r="AZ29" s="18">
        <v>11660</v>
      </c>
      <c r="BA29" s="18">
        <v>12106</v>
      </c>
      <c r="BB29" s="18">
        <v>13002</v>
      </c>
      <c r="BC29" s="18">
        <v>12387</v>
      </c>
      <c r="BD29" s="19">
        <v>10123</v>
      </c>
      <c r="BE29" s="17">
        <v>11223</v>
      </c>
      <c r="BF29" s="18">
        <v>12432</v>
      </c>
      <c r="BG29" s="18">
        <v>12028</v>
      </c>
      <c r="BH29" s="18">
        <v>14393</v>
      </c>
      <c r="BI29" s="18">
        <v>11893.200366987572</v>
      </c>
      <c r="BJ29" s="18">
        <v>11380</v>
      </c>
      <c r="BK29" s="18">
        <v>12813</v>
      </c>
      <c r="BL29" s="18">
        <v>11474</v>
      </c>
      <c r="BM29" s="18">
        <v>12640</v>
      </c>
      <c r="BN29" s="18">
        <v>13022</v>
      </c>
      <c r="BO29" s="18">
        <v>11495</v>
      </c>
      <c r="BP29" s="19">
        <v>10466</v>
      </c>
      <c r="BQ29" s="17">
        <v>11034</v>
      </c>
      <c r="BR29" s="18">
        <v>11639</v>
      </c>
      <c r="BS29" s="18">
        <v>12390</v>
      </c>
      <c r="BT29" s="18">
        <v>14333</v>
      </c>
      <c r="BU29" s="18">
        <v>10495</v>
      </c>
      <c r="BV29" s="18">
        <v>12119</v>
      </c>
      <c r="BW29" s="18">
        <v>12358</v>
      </c>
      <c r="BX29" s="18">
        <v>11484</v>
      </c>
      <c r="BY29" s="18">
        <v>12895</v>
      </c>
      <c r="BZ29" s="18">
        <v>13145</v>
      </c>
      <c r="CA29" s="18">
        <v>10199</v>
      </c>
      <c r="CB29" s="19">
        <v>10900</v>
      </c>
      <c r="CC29" s="20">
        <v>11020</v>
      </c>
      <c r="CD29" s="18">
        <v>11213</v>
      </c>
      <c r="CE29" s="18">
        <v>13169</v>
      </c>
      <c r="CF29" s="18">
        <v>13972</v>
      </c>
      <c r="CG29" s="18">
        <v>11434</v>
      </c>
      <c r="CH29" s="18">
        <v>12690</v>
      </c>
      <c r="CI29" s="18">
        <v>10969</v>
      </c>
      <c r="CJ29" s="18">
        <v>12014</v>
      </c>
      <c r="CK29" s="18">
        <v>14015</v>
      </c>
      <c r="CL29" s="18">
        <v>12989</v>
      </c>
      <c r="CM29" s="18">
        <v>11288</v>
      </c>
      <c r="CN29" s="21">
        <v>13766</v>
      </c>
      <c r="CO29" s="17">
        <v>9823</v>
      </c>
      <c r="CP29" s="18">
        <v>12143</v>
      </c>
      <c r="CQ29" s="18">
        <v>12031</v>
      </c>
      <c r="CR29" s="18">
        <v>11909</v>
      </c>
      <c r="CS29" s="18">
        <v>10191</v>
      </c>
      <c r="CT29" s="18">
        <v>10644</v>
      </c>
      <c r="CU29" s="18">
        <v>10553</v>
      </c>
      <c r="CV29" s="18">
        <v>10216</v>
      </c>
      <c r="CW29" s="18">
        <v>11600</v>
      </c>
      <c r="CX29" s="18">
        <v>10138</v>
      </c>
      <c r="CY29" s="18">
        <v>10265</v>
      </c>
      <c r="CZ29" s="19">
        <v>9736</v>
      </c>
      <c r="DA29" s="17">
        <v>8924</v>
      </c>
      <c r="DB29" s="18">
        <v>11102</v>
      </c>
      <c r="DC29" s="18">
        <v>9863</v>
      </c>
      <c r="DD29" s="18">
        <v>11238</v>
      </c>
      <c r="DE29" s="18">
        <v>9415</v>
      </c>
      <c r="DF29" s="18">
        <v>9766</v>
      </c>
      <c r="DG29" s="18">
        <v>10376</v>
      </c>
      <c r="DH29" s="18">
        <v>9584</v>
      </c>
      <c r="DI29" s="18">
        <v>11337</v>
      </c>
      <c r="DJ29" s="18">
        <v>10585</v>
      </c>
      <c r="DK29" s="18">
        <v>10876</v>
      </c>
      <c r="DL29" s="19">
        <v>10095</v>
      </c>
      <c r="DM29" s="17">
        <v>9572</v>
      </c>
      <c r="DN29" s="18">
        <v>10279</v>
      </c>
      <c r="DO29" s="18">
        <v>8605</v>
      </c>
      <c r="DP29" s="18">
        <v>10901</v>
      </c>
      <c r="DQ29" s="18">
        <v>10082</v>
      </c>
      <c r="DR29" s="18">
        <v>9562</v>
      </c>
      <c r="DS29" s="18">
        <v>10273</v>
      </c>
      <c r="DT29" s="18">
        <v>9458</v>
      </c>
      <c r="DU29" s="18">
        <v>9501</v>
      </c>
      <c r="DV29" s="18">
        <v>9943</v>
      </c>
      <c r="DW29" s="18">
        <v>9238</v>
      </c>
      <c r="DX29" s="19">
        <v>7805</v>
      </c>
      <c r="DY29" s="100">
        <v>7659</v>
      </c>
      <c r="DZ29" s="18">
        <v>8394</v>
      </c>
      <c r="EA29" s="18">
        <v>8093</v>
      </c>
      <c r="EB29" s="18">
        <v>9818</v>
      </c>
      <c r="EC29" s="18">
        <v>8900</v>
      </c>
      <c r="ED29" s="18">
        <v>8202</v>
      </c>
      <c r="EE29" s="18">
        <v>9275</v>
      </c>
      <c r="EF29" s="18">
        <v>8748</v>
      </c>
      <c r="EG29" s="18">
        <v>9325</v>
      </c>
      <c r="EH29" s="18">
        <v>6119</v>
      </c>
      <c r="EI29" s="18">
        <v>5589</v>
      </c>
      <c r="EJ29" s="19">
        <v>6182</v>
      </c>
      <c r="EK29" s="100">
        <v>5514</v>
      </c>
      <c r="EL29" s="18">
        <v>5496</v>
      </c>
      <c r="EM29" s="18">
        <v>4524</v>
      </c>
      <c r="EN29" s="103">
        <v>5981</v>
      </c>
      <c r="EO29" s="18">
        <v>4198</v>
      </c>
      <c r="EP29" s="18">
        <v>3590</v>
      </c>
      <c r="EQ29" s="18">
        <v>2035</v>
      </c>
      <c r="ER29" s="18">
        <v>4015</v>
      </c>
      <c r="ES29" s="18">
        <v>4339</v>
      </c>
      <c r="ET29" s="18">
        <v>4755</v>
      </c>
      <c r="EU29" s="18">
        <v>4011</v>
      </c>
      <c r="EV29" s="19">
        <v>4787</v>
      </c>
      <c r="EW29" s="103">
        <v>4045</v>
      </c>
      <c r="EX29" s="18">
        <v>4823</v>
      </c>
      <c r="EY29" s="18">
        <v>4360</v>
      </c>
      <c r="EZ29" s="103">
        <v>4832</v>
      </c>
      <c r="FA29" s="18">
        <v>4821</v>
      </c>
      <c r="FB29" s="149">
        <v>4885</v>
      </c>
      <c r="FC29" s="18">
        <v>4499</v>
      </c>
      <c r="FD29" s="18">
        <v>5412</v>
      </c>
      <c r="FE29" s="149">
        <v>7021</v>
      </c>
      <c r="FF29" s="149">
        <v>5793</v>
      </c>
      <c r="FG29" s="149">
        <v>6013</v>
      </c>
      <c r="FH29" s="155">
        <v>4972</v>
      </c>
      <c r="FI29" s="103">
        <f>'Average Weekday Boardings'!FI29*20</f>
        <v>4618</v>
      </c>
      <c r="FJ29" s="18">
        <f>'Average Weekday Boardings'!FJ29*23</f>
        <v>5454</v>
      </c>
      <c r="FK29" s="18">
        <f>'Average Weekday Boardings'!FK29*21</f>
        <v>5185</v>
      </c>
      <c r="FL29" s="103">
        <v>5439</v>
      </c>
      <c r="FM29" s="18">
        <v>5125</v>
      </c>
      <c r="FN29" s="149">
        <v>5013</v>
      </c>
      <c r="FO29" s="18">
        <v>5841</v>
      </c>
      <c r="FP29" s="18">
        <v>5049</v>
      </c>
      <c r="FQ29" s="149">
        <v>6721</v>
      </c>
      <c r="FR29" s="149">
        <v>6106</v>
      </c>
      <c r="FS29" s="149">
        <v>6607</v>
      </c>
      <c r="FT29" s="155">
        <v>5828</v>
      </c>
      <c r="FU29" s="169">
        <v>5540</v>
      </c>
      <c r="FV29" s="169">
        <v>6148</v>
      </c>
      <c r="FW29" s="169">
        <v>5462</v>
      </c>
      <c r="FX29" s="169">
        <v>6587</v>
      </c>
      <c r="FY29" s="169">
        <v>6074</v>
      </c>
      <c r="FZ29" s="169">
        <v>5709</v>
      </c>
      <c r="GA29" s="169">
        <v>6255</v>
      </c>
      <c r="GB29" s="18">
        <v>6549</v>
      </c>
      <c r="GC29" s="52">
        <v>6417</v>
      </c>
      <c r="GD29" s="18">
        <v>5937</v>
      </c>
      <c r="GE29" s="18">
        <v>6182</v>
      </c>
      <c r="GF29" s="52">
        <v>5690</v>
      </c>
      <c r="GG29" s="18">
        <v>5908</v>
      </c>
      <c r="GH29" s="18">
        <v>6402</v>
      </c>
      <c r="GI29" s="52">
        <v>5868</v>
      </c>
      <c r="GJ29" s="242">
        <v>7166</v>
      </c>
      <c r="GK29" s="184">
        <v>5744</v>
      </c>
      <c r="GL29" s="184">
        <v>5420</v>
      </c>
    </row>
    <row r="30" spans="1:194" x14ac:dyDescent="0.3">
      <c r="A30" s="3" t="s">
        <v>43</v>
      </c>
      <c r="B30" s="17"/>
      <c r="C30" s="18">
        <v>841</v>
      </c>
      <c r="D30" s="18">
        <v>1450</v>
      </c>
      <c r="E30" s="18">
        <v>1450</v>
      </c>
      <c r="F30" s="18">
        <v>6310</v>
      </c>
      <c r="G30" s="18">
        <v>6464</v>
      </c>
      <c r="H30" s="19">
        <v>6751</v>
      </c>
      <c r="I30" s="17">
        <v>6468</v>
      </c>
      <c r="J30" s="18">
        <v>7699</v>
      </c>
      <c r="K30" s="18">
        <v>5337</v>
      </c>
      <c r="L30" s="18">
        <v>7489</v>
      </c>
      <c r="M30" s="18">
        <v>7468</v>
      </c>
      <c r="N30" s="18">
        <v>7334</v>
      </c>
      <c r="O30" s="62">
        <v>6535</v>
      </c>
      <c r="P30" s="62">
        <v>7502</v>
      </c>
      <c r="Q30" s="62">
        <v>8644</v>
      </c>
      <c r="R30" s="62">
        <v>8689</v>
      </c>
      <c r="S30" s="62">
        <v>6328</v>
      </c>
      <c r="T30" s="63">
        <v>9262</v>
      </c>
      <c r="U30" s="64">
        <v>7818</v>
      </c>
      <c r="V30" s="62">
        <v>9705</v>
      </c>
      <c r="W30" s="62">
        <v>11067</v>
      </c>
      <c r="X30" s="62">
        <v>11792</v>
      </c>
      <c r="Y30" s="62">
        <v>10314</v>
      </c>
      <c r="Z30" s="62">
        <v>10569</v>
      </c>
      <c r="AA30" s="18">
        <v>11621</v>
      </c>
      <c r="AB30" s="18">
        <v>10653</v>
      </c>
      <c r="AC30" s="18">
        <v>12042</v>
      </c>
      <c r="AD30" s="18">
        <v>12188</v>
      </c>
      <c r="AE30" s="18">
        <v>10210</v>
      </c>
      <c r="AF30" s="19">
        <v>9445</v>
      </c>
      <c r="AG30" s="17">
        <v>8748</v>
      </c>
      <c r="AH30" s="18">
        <v>11468</v>
      </c>
      <c r="AI30" s="18">
        <v>11143</v>
      </c>
      <c r="AJ30" s="18">
        <v>11338</v>
      </c>
      <c r="AK30" s="18">
        <v>9717</v>
      </c>
      <c r="AL30" s="18">
        <v>10024</v>
      </c>
      <c r="AM30" s="18">
        <v>11051</v>
      </c>
      <c r="AN30" s="18">
        <v>11034</v>
      </c>
      <c r="AO30" s="18">
        <v>12436</v>
      </c>
      <c r="AP30" s="18">
        <v>11669</v>
      </c>
      <c r="AQ30" s="18">
        <v>11521</v>
      </c>
      <c r="AR30" s="19">
        <v>9979</v>
      </c>
      <c r="AS30" s="17">
        <v>9790</v>
      </c>
      <c r="AT30" s="18">
        <v>11995</v>
      </c>
      <c r="AU30" s="18">
        <v>10933</v>
      </c>
      <c r="AV30" s="18">
        <v>13118</v>
      </c>
      <c r="AW30" s="18">
        <v>12177</v>
      </c>
      <c r="AX30" s="18">
        <v>11181</v>
      </c>
      <c r="AY30" s="18">
        <v>11491</v>
      </c>
      <c r="AZ30" s="18">
        <v>10974</v>
      </c>
      <c r="BA30" s="18">
        <v>11213</v>
      </c>
      <c r="BB30" s="18">
        <v>12222</v>
      </c>
      <c r="BC30" s="18">
        <v>11417</v>
      </c>
      <c r="BD30" s="19">
        <v>10074</v>
      </c>
      <c r="BE30" s="17">
        <v>11254</v>
      </c>
      <c r="BF30" s="18">
        <v>12836</v>
      </c>
      <c r="BG30" s="18">
        <v>11984</v>
      </c>
      <c r="BH30" s="18">
        <v>13586</v>
      </c>
      <c r="BI30" s="18">
        <v>11418.037302024373</v>
      </c>
      <c r="BJ30" s="18">
        <v>11333</v>
      </c>
      <c r="BK30" s="18">
        <v>13238</v>
      </c>
      <c r="BL30" s="18">
        <v>11377</v>
      </c>
      <c r="BM30" s="18">
        <v>12671</v>
      </c>
      <c r="BN30" s="18">
        <v>12274</v>
      </c>
      <c r="BO30" s="18">
        <v>11684</v>
      </c>
      <c r="BP30" s="19">
        <v>10926</v>
      </c>
      <c r="BQ30" s="17">
        <v>10880</v>
      </c>
      <c r="BR30" s="18">
        <v>11335</v>
      </c>
      <c r="BS30" s="18">
        <v>12110</v>
      </c>
      <c r="BT30" s="18">
        <v>13515</v>
      </c>
      <c r="BU30" s="18">
        <v>9759</v>
      </c>
      <c r="BV30" s="18">
        <v>11906</v>
      </c>
      <c r="BW30" s="18">
        <v>12176</v>
      </c>
      <c r="BX30" s="18">
        <v>11281</v>
      </c>
      <c r="BY30" s="18">
        <v>12625</v>
      </c>
      <c r="BZ30" s="18">
        <v>12477</v>
      </c>
      <c r="CA30" s="18">
        <v>11157</v>
      </c>
      <c r="CB30" s="19">
        <v>12504</v>
      </c>
      <c r="CC30" s="20">
        <v>11731</v>
      </c>
      <c r="CD30" s="18">
        <v>12272</v>
      </c>
      <c r="CE30" s="18">
        <v>12751</v>
      </c>
      <c r="CF30" s="18">
        <v>13149</v>
      </c>
      <c r="CG30" s="18">
        <v>10645</v>
      </c>
      <c r="CH30" s="18">
        <v>12047</v>
      </c>
      <c r="CI30" s="18">
        <v>11508</v>
      </c>
      <c r="CJ30" s="18">
        <v>11850</v>
      </c>
      <c r="CK30" s="18">
        <v>13463</v>
      </c>
      <c r="CL30" s="18">
        <v>11729</v>
      </c>
      <c r="CM30" s="18">
        <v>13116</v>
      </c>
      <c r="CN30" s="21">
        <v>11191</v>
      </c>
      <c r="CO30" s="17">
        <v>11343</v>
      </c>
      <c r="CP30" s="18">
        <v>13884</v>
      </c>
      <c r="CQ30" s="18">
        <v>13014</v>
      </c>
      <c r="CR30" s="18">
        <v>12921</v>
      </c>
      <c r="CS30" s="18">
        <v>11393</v>
      </c>
      <c r="CT30" s="18">
        <v>12281</v>
      </c>
      <c r="CU30" s="18">
        <v>12159</v>
      </c>
      <c r="CV30" s="18">
        <v>11567</v>
      </c>
      <c r="CW30" s="18">
        <v>13938</v>
      </c>
      <c r="CX30" s="18">
        <v>12142</v>
      </c>
      <c r="CY30" s="18">
        <v>12750</v>
      </c>
      <c r="CZ30" s="19">
        <v>12374</v>
      </c>
      <c r="DA30" s="17">
        <v>11866</v>
      </c>
      <c r="DB30" s="18">
        <v>14452</v>
      </c>
      <c r="DC30" s="18">
        <v>12831</v>
      </c>
      <c r="DD30" s="18">
        <v>13122</v>
      </c>
      <c r="DE30" s="18">
        <v>11195</v>
      </c>
      <c r="DF30" s="18">
        <v>11334</v>
      </c>
      <c r="DG30" s="18">
        <v>12085</v>
      </c>
      <c r="DH30" s="18">
        <v>11385</v>
      </c>
      <c r="DI30" s="18">
        <v>13183</v>
      </c>
      <c r="DJ30" s="18">
        <v>12373</v>
      </c>
      <c r="DK30" s="18">
        <v>12540</v>
      </c>
      <c r="DL30" s="19">
        <v>11490</v>
      </c>
      <c r="DM30" s="17">
        <v>11154</v>
      </c>
      <c r="DN30" s="18">
        <v>13367</v>
      </c>
      <c r="DO30" s="18">
        <v>10500</v>
      </c>
      <c r="DP30" s="18">
        <v>13491</v>
      </c>
      <c r="DQ30" s="18">
        <v>12517</v>
      </c>
      <c r="DR30" s="18">
        <v>11457</v>
      </c>
      <c r="DS30" s="18">
        <v>12508</v>
      </c>
      <c r="DT30" s="18">
        <v>10781</v>
      </c>
      <c r="DU30" s="18">
        <v>11537</v>
      </c>
      <c r="DV30" s="18">
        <v>3401</v>
      </c>
      <c r="DW30" s="18">
        <v>11167</v>
      </c>
      <c r="DX30" s="19">
        <v>9493</v>
      </c>
      <c r="DY30" s="100">
        <v>10240</v>
      </c>
      <c r="DZ30" s="18">
        <v>10312</v>
      </c>
      <c r="EA30" s="18">
        <v>9792</v>
      </c>
      <c r="EB30" s="18">
        <v>11460</v>
      </c>
      <c r="EC30" s="18">
        <v>9756</v>
      </c>
      <c r="ED30" s="18">
        <v>10623</v>
      </c>
      <c r="EE30" s="18">
        <v>11573</v>
      </c>
      <c r="EF30" s="18">
        <v>10365</v>
      </c>
      <c r="EG30" s="18">
        <v>7671</v>
      </c>
      <c r="EH30" s="18">
        <v>5134</v>
      </c>
      <c r="EI30" s="18">
        <v>4783</v>
      </c>
      <c r="EJ30" s="19">
        <v>4729</v>
      </c>
      <c r="EK30" s="100">
        <v>4540</v>
      </c>
      <c r="EL30" s="18">
        <v>4127</v>
      </c>
      <c r="EM30" s="18">
        <v>5383</v>
      </c>
      <c r="EN30" s="103">
        <v>4719</v>
      </c>
      <c r="EO30" s="18">
        <v>5006</v>
      </c>
      <c r="EP30" s="18">
        <v>4539</v>
      </c>
      <c r="EQ30" s="18">
        <v>2059</v>
      </c>
      <c r="ER30" s="18">
        <v>3883</v>
      </c>
      <c r="ES30" s="18">
        <v>4946</v>
      </c>
      <c r="ET30" s="18">
        <v>5054</v>
      </c>
      <c r="EU30" s="18">
        <v>4469</v>
      </c>
      <c r="EV30" s="19">
        <v>5209</v>
      </c>
      <c r="EW30" s="103">
        <v>4793</v>
      </c>
      <c r="EX30" s="18">
        <v>5407</v>
      </c>
      <c r="EY30" s="18">
        <v>5277</v>
      </c>
      <c r="EZ30" s="103">
        <v>6001</v>
      </c>
      <c r="FA30" s="18">
        <v>6580</v>
      </c>
      <c r="FB30" s="149">
        <v>6529</v>
      </c>
      <c r="FC30" s="18">
        <v>5691</v>
      </c>
      <c r="FD30" s="18">
        <v>7027</v>
      </c>
      <c r="FE30" s="149">
        <v>7640</v>
      </c>
      <c r="FF30" s="149">
        <v>6920</v>
      </c>
      <c r="FG30" s="149">
        <v>6343</v>
      </c>
      <c r="FH30" s="155">
        <v>5945</v>
      </c>
      <c r="FI30" s="103">
        <f>'Average Weekday Boardings'!FI30*20</f>
        <v>5686</v>
      </c>
      <c r="FJ30" s="18">
        <f>'Average Weekday Boardings'!FJ30*23</f>
        <v>6845.0000000000009</v>
      </c>
      <c r="FK30" s="18">
        <f>'Average Weekday Boardings'!FK30*21</f>
        <v>7091</v>
      </c>
      <c r="FL30" s="103">
        <v>7055</v>
      </c>
      <c r="FM30" s="18">
        <v>6529</v>
      </c>
      <c r="FN30" s="149">
        <v>6923</v>
      </c>
      <c r="FO30" s="18">
        <v>7398</v>
      </c>
      <c r="FP30" s="18">
        <v>6927</v>
      </c>
      <c r="FQ30" s="149">
        <v>9139</v>
      </c>
      <c r="FR30" s="149">
        <v>8143</v>
      </c>
      <c r="FS30" s="149">
        <v>8422</v>
      </c>
      <c r="FT30" s="155">
        <v>8099</v>
      </c>
      <c r="FU30" s="169">
        <v>7180</v>
      </c>
      <c r="FV30" s="169">
        <v>8503</v>
      </c>
      <c r="FW30" s="169">
        <v>7681</v>
      </c>
      <c r="FX30" s="169">
        <v>9064</v>
      </c>
      <c r="FY30" s="169">
        <v>8652</v>
      </c>
      <c r="FZ30" s="169">
        <v>7396</v>
      </c>
      <c r="GA30" s="169">
        <v>8870</v>
      </c>
      <c r="GB30" s="18">
        <v>9050</v>
      </c>
      <c r="GC30" s="52">
        <v>8833</v>
      </c>
      <c r="GD30" s="18">
        <v>8553</v>
      </c>
      <c r="GE30" s="18">
        <v>8262</v>
      </c>
      <c r="GF30" s="52">
        <v>7607</v>
      </c>
      <c r="GG30" s="18">
        <v>8081</v>
      </c>
      <c r="GH30" s="18">
        <v>8375</v>
      </c>
      <c r="GI30" s="52">
        <v>7663</v>
      </c>
      <c r="GJ30" s="242">
        <v>10745</v>
      </c>
      <c r="GK30" s="184">
        <v>7517</v>
      </c>
      <c r="GL30" s="184">
        <v>7231</v>
      </c>
    </row>
    <row r="31" spans="1:194" x14ac:dyDescent="0.3">
      <c r="A31" s="3" t="s">
        <v>14</v>
      </c>
      <c r="B31" s="17"/>
      <c r="C31" s="18">
        <v>8256</v>
      </c>
      <c r="D31" s="18">
        <v>4256</v>
      </c>
      <c r="E31" s="18">
        <v>4256</v>
      </c>
      <c r="F31" s="18">
        <v>5682</v>
      </c>
      <c r="G31" s="18">
        <v>4424</v>
      </c>
      <c r="H31" s="19">
        <v>6246</v>
      </c>
      <c r="I31" s="17">
        <v>5682</v>
      </c>
      <c r="J31" s="18">
        <v>6680</v>
      </c>
      <c r="K31" s="18">
        <v>7604</v>
      </c>
      <c r="L31" s="18">
        <v>5193</v>
      </c>
      <c r="M31" s="18">
        <v>5915</v>
      </c>
      <c r="N31" s="18">
        <v>7466</v>
      </c>
      <c r="O31" s="62">
        <v>4531</v>
      </c>
      <c r="P31" s="62">
        <v>5569</v>
      </c>
      <c r="Q31" s="62">
        <v>6415</v>
      </c>
      <c r="R31" s="62">
        <v>5963</v>
      </c>
      <c r="S31" s="62">
        <v>4720</v>
      </c>
      <c r="T31" s="63">
        <v>6747</v>
      </c>
      <c r="U31" s="64">
        <v>4589</v>
      </c>
      <c r="V31" s="62">
        <v>5958</v>
      </c>
      <c r="W31" s="62">
        <v>7512</v>
      </c>
      <c r="X31" s="62">
        <v>7248</v>
      </c>
      <c r="Y31" s="62">
        <v>6758</v>
      </c>
      <c r="Z31" s="62">
        <v>6129</v>
      </c>
      <c r="AA31" s="18">
        <v>7480</v>
      </c>
      <c r="AB31" s="18">
        <v>7403</v>
      </c>
      <c r="AC31" s="18">
        <v>8084</v>
      </c>
      <c r="AD31" s="18">
        <v>8434</v>
      </c>
      <c r="AE31" s="18">
        <v>6252</v>
      </c>
      <c r="AF31" s="19">
        <v>6879</v>
      </c>
      <c r="AG31" s="17">
        <v>5359</v>
      </c>
      <c r="AH31" s="18">
        <v>8158</v>
      </c>
      <c r="AI31" s="18">
        <v>8804</v>
      </c>
      <c r="AJ31" s="18">
        <v>7960</v>
      </c>
      <c r="AK31" s="18">
        <v>6345</v>
      </c>
      <c r="AL31" s="18">
        <v>5910</v>
      </c>
      <c r="AM31" s="18">
        <v>7087</v>
      </c>
      <c r="AN31" s="18">
        <v>7279</v>
      </c>
      <c r="AO31" s="18">
        <v>8013</v>
      </c>
      <c r="AP31" s="18">
        <v>8313</v>
      </c>
      <c r="AQ31" s="18">
        <v>7018</v>
      </c>
      <c r="AR31" s="19">
        <v>6130</v>
      </c>
      <c r="AS31" s="17">
        <v>5294</v>
      </c>
      <c r="AT31" s="18">
        <v>7324</v>
      </c>
      <c r="AU31" s="18">
        <v>6609</v>
      </c>
      <c r="AV31" s="18">
        <v>9350</v>
      </c>
      <c r="AW31" s="18">
        <v>7513</v>
      </c>
      <c r="AX31" s="18">
        <v>5981</v>
      </c>
      <c r="AY31" s="18">
        <v>7890</v>
      </c>
      <c r="AZ31" s="18">
        <v>7605</v>
      </c>
      <c r="BA31" s="18">
        <v>7681</v>
      </c>
      <c r="BB31" s="18">
        <v>9076</v>
      </c>
      <c r="BC31" s="18">
        <v>6839</v>
      </c>
      <c r="BD31" s="19">
        <v>5854</v>
      </c>
      <c r="BE31" s="17">
        <v>6021</v>
      </c>
      <c r="BF31" s="18">
        <v>7056</v>
      </c>
      <c r="BG31" s="18">
        <v>7778</v>
      </c>
      <c r="BH31" s="18">
        <v>9586</v>
      </c>
      <c r="BI31" s="18">
        <v>7203.1088828816064</v>
      </c>
      <c r="BJ31" s="18">
        <v>6221</v>
      </c>
      <c r="BK31" s="18">
        <v>8065</v>
      </c>
      <c r="BL31" s="18">
        <v>7908</v>
      </c>
      <c r="BM31" s="18">
        <v>8079</v>
      </c>
      <c r="BN31" s="18">
        <v>8495</v>
      </c>
      <c r="BO31" s="18">
        <v>5760</v>
      </c>
      <c r="BP31" s="19">
        <v>6554</v>
      </c>
      <c r="BQ31" s="17">
        <v>5622</v>
      </c>
      <c r="BR31" s="18">
        <v>6375</v>
      </c>
      <c r="BS31" s="18">
        <v>7468</v>
      </c>
      <c r="BT31" s="18">
        <v>8091</v>
      </c>
      <c r="BU31" s="18">
        <v>6287</v>
      </c>
      <c r="BV31" s="18">
        <v>6557</v>
      </c>
      <c r="BW31" s="18">
        <v>7861</v>
      </c>
      <c r="BX31" s="18">
        <v>7684</v>
      </c>
      <c r="BY31" s="18">
        <v>7990</v>
      </c>
      <c r="BZ31" s="18">
        <v>9116</v>
      </c>
      <c r="CA31" s="18">
        <v>6734</v>
      </c>
      <c r="CB31" s="19">
        <v>6336</v>
      </c>
      <c r="CC31" s="20">
        <v>6119</v>
      </c>
      <c r="CD31" s="18">
        <v>10291</v>
      </c>
      <c r="CE31" s="18">
        <v>21330</v>
      </c>
      <c r="CF31" s="18">
        <v>22396</v>
      </c>
      <c r="CG31" s="18">
        <v>17176</v>
      </c>
      <c r="CH31" s="18">
        <v>17168</v>
      </c>
      <c r="CI31" s="18">
        <v>17273</v>
      </c>
      <c r="CJ31" s="18">
        <v>19059</v>
      </c>
      <c r="CK31" s="18">
        <v>20526</v>
      </c>
      <c r="CL31" s="18">
        <v>21035</v>
      </c>
      <c r="CM31" s="18">
        <v>17617</v>
      </c>
      <c r="CN31" s="21">
        <v>18456</v>
      </c>
      <c r="CO31" s="17">
        <v>14511</v>
      </c>
      <c r="CP31" s="18">
        <v>20249</v>
      </c>
      <c r="CQ31" s="18">
        <v>21215</v>
      </c>
      <c r="CR31" s="18">
        <v>21280</v>
      </c>
      <c r="CS31" s="18">
        <v>18396</v>
      </c>
      <c r="CT31" s="18">
        <v>16708</v>
      </c>
      <c r="CU31" s="18">
        <v>18270</v>
      </c>
      <c r="CV31" s="18">
        <v>18052</v>
      </c>
      <c r="CW31" s="18">
        <v>20845</v>
      </c>
      <c r="CX31" s="18">
        <v>18849</v>
      </c>
      <c r="CY31" s="18">
        <v>17866</v>
      </c>
      <c r="CZ31" s="19">
        <v>15643</v>
      </c>
      <c r="DA31" s="17">
        <v>13289</v>
      </c>
      <c r="DB31" s="18">
        <v>19944</v>
      </c>
      <c r="DC31" s="18">
        <v>18206</v>
      </c>
      <c r="DD31" s="18">
        <v>21615</v>
      </c>
      <c r="DE31" s="18">
        <v>17574</v>
      </c>
      <c r="DF31" s="18">
        <v>14387</v>
      </c>
      <c r="DG31" s="18">
        <v>17442</v>
      </c>
      <c r="DH31" s="18">
        <v>16281</v>
      </c>
      <c r="DI31" s="18">
        <v>18517</v>
      </c>
      <c r="DJ31" s="18">
        <v>18410</v>
      </c>
      <c r="DK31" s="18">
        <v>15825</v>
      </c>
      <c r="DL31" s="19">
        <v>13229</v>
      </c>
      <c r="DM31" s="17">
        <v>12547</v>
      </c>
      <c r="DN31" s="18">
        <v>16366</v>
      </c>
      <c r="DO31" s="18">
        <v>15389</v>
      </c>
      <c r="DP31" s="18">
        <v>18432</v>
      </c>
      <c r="DQ31" s="18">
        <v>15681</v>
      </c>
      <c r="DR31" s="18">
        <v>12588</v>
      </c>
      <c r="DS31" s="18">
        <v>16749</v>
      </c>
      <c r="DT31" s="18">
        <v>15309</v>
      </c>
      <c r="DU31" s="18">
        <v>15363</v>
      </c>
      <c r="DV31" s="18">
        <v>17251</v>
      </c>
      <c r="DW31" s="18">
        <v>15031</v>
      </c>
      <c r="DX31" s="19">
        <v>12857</v>
      </c>
      <c r="DY31" s="100">
        <v>12622</v>
      </c>
      <c r="DZ31" s="18">
        <v>16559</v>
      </c>
      <c r="EA31" s="18">
        <v>16167</v>
      </c>
      <c r="EB31" s="18">
        <v>19042</v>
      </c>
      <c r="EC31" s="18">
        <v>15991</v>
      </c>
      <c r="ED31" s="18">
        <v>14013</v>
      </c>
      <c r="EE31" s="18">
        <v>16119</v>
      </c>
      <c r="EF31" s="18">
        <v>16116</v>
      </c>
      <c r="EG31" s="18">
        <v>11552</v>
      </c>
      <c r="EH31" s="18">
        <v>7038</v>
      </c>
      <c r="EI31" s="18">
        <v>6147</v>
      </c>
      <c r="EJ31" s="19">
        <v>6282</v>
      </c>
      <c r="EK31" s="100">
        <v>6938</v>
      </c>
      <c r="EL31" s="18">
        <v>6075</v>
      </c>
      <c r="EM31" s="18">
        <v>7045</v>
      </c>
      <c r="EN31" s="103">
        <v>7865</v>
      </c>
      <c r="EO31" s="18">
        <v>6614</v>
      </c>
      <c r="EP31" s="18">
        <v>6096</v>
      </c>
      <c r="EQ31" s="18">
        <v>3101</v>
      </c>
      <c r="ER31" s="18">
        <v>6000</v>
      </c>
      <c r="ES31" s="18">
        <v>8733</v>
      </c>
      <c r="ET31" s="18">
        <v>7165</v>
      </c>
      <c r="EU31" s="18">
        <v>6137</v>
      </c>
      <c r="EV31" s="19">
        <v>7189</v>
      </c>
      <c r="EW31" s="103">
        <v>6419</v>
      </c>
      <c r="EX31" s="18">
        <v>7887</v>
      </c>
      <c r="EY31" s="18">
        <v>8114</v>
      </c>
      <c r="EZ31" s="103">
        <v>8596</v>
      </c>
      <c r="FA31" s="18">
        <v>8395</v>
      </c>
      <c r="FB31" s="149">
        <v>7551</v>
      </c>
      <c r="FC31" s="18">
        <v>6966</v>
      </c>
      <c r="FD31" s="18">
        <v>8564</v>
      </c>
      <c r="FE31" s="149">
        <v>10512</v>
      </c>
      <c r="FF31" s="149">
        <v>9575</v>
      </c>
      <c r="FG31" s="149">
        <v>8188</v>
      </c>
      <c r="FH31" s="155">
        <v>6819</v>
      </c>
      <c r="FI31" s="103">
        <f>'Average Weekday Boardings'!FI31*20</f>
        <v>6190</v>
      </c>
      <c r="FJ31" s="18">
        <f>'Average Weekday Boardings'!FJ31*23</f>
        <v>8458</v>
      </c>
      <c r="FK31" s="18">
        <f>'Average Weekday Boardings'!FK31*21</f>
        <v>9166</v>
      </c>
      <c r="FL31" s="103">
        <v>8671</v>
      </c>
      <c r="FM31" s="18">
        <v>8610</v>
      </c>
      <c r="FN31" s="149">
        <v>7182</v>
      </c>
      <c r="FO31" s="18">
        <v>8440</v>
      </c>
      <c r="FP31" s="18">
        <v>8908</v>
      </c>
      <c r="FQ31" s="149">
        <v>10575</v>
      </c>
      <c r="FR31" s="149">
        <v>10168</v>
      </c>
      <c r="FS31" s="149">
        <v>9941</v>
      </c>
      <c r="FT31" s="155">
        <v>8338</v>
      </c>
      <c r="FU31" s="169">
        <v>7224</v>
      </c>
      <c r="FV31" s="169">
        <v>8863</v>
      </c>
      <c r="FW31" s="169">
        <v>8671</v>
      </c>
      <c r="FX31" s="169">
        <v>12920</v>
      </c>
      <c r="FY31" s="169">
        <v>9760</v>
      </c>
      <c r="FZ31" s="169">
        <v>7557</v>
      </c>
      <c r="GA31" s="169">
        <v>9183</v>
      </c>
      <c r="GB31" s="18">
        <v>9891</v>
      </c>
      <c r="GC31" s="52">
        <v>9830</v>
      </c>
      <c r="GD31" s="18">
        <v>10632</v>
      </c>
      <c r="GE31" s="18">
        <v>8712</v>
      </c>
      <c r="GF31" s="52">
        <v>8232</v>
      </c>
      <c r="GG31" s="18">
        <v>8014</v>
      </c>
      <c r="GH31" s="18">
        <v>9624</v>
      </c>
      <c r="GI31" s="52">
        <v>10263</v>
      </c>
      <c r="GJ31" s="242">
        <v>9408</v>
      </c>
      <c r="GK31" s="184">
        <v>7864</v>
      </c>
      <c r="GL31" s="184">
        <v>6727</v>
      </c>
    </row>
    <row r="32" spans="1:194" x14ac:dyDescent="0.3">
      <c r="A32" s="3" t="s">
        <v>15</v>
      </c>
      <c r="B32" s="17"/>
      <c r="C32" s="18">
        <v>27145</v>
      </c>
      <c r="D32" s="18">
        <v>33388</v>
      </c>
      <c r="E32" s="18">
        <v>31489</v>
      </c>
      <c r="F32" s="18">
        <v>40502</v>
      </c>
      <c r="G32" s="18">
        <v>29799</v>
      </c>
      <c r="H32" s="19">
        <v>38340</v>
      </c>
      <c r="I32" s="17">
        <v>29321</v>
      </c>
      <c r="J32" s="18">
        <v>34900</v>
      </c>
      <c r="K32" s="18">
        <v>46873</v>
      </c>
      <c r="L32" s="18">
        <v>51993</v>
      </c>
      <c r="M32" s="18">
        <v>46340</v>
      </c>
      <c r="N32" s="18">
        <v>33702</v>
      </c>
      <c r="O32" s="62">
        <v>45370</v>
      </c>
      <c r="P32" s="62">
        <v>34464</v>
      </c>
      <c r="Q32" s="62">
        <v>39710</v>
      </c>
      <c r="R32" s="62">
        <v>59708</v>
      </c>
      <c r="S32" s="62">
        <v>54979</v>
      </c>
      <c r="T32" s="63">
        <v>22877</v>
      </c>
      <c r="U32" s="64">
        <v>16937</v>
      </c>
      <c r="V32" s="62">
        <v>21037</v>
      </c>
      <c r="W32" s="62">
        <v>23667</v>
      </c>
      <c r="X32" s="62">
        <v>23849</v>
      </c>
      <c r="Y32" s="62">
        <v>20945</v>
      </c>
      <c r="Z32" s="62">
        <v>21262</v>
      </c>
      <c r="AA32" s="18">
        <v>21644</v>
      </c>
      <c r="AB32" s="18">
        <v>22781</v>
      </c>
      <c r="AC32" s="18">
        <v>25872</v>
      </c>
      <c r="AD32" s="18">
        <v>25686</v>
      </c>
      <c r="AE32" s="18">
        <v>22412</v>
      </c>
      <c r="AF32" s="19">
        <v>23467</v>
      </c>
      <c r="AG32" s="17">
        <v>20122</v>
      </c>
      <c r="AH32" s="18">
        <v>27632</v>
      </c>
      <c r="AI32" s="18">
        <v>26627</v>
      </c>
      <c r="AJ32" s="18">
        <v>25886</v>
      </c>
      <c r="AK32" s="18">
        <v>21123</v>
      </c>
      <c r="AL32" s="18">
        <v>21063</v>
      </c>
      <c r="AM32" s="18">
        <v>23426</v>
      </c>
      <c r="AN32" s="18">
        <v>23605</v>
      </c>
      <c r="AO32" s="18">
        <v>26869</v>
      </c>
      <c r="AP32" s="18">
        <v>27929</v>
      </c>
      <c r="AQ32" s="18">
        <v>26133</v>
      </c>
      <c r="AR32" s="19">
        <v>23612</v>
      </c>
      <c r="AS32" s="17">
        <v>21381</v>
      </c>
      <c r="AT32" s="18">
        <v>27013</v>
      </c>
      <c r="AU32" s="18">
        <v>27292</v>
      </c>
      <c r="AV32" s="18">
        <v>33263</v>
      </c>
      <c r="AW32" s="18">
        <v>26379</v>
      </c>
      <c r="AX32" s="18">
        <v>22804</v>
      </c>
      <c r="AY32" s="18">
        <v>26229</v>
      </c>
      <c r="AZ32" s="18">
        <v>24781</v>
      </c>
      <c r="BA32" s="18">
        <v>26145</v>
      </c>
      <c r="BB32" s="18">
        <v>33274</v>
      </c>
      <c r="BC32" s="18">
        <v>29090</v>
      </c>
      <c r="BD32" s="19">
        <v>24566</v>
      </c>
      <c r="BE32" s="17">
        <v>28278</v>
      </c>
      <c r="BF32" s="18">
        <v>30209</v>
      </c>
      <c r="BG32" s="18">
        <v>30533</v>
      </c>
      <c r="BH32" s="18">
        <v>35341</v>
      </c>
      <c r="BI32" s="18">
        <v>27741.048748106219</v>
      </c>
      <c r="BJ32" s="18">
        <v>26430</v>
      </c>
      <c r="BK32" s="18">
        <v>31415</v>
      </c>
      <c r="BL32" s="18">
        <v>29123</v>
      </c>
      <c r="BM32" s="18">
        <v>33400</v>
      </c>
      <c r="BN32" s="18">
        <v>34733</v>
      </c>
      <c r="BO32" s="18">
        <v>28231</v>
      </c>
      <c r="BP32" s="19">
        <v>27712</v>
      </c>
      <c r="BQ32" s="17">
        <v>26898</v>
      </c>
      <c r="BR32" s="18">
        <v>28104</v>
      </c>
      <c r="BS32" s="18">
        <v>32235</v>
      </c>
      <c r="BT32" s="18">
        <v>35951</v>
      </c>
      <c r="BU32" s="18">
        <v>25394</v>
      </c>
      <c r="BV32" s="18">
        <v>30110</v>
      </c>
      <c r="BW32" s="18">
        <v>34642</v>
      </c>
      <c r="BX32" s="18">
        <v>29330</v>
      </c>
      <c r="BY32" s="18">
        <v>33535</v>
      </c>
      <c r="BZ32" s="18">
        <v>34163</v>
      </c>
      <c r="CA32" s="18">
        <v>28425</v>
      </c>
      <c r="CB32" s="19">
        <v>28548</v>
      </c>
      <c r="CC32" s="20">
        <v>27672</v>
      </c>
      <c r="CD32" s="18">
        <v>31798</v>
      </c>
      <c r="CE32" s="18">
        <v>44162</v>
      </c>
      <c r="CF32" s="18">
        <v>51016</v>
      </c>
      <c r="CG32" s="18">
        <v>39837</v>
      </c>
      <c r="CH32" s="18">
        <v>42947</v>
      </c>
      <c r="CI32" s="18">
        <v>39727</v>
      </c>
      <c r="CJ32" s="18">
        <v>42234</v>
      </c>
      <c r="CK32" s="18">
        <v>51072</v>
      </c>
      <c r="CL32" s="18">
        <v>45754</v>
      </c>
      <c r="CM32" s="18">
        <v>43797</v>
      </c>
      <c r="CN32" s="21">
        <v>43801</v>
      </c>
      <c r="CO32" s="17">
        <v>38428</v>
      </c>
      <c r="CP32" s="18">
        <v>45476</v>
      </c>
      <c r="CQ32" s="18">
        <v>41978</v>
      </c>
      <c r="CR32" s="18">
        <v>43685</v>
      </c>
      <c r="CS32" s="18">
        <v>37151</v>
      </c>
      <c r="CT32" s="18">
        <v>39555</v>
      </c>
      <c r="CU32" s="18">
        <v>40910</v>
      </c>
      <c r="CV32" s="18">
        <v>39100</v>
      </c>
      <c r="CW32" s="18">
        <v>49726</v>
      </c>
      <c r="CX32" s="18">
        <v>41851</v>
      </c>
      <c r="CY32" s="18">
        <v>43532</v>
      </c>
      <c r="CZ32" s="19">
        <v>41782</v>
      </c>
      <c r="DA32" s="17">
        <v>35619</v>
      </c>
      <c r="DB32" s="18">
        <v>43903</v>
      </c>
      <c r="DC32" s="18">
        <v>38210</v>
      </c>
      <c r="DD32" s="18">
        <v>44900</v>
      </c>
      <c r="DE32" s="18">
        <v>38201</v>
      </c>
      <c r="DF32" s="18">
        <v>37548</v>
      </c>
      <c r="DG32" s="18">
        <v>41507</v>
      </c>
      <c r="DH32" s="18">
        <v>37946</v>
      </c>
      <c r="DI32" s="18">
        <v>44081</v>
      </c>
      <c r="DJ32" s="18">
        <v>42144</v>
      </c>
      <c r="DK32" s="18">
        <v>43272</v>
      </c>
      <c r="DL32" s="19">
        <v>38447</v>
      </c>
      <c r="DM32" s="17">
        <v>38777</v>
      </c>
      <c r="DN32" s="18">
        <v>43773</v>
      </c>
      <c r="DO32" s="18">
        <v>37243</v>
      </c>
      <c r="DP32" s="18">
        <v>45338</v>
      </c>
      <c r="DQ32" s="18">
        <v>40932</v>
      </c>
      <c r="DR32" s="18">
        <v>37433</v>
      </c>
      <c r="DS32" s="18">
        <v>44598</v>
      </c>
      <c r="DT32" s="18">
        <v>39840</v>
      </c>
      <c r="DU32" s="18">
        <v>41208</v>
      </c>
      <c r="DV32" s="18">
        <v>40182</v>
      </c>
      <c r="DW32" s="18">
        <v>36168</v>
      </c>
      <c r="DX32" s="19">
        <v>36550</v>
      </c>
      <c r="DY32" s="100">
        <v>39556</v>
      </c>
      <c r="DZ32" s="18">
        <v>42717</v>
      </c>
      <c r="EA32" s="18">
        <v>37048</v>
      </c>
      <c r="EB32" s="18">
        <v>43553</v>
      </c>
      <c r="EC32" s="18">
        <v>36895</v>
      </c>
      <c r="ED32" s="18">
        <v>37772</v>
      </c>
      <c r="EE32" s="18">
        <v>39988</v>
      </c>
      <c r="EF32" s="18">
        <v>38135</v>
      </c>
      <c r="EG32" s="18">
        <v>31077</v>
      </c>
      <c r="EH32" s="18">
        <v>17264</v>
      </c>
      <c r="EI32" s="18">
        <v>15191</v>
      </c>
      <c r="EJ32" s="19">
        <v>16404</v>
      </c>
      <c r="EK32" s="100">
        <v>17014</v>
      </c>
      <c r="EL32" s="18">
        <v>16702</v>
      </c>
      <c r="EM32" s="18">
        <v>16648</v>
      </c>
      <c r="EN32" s="103">
        <v>17912</v>
      </c>
      <c r="EO32" s="18">
        <v>20182</v>
      </c>
      <c r="EP32" s="18">
        <v>13829</v>
      </c>
      <c r="EQ32" s="18">
        <v>7239</v>
      </c>
      <c r="ER32" s="18">
        <v>14098</v>
      </c>
      <c r="ES32" s="18">
        <v>18635</v>
      </c>
      <c r="ET32" s="18">
        <v>18209</v>
      </c>
      <c r="EU32" s="18">
        <v>16666</v>
      </c>
      <c r="EV32" s="19">
        <v>19869</v>
      </c>
      <c r="EW32" s="103">
        <v>19356</v>
      </c>
      <c r="EX32" s="18">
        <v>19601</v>
      </c>
      <c r="EY32" s="18">
        <v>19204</v>
      </c>
      <c r="EZ32" s="103">
        <v>20954</v>
      </c>
      <c r="FA32" s="18">
        <v>22033</v>
      </c>
      <c r="FB32" s="149">
        <v>21537</v>
      </c>
      <c r="FC32" s="18">
        <v>18821</v>
      </c>
      <c r="FD32" s="18">
        <v>22750</v>
      </c>
      <c r="FE32" s="149">
        <v>29116</v>
      </c>
      <c r="FF32" s="149">
        <v>24503</v>
      </c>
      <c r="FG32" s="149">
        <v>20768</v>
      </c>
      <c r="FH32" s="155">
        <v>18570</v>
      </c>
      <c r="FI32" s="103">
        <f>'Average Weekday Boardings'!FI32*20</f>
        <v>18696</v>
      </c>
      <c r="FJ32" s="18">
        <f>'Average Weekday Boardings'!FJ32*23</f>
        <v>21640</v>
      </c>
      <c r="FK32" s="18">
        <f>'Average Weekday Boardings'!FK32*21</f>
        <v>21094</v>
      </c>
      <c r="FL32" s="103">
        <v>22528</v>
      </c>
      <c r="FM32" s="18">
        <v>20818</v>
      </c>
      <c r="FN32" s="149">
        <v>20810</v>
      </c>
      <c r="FO32" s="18">
        <v>23473</v>
      </c>
      <c r="FP32" s="18">
        <v>20642</v>
      </c>
      <c r="FQ32" s="149">
        <v>28791</v>
      </c>
      <c r="FR32" s="149">
        <v>24624</v>
      </c>
      <c r="FS32" s="149">
        <v>25975</v>
      </c>
      <c r="FT32" s="155">
        <v>24404</v>
      </c>
      <c r="FU32" s="169">
        <v>22342</v>
      </c>
      <c r="FV32" s="169">
        <v>27333</v>
      </c>
      <c r="FW32" s="169">
        <v>22731</v>
      </c>
      <c r="FX32" s="169">
        <v>28436</v>
      </c>
      <c r="FY32" s="169">
        <v>25659</v>
      </c>
      <c r="FZ32" s="169">
        <v>22564</v>
      </c>
      <c r="GA32" s="169">
        <v>26934</v>
      </c>
      <c r="GB32" s="18">
        <v>27499</v>
      </c>
      <c r="GC32" s="52">
        <v>28028</v>
      </c>
      <c r="GD32" s="18">
        <v>27499</v>
      </c>
      <c r="GE32" s="18">
        <v>27525</v>
      </c>
      <c r="GF32" s="52">
        <v>26829</v>
      </c>
      <c r="GG32" s="18">
        <v>26175</v>
      </c>
      <c r="GH32" s="18">
        <v>26435</v>
      </c>
      <c r="GI32" s="52">
        <v>25237</v>
      </c>
      <c r="GJ32" s="242">
        <v>28286</v>
      </c>
      <c r="GK32" s="184">
        <v>25189</v>
      </c>
      <c r="GL32" s="184">
        <v>24713</v>
      </c>
    </row>
    <row r="33" spans="1:194" x14ac:dyDescent="0.3">
      <c r="A33" s="92" t="s">
        <v>71</v>
      </c>
      <c r="B33" s="17"/>
      <c r="C33" s="18"/>
      <c r="D33" s="18"/>
      <c r="E33" s="18"/>
      <c r="F33" s="18"/>
      <c r="G33" s="18"/>
      <c r="H33" s="19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  <c r="U33" s="17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7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9"/>
      <c r="AS33" s="17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9"/>
      <c r="BE33" s="17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9"/>
      <c r="BQ33" s="17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20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21"/>
      <c r="CO33" s="17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9"/>
      <c r="DA33" s="17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9"/>
      <c r="DM33" s="17"/>
      <c r="DN33" s="18"/>
      <c r="DO33" s="18"/>
      <c r="DP33" s="18"/>
      <c r="DQ33" s="18"/>
      <c r="DR33" s="18"/>
      <c r="DS33" s="18"/>
      <c r="DT33" s="18"/>
      <c r="DU33" s="18"/>
      <c r="DV33" s="18">
        <v>982</v>
      </c>
      <c r="DW33" s="18">
        <v>5288</v>
      </c>
      <c r="DX33" s="19">
        <v>5117</v>
      </c>
      <c r="DY33" s="100">
        <v>5945</v>
      </c>
      <c r="DZ33" s="18">
        <v>6261</v>
      </c>
      <c r="EA33" s="18">
        <v>6007</v>
      </c>
      <c r="EB33" s="18">
        <v>9141</v>
      </c>
      <c r="EC33" s="18">
        <v>8784</v>
      </c>
      <c r="ED33" s="18">
        <v>9041</v>
      </c>
      <c r="EE33" s="18">
        <v>9779</v>
      </c>
      <c r="EF33" s="18">
        <v>8799</v>
      </c>
      <c r="EG33" s="18">
        <v>7736</v>
      </c>
      <c r="EH33" s="18">
        <v>5088</v>
      </c>
      <c r="EI33" s="18">
        <v>4765</v>
      </c>
      <c r="EJ33" s="19">
        <v>5348</v>
      </c>
      <c r="EK33" s="100">
        <v>5786</v>
      </c>
      <c r="EL33" s="18">
        <v>4674</v>
      </c>
      <c r="EM33" s="18">
        <v>4849</v>
      </c>
      <c r="EN33" s="103">
        <v>5686</v>
      </c>
      <c r="EO33" s="18">
        <v>4985</v>
      </c>
      <c r="EP33" s="18">
        <v>3378</v>
      </c>
      <c r="EQ33" s="18">
        <v>2265</v>
      </c>
      <c r="ER33" s="18">
        <v>4119</v>
      </c>
      <c r="ES33" s="18">
        <v>3712</v>
      </c>
      <c r="ET33" s="18">
        <v>22427</v>
      </c>
      <c r="EU33" s="18">
        <v>4094</v>
      </c>
      <c r="EV33" s="19">
        <v>4771</v>
      </c>
      <c r="EW33" s="103">
        <v>4848</v>
      </c>
      <c r="EX33" s="18">
        <v>5422</v>
      </c>
      <c r="EY33" s="18">
        <v>4968</v>
      </c>
      <c r="EZ33" s="103">
        <v>5377</v>
      </c>
      <c r="FA33" s="18">
        <v>5186</v>
      </c>
      <c r="FB33" s="149">
        <v>5095</v>
      </c>
      <c r="FC33" s="18">
        <v>4471</v>
      </c>
      <c r="FD33" s="18">
        <v>5263</v>
      </c>
      <c r="FE33" s="149">
        <v>6652</v>
      </c>
      <c r="FF33" s="149">
        <v>5976</v>
      </c>
      <c r="FG33" s="149">
        <v>12355</v>
      </c>
      <c r="FH33" s="155">
        <v>5180</v>
      </c>
      <c r="FI33" s="103">
        <f>'Average Weekday Boardings'!FI33*20</f>
        <v>4776</v>
      </c>
      <c r="FJ33" s="18">
        <f>'Average Weekday Boardings'!FJ33*23</f>
        <v>5718</v>
      </c>
      <c r="FK33" s="18">
        <f>'Average Weekday Boardings'!FK33*21</f>
        <v>5864</v>
      </c>
      <c r="FL33" s="103">
        <v>5790</v>
      </c>
      <c r="FM33" s="18">
        <v>5540</v>
      </c>
      <c r="FN33" s="149">
        <v>5427</v>
      </c>
      <c r="FO33" s="18">
        <v>6547</v>
      </c>
      <c r="FP33" s="18">
        <v>5947</v>
      </c>
      <c r="FQ33" s="149">
        <v>7847</v>
      </c>
      <c r="FR33" s="149">
        <v>7003</v>
      </c>
      <c r="FS33" s="149">
        <v>7111</v>
      </c>
      <c r="FT33" s="155">
        <v>6678</v>
      </c>
      <c r="FU33" s="169">
        <v>6089</v>
      </c>
      <c r="FV33" s="169">
        <v>6779</v>
      </c>
      <c r="FW33" s="169">
        <v>5768</v>
      </c>
      <c r="FX33" s="169">
        <v>6755</v>
      </c>
      <c r="FY33" s="169">
        <v>6067</v>
      </c>
      <c r="FZ33" s="169">
        <v>5491</v>
      </c>
      <c r="GA33" s="169">
        <v>6604</v>
      </c>
      <c r="GB33" s="18">
        <v>6583</v>
      </c>
      <c r="GC33" s="52">
        <v>6531</v>
      </c>
      <c r="GD33" s="18">
        <v>6626</v>
      </c>
      <c r="GE33" s="18">
        <v>6703</v>
      </c>
      <c r="GF33" s="52">
        <v>5501</v>
      </c>
      <c r="GG33" s="18">
        <v>5794</v>
      </c>
      <c r="GH33" s="18">
        <v>6046</v>
      </c>
      <c r="GI33" s="52">
        <v>6156</v>
      </c>
      <c r="GJ33" s="242">
        <v>7021</v>
      </c>
      <c r="GK33" s="184">
        <v>7663</v>
      </c>
      <c r="GL33" s="184">
        <v>7363</v>
      </c>
    </row>
    <row r="34" spans="1:194" x14ac:dyDescent="0.3">
      <c r="A34" s="3" t="s">
        <v>16</v>
      </c>
      <c r="B34" s="17"/>
      <c r="C34" s="18">
        <v>17189</v>
      </c>
      <c r="D34" s="18">
        <v>18938</v>
      </c>
      <c r="E34" s="18">
        <v>18938</v>
      </c>
      <c r="F34" s="18">
        <v>28479</v>
      </c>
      <c r="G34" s="18">
        <v>29079</v>
      </c>
      <c r="H34" s="19">
        <v>19311</v>
      </c>
      <c r="I34" s="17">
        <v>21980</v>
      </c>
      <c r="J34" s="18">
        <v>26801</v>
      </c>
      <c r="K34" s="18">
        <v>19414</v>
      </c>
      <c r="L34" s="18">
        <v>19643</v>
      </c>
      <c r="M34" s="18">
        <v>16556</v>
      </c>
      <c r="N34" s="18">
        <v>21018</v>
      </c>
      <c r="O34" s="62">
        <v>13912</v>
      </c>
      <c r="P34" s="62">
        <v>24102</v>
      </c>
      <c r="Q34" s="62">
        <v>27771</v>
      </c>
      <c r="R34" s="62">
        <v>19345</v>
      </c>
      <c r="S34" s="62">
        <v>14810</v>
      </c>
      <c r="T34" s="63">
        <v>45869</v>
      </c>
      <c r="U34" s="64">
        <v>34449</v>
      </c>
      <c r="V34" s="62">
        <v>33157</v>
      </c>
      <c r="W34" s="62">
        <v>34136</v>
      </c>
      <c r="X34" s="62">
        <v>35298</v>
      </c>
      <c r="Y34" s="62">
        <v>33274</v>
      </c>
      <c r="Z34" s="62">
        <v>34524</v>
      </c>
      <c r="AA34" s="18">
        <v>34558</v>
      </c>
      <c r="AB34" s="18">
        <v>34143</v>
      </c>
      <c r="AC34" s="18">
        <v>42005</v>
      </c>
      <c r="AD34" s="18">
        <v>38862</v>
      </c>
      <c r="AE34" s="18">
        <v>35586</v>
      </c>
      <c r="AF34" s="19">
        <v>35106</v>
      </c>
      <c r="AG34" s="17">
        <v>33277</v>
      </c>
      <c r="AH34" s="18">
        <v>38491</v>
      </c>
      <c r="AI34" s="18">
        <v>38091</v>
      </c>
      <c r="AJ34" s="18">
        <v>39273</v>
      </c>
      <c r="AK34" s="18">
        <v>33566</v>
      </c>
      <c r="AL34" s="18">
        <v>35885</v>
      </c>
      <c r="AM34" s="18">
        <v>37429</v>
      </c>
      <c r="AN34" s="18">
        <v>36651</v>
      </c>
      <c r="AO34" s="18">
        <v>42536</v>
      </c>
      <c r="AP34" s="18">
        <v>42914</v>
      </c>
      <c r="AQ34" s="18">
        <v>41275</v>
      </c>
      <c r="AR34" s="19">
        <v>39285</v>
      </c>
      <c r="AS34" s="17">
        <v>36302</v>
      </c>
      <c r="AT34" s="18">
        <v>44321</v>
      </c>
      <c r="AU34" s="18">
        <v>38614</v>
      </c>
      <c r="AV34" s="18">
        <v>50204</v>
      </c>
      <c r="AW34" s="18">
        <v>42375</v>
      </c>
      <c r="AX34" s="18">
        <v>37799</v>
      </c>
      <c r="AY34" s="18">
        <v>42162</v>
      </c>
      <c r="AZ34" s="18">
        <v>40871</v>
      </c>
      <c r="BA34" s="18">
        <v>45223</v>
      </c>
      <c r="BB34" s="18">
        <v>46684</v>
      </c>
      <c r="BC34" s="18">
        <v>43398</v>
      </c>
      <c r="BD34" s="19">
        <v>35464</v>
      </c>
      <c r="BE34" s="17">
        <v>37904</v>
      </c>
      <c r="BF34" s="18">
        <v>39984</v>
      </c>
      <c r="BG34" s="18">
        <v>40818</v>
      </c>
      <c r="BH34" s="18">
        <v>45376</v>
      </c>
      <c r="BI34" s="18">
        <v>38927.053130934124</v>
      </c>
      <c r="BJ34" s="18">
        <v>37776</v>
      </c>
      <c r="BK34" s="18">
        <v>42857</v>
      </c>
      <c r="BL34" s="18">
        <v>40373</v>
      </c>
      <c r="BM34" s="18">
        <v>47251</v>
      </c>
      <c r="BN34" s="18">
        <v>45979</v>
      </c>
      <c r="BO34" s="18">
        <v>40775</v>
      </c>
      <c r="BP34" s="19">
        <v>38439</v>
      </c>
      <c r="BQ34" s="17">
        <v>37401</v>
      </c>
      <c r="BR34" s="18">
        <v>40065</v>
      </c>
      <c r="BS34" s="18">
        <v>43392</v>
      </c>
      <c r="BT34" s="18">
        <v>47913</v>
      </c>
      <c r="BU34" s="18">
        <v>35996</v>
      </c>
      <c r="BV34" s="18">
        <v>41697</v>
      </c>
      <c r="BW34" s="18">
        <v>44440</v>
      </c>
      <c r="BX34" s="18">
        <v>39345</v>
      </c>
      <c r="BY34" s="18">
        <v>45247</v>
      </c>
      <c r="BZ34" s="18">
        <v>44814</v>
      </c>
      <c r="CA34" s="18">
        <v>38609</v>
      </c>
      <c r="CB34" s="19">
        <v>39833</v>
      </c>
      <c r="CC34" s="20">
        <v>38123</v>
      </c>
      <c r="CD34" s="18">
        <v>34678</v>
      </c>
      <c r="CE34" s="18">
        <v>21424</v>
      </c>
      <c r="CF34" s="18">
        <v>22906</v>
      </c>
      <c r="CG34" s="18">
        <v>18767</v>
      </c>
      <c r="CH34" s="18">
        <v>20364</v>
      </c>
      <c r="CI34" s="18">
        <v>18300</v>
      </c>
      <c r="CJ34" s="18">
        <v>19544</v>
      </c>
      <c r="CK34" s="18">
        <v>22622</v>
      </c>
      <c r="CL34" s="18">
        <v>20711</v>
      </c>
      <c r="CM34" s="18">
        <v>19651</v>
      </c>
      <c r="CN34" s="21">
        <v>19229</v>
      </c>
      <c r="CO34" s="17">
        <v>17506</v>
      </c>
      <c r="CP34" s="18">
        <v>21660</v>
      </c>
      <c r="CQ34" s="18">
        <v>19892</v>
      </c>
      <c r="CR34" s="18">
        <v>20695</v>
      </c>
      <c r="CS34" s="18">
        <v>18252</v>
      </c>
      <c r="CT34" s="18">
        <v>19156</v>
      </c>
      <c r="CU34" s="18">
        <v>19586</v>
      </c>
      <c r="CV34" s="18">
        <v>18875</v>
      </c>
      <c r="CW34" s="18">
        <v>22466</v>
      </c>
      <c r="CX34" s="18">
        <v>20525</v>
      </c>
      <c r="CY34" s="18">
        <v>21667</v>
      </c>
      <c r="CZ34" s="19">
        <v>20508</v>
      </c>
      <c r="DA34" s="17">
        <v>17244</v>
      </c>
      <c r="DB34" s="18">
        <v>21386</v>
      </c>
      <c r="DC34" s="18">
        <v>19415</v>
      </c>
      <c r="DD34" s="18">
        <v>23552</v>
      </c>
      <c r="DE34" s="18">
        <v>21726</v>
      </c>
      <c r="DF34" s="18">
        <v>22350</v>
      </c>
      <c r="DG34" s="18">
        <v>23919</v>
      </c>
      <c r="DH34" s="18">
        <v>22451</v>
      </c>
      <c r="DI34" s="18">
        <v>25459</v>
      </c>
      <c r="DJ34" s="18">
        <v>24978</v>
      </c>
      <c r="DK34" s="18">
        <v>23539</v>
      </c>
      <c r="DL34" s="19">
        <v>21844</v>
      </c>
      <c r="DM34" s="17">
        <v>20999</v>
      </c>
      <c r="DN34" s="18">
        <v>24466</v>
      </c>
      <c r="DO34" s="18">
        <v>21009</v>
      </c>
      <c r="DP34" s="18">
        <v>26734</v>
      </c>
      <c r="DQ34" s="18">
        <v>24582</v>
      </c>
      <c r="DR34" s="18">
        <v>21560</v>
      </c>
      <c r="DS34" s="18">
        <v>25110</v>
      </c>
      <c r="DT34" s="18">
        <v>21904</v>
      </c>
      <c r="DU34" s="18">
        <v>23422</v>
      </c>
      <c r="DV34" s="18">
        <v>6358</v>
      </c>
      <c r="DW34" s="18">
        <v>21519</v>
      </c>
      <c r="DX34" s="19">
        <v>20613</v>
      </c>
      <c r="DY34" s="100">
        <v>20962</v>
      </c>
      <c r="DZ34" s="18">
        <v>23100</v>
      </c>
      <c r="EA34" s="18">
        <v>22200</v>
      </c>
      <c r="EB34" s="18">
        <v>26930</v>
      </c>
      <c r="EC34" s="18">
        <v>23436</v>
      </c>
      <c r="ED34" s="18">
        <v>22191</v>
      </c>
      <c r="EE34" s="18">
        <v>22887</v>
      </c>
      <c r="EF34" s="18">
        <v>22478</v>
      </c>
      <c r="EG34" s="18">
        <v>18921</v>
      </c>
      <c r="EH34" s="18">
        <v>12094</v>
      </c>
      <c r="EI34" s="18">
        <v>9852</v>
      </c>
      <c r="EJ34" s="19">
        <v>9851</v>
      </c>
      <c r="EK34" s="100">
        <v>9655</v>
      </c>
      <c r="EL34" s="18">
        <v>9560</v>
      </c>
      <c r="EM34" s="18">
        <v>9596</v>
      </c>
      <c r="EN34" s="103">
        <v>11345</v>
      </c>
      <c r="EO34" s="18">
        <v>9950</v>
      </c>
      <c r="EP34" s="18">
        <v>8318</v>
      </c>
      <c r="EQ34" s="18">
        <v>4384</v>
      </c>
      <c r="ER34" s="18">
        <v>8712</v>
      </c>
      <c r="ES34" s="18">
        <v>10029</v>
      </c>
      <c r="ET34" s="18">
        <v>10159</v>
      </c>
      <c r="EU34" s="18">
        <v>8814</v>
      </c>
      <c r="EV34" s="19">
        <v>9738</v>
      </c>
      <c r="EW34" s="103">
        <v>9665</v>
      </c>
      <c r="EX34" s="18">
        <v>9926</v>
      </c>
      <c r="EY34" s="18">
        <v>10745</v>
      </c>
      <c r="EZ34" s="103">
        <v>10661</v>
      </c>
      <c r="FA34" s="18">
        <v>10820</v>
      </c>
      <c r="FB34" s="149">
        <v>10058</v>
      </c>
      <c r="FC34" s="18">
        <v>9128</v>
      </c>
      <c r="FD34" s="18">
        <v>11218</v>
      </c>
      <c r="FE34" s="149">
        <v>13395</v>
      </c>
      <c r="FF34" s="149">
        <v>11489</v>
      </c>
      <c r="FG34" s="149">
        <v>10622</v>
      </c>
      <c r="FH34" s="155">
        <v>9625</v>
      </c>
      <c r="FI34" s="103">
        <f>'Average Weekday Boardings'!FI34*20</f>
        <v>9813</v>
      </c>
      <c r="FJ34" s="18">
        <f>'Average Weekday Boardings'!FJ34*23</f>
        <v>10736</v>
      </c>
      <c r="FK34" s="18">
        <f>'Average Weekday Boardings'!FK34*21</f>
        <v>10741</v>
      </c>
      <c r="FL34" s="103">
        <v>10982</v>
      </c>
      <c r="FM34" s="18">
        <v>11129</v>
      </c>
      <c r="FN34" s="149">
        <v>11084</v>
      </c>
      <c r="FO34" s="18">
        <v>12899</v>
      </c>
      <c r="FP34" s="18">
        <v>10360</v>
      </c>
      <c r="FQ34" s="149">
        <v>16042</v>
      </c>
      <c r="FR34" s="149">
        <v>13785</v>
      </c>
      <c r="FS34" s="149">
        <v>14445</v>
      </c>
      <c r="FT34" s="155">
        <v>13391</v>
      </c>
      <c r="FU34" s="169">
        <v>12766</v>
      </c>
      <c r="FV34" s="169">
        <v>14531</v>
      </c>
      <c r="FW34" s="169">
        <v>12045</v>
      </c>
      <c r="FX34" s="169">
        <v>15227</v>
      </c>
      <c r="FY34" s="169">
        <v>13771</v>
      </c>
      <c r="FZ34" s="169">
        <v>13392</v>
      </c>
      <c r="GA34" s="169">
        <v>14113</v>
      </c>
      <c r="GB34" s="18">
        <v>13705</v>
      </c>
      <c r="GC34" s="52">
        <v>13748</v>
      </c>
      <c r="GD34" s="18">
        <v>13688</v>
      </c>
      <c r="GE34" s="18">
        <v>12220</v>
      </c>
      <c r="GF34" s="52">
        <v>11122</v>
      </c>
      <c r="GG34" s="18">
        <v>12205</v>
      </c>
      <c r="GH34" s="18">
        <v>12754</v>
      </c>
      <c r="GI34" s="52">
        <v>11984</v>
      </c>
      <c r="GJ34" s="242">
        <v>13371</v>
      </c>
      <c r="GK34" s="184">
        <v>11065</v>
      </c>
      <c r="GL34" s="184">
        <v>10208</v>
      </c>
    </row>
    <row r="35" spans="1:194" x14ac:dyDescent="0.3">
      <c r="A35" s="3" t="s">
        <v>17</v>
      </c>
      <c r="B35" s="17"/>
      <c r="C35" s="18">
        <v>6425</v>
      </c>
      <c r="D35" s="18">
        <v>7493</v>
      </c>
      <c r="E35" s="18">
        <v>4854</v>
      </c>
      <c r="F35" s="18">
        <v>3070</v>
      </c>
      <c r="G35" s="18">
        <v>6645</v>
      </c>
      <c r="H35" s="19">
        <v>6005</v>
      </c>
      <c r="I35" s="17">
        <v>4795</v>
      </c>
      <c r="J35" s="18">
        <v>5707</v>
      </c>
      <c r="K35" s="18">
        <v>7292</v>
      </c>
      <c r="L35" s="18">
        <v>7375</v>
      </c>
      <c r="M35" s="18">
        <v>5906</v>
      </c>
      <c r="N35" s="18">
        <v>5980</v>
      </c>
      <c r="O35" s="62">
        <v>5223</v>
      </c>
      <c r="P35" s="62">
        <v>6858</v>
      </c>
      <c r="Q35" s="62">
        <v>7902</v>
      </c>
      <c r="R35" s="62">
        <v>7263</v>
      </c>
      <c r="S35" s="62">
        <v>5253</v>
      </c>
      <c r="T35" s="63">
        <v>3827</v>
      </c>
      <c r="U35" s="64">
        <v>3256</v>
      </c>
      <c r="V35" s="62">
        <v>4702</v>
      </c>
      <c r="W35" s="62">
        <v>6246</v>
      </c>
      <c r="X35" s="62">
        <v>5931</v>
      </c>
      <c r="Y35" s="62">
        <v>5139</v>
      </c>
      <c r="Z35" s="62">
        <v>4391</v>
      </c>
      <c r="AA35" s="18">
        <v>5233</v>
      </c>
      <c r="AB35" s="18">
        <v>6087</v>
      </c>
      <c r="AC35" s="18">
        <v>6513</v>
      </c>
      <c r="AD35" s="18">
        <v>6437</v>
      </c>
      <c r="AE35" s="18">
        <v>4695</v>
      </c>
      <c r="AF35" s="19">
        <v>4133</v>
      </c>
      <c r="AG35" s="17">
        <v>3726</v>
      </c>
      <c r="AH35" s="18">
        <v>5463</v>
      </c>
      <c r="AI35" s="18">
        <v>7296</v>
      </c>
      <c r="AJ35" s="18">
        <v>7214</v>
      </c>
      <c r="AK35" s="18">
        <v>5859</v>
      </c>
      <c r="AL35" s="18">
        <v>4560</v>
      </c>
      <c r="AM35" s="18">
        <v>6358</v>
      </c>
      <c r="AN35" s="18">
        <v>5972</v>
      </c>
      <c r="AO35" s="18">
        <v>5871</v>
      </c>
      <c r="AP35" s="18">
        <v>6116</v>
      </c>
      <c r="AQ35" s="18">
        <v>4647</v>
      </c>
      <c r="AR35" s="19">
        <v>4083</v>
      </c>
      <c r="AS35" s="17">
        <v>3668</v>
      </c>
      <c r="AT35" s="18">
        <v>5619</v>
      </c>
      <c r="AU35" s="18">
        <v>6425</v>
      </c>
      <c r="AV35" s="18">
        <v>8197</v>
      </c>
      <c r="AW35" s="18">
        <v>6547</v>
      </c>
      <c r="AX35" s="18">
        <v>5170</v>
      </c>
      <c r="AY35" s="18">
        <v>6579</v>
      </c>
      <c r="AZ35" s="18">
        <v>6564</v>
      </c>
      <c r="BA35" s="18">
        <v>6404</v>
      </c>
      <c r="BB35" s="18">
        <v>7812</v>
      </c>
      <c r="BC35" s="18">
        <v>4976</v>
      </c>
      <c r="BD35" s="19">
        <v>3731</v>
      </c>
      <c r="BE35" s="17">
        <v>4100</v>
      </c>
      <c r="BF35" s="18">
        <v>5411</v>
      </c>
      <c r="BG35" s="18">
        <v>6974</v>
      </c>
      <c r="BH35" s="18">
        <v>8336</v>
      </c>
      <c r="BI35" s="18">
        <v>6689.6099443120356</v>
      </c>
      <c r="BJ35" s="18">
        <v>5152</v>
      </c>
      <c r="BK35" s="18">
        <v>7180</v>
      </c>
      <c r="BL35" s="18">
        <v>7367</v>
      </c>
      <c r="BM35" s="18">
        <v>7501</v>
      </c>
      <c r="BN35" s="18">
        <v>7910</v>
      </c>
      <c r="BO35" s="18">
        <v>5593</v>
      </c>
      <c r="BP35" s="19">
        <v>4695</v>
      </c>
      <c r="BQ35" s="17">
        <v>4097</v>
      </c>
      <c r="BR35" s="18">
        <v>6546</v>
      </c>
      <c r="BS35" s="18">
        <v>8967</v>
      </c>
      <c r="BT35" s="18">
        <v>9462</v>
      </c>
      <c r="BU35" s="18">
        <v>7349</v>
      </c>
      <c r="BV35" s="18">
        <v>5664</v>
      </c>
      <c r="BW35" s="18">
        <v>7203</v>
      </c>
      <c r="BX35" s="18">
        <v>7017</v>
      </c>
      <c r="BY35" s="18">
        <v>7084</v>
      </c>
      <c r="BZ35" s="18">
        <v>8182</v>
      </c>
      <c r="CA35" s="18">
        <v>4441</v>
      </c>
      <c r="CB35" s="19">
        <v>4268</v>
      </c>
      <c r="CC35" s="20">
        <v>4048</v>
      </c>
      <c r="CD35" s="18">
        <v>5589</v>
      </c>
      <c r="CE35" s="18">
        <v>7449</v>
      </c>
      <c r="CF35" s="18">
        <v>7931</v>
      </c>
      <c r="CG35" s="18">
        <v>6051</v>
      </c>
      <c r="CH35" s="18">
        <v>5445</v>
      </c>
      <c r="CI35" s="18">
        <v>5537</v>
      </c>
      <c r="CJ35" s="18">
        <v>6338</v>
      </c>
      <c r="CK35" s="18">
        <v>6974</v>
      </c>
      <c r="CL35" s="18">
        <v>6652</v>
      </c>
      <c r="CM35" s="18">
        <v>5014</v>
      </c>
      <c r="CN35" s="21">
        <v>4182</v>
      </c>
      <c r="CO35" s="17">
        <v>3722</v>
      </c>
      <c r="CP35" s="18">
        <v>6064</v>
      </c>
      <c r="CQ35" s="18">
        <v>6595</v>
      </c>
      <c r="CR35" s="18">
        <v>6387</v>
      </c>
      <c r="CS35" s="18">
        <v>5497</v>
      </c>
      <c r="CT35" s="18">
        <v>4315</v>
      </c>
      <c r="CU35" s="18">
        <v>5363</v>
      </c>
      <c r="CV35" s="18">
        <v>5253</v>
      </c>
      <c r="CW35" s="18">
        <v>6264</v>
      </c>
      <c r="CX35" s="18">
        <v>5980</v>
      </c>
      <c r="CY35" s="18">
        <v>4903</v>
      </c>
      <c r="CZ35" s="19">
        <v>4613</v>
      </c>
      <c r="DA35" s="17">
        <v>3682</v>
      </c>
      <c r="DB35" s="18">
        <v>6029</v>
      </c>
      <c r="DC35" s="18">
        <v>5285</v>
      </c>
      <c r="DD35" s="18">
        <v>6249</v>
      </c>
      <c r="DE35" s="18">
        <v>5273</v>
      </c>
      <c r="DF35" s="18">
        <v>4991</v>
      </c>
      <c r="DG35" s="18">
        <v>5897</v>
      </c>
      <c r="DH35" s="18">
        <v>5541</v>
      </c>
      <c r="DI35" s="18">
        <v>6087</v>
      </c>
      <c r="DJ35" s="18">
        <v>5860</v>
      </c>
      <c r="DK35" s="18">
        <v>5066</v>
      </c>
      <c r="DL35" s="19">
        <v>4438</v>
      </c>
      <c r="DM35" s="17">
        <v>4273</v>
      </c>
      <c r="DN35" s="18">
        <v>5361</v>
      </c>
      <c r="DO35" s="18">
        <v>4927</v>
      </c>
      <c r="DP35" s="18">
        <v>5908</v>
      </c>
      <c r="DQ35" s="18">
        <v>5190</v>
      </c>
      <c r="DR35" s="18">
        <v>4051</v>
      </c>
      <c r="DS35" s="18">
        <v>5081</v>
      </c>
      <c r="DT35" s="18">
        <v>4633</v>
      </c>
      <c r="DU35" s="18">
        <v>5154</v>
      </c>
      <c r="DV35" s="18">
        <v>5164</v>
      </c>
      <c r="DW35" s="18">
        <v>4286</v>
      </c>
      <c r="DX35" s="19">
        <v>4688</v>
      </c>
      <c r="DY35" s="100">
        <v>4216</v>
      </c>
      <c r="DZ35" s="18">
        <v>7887</v>
      </c>
      <c r="EA35" s="18">
        <v>5221</v>
      </c>
      <c r="EB35" s="18">
        <v>6613</v>
      </c>
      <c r="EC35" s="18">
        <v>6135</v>
      </c>
      <c r="ED35" s="18">
        <v>5493</v>
      </c>
      <c r="EE35" s="18">
        <v>5825</v>
      </c>
      <c r="EF35" s="18">
        <v>6157</v>
      </c>
      <c r="EG35" s="18">
        <v>5000</v>
      </c>
      <c r="EH35" s="18">
        <v>3237</v>
      </c>
      <c r="EI35" s="18">
        <v>3387</v>
      </c>
      <c r="EJ35" s="19">
        <v>3322</v>
      </c>
      <c r="EK35" s="100">
        <v>2813</v>
      </c>
      <c r="EL35" s="18">
        <v>2923</v>
      </c>
      <c r="EM35" s="18">
        <v>3203</v>
      </c>
      <c r="EN35" s="103">
        <v>3417</v>
      </c>
      <c r="EO35" s="18">
        <v>2993</v>
      </c>
      <c r="EP35" s="18">
        <v>2957</v>
      </c>
      <c r="EQ35" s="18">
        <v>1577</v>
      </c>
      <c r="ER35" s="18">
        <v>2738</v>
      </c>
      <c r="ES35" s="18">
        <v>3532</v>
      </c>
      <c r="ET35" s="18">
        <v>3227</v>
      </c>
      <c r="EU35" s="18">
        <v>2349</v>
      </c>
      <c r="EV35" s="19">
        <v>3025</v>
      </c>
      <c r="EW35" s="103">
        <v>2895</v>
      </c>
      <c r="EX35" s="18">
        <v>3075</v>
      </c>
      <c r="EY35" s="18">
        <v>3738</v>
      </c>
      <c r="EZ35" s="103">
        <v>3699</v>
      </c>
      <c r="FA35" s="18">
        <v>3439</v>
      </c>
      <c r="FB35" s="149">
        <v>3012</v>
      </c>
      <c r="FC35" s="18">
        <v>2914</v>
      </c>
      <c r="FD35" s="18">
        <v>3359</v>
      </c>
      <c r="FE35" s="149">
        <v>4460</v>
      </c>
      <c r="FF35" s="149">
        <v>4150</v>
      </c>
      <c r="FG35" s="149">
        <v>3617</v>
      </c>
      <c r="FH35" s="155">
        <v>2719</v>
      </c>
      <c r="FI35" s="103">
        <f>'Average Weekday Boardings'!FI35*20</f>
        <v>2808</v>
      </c>
      <c r="FJ35" s="18">
        <f>'Average Weekday Boardings'!FJ35*23</f>
        <v>3751</v>
      </c>
      <c r="FK35" s="18">
        <f>'Average Weekday Boardings'!FK35*21</f>
        <v>3704</v>
      </c>
      <c r="FL35" s="103">
        <v>3630</v>
      </c>
      <c r="FM35" s="18">
        <v>3515</v>
      </c>
      <c r="FN35" s="149">
        <v>3278</v>
      </c>
      <c r="FO35" s="18">
        <v>4315</v>
      </c>
      <c r="FP35" s="18">
        <v>4441</v>
      </c>
      <c r="FQ35" s="149">
        <v>4945</v>
      </c>
      <c r="FR35" s="149">
        <v>4116</v>
      </c>
      <c r="FS35" s="149">
        <v>4376</v>
      </c>
      <c r="FT35" s="155">
        <v>3743</v>
      </c>
      <c r="FU35" s="169">
        <v>3033</v>
      </c>
      <c r="FV35" s="169">
        <v>4118</v>
      </c>
      <c r="FW35" s="169">
        <v>3628</v>
      </c>
      <c r="FX35" s="169">
        <v>4716</v>
      </c>
      <c r="FY35" s="169">
        <v>4094</v>
      </c>
      <c r="FZ35" s="169">
        <v>3446</v>
      </c>
      <c r="GA35" s="169">
        <v>4230</v>
      </c>
      <c r="GB35" s="18">
        <v>4383</v>
      </c>
      <c r="GC35" s="52">
        <v>4038</v>
      </c>
      <c r="GD35" s="18">
        <v>3788</v>
      </c>
      <c r="GE35" s="18">
        <v>3575</v>
      </c>
      <c r="GF35" s="52">
        <v>2963</v>
      </c>
      <c r="GG35" s="18">
        <v>3554</v>
      </c>
      <c r="GH35" s="18">
        <v>4025</v>
      </c>
      <c r="GI35" s="52">
        <v>3845</v>
      </c>
      <c r="GJ35" s="242">
        <v>4251</v>
      </c>
      <c r="GK35" s="184">
        <v>4038</v>
      </c>
      <c r="GL35" s="184">
        <v>3210</v>
      </c>
    </row>
    <row r="36" spans="1:194" x14ac:dyDescent="0.3">
      <c r="A36" s="3" t="s">
        <v>18</v>
      </c>
      <c r="B36" s="17"/>
      <c r="C36" s="18">
        <v>40988</v>
      </c>
      <c r="D36" s="18">
        <v>30881</v>
      </c>
      <c r="E36" s="18">
        <v>41977</v>
      </c>
      <c r="F36" s="18">
        <v>39689</v>
      </c>
      <c r="G36" s="18">
        <v>28752</v>
      </c>
      <c r="H36" s="19">
        <v>29038</v>
      </c>
      <c r="I36" s="17">
        <v>22180</v>
      </c>
      <c r="J36" s="18">
        <v>31397</v>
      </c>
      <c r="K36" s="18">
        <v>25681</v>
      </c>
      <c r="L36" s="18">
        <v>30885</v>
      </c>
      <c r="M36" s="18">
        <v>24005</v>
      </c>
      <c r="N36" s="18">
        <v>21346</v>
      </c>
      <c r="O36" s="62">
        <v>21874</v>
      </c>
      <c r="P36" s="62">
        <v>24479</v>
      </c>
      <c r="Q36" s="62">
        <v>28205</v>
      </c>
      <c r="R36" s="62">
        <v>30415</v>
      </c>
      <c r="S36" s="62">
        <v>23157</v>
      </c>
      <c r="T36" s="63">
        <v>25110</v>
      </c>
      <c r="U36" s="64">
        <v>20097</v>
      </c>
      <c r="V36" s="62">
        <v>22176</v>
      </c>
      <c r="W36" s="62">
        <v>23477</v>
      </c>
      <c r="X36" s="62">
        <v>25917</v>
      </c>
      <c r="Y36" s="62">
        <v>22125</v>
      </c>
      <c r="Z36" s="62">
        <v>27344</v>
      </c>
      <c r="AA36" s="18">
        <v>25143</v>
      </c>
      <c r="AB36" s="18">
        <v>25131</v>
      </c>
      <c r="AC36" s="18">
        <v>35147</v>
      </c>
      <c r="AD36" s="18">
        <v>31289</v>
      </c>
      <c r="AE36" s="18">
        <v>26421</v>
      </c>
      <c r="AF36" s="19">
        <v>24860</v>
      </c>
      <c r="AG36" s="17">
        <v>21883</v>
      </c>
      <c r="AH36" s="18">
        <v>25550</v>
      </c>
      <c r="AI36" s="18">
        <v>29530</v>
      </c>
      <c r="AJ36" s="18">
        <v>29701</v>
      </c>
      <c r="AK36" s="18">
        <v>22027</v>
      </c>
      <c r="AL36" s="18">
        <v>25353</v>
      </c>
      <c r="AM36" s="18">
        <v>26234</v>
      </c>
      <c r="AN36" s="18">
        <v>26986</v>
      </c>
      <c r="AO36" s="18">
        <v>35150</v>
      </c>
      <c r="AP36" s="18">
        <v>32935</v>
      </c>
      <c r="AQ36" s="18">
        <v>28724</v>
      </c>
      <c r="AR36" s="19">
        <v>25434</v>
      </c>
      <c r="AS36" s="17">
        <v>24151</v>
      </c>
      <c r="AT36" s="18">
        <v>28718</v>
      </c>
      <c r="AU36" s="18">
        <v>29160</v>
      </c>
      <c r="AV36" s="18">
        <v>35259</v>
      </c>
      <c r="AW36" s="18">
        <v>28489</v>
      </c>
      <c r="AX36" s="18">
        <v>25584</v>
      </c>
      <c r="AY36" s="18">
        <v>27473</v>
      </c>
      <c r="AZ36" s="18">
        <v>27110</v>
      </c>
      <c r="BA36" s="18">
        <v>32247</v>
      </c>
      <c r="BB36" s="18">
        <v>34279</v>
      </c>
      <c r="BC36" s="18">
        <v>28629</v>
      </c>
      <c r="BD36" s="19">
        <v>23923</v>
      </c>
      <c r="BE36" s="17">
        <v>24236</v>
      </c>
      <c r="BF36" s="18">
        <v>26895</v>
      </c>
      <c r="BG36" s="18">
        <v>27805</v>
      </c>
      <c r="BH36" s="18">
        <v>32889</v>
      </c>
      <c r="BI36" s="18">
        <v>27359.707689600724</v>
      </c>
      <c r="BJ36" s="18">
        <v>27135</v>
      </c>
      <c r="BK36" s="18">
        <v>29509</v>
      </c>
      <c r="BL36" s="18">
        <v>28041</v>
      </c>
      <c r="BM36" s="18">
        <v>36250</v>
      </c>
      <c r="BN36" s="18">
        <v>32107</v>
      </c>
      <c r="BO36" s="18">
        <v>27204</v>
      </c>
      <c r="BP36" s="19">
        <v>24545</v>
      </c>
      <c r="BQ36" s="17">
        <v>23444</v>
      </c>
      <c r="BR36" s="18">
        <v>25825</v>
      </c>
      <c r="BS36" s="18">
        <v>28142</v>
      </c>
      <c r="BT36" s="18">
        <v>31706</v>
      </c>
      <c r="BU36" s="18">
        <v>23024</v>
      </c>
      <c r="BV36" s="18">
        <v>27050</v>
      </c>
      <c r="BW36" s="18">
        <v>29205</v>
      </c>
      <c r="BX36" s="18">
        <v>26162</v>
      </c>
      <c r="BY36" s="18">
        <v>33708</v>
      </c>
      <c r="BZ36" s="18">
        <v>30062</v>
      </c>
      <c r="CA36" s="18">
        <v>23525</v>
      </c>
      <c r="CB36" s="19">
        <v>23533</v>
      </c>
      <c r="CC36" s="20">
        <v>22741</v>
      </c>
      <c r="CD36" s="18">
        <v>24234</v>
      </c>
      <c r="CE36" s="18">
        <v>29701</v>
      </c>
      <c r="CF36" s="18">
        <v>32140</v>
      </c>
      <c r="CG36" s="18">
        <v>25117</v>
      </c>
      <c r="CH36" s="18">
        <v>28920</v>
      </c>
      <c r="CI36" s="18">
        <v>25648</v>
      </c>
      <c r="CJ36" s="18">
        <v>28500</v>
      </c>
      <c r="CK36" s="18">
        <v>33486</v>
      </c>
      <c r="CL36" s="18">
        <v>31745</v>
      </c>
      <c r="CM36" s="18">
        <v>28059</v>
      </c>
      <c r="CN36" s="21">
        <v>26653</v>
      </c>
      <c r="CO36" s="17">
        <v>24775</v>
      </c>
      <c r="CP36" s="18">
        <v>29204</v>
      </c>
      <c r="CQ36" s="18">
        <v>28024</v>
      </c>
      <c r="CR36" s="18">
        <v>29050</v>
      </c>
      <c r="CS36" s="18">
        <v>24148</v>
      </c>
      <c r="CT36" s="18">
        <v>27307</v>
      </c>
      <c r="CU36" s="18">
        <v>26622</v>
      </c>
      <c r="CV36" s="18">
        <v>27126</v>
      </c>
      <c r="CW36" s="18">
        <v>36690</v>
      </c>
      <c r="CX36" s="18">
        <v>28887</v>
      </c>
      <c r="CY36" s="18">
        <v>27724</v>
      </c>
      <c r="CZ36" s="19">
        <v>25829</v>
      </c>
      <c r="DA36" s="17">
        <v>21859</v>
      </c>
      <c r="DB36" s="18">
        <v>28627</v>
      </c>
      <c r="DC36" s="18">
        <v>25114</v>
      </c>
      <c r="DD36" s="18">
        <v>28857</v>
      </c>
      <c r="DE36" s="18">
        <v>21526</v>
      </c>
      <c r="DF36" s="18">
        <v>21489</v>
      </c>
      <c r="DG36" s="18">
        <v>22935</v>
      </c>
      <c r="DH36" s="18">
        <v>22055</v>
      </c>
      <c r="DI36" s="18">
        <v>28525</v>
      </c>
      <c r="DJ36" s="18">
        <v>24774</v>
      </c>
      <c r="DK36" s="18">
        <v>24544</v>
      </c>
      <c r="DL36" s="19">
        <v>21560</v>
      </c>
      <c r="DM36" s="17">
        <v>19881</v>
      </c>
      <c r="DN36" s="18">
        <v>22656</v>
      </c>
      <c r="DO36" s="18">
        <v>19810</v>
      </c>
      <c r="DP36" s="18">
        <v>25240</v>
      </c>
      <c r="DQ36" s="18">
        <v>24683</v>
      </c>
      <c r="DR36" s="18">
        <v>21155</v>
      </c>
      <c r="DS36" s="18">
        <v>24378</v>
      </c>
      <c r="DT36" s="18">
        <v>22430</v>
      </c>
      <c r="DU36" s="18">
        <v>26371</v>
      </c>
      <c r="DV36" s="18">
        <v>24491</v>
      </c>
      <c r="DW36" s="18">
        <v>23446</v>
      </c>
      <c r="DX36" s="19">
        <v>20130</v>
      </c>
      <c r="DY36" s="100">
        <v>19603</v>
      </c>
      <c r="DZ36" s="18">
        <v>20958</v>
      </c>
      <c r="EA36" s="18">
        <v>20903</v>
      </c>
      <c r="EB36" s="18">
        <v>26274</v>
      </c>
      <c r="EC36" s="18">
        <v>23321</v>
      </c>
      <c r="ED36" s="18">
        <v>21339</v>
      </c>
      <c r="EE36" s="18">
        <v>22473</v>
      </c>
      <c r="EF36" s="18">
        <v>22181</v>
      </c>
      <c r="EG36" s="18">
        <v>16820</v>
      </c>
      <c r="EH36" s="18">
        <v>9165</v>
      </c>
      <c r="EI36" s="18">
        <v>8802</v>
      </c>
      <c r="EJ36" s="19">
        <v>9183</v>
      </c>
      <c r="EK36" s="100">
        <v>8071</v>
      </c>
      <c r="EL36" s="18">
        <v>8046</v>
      </c>
      <c r="EM36" s="18">
        <v>8714</v>
      </c>
      <c r="EN36" s="103">
        <v>9491</v>
      </c>
      <c r="EO36" s="18">
        <v>10331</v>
      </c>
      <c r="EP36" s="18">
        <v>7045</v>
      </c>
      <c r="EQ36" s="18">
        <v>3910</v>
      </c>
      <c r="ER36" s="18">
        <v>7931</v>
      </c>
      <c r="ES36" s="18">
        <v>10422</v>
      </c>
      <c r="ET36" s="18">
        <v>10798</v>
      </c>
      <c r="EU36" s="18">
        <v>9399</v>
      </c>
      <c r="EV36" s="19">
        <v>10868</v>
      </c>
      <c r="EW36" s="103">
        <v>9896</v>
      </c>
      <c r="EX36" s="18">
        <v>10323</v>
      </c>
      <c r="EY36" s="18">
        <v>11036</v>
      </c>
      <c r="EZ36" s="103">
        <v>11891</v>
      </c>
      <c r="FA36" s="18">
        <v>12413</v>
      </c>
      <c r="FB36" s="149">
        <v>12603</v>
      </c>
      <c r="FC36" s="18">
        <v>10633</v>
      </c>
      <c r="FD36" s="18">
        <v>13007</v>
      </c>
      <c r="FE36" s="149">
        <v>17077</v>
      </c>
      <c r="FF36" s="149">
        <v>14759</v>
      </c>
      <c r="FG36" s="149">
        <v>11633</v>
      </c>
      <c r="FH36" s="155">
        <v>11489</v>
      </c>
      <c r="FI36" s="103">
        <f>'Average Weekday Boardings'!FI36*20</f>
        <v>10762</v>
      </c>
      <c r="FJ36" s="18">
        <f>'Average Weekday Boardings'!FJ36*23</f>
        <v>13759.000000000002</v>
      </c>
      <c r="FK36" s="18">
        <f>'Average Weekday Boardings'!FK36*21</f>
        <v>13716</v>
      </c>
      <c r="FL36" s="103">
        <v>13972</v>
      </c>
      <c r="FM36" s="18">
        <v>13477</v>
      </c>
      <c r="FN36" s="149">
        <v>12692</v>
      </c>
      <c r="FO36" s="18">
        <v>14504</v>
      </c>
      <c r="FP36" s="18">
        <v>13179</v>
      </c>
      <c r="FQ36" s="149">
        <v>18865</v>
      </c>
      <c r="FR36" s="149">
        <v>14982</v>
      </c>
      <c r="FS36" s="149">
        <v>15657</v>
      </c>
      <c r="FT36" s="155">
        <v>12382</v>
      </c>
      <c r="FU36" s="169">
        <v>10545</v>
      </c>
      <c r="FV36" s="169">
        <v>12914</v>
      </c>
      <c r="FW36" s="169">
        <v>11766</v>
      </c>
      <c r="FX36" s="169">
        <v>15294</v>
      </c>
      <c r="FY36" s="169">
        <v>13598</v>
      </c>
      <c r="FZ36" s="169">
        <v>12827</v>
      </c>
      <c r="GA36" s="169">
        <v>13934</v>
      </c>
      <c r="GB36" s="18">
        <v>14133</v>
      </c>
      <c r="GC36" s="52">
        <v>15565</v>
      </c>
      <c r="GD36" s="18">
        <v>15231</v>
      </c>
      <c r="GE36" s="18">
        <v>13823</v>
      </c>
      <c r="GF36" s="52">
        <v>11015</v>
      </c>
      <c r="GG36" s="18">
        <v>11865</v>
      </c>
      <c r="GH36" s="18">
        <v>13089</v>
      </c>
      <c r="GI36" s="52">
        <v>12985</v>
      </c>
      <c r="GJ36" s="242">
        <v>14042</v>
      </c>
      <c r="GK36" s="184">
        <v>13395</v>
      </c>
      <c r="GL36" s="184">
        <v>12747</v>
      </c>
    </row>
    <row r="37" spans="1:194" x14ac:dyDescent="0.3">
      <c r="A37" s="3" t="s">
        <v>19</v>
      </c>
      <c r="B37" s="17"/>
      <c r="C37" s="18">
        <v>32790</v>
      </c>
      <c r="D37" s="18">
        <v>32396</v>
      </c>
      <c r="E37" s="18">
        <v>41516</v>
      </c>
      <c r="F37" s="18">
        <v>39039</v>
      </c>
      <c r="G37" s="18">
        <v>26207</v>
      </c>
      <c r="H37" s="19">
        <v>28441</v>
      </c>
      <c r="I37" s="17">
        <v>21878</v>
      </c>
      <c r="J37" s="18">
        <v>31322</v>
      </c>
      <c r="K37" s="18">
        <v>51362</v>
      </c>
      <c r="L37" s="18">
        <v>53393</v>
      </c>
      <c r="M37" s="18">
        <v>45236</v>
      </c>
      <c r="N37" s="18">
        <v>36850</v>
      </c>
      <c r="O37" s="62">
        <v>37815</v>
      </c>
      <c r="P37" s="62">
        <v>42256</v>
      </c>
      <c r="Q37" s="62">
        <v>44431</v>
      </c>
      <c r="R37" s="62">
        <v>52581</v>
      </c>
      <c r="S37" s="62">
        <v>35423</v>
      </c>
      <c r="T37" s="63">
        <v>25935</v>
      </c>
      <c r="U37" s="64">
        <v>22325</v>
      </c>
      <c r="V37" s="62">
        <v>39707</v>
      </c>
      <c r="W37" s="62">
        <v>50722</v>
      </c>
      <c r="X37" s="62">
        <v>46319</v>
      </c>
      <c r="Y37" s="62">
        <v>41318</v>
      </c>
      <c r="Z37" s="62">
        <v>38486</v>
      </c>
      <c r="AA37" s="18">
        <v>38603</v>
      </c>
      <c r="AB37" s="18">
        <v>44573</v>
      </c>
      <c r="AC37" s="18">
        <v>46429</v>
      </c>
      <c r="AD37" s="18">
        <v>46121</v>
      </c>
      <c r="AE37" s="18">
        <v>31266</v>
      </c>
      <c r="AF37" s="19">
        <v>27601</v>
      </c>
      <c r="AG37" s="17">
        <v>25579</v>
      </c>
      <c r="AH37" s="18">
        <v>43833</v>
      </c>
      <c r="AI37" s="18">
        <v>58701</v>
      </c>
      <c r="AJ37" s="18">
        <v>50093</v>
      </c>
      <c r="AK37" s="18">
        <v>42975</v>
      </c>
      <c r="AL37" s="18">
        <v>36941</v>
      </c>
      <c r="AM37" s="18">
        <v>46245</v>
      </c>
      <c r="AN37" s="18">
        <v>43131</v>
      </c>
      <c r="AO37" s="18">
        <v>43015</v>
      </c>
      <c r="AP37" s="18">
        <v>45235</v>
      </c>
      <c r="AQ37" s="18">
        <v>32984</v>
      </c>
      <c r="AR37" s="19">
        <v>28547</v>
      </c>
      <c r="AS37" s="17">
        <v>26874</v>
      </c>
      <c r="AT37" s="18">
        <v>44175</v>
      </c>
      <c r="AU37" s="18">
        <v>52814</v>
      </c>
      <c r="AV37" s="18">
        <v>60262</v>
      </c>
      <c r="AW37" s="18">
        <v>47350</v>
      </c>
      <c r="AX37" s="18">
        <v>37080</v>
      </c>
      <c r="AY37" s="18">
        <v>45982</v>
      </c>
      <c r="AZ37" s="18">
        <v>43934</v>
      </c>
      <c r="BA37" s="18">
        <v>41475</v>
      </c>
      <c r="BB37" s="18">
        <v>47445</v>
      </c>
      <c r="BC37" s="18">
        <v>35534</v>
      </c>
      <c r="BD37" s="19">
        <v>28336</v>
      </c>
      <c r="BE37" s="17">
        <v>28956</v>
      </c>
      <c r="BF37" s="18">
        <v>36461</v>
      </c>
      <c r="BG37" s="18">
        <v>51223</v>
      </c>
      <c r="BH37" s="18">
        <v>52735</v>
      </c>
      <c r="BI37" s="18">
        <v>44379.826732051086</v>
      </c>
      <c r="BJ37" s="18">
        <v>33269</v>
      </c>
      <c r="BK37" s="18">
        <v>43531</v>
      </c>
      <c r="BL37" s="18">
        <v>44710</v>
      </c>
      <c r="BM37" s="18">
        <v>43767</v>
      </c>
      <c r="BN37" s="18">
        <v>48764</v>
      </c>
      <c r="BO37" s="18">
        <v>36665</v>
      </c>
      <c r="BP37" s="19">
        <v>30631</v>
      </c>
      <c r="BQ37" s="17">
        <v>29830</v>
      </c>
      <c r="BR37" s="18">
        <v>45133</v>
      </c>
      <c r="BS37" s="18">
        <v>58814</v>
      </c>
      <c r="BT37" s="18">
        <v>57022</v>
      </c>
      <c r="BU37" s="18">
        <v>42841</v>
      </c>
      <c r="BV37" s="18">
        <v>36783</v>
      </c>
      <c r="BW37" s="18">
        <v>46404</v>
      </c>
      <c r="BX37" s="18">
        <v>45324</v>
      </c>
      <c r="BY37" s="18">
        <v>46215</v>
      </c>
      <c r="BZ37" s="18">
        <v>49121</v>
      </c>
      <c r="CA37" s="18">
        <v>31768</v>
      </c>
      <c r="CB37" s="19">
        <v>30344</v>
      </c>
      <c r="CC37" s="20">
        <v>27948</v>
      </c>
      <c r="CD37" s="18">
        <v>38397</v>
      </c>
      <c r="CE37" s="18">
        <v>55966</v>
      </c>
      <c r="CF37" s="18">
        <v>54498</v>
      </c>
      <c r="CG37" s="18">
        <v>43646</v>
      </c>
      <c r="CH37" s="18">
        <v>35800</v>
      </c>
      <c r="CI37" s="18">
        <v>40700</v>
      </c>
      <c r="CJ37" s="18">
        <v>45530</v>
      </c>
      <c r="CK37" s="18">
        <v>46488</v>
      </c>
      <c r="CL37" s="18">
        <v>44036</v>
      </c>
      <c r="CM37" s="18">
        <v>32570</v>
      </c>
      <c r="CN37" s="21">
        <v>29894</v>
      </c>
      <c r="CO37" s="17">
        <v>27249</v>
      </c>
      <c r="CP37" s="18">
        <v>42771</v>
      </c>
      <c r="CQ37" s="18">
        <v>47036</v>
      </c>
      <c r="CR37" s="18">
        <v>45001</v>
      </c>
      <c r="CS37" s="18">
        <v>43453</v>
      </c>
      <c r="CT37" s="18">
        <v>31100</v>
      </c>
      <c r="CU37" s="18">
        <v>39497</v>
      </c>
      <c r="CV37" s="18">
        <v>39765</v>
      </c>
      <c r="CW37" s="18">
        <v>43559</v>
      </c>
      <c r="CX37" s="18">
        <v>39335</v>
      </c>
      <c r="CY37" s="18">
        <v>34488</v>
      </c>
      <c r="CZ37" s="19">
        <v>29548</v>
      </c>
      <c r="DA37" s="17">
        <v>25638</v>
      </c>
      <c r="DB37" s="18">
        <v>43996</v>
      </c>
      <c r="DC37" s="18">
        <v>40640</v>
      </c>
      <c r="DD37" s="18">
        <v>43602</v>
      </c>
      <c r="DE37" s="18">
        <v>37429</v>
      </c>
      <c r="DF37" s="18">
        <v>28105</v>
      </c>
      <c r="DG37" s="18">
        <v>38670</v>
      </c>
      <c r="DH37" s="18">
        <v>36487</v>
      </c>
      <c r="DI37" s="18">
        <v>37137</v>
      </c>
      <c r="DJ37" s="18">
        <v>36509</v>
      </c>
      <c r="DK37" s="18">
        <v>30858</v>
      </c>
      <c r="DL37" s="19">
        <v>26169</v>
      </c>
      <c r="DM37" s="17">
        <v>25447</v>
      </c>
      <c r="DN37" s="18">
        <v>37048</v>
      </c>
      <c r="DO37" s="18">
        <v>34815</v>
      </c>
      <c r="DP37" s="18">
        <v>44168</v>
      </c>
      <c r="DQ37" s="18">
        <v>36206</v>
      </c>
      <c r="DR37" s="18">
        <v>25231</v>
      </c>
      <c r="DS37" s="18">
        <v>37330</v>
      </c>
      <c r="DT37" s="18">
        <v>34982</v>
      </c>
      <c r="DU37" s="18">
        <v>33710</v>
      </c>
      <c r="DV37" s="18">
        <v>10260</v>
      </c>
      <c r="DW37" s="18">
        <v>29986</v>
      </c>
      <c r="DX37" s="19">
        <v>25224</v>
      </c>
      <c r="DY37" s="100">
        <v>27346</v>
      </c>
      <c r="DZ37" s="18">
        <v>37681</v>
      </c>
      <c r="EA37" s="18">
        <v>41302</v>
      </c>
      <c r="EB37" s="18">
        <v>43826</v>
      </c>
      <c r="EC37" s="18">
        <v>36945</v>
      </c>
      <c r="ED37" s="18">
        <v>30933</v>
      </c>
      <c r="EE37" s="18">
        <v>35610</v>
      </c>
      <c r="EF37" s="18">
        <v>36873</v>
      </c>
      <c r="EG37" s="18">
        <v>24997</v>
      </c>
      <c r="EH37" s="18">
        <v>14478</v>
      </c>
      <c r="EI37" s="18">
        <v>13230</v>
      </c>
      <c r="EJ37" s="19">
        <v>14544</v>
      </c>
      <c r="EK37" s="100">
        <v>14105</v>
      </c>
      <c r="EL37" s="18">
        <v>13409</v>
      </c>
      <c r="EM37" s="18">
        <v>14100</v>
      </c>
      <c r="EN37" s="103">
        <v>15111</v>
      </c>
      <c r="EO37" s="18">
        <v>11757</v>
      </c>
      <c r="EP37" s="18">
        <v>10779</v>
      </c>
      <c r="EQ37" s="18">
        <v>6058</v>
      </c>
      <c r="ER37" s="18">
        <v>12147</v>
      </c>
      <c r="ES37" s="18">
        <v>14088</v>
      </c>
      <c r="ET37" s="18">
        <v>14120</v>
      </c>
      <c r="EU37" s="18">
        <v>10733</v>
      </c>
      <c r="EV37" s="19">
        <v>11903</v>
      </c>
      <c r="EW37" s="103">
        <v>11339</v>
      </c>
      <c r="EX37" s="18">
        <v>15862</v>
      </c>
      <c r="EY37" s="18">
        <v>21036</v>
      </c>
      <c r="EZ37" s="103">
        <v>20583</v>
      </c>
      <c r="FA37" s="18">
        <v>18528</v>
      </c>
      <c r="FB37" s="149">
        <v>14286</v>
      </c>
      <c r="FC37" s="18">
        <v>14748</v>
      </c>
      <c r="FD37" s="18">
        <v>18765</v>
      </c>
      <c r="FE37" s="149">
        <v>21778</v>
      </c>
      <c r="FF37" s="149">
        <v>19793</v>
      </c>
      <c r="FG37" s="149">
        <v>16207</v>
      </c>
      <c r="FH37" s="155">
        <v>12742</v>
      </c>
      <c r="FI37" s="103">
        <f>'Average Weekday Boardings'!FI37*20</f>
        <v>11973</v>
      </c>
      <c r="FJ37" s="18">
        <f>'Average Weekday Boardings'!FJ37*23</f>
        <v>18565</v>
      </c>
      <c r="FK37" s="18">
        <f>'Average Weekday Boardings'!FK37*21</f>
        <v>22166.000000000004</v>
      </c>
      <c r="FL37" s="103">
        <v>19448</v>
      </c>
      <c r="FM37" s="18">
        <v>18809</v>
      </c>
      <c r="FN37" s="149">
        <v>15022</v>
      </c>
      <c r="FO37" s="18">
        <v>20143</v>
      </c>
      <c r="FP37" s="18">
        <v>17948</v>
      </c>
      <c r="FQ37" s="149">
        <v>22792</v>
      </c>
      <c r="FR37" s="149">
        <v>19596</v>
      </c>
      <c r="FS37" s="149">
        <v>18769</v>
      </c>
      <c r="FT37" s="155">
        <v>14318</v>
      </c>
      <c r="FU37" s="169">
        <v>12443</v>
      </c>
      <c r="FV37" s="169">
        <v>20359</v>
      </c>
      <c r="FW37" s="169">
        <v>18285</v>
      </c>
      <c r="FX37" s="169">
        <v>21309</v>
      </c>
      <c r="FY37" s="169">
        <v>19955</v>
      </c>
      <c r="FZ37" s="169">
        <v>14645</v>
      </c>
      <c r="GA37" s="169">
        <v>20123</v>
      </c>
      <c r="GB37" s="18">
        <v>37308</v>
      </c>
      <c r="GC37" s="52">
        <v>20091</v>
      </c>
      <c r="GD37" s="18">
        <v>18877</v>
      </c>
      <c r="GE37" s="18">
        <v>34104</v>
      </c>
      <c r="GF37" s="52">
        <v>13139</v>
      </c>
      <c r="GG37" s="18">
        <v>14224</v>
      </c>
      <c r="GH37" s="18">
        <v>17897</v>
      </c>
      <c r="GI37" s="52">
        <v>19659</v>
      </c>
      <c r="GJ37" s="242">
        <v>25142</v>
      </c>
      <c r="GK37" s="184">
        <v>18852</v>
      </c>
      <c r="GL37" s="184">
        <v>15939</v>
      </c>
    </row>
    <row r="38" spans="1:194" x14ac:dyDescent="0.3">
      <c r="A38" s="3" t="s">
        <v>20</v>
      </c>
      <c r="B38" s="17"/>
      <c r="C38" s="18">
        <v>39786</v>
      </c>
      <c r="D38" s="18">
        <v>36151</v>
      </c>
      <c r="E38" s="18">
        <v>42025</v>
      </c>
      <c r="F38" s="18">
        <v>46210</v>
      </c>
      <c r="G38" s="18">
        <v>27018</v>
      </c>
      <c r="H38" s="19">
        <v>26609</v>
      </c>
      <c r="I38" s="17">
        <v>20461</v>
      </c>
      <c r="J38" s="18">
        <v>24354</v>
      </c>
      <c r="K38" s="18">
        <v>75539</v>
      </c>
      <c r="L38" s="18">
        <v>77046</v>
      </c>
      <c r="M38" s="18">
        <v>63402</v>
      </c>
      <c r="N38" s="18">
        <v>54048</v>
      </c>
      <c r="O38" s="62">
        <v>54567</v>
      </c>
      <c r="P38" s="62">
        <v>61932</v>
      </c>
      <c r="Q38" s="62">
        <v>69359</v>
      </c>
      <c r="R38" s="62">
        <v>75874</v>
      </c>
      <c r="S38" s="62">
        <v>37443</v>
      </c>
      <c r="T38" s="63">
        <v>27699</v>
      </c>
      <c r="U38" s="64">
        <v>23567</v>
      </c>
      <c r="V38" s="62">
        <v>49563</v>
      </c>
      <c r="W38" s="62">
        <v>77783</v>
      </c>
      <c r="X38" s="62">
        <v>72050</v>
      </c>
      <c r="Y38" s="62">
        <v>62916</v>
      </c>
      <c r="Z38" s="62">
        <v>41340</v>
      </c>
      <c r="AA38" s="18">
        <v>49663</v>
      </c>
      <c r="AB38" s="18">
        <v>65630</v>
      </c>
      <c r="AC38" s="18">
        <v>64842</v>
      </c>
      <c r="AD38" s="18">
        <v>63925</v>
      </c>
      <c r="AE38" s="18">
        <v>33767</v>
      </c>
      <c r="AF38" s="19">
        <v>30195</v>
      </c>
      <c r="AG38" s="17">
        <v>26136</v>
      </c>
      <c r="AH38" s="18">
        <v>54833</v>
      </c>
      <c r="AI38" s="18">
        <v>75463</v>
      </c>
      <c r="AJ38" s="18">
        <v>71162</v>
      </c>
      <c r="AK38" s="18">
        <v>59696</v>
      </c>
      <c r="AL38" s="18">
        <v>36179</v>
      </c>
      <c r="AM38" s="18">
        <v>60607</v>
      </c>
      <c r="AN38" s="18">
        <v>59342</v>
      </c>
      <c r="AO38" s="18">
        <v>57182</v>
      </c>
      <c r="AP38" s="18">
        <v>60231</v>
      </c>
      <c r="AQ38" s="18">
        <v>31781</v>
      </c>
      <c r="AR38" s="19">
        <v>30667</v>
      </c>
      <c r="AS38" s="17">
        <v>26837</v>
      </c>
      <c r="AT38" s="18">
        <v>47460</v>
      </c>
      <c r="AU38" s="18">
        <v>66689</v>
      </c>
      <c r="AV38" s="18">
        <v>74244</v>
      </c>
      <c r="AW38" s="18">
        <v>62023</v>
      </c>
      <c r="AX38" s="18">
        <v>43157</v>
      </c>
      <c r="AY38" s="18">
        <v>62370</v>
      </c>
      <c r="AZ38" s="18">
        <v>59855</v>
      </c>
      <c r="BA38" s="18">
        <v>52969</v>
      </c>
      <c r="BB38" s="18">
        <v>63412</v>
      </c>
      <c r="BC38" s="18">
        <v>34257</v>
      </c>
      <c r="BD38" s="19">
        <v>26152</v>
      </c>
      <c r="BE38" s="17">
        <v>24874</v>
      </c>
      <c r="BF38" s="18">
        <v>43434</v>
      </c>
      <c r="BG38" s="18">
        <v>64915</v>
      </c>
      <c r="BH38" s="18">
        <v>69341</v>
      </c>
      <c r="BI38" s="18">
        <v>55289.409289401461</v>
      </c>
      <c r="BJ38" s="18">
        <v>37128</v>
      </c>
      <c r="BK38" s="18">
        <v>54981</v>
      </c>
      <c r="BL38" s="18">
        <v>57695</v>
      </c>
      <c r="BM38" s="18">
        <v>53363</v>
      </c>
      <c r="BN38" s="18">
        <v>60487</v>
      </c>
      <c r="BO38" s="18">
        <v>35541</v>
      </c>
      <c r="BP38" s="19">
        <v>30050</v>
      </c>
      <c r="BQ38" s="17">
        <v>26929</v>
      </c>
      <c r="BR38" s="18">
        <v>44331</v>
      </c>
      <c r="BS38" s="18">
        <v>67686</v>
      </c>
      <c r="BT38" s="18">
        <v>67752</v>
      </c>
      <c r="BU38" s="18">
        <v>50174</v>
      </c>
      <c r="BV38" s="18">
        <v>37618</v>
      </c>
      <c r="BW38" s="18">
        <v>50070</v>
      </c>
      <c r="BX38" s="18">
        <v>53172</v>
      </c>
      <c r="BY38" s="18">
        <v>51115</v>
      </c>
      <c r="BZ38" s="18">
        <v>54391</v>
      </c>
      <c r="CA38" s="18">
        <v>29260</v>
      </c>
      <c r="CB38" s="19">
        <v>27721</v>
      </c>
      <c r="CC38" s="20">
        <v>24851</v>
      </c>
      <c r="CD38" s="18">
        <v>41463</v>
      </c>
      <c r="CE38" s="18">
        <v>64748</v>
      </c>
      <c r="CF38" s="18">
        <v>61678</v>
      </c>
      <c r="CG38" s="18">
        <v>51951</v>
      </c>
      <c r="CH38" s="18">
        <v>35934</v>
      </c>
      <c r="CI38" s="18">
        <v>46703</v>
      </c>
      <c r="CJ38" s="18">
        <v>55199</v>
      </c>
      <c r="CK38" s="18">
        <v>54518</v>
      </c>
      <c r="CL38" s="18">
        <v>53563</v>
      </c>
      <c r="CM38" s="18">
        <v>31475</v>
      </c>
      <c r="CN38" s="21">
        <v>29938</v>
      </c>
      <c r="CO38" s="17">
        <v>25062</v>
      </c>
      <c r="CP38" s="18">
        <v>46411</v>
      </c>
      <c r="CQ38" s="18">
        <v>57382</v>
      </c>
      <c r="CR38" s="18">
        <v>52721</v>
      </c>
      <c r="CS38" s="18">
        <v>48199</v>
      </c>
      <c r="CT38" s="18">
        <v>29339</v>
      </c>
      <c r="CU38" s="18">
        <v>46138</v>
      </c>
      <c r="CV38" s="18">
        <v>47764</v>
      </c>
      <c r="CW38" s="18">
        <v>48967</v>
      </c>
      <c r="CX38" s="18">
        <v>46478</v>
      </c>
      <c r="CY38" s="18">
        <v>31447</v>
      </c>
      <c r="CZ38" s="19">
        <v>26161</v>
      </c>
      <c r="DA38" s="17">
        <v>22986</v>
      </c>
      <c r="DB38" s="18">
        <v>44445</v>
      </c>
      <c r="DC38" s="18">
        <v>52090</v>
      </c>
      <c r="DD38" s="18">
        <v>52450</v>
      </c>
      <c r="DE38" s="18">
        <v>45913</v>
      </c>
      <c r="DF38" s="18">
        <v>25560</v>
      </c>
      <c r="DG38" s="18">
        <v>45384</v>
      </c>
      <c r="DH38" s="18">
        <v>44156</v>
      </c>
      <c r="DI38" s="18">
        <v>45057</v>
      </c>
      <c r="DJ38" s="18">
        <v>44781</v>
      </c>
      <c r="DK38" s="18">
        <v>28091</v>
      </c>
      <c r="DL38" s="19">
        <v>25020</v>
      </c>
      <c r="DM38" s="17">
        <v>23294</v>
      </c>
      <c r="DN38" s="18">
        <v>42610</v>
      </c>
      <c r="DO38" s="18">
        <v>44847</v>
      </c>
      <c r="DP38" s="18">
        <v>50394</v>
      </c>
      <c r="DQ38" s="18">
        <v>44507</v>
      </c>
      <c r="DR38" s="18">
        <v>23699</v>
      </c>
      <c r="DS38" s="18">
        <v>46413</v>
      </c>
      <c r="DT38" s="18">
        <v>44015</v>
      </c>
      <c r="DU38" s="18">
        <v>40173</v>
      </c>
      <c r="DV38" s="18">
        <v>45705</v>
      </c>
      <c r="DW38" s="18">
        <v>27288</v>
      </c>
      <c r="DX38" s="19">
        <v>23594</v>
      </c>
      <c r="DY38" s="100">
        <v>22603</v>
      </c>
      <c r="DZ38" s="18">
        <v>33257</v>
      </c>
      <c r="EA38" s="18">
        <v>49534</v>
      </c>
      <c r="EB38" s="18">
        <v>53960</v>
      </c>
      <c r="EC38" s="18">
        <v>44263</v>
      </c>
      <c r="ED38" s="18">
        <v>30220</v>
      </c>
      <c r="EE38" s="18">
        <v>41713</v>
      </c>
      <c r="EF38" s="18">
        <v>46492</v>
      </c>
      <c r="EG38" s="18">
        <v>25048</v>
      </c>
      <c r="EH38" s="18">
        <v>9061</v>
      </c>
      <c r="EI38" s="18">
        <v>7882</v>
      </c>
      <c r="EJ38" s="19">
        <v>7954</v>
      </c>
      <c r="EK38" s="100">
        <v>7412</v>
      </c>
      <c r="EL38" s="18">
        <v>10301</v>
      </c>
      <c r="EM38" s="18">
        <v>11730</v>
      </c>
      <c r="EN38" s="103">
        <v>12401</v>
      </c>
      <c r="EO38" s="18">
        <v>11460</v>
      </c>
      <c r="EP38" s="18">
        <v>8572</v>
      </c>
      <c r="EQ38" s="18">
        <v>4613</v>
      </c>
      <c r="ER38" s="18">
        <v>9869</v>
      </c>
      <c r="ES38" s="18">
        <v>12012</v>
      </c>
      <c r="ET38" s="18">
        <v>12428</v>
      </c>
      <c r="EU38" s="18">
        <v>10814</v>
      </c>
      <c r="EV38" s="19">
        <v>12042</v>
      </c>
      <c r="EW38" s="103">
        <v>11059</v>
      </c>
      <c r="EX38" s="18">
        <v>21164</v>
      </c>
      <c r="EY38" s="18">
        <v>29132</v>
      </c>
      <c r="EZ38" s="103">
        <v>26376</v>
      </c>
      <c r="FA38" s="18">
        <v>25480</v>
      </c>
      <c r="FB38" s="149">
        <v>16395</v>
      </c>
      <c r="FC38" s="18">
        <v>21017</v>
      </c>
      <c r="FD38" s="18">
        <v>26955</v>
      </c>
      <c r="FE38" s="149">
        <v>29112</v>
      </c>
      <c r="FF38" s="149">
        <v>27527</v>
      </c>
      <c r="FG38" s="149">
        <v>18224</v>
      </c>
      <c r="FH38" s="155">
        <v>14888</v>
      </c>
      <c r="FI38" s="103">
        <f>'Average Weekday Boardings'!FI38*20</f>
        <v>13439</v>
      </c>
      <c r="FJ38" s="18">
        <f>'Average Weekday Boardings'!FJ38*23</f>
        <v>10754</v>
      </c>
      <c r="FK38" s="18">
        <f>'Average Weekday Boardings'!FK38*21</f>
        <v>12064</v>
      </c>
      <c r="FL38" s="103">
        <v>11139</v>
      </c>
      <c r="FM38" s="18">
        <v>10376</v>
      </c>
      <c r="FN38" s="149">
        <v>7915</v>
      </c>
      <c r="FO38" s="18">
        <v>11205</v>
      </c>
      <c r="FP38" s="18">
        <v>25406</v>
      </c>
      <c r="FQ38" s="149">
        <v>12644</v>
      </c>
      <c r="FR38" s="149">
        <v>11266</v>
      </c>
      <c r="FS38" s="149">
        <v>10761</v>
      </c>
      <c r="FT38" s="155">
        <v>8246</v>
      </c>
      <c r="FU38" s="169">
        <v>7927</v>
      </c>
      <c r="FV38" s="169">
        <v>12923</v>
      </c>
      <c r="FW38" s="169">
        <v>11867</v>
      </c>
      <c r="FX38" s="169">
        <v>12596</v>
      </c>
      <c r="FY38" s="169">
        <v>11198</v>
      </c>
      <c r="FZ38" s="169">
        <v>8299</v>
      </c>
      <c r="GA38" s="169">
        <v>11375</v>
      </c>
      <c r="GB38" s="18">
        <v>12373</v>
      </c>
      <c r="GC38" s="52">
        <v>10799</v>
      </c>
      <c r="GD38" s="18">
        <v>10715</v>
      </c>
      <c r="GE38" s="18">
        <v>9472</v>
      </c>
      <c r="GF38" s="52">
        <v>6542</v>
      </c>
      <c r="GG38" s="18">
        <v>7157</v>
      </c>
      <c r="GH38" s="18">
        <v>10852</v>
      </c>
      <c r="GI38" s="52">
        <v>12811</v>
      </c>
      <c r="GJ38" s="242">
        <v>13395</v>
      </c>
      <c r="GK38" s="184">
        <v>11251</v>
      </c>
      <c r="GL38" s="184">
        <v>8918</v>
      </c>
    </row>
    <row r="39" spans="1:194" x14ac:dyDescent="0.3">
      <c r="A39" s="3" t="s">
        <v>21</v>
      </c>
      <c r="B39" s="17"/>
      <c r="C39" s="18">
        <v>10062</v>
      </c>
      <c r="D39" s="18">
        <v>17591</v>
      </c>
      <c r="E39" s="18">
        <v>17123</v>
      </c>
      <c r="F39" s="18">
        <v>18354</v>
      </c>
      <c r="G39" s="18">
        <v>15952</v>
      </c>
      <c r="H39" s="19">
        <v>12605</v>
      </c>
      <c r="I39" s="17">
        <v>9792</v>
      </c>
      <c r="J39" s="18">
        <v>10703</v>
      </c>
      <c r="K39" s="18">
        <v>20326</v>
      </c>
      <c r="L39" s="18">
        <v>21982</v>
      </c>
      <c r="M39" s="18">
        <v>18591</v>
      </c>
      <c r="N39" s="18">
        <v>16161</v>
      </c>
      <c r="O39" s="62">
        <v>15569</v>
      </c>
      <c r="P39" s="62">
        <v>18533</v>
      </c>
      <c r="Q39" s="62">
        <v>21354</v>
      </c>
      <c r="R39" s="62">
        <v>21648</v>
      </c>
      <c r="S39" s="62">
        <v>16099</v>
      </c>
      <c r="T39" s="63">
        <v>12950</v>
      </c>
      <c r="U39" s="64">
        <v>10947</v>
      </c>
      <c r="V39" s="62">
        <v>18709</v>
      </c>
      <c r="W39" s="62">
        <v>21394</v>
      </c>
      <c r="X39" s="62">
        <v>20383</v>
      </c>
      <c r="Y39" s="62">
        <v>17891</v>
      </c>
      <c r="Z39" s="62">
        <v>15833</v>
      </c>
      <c r="AA39" s="18">
        <v>16890</v>
      </c>
      <c r="AB39" s="18">
        <v>18975</v>
      </c>
      <c r="AC39" s="18">
        <v>20851</v>
      </c>
      <c r="AD39" s="18">
        <v>19653</v>
      </c>
      <c r="AE39" s="18">
        <v>14755</v>
      </c>
      <c r="AF39" s="19">
        <v>11927</v>
      </c>
      <c r="AG39" s="17">
        <v>10918</v>
      </c>
      <c r="AH39" s="18">
        <v>17571</v>
      </c>
      <c r="AI39" s="18">
        <v>21125</v>
      </c>
      <c r="AJ39" s="18">
        <v>19876</v>
      </c>
      <c r="AK39" s="18">
        <v>16819</v>
      </c>
      <c r="AL39" s="18">
        <v>14777</v>
      </c>
      <c r="AM39" s="18">
        <v>18421</v>
      </c>
      <c r="AN39" s="18">
        <v>18606</v>
      </c>
      <c r="AO39" s="18">
        <v>20101</v>
      </c>
      <c r="AP39" s="18">
        <v>20904</v>
      </c>
      <c r="AQ39" s="18">
        <v>16054</v>
      </c>
      <c r="AR39" s="19">
        <v>14112</v>
      </c>
      <c r="AS39" s="17">
        <v>13510</v>
      </c>
      <c r="AT39" s="18">
        <v>19186</v>
      </c>
      <c r="AU39" s="18">
        <v>18817</v>
      </c>
      <c r="AV39" s="18">
        <v>23367</v>
      </c>
      <c r="AW39" s="18">
        <v>19647</v>
      </c>
      <c r="AX39" s="18">
        <v>16628</v>
      </c>
      <c r="AY39" s="18">
        <v>19875</v>
      </c>
      <c r="AZ39" s="18">
        <v>19134</v>
      </c>
      <c r="BA39" s="18">
        <v>19132</v>
      </c>
      <c r="BB39" s="18">
        <v>20884</v>
      </c>
      <c r="BC39" s="18">
        <v>16399</v>
      </c>
      <c r="BD39" s="19">
        <v>13130</v>
      </c>
      <c r="BE39" s="17">
        <v>13487</v>
      </c>
      <c r="BF39" s="18">
        <v>17052</v>
      </c>
      <c r="BG39" s="18">
        <v>19363</v>
      </c>
      <c r="BH39" s="18">
        <v>21887</v>
      </c>
      <c r="BI39" s="18">
        <v>18396.175137163318</v>
      </c>
      <c r="BJ39" s="18">
        <v>16075</v>
      </c>
      <c r="BK39" s="18">
        <v>20144</v>
      </c>
      <c r="BL39" s="18">
        <v>19655</v>
      </c>
      <c r="BM39" s="18">
        <v>20186</v>
      </c>
      <c r="BN39" s="18">
        <v>21682</v>
      </c>
      <c r="BO39" s="18">
        <v>17086</v>
      </c>
      <c r="BP39" s="19">
        <v>14388</v>
      </c>
      <c r="BQ39" s="17">
        <v>14136</v>
      </c>
      <c r="BR39" s="18">
        <v>18080</v>
      </c>
      <c r="BS39" s="18">
        <v>22490</v>
      </c>
      <c r="BT39" s="18">
        <v>23937</v>
      </c>
      <c r="BU39" s="18">
        <v>17458</v>
      </c>
      <c r="BV39" s="18">
        <v>17056</v>
      </c>
      <c r="BW39" s="18">
        <v>19712</v>
      </c>
      <c r="BX39" s="18">
        <v>18709</v>
      </c>
      <c r="BY39" s="18">
        <v>19869</v>
      </c>
      <c r="BZ39" s="18">
        <v>21146</v>
      </c>
      <c r="CA39" s="18">
        <v>14724</v>
      </c>
      <c r="CB39" s="19">
        <v>12797</v>
      </c>
      <c r="CC39" s="20">
        <v>12270</v>
      </c>
      <c r="CD39" s="18">
        <v>15586</v>
      </c>
      <c r="CE39" s="18">
        <v>20519</v>
      </c>
      <c r="CF39" s="18">
        <v>21404</v>
      </c>
      <c r="CG39" s="18">
        <v>17276</v>
      </c>
      <c r="CH39" s="18">
        <v>16429</v>
      </c>
      <c r="CI39" s="18">
        <v>17213</v>
      </c>
      <c r="CJ39" s="18">
        <v>18447</v>
      </c>
      <c r="CK39" s="18">
        <v>20014</v>
      </c>
      <c r="CL39" s="18">
        <v>19126</v>
      </c>
      <c r="CM39" s="18">
        <v>15028</v>
      </c>
      <c r="CN39" s="21">
        <v>14107</v>
      </c>
      <c r="CO39" s="17">
        <v>12557</v>
      </c>
      <c r="CP39" s="18">
        <v>18033</v>
      </c>
      <c r="CQ39" s="18">
        <v>18986</v>
      </c>
      <c r="CR39" s="18">
        <v>18707</v>
      </c>
      <c r="CS39" s="18">
        <v>16447</v>
      </c>
      <c r="CT39" s="18">
        <v>14351</v>
      </c>
      <c r="CU39" s="18">
        <v>17496</v>
      </c>
      <c r="CV39" s="18">
        <v>16395</v>
      </c>
      <c r="CW39" s="18">
        <v>19134</v>
      </c>
      <c r="CX39" s="18">
        <v>16808</v>
      </c>
      <c r="CY39" s="18">
        <v>15253</v>
      </c>
      <c r="CZ39" s="19">
        <v>13275</v>
      </c>
      <c r="DA39" s="17">
        <v>11886</v>
      </c>
      <c r="DB39" s="18">
        <v>18835</v>
      </c>
      <c r="DC39" s="18">
        <v>18407</v>
      </c>
      <c r="DD39" s="18">
        <v>20354</v>
      </c>
      <c r="DE39" s="18">
        <v>17096</v>
      </c>
      <c r="DF39" s="18">
        <v>13332</v>
      </c>
      <c r="DG39" s="18">
        <v>17466</v>
      </c>
      <c r="DH39" s="18">
        <v>17005</v>
      </c>
      <c r="DI39" s="18">
        <v>18144</v>
      </c>
      <c r="DJ39" s="18">
        <v>18589</v>
      </c>
      <c r="DK39" s="18">
        <v>15284</v>
      </c>
      <c r="DL39" s="19">
        <v>12991</v>
      </c>
      <c r="DM39" s="17">
        <v>12592</v>
      </c>
      <c r="DN39" s="18">
        <v>18353</v>
      </c>
      <c r="DO39" s="18">
        <v>16993</v>
      </c>
      <c r="DP39" s="18">
        <v>20515</v>
      </c>
      <c r="DQ39" s="18">
        <v>17519</v>
      </c>
      <c r="DR39" s="18">
        <v>12928</v>
      </c>
      <c r="DS39" s="18">
        <v>18190</v>
      </c>
      <c r="DT39" s="18">
        <v>16983</v>
      </c>
      <c r="DU39" s="18">
        <v>16492</v>
      </c>
      <c r="DV39" s="18">
        <v>18339</v>
      </c>
      <c r="DW39" s="18">
        <v>15626</v>
      </c>
      <c r="DX39" s="19">
        <v>12435</v>
      </c>
      <c r="DY39" s="100">
        <v>12876</v>
      </c>
      <c r="DZ39" s="18">
        <v>17395</v>
      </c>
      <c r="EA39" s="18">
        <v>17983</v>
      </c>
      <c r="EB39" s="18">
        <v>20613</v>
      </c>
      <c r="EC39" s="18">
        <v>17585</v>
      </c>
      <c r="ED39" s="18">
        <v>14918</v>
      </c>
      <c r="EE39" s="18">
        <v>17384</v>
      </c>
      <c r="EF39" s="18">
        <v>17292</v>
      </c>
      <c r="EG39" s="18">
        <v>12714</v>
      </c>
      <c r="EH39" s="18">
        <v>7672</v>
      </c>
      <c r="EI39" s="18">
        <v>7126</v>
      </c>
      <c r="EJ39" s="19">
        <v>7913</v>
      </c>
      <c r="EK39" s="100">
        <v>6917</v>
      </c>
      <c r="EL39" s="18">
        <v>6989</v>
      </c>
      <c r="EM39" s="18">
        <v>7628</v>
      </c>
      <c r="EN39" s="103">
        <v>8056</v>
      </c>
      <c r="EO39" s="18">
        <v>7336</v>
      </c>
      <c r="EP39" s="18">
        <v>6049</v>
      </c>
      <c r="EQ39" s="18">
        <v>3381</v>
      </c>
      <c r="ER39" s="18">
        <v>6081</v>
      </c>
      <c r="ES39" s="18">
        <v>7153</v>
      </c>
      <c r="ET39" s="18">
        <v>7579</v>
      </c>
      <c r="EU39" s="18">
        <v>6307</v>
      </c>
      <c r="EV39" s="19">
        <v>7608</v>
      </c>
      <c r="EW39" s="103">
        <v>7049</v>
      </c>
      <c r="EX39" s="18">
        <v>8968</v>
      </c>
      <c r="EY39" s="18">
        <v>10780</v>
      </c>
      <c r="EZ39" s="103">
        <v>9614</v>
      </c>
      <c r="FA39" s="18">
        <v>9417</v>
      </c>
      <c r="FB39" s="149">
        <v>7050</v>
      </c>
      <c r="FC39" s="18">
        <v>7338</v>
      </c>
      <c r="FD39" s="18">
        <v>9320</v>
      </c>
      <c r="FE39" s="149">
        <v>10926</v>
      </c>
      <c r="FF39" s="149">
        <v>9623</v>
      </c>
      <c r="FG39" s="149">
        <v>3820</v>
      </c>
      <c r="FH39" s="155">
        <v>7351</v>
      </c>
      <c r="FI39" s="103">
        <f>'Average Weekday Boardings'!FI39*20</f>
        <v>6855</v>
      </c>
      <c r="FJ39" s="18">
        <f>'Average Weekday Boardings'!FJ39*23</f>
        <v>25085</v>
      </c>
      <c r="FK39" s="18">
        <f>'Average Weekday Boardings'!FK39*21</f>
        <v>30854</v>
      </c>
      <c r="FL39" s="103">
        <v>27921</v>
      </c>
      <c r="FM39" s="18">
        <v>25624</v>
      </c>
      <c r="FN39" s="149">
        <v>17587</v>
      </c>
      <c r="FO39" s="18">
        <v>28752</v>
      </c>
      <c r="FP39" s="18">
        <v>10751</v>
      </c>
      <c r="FQ39" s="149">
        <v>32998</v>
      </c>
      <c r="FR39" s="149">
        <v>30371</v>
      </c>
      <c r="FS39" s="149">
        <v>22743</v>
      </c>
      <c r="FT39" s="155">
        <v>18724</v>
      </c>
      <c r="FU39" s="169">
        <v>16552</v>
      </c>
      <c r="FV39" s="169">
        <v>30084</v>
      </c>
      <c r="FW39" s="169">
        <v>31319</v>
      </c>
      <c r="FX39" s="169">
        <v>34962</v>
      </c>
      <c r="FY39" s="169">
        <v>32326</v>
      </c>
      <c r="FZ39" s="169">
        <v>19243</v>
      </c>
      <c r="GA39" s="169">
        <v>31852</v>
      </c>
      <c r="GB39" s="18">
        <v>35915</v>
      </c>
      <c r="GC39" s="52">
        <v>28956</v>
      </c>
      <c r="GD39" s="18">
        <v>30850</v>
      </c>
      <c r="GE39" s="18">
        <v>20341</v>
      </c>
      <c r="GF39" s="52">
        <v>15883</v>
      </c>
      <c r="GG39" s="18">
        <v>16695</v>
      </c>
      <c r="GH39" s="18">
        <v>25270</v>
      </c>
      <c r="GI39" s="52">
        <v>33629</v>
      </c>
      <c r="GJ39" s="242">
        <v>35240</v>
      </c>
      <c r="GK39" s="184">
        <v>28828</v>
      </c>
      <c r="GL39" s="184">
        <v>20929</v>
      </c>
    </row>
    <row r="40" spans="1:194" x14ac:dyDescent="0.3">
      <c r="A40" s="3" t="s">
        <v>22</v>
      </c>
      <c r="B40" s="17"/>
      <c r="C40" s="18">
        <v>17411</v>
      </c>
      <c r="D40" s="18">
        <v>21460</v>
      </c>
      <c r="E40" s="18">
        <v>22336</v>
      </c>
      <c r="F40" s="18">
        <v>24471</v>
      </c>
      <c r="G40" s="18">
        <v>19706</v>
      </c>
      <c r="H40" s="19">
        <v>18390</v>
      </c>
      <c r="I40" s="17">
        <v>16235</v>
      </c>
      <c r="J40" s="18">
        <v>19323</v>
      </c>
      <c r="K40" s="18">
        <v>30079</v>
      </c>
      <c r="L40" s="18">
        <v>32771</v>
      </c>
      <c r="M40" s="18">
        <v>30180</v>
      </c>
      <c r="N40" s="18">
        <v>26359</v>
      </c>
      <c r="O40" s="62">
        <v>23210</v>
      </c>
      <c r="P40" s="62">
        <v>30277</v>
      </c>
      <c r="Q40" s="62">
        <v>34885</v>
      </c>
      <c r="R40" s="62">
        <v>32272</v>
      </c>
      <c r="S40" s="62">
        <v>24041</v>
      </c>
      <c r="T40" s="63">
        <v>22714</v>
      </c>
      <c r="U40" s="64">
        <v>18570</v>
      </c>
      <c r="V40" s="62">
        <v>29071</v>
      </c>
      <c r="W40" s="62">
        <v>37738</v>
      </c>
      <c r="X40" s="62">
        <v>35617</v>
      </c>
      <c r="Y40" s="62">
        <v>32217</v>
      </c>
      <c r="Z40" s="62">
        <v>26652</v>
      </c>
      <c r="AA40" s="18">
        <v>28969</v>
      </c>
      <c r="AB40" s="18">
        <v>33351</v>
      </c>
      <c r="AC40" s="18">
        <v>36837</v>
      </c>
      <c r="AD40" s="18">
        <v>35881</v>
      </c>
      <c r="AE40" s="18">
        <v>25282</v>
      </c>
      <c r="AF40" s="19">
        <v>23057</v>
      </c>
      <c r="AG40" s="17">
        <v>20716</v>
      </c>
      <c r="AH40" s="18">
        <v>33359</v>
      </c>
      <c r="AI40" s="18">
        <v>41368</v>
      </c>
      <c r="AJ40" s="18">
        <v>38622</v>
      </c>
      <c r="AK40" s="18">
        <v>32511</v>
      </c>
      <c r="AL40" s="18">
        <v>25918</v>
      </c>
      <c r="AM40" s="18">
        <v>34570</v>
      </c>
      <c r="AN40" s="18">
        <v>35530</v>
      </c>
      <c r="AO40" s="18">
        <v>36412</v>
      </c>
      <c r="AP40" s="18">
        <v>36898</v>
      </c>
      <c r="AQ40" s="18">
        <v>26540</v>
      </c>
      <c r="AR40" s="19">
        <v>23949</v>
      </c>
      <c r="AS40" s="17">
        <v>22503</v>
      </c>
      <c r="AT40" s="18">
        <v>32915</v>
      </c>
      <c r="AU40" s="18">
        <v>31038</v>
      </c>
      <c r="AV40" s="18">
        <v>43861</v>
      </c>
      <c r="AW40" s="18">
        <v>37002</v>
      </c>
      <c r="AX40" s="18">
        <v>29407</v>
      </c>
      <c r="AY40" s="18">
        <v>38093</v>
      </c>
      <c r="AZ40" s="18">
        <v>36207</v>
      </c>
      <c r="BA40" s="18">
        <v>34153</v>
      </c>
      <c r="BB40" s="18">
        <v>40380</v>
      </c>
      <c r="BC40" s="18">
        <v>28617</v>
      </c>
      <c r="BD40" s="19">
        <v>22675</v>
      </c>
      <c r="BE40" s="17">
        <v>23023</v>
      </c>
      <c r="BF40" s="18">
        <v>30057</v>
      </c>
      <c r="BG40" s="18">
        <v>38710</v>
      </c>
      <c r="BH40" s="18">
        <v>42914</v>
      </c>
      <c r="BI40" s="18">
        <v>34850.335624530126</v>
      </c>
      <c r="BJ40" s="18">
        <v>27535</v>
      </c>
      <c r="BK40" s="18">
        <v>35481</v>
      </c>
      <c r="BL40" s="18">
        <v>35682</v>
      </c>
      <c r="BM40" s="18">
        <v>35487</v>
      </c>
      <c r="BN40" s="18">
        <v>38387</v>
      </c>
      <c r="BO40" s="18">
        <v>27605</v>
      </c>
      <c r="BP40" s="19">
        <v>24535</v>
      </c>
      <c r="BQ40" s="17">
        <v>22757</v>
      </c>
      <c r="BR40" s="18">
        <v>31223</v>
      </c>
      <c r="BS40" s="18">
        <v>41508</v>
      </c>
      <c r="BT40" s="18">
        <v>43821</v>
      </c>
      <c r="BU40" s="18">
        <v>32463</v>
      </c>
      <c r="BV40" s="18">
        <v>28262</v>
      </c>
      <c r="BW40" s="18">
        <v>35146</v>
      </c>
      <c r="BX40" s="18">
        <v>34801</v>
      </c>
      <c r="BY40" s="18">
        <v>35654</v>
      </c>
      <c r="BZ40" s="18">
        <v>36818</v>
      </c>
      <c r="CA40" s="18">
        <v>24674</v>
      </c>
      <c r="CB40" s="19">
        <v>23436</v>
      </c>
      <c r="CC40" s="20">
        <v>21508</v>
      </c>
      <c r="CD40" s="18">
        <v>29535</v>
      </c>
      <c r="CE40" s="18">
        <v>42713</v>
      </c>
      <c r="CF40" s="18">
        <v>42089</v>
      </c>
      <c r="CG40" s="18">
        <v>33791</v>
      </c>
      <c r="CH40" s="18">
        <v>28991</v>
      </c>
      <c r="CI40" s="18">
        <v>32107</v>
      </c>
      <c r="CJ40" s="18">
        <v>36849</v>
      </c>
      <c r="CK40" s="18">
        <v>38502</v>
      </c>
      <c r="CL40" s="18">
        <v>37731</v>
      </c>
      <c r="CM40" s="18">
        <v>27833</v>
      </c>
      <c r="CN40" s="21">
        <v>26533</v>
      </c>
      <c r="CO40" s="17">
        <v>22181</v>
      </c>
      <c r="CP40" s="18">
        <v>34910</v>
      </c>
      <c r="CQ40" s="18">
        <v>38354</v>
      </c>
      <c r="CR40" s="18">
        <v>37197</v>
      </c>
      <c r="CS40" s="18">
        <v>34330</v>
      </c>
      <c r="CT40" s="18">
        <v>26062</v>
      </c>
      <c r="CU40" s="18">
        <v>33400</v>
      </c>
      <c r="CV40" s="18">
        <v>33350</v>
      </c>
      <c r="CW40" s="18">
        <v>38184</v>
      </c>
      <c r="CX40" s="18">
        <v>34254</v>
      </c>
      <c r="CY40" s="18">
        <v>29056</v>
      </c>
      <c r="CZ40" s="19">
        <v>24427</v>
      </c>
      <c r="DA40" s="17">
        <v>21268</v>
      </c>
      <c r="DB40" s="18">
        <v>33715</v>
      </c>
      <c r="DC40" s="18">
        <v>33102</v>
      </c>
      <c r="DD40" s="18">
        <v>35482</v>
      </c>
      <c r="DE40" s="18">
        <v>30418</v>
      </c>
      <c r="DF40" s="18">
        <v>22811</v>
      </c>
      <c r="DG40" s="18">
        <v>31529</v>
      </c>
      <c r="DH40" s="18">
        <v>29970</v>
      </c>
      <c r="DI40" s="18">
        <v>31269</v>
      </c>
      <c r="DJ40" s="18">
        <v>31533</v>
      </c>
      <c r="DK40" s="18">
        <v>25866</v>
      </c>
      <c r="DL40" s="19">
        <v>22104</v>
      </c>
      <c r="DM40" s="17">
        <v>20717</v>
      </c>
      <c r="DN40" s="18">
        <v>30204</v>
      </c>
      <c r="DO40" s="18">
        <v>28820</v>
      </c>
      <c r="DP40" s="18">
        <v>34312</v>
      </c>
      <c r="DQ40" s="18">
        <v>30776</v>
      </c>
      <c r="DR40" s="18">
        <v>21049</v>
      </c>
      <c r="DS40" s="18">
        <v>30487</v>
      </c>
      <c r="DT40" s="18">
        <v>29016</v>
      </c>
      <c r="DU40" s="18">
        <v>28759</v>
      </c>
      <c r="DV40" s="18">
        <v>31417</v>
      </c>
      <c r="DW40" s="18">
        <v>25360</v>
      </c>
      <c r="DX40" s="19">
        <v>21206</v>
      </c>
      <c r="DY40" s="100">
        <v>21602</v>
      </c>
      <c r="DZ40" s="18">
        <v>27178</v>
      </c>
      <c r="EA40" s="18">
        <v>34392</v>
      </c>
      <c r="EB40" s="18">
        <v>37096</v>
      </c>
      <c r="EC40" s="18">
        <v>30855</v>
      </c>
      <c r="ED40" s="18">
        <v>25178</v>
      </c>
      <c r="EE40" s="18">
        <v>30126</v>
      </c>
      <c r="EF40" s="18">
        <v>31935</v>
      </c>
      <c r="EG40" s="18">
        <v>21406</v>
      </c>
      <c r="EH40" s="18">
        <v>11279</v>
      </c>
      <c r="EI40" s="18">
        <v>10201</v>
      </c>
      <c r="EJ40" s="19">
        <v>11124</v>
      </c>
      <c r="EK40" s="100">
        <v>10102</v>
      </c>
      <c r="EL40" s="18">
        <v>10297</v>
      </c>
      <c r="EM40" s="18">
        <v>11917</v>
      </c>
      <c r="EN40" s="103">
        <v>12652</v>
      </c>
      <c r="EO40" s="18">
        <v>11468</v>
      </c>
      <c r="EP40" s="18">
        <v>9615</v>
      </c>
      <c r="EQ40" s="18">
        <v>5365</v>
      </c>
      <c r="ER40" s="18">
        <v>10092</v>
      </c>
      <c r="ES40" s="18">
        <v>11443</v>
      </c>
      <c r="ET40" s="18">
        <v>12334</v>
      </c>
      <c r="EU40" s="18">
        <v>10301</v>
      </c>
      <c r="EV40" s="19">
        <v>11902</v>
      </c>
      <c r="EW40" s="103">
        <v>11080</v>
      </c>
      <c r="EX40" s="18">
        <v>14146</v>
      </c>
      <c r="EY40" s="18">
        <v>17815</v>
      </c>
      <c r="EZ40" s="103">
        <v>16906</v>
      </c>
      <c r="FA40" s="18">
        <v>17016</v>
      </c>
      <c r="FB40" s="149">
        <v>13251</v>
      </c>
      <c r="FC40" s="18">
        <v>14265</v>
      </c>
      <c r="FD40" s="18">
        <v>17816</v>
      </c>
      <c r="FE40" s="149">
        <v>20803</v>
      </c>
      <c r="FF40" s="149">
        <v>18974</v>
      </c>
      <c r="FG40" s="149">
        <v>15429</v>
      </c>
      <c r="FH40" s="155">
        <v>13538</v>
      </c>
      <c r="FI40" s="103">
        <f>'Average Weekday Boardings'!FI40*20</f>
        <v>13024</v>
      </c>
      <c r="FJ40" s="18">
        <f>'Average Weekday Boardings'!FJ40*23</f>
        <v>19659</v>
      </c>
      <c r="FK40" s="18">
        <f>'Average Weekday Boardings'!FK40*21</f>
        <v>22906</v>
      </c>
      <c r="FL40" s="103">
        <v>20951</v>
      </c>
      <c r="FM40" s="18">
        <v>20046</v>
      </c>
      <c r="FN40" s="149">
        <v>15902</v>
      </c>
      <c r="FO40" s="18">
        <v>21935</v>
      </c>
      <c r="FP40" s="18">
        <v>20098</v>
      </c>
      <c r="FQ40" s="149">
        <v>24321</v>
      </c>
      <c r="FR40" s="149">
        <v>21464</v>
      </c>
      <c r="FS40" s="149">
        <v>19304</v>
      </c>
      <c r="FT40" s="155">
        <v>16069</v>
      </c>
      <c r="FU40" s="169">
        <v>13543</v>
      </c>
      <c r="FV40" s="169">
        <v>21768</v>
      </c>
      <c r="FW40" s="169">
        <v>21514</v>
      </c>
      <c r="FX40" s="169">
        <v>24154</v>
      </c>
      <c r="FY40" s="169">
        <v>21532</v>
      </c>
      <c r="FZ40" s="169">
        <v>15306</v>
      </c>
      <c r="GA40" s="169">
        <v>22383</v>
      </c>
      <c r="GB40" s="18">
        <v>24285</v>
      </c>
      <c r="GC40" s="52">
        <v>21664</v>
      </c>
      <c r="GD40" s="18">
        <v>22279</v>
      </c>
      <c r="GE40" s="18">
        <v>16546</v>
      </c>
      <c r="GF40" s="52">
        <v>13245</v>
      </c>
      <c r="GG40" s="18">
        <v>14403</v>
      </c>
      <c r="GH40" s="18">
        <v>19998</v>
      </c>
      <c r="GI40" s="52">
        <v>23534</v>
      </c>
      <c r="GJ40" s="242">
        <v>25439</v>
      </c>
      <c r="GK40" s="184">
        <v>21576</v>
      </c>
      <c r="GL40" s="184">
        <v>17563</v>
      </c>
    </row>
    <row r="41" spans="1:194" x14ac:dyDescent="0.3">
      <c r="A41" s="3" t="s">
        <v>23</v>
      </c>
      <c r="B41" s="17"/>
      <c r="C41" s="18">
        <v>3852</v>
      </c>
      <c r="D41" s="18">
        <v>9693</v>
      </c>
      <c r="E41" s="18">
        <v>5447</v>
      </c>
      <c r="F41" s="18">
        <v>6635</v>
      </c>
      <c r="G41" s="18">
        <v>9379</v>
      </c>
      <c r="H41" s="19">
        <v>5170</v>
      </c>
      <c r="I41" s="17">
        <v>8198</v>
      </c>
      <c r="J41" s="18">
        <v>12758</v>
      </c>
      <c r="K41" s="18">
        <v>6973</v>
      </c>
      <c r="L41" s="18">
        <v>7829</v>
      </c>
      <c r="M41" s="18">
        <v>6823</v>
      </c>
      <c r="N41" s="18">
        <v>5946</v>
      </c>
      <c r="O41" s="62">
        <v>5545</v>
      </c>
      <c r="P41" s="62">
        <v>6818</v>
      </c>
      <c r="Q41" s="62">
        <v>7856</v>
      </c>
      <c r="R41" s="62">
        <v>7710</v>
      </c>
      <c r="S41" s="62">
        <v>5590</v>
      </c>
      <c r="T41" s="63">
        <v>7366</v>
      </c>
      <c r="U41" s="64">
        <v>6506</v>
      </c>
      <c r="V41" s="62">
        <v>9509</v>
      </c>
      <c r="W41" s="62">
        <v>10284</v>
      </c>
      <c r="X41" s="62">
        <v>10107</v>
      </c>
      <c r="Y41" s="62">
        <v>8457</v>
      </c>
      <c r="Z41" s="62">
        <v>8514</v>
      </c>
      <c r="AA41" s="18">
        <v>8381</v>
      </c>
      <c r="AB41" s="18">
        <v>9272</v>
      </c>
      <c r="AC41" s="18">
        <v>9891</v>
      </c>
      <c r="AD41" s="18">
        <v>9496</v>
      </c>
      <c r="AE41" s="18">
        <v>7769</v>
      </c>
      <c r="AF41" s="19">
        <v>7454</v>
      </c>
      <c r="AG41" s="17">
        <v>6659</v>
      </c>
      <c r="AH41" s="18">
        <v>10418</v>
      </c>
      <c r="AI41" s="18">
        <v>11874</v>
      </c>
      <c r="AJ41" s="18">
        <v>11515</v>
      </c>
      <c r="AK41" s="18">
        <v>10112</v>
      </c>
      <c r="AL41" s="18">
        <v>9535</v>
      </c>
      <c r="AM41" s="18">
        <v>10700</v>
      </c>
      <c r="AN41" s="18">
        <v>10838</v>
      </c>
      <c r="AO41" s="18">
        <v>11563</v>
      </c>
      <c r="AP41" s="18">
        <v>11712</v>
      </c>
      <c r="AQ41" s="18">
        <v>10143</v>
      </c>
      <c r="AR41" s="19">
        <v>9284</v>
      </c>
      <c r="AS41" s="17">
        <v>8765</v>
      </c>
      <c r="AT41" s="18">
        <v>11612</v>
      </c>
      <c r="AU41" s="18">
        <v>14361</v>
      </c>
      <c r="AV41" s="18">
        <v>13103</v>
      </c>
      <c r="AW41" s="18">
        <v>11676</v>
      </c>
      <c r="AX41" s="18">
        <v>10938</v>
      </c>
      <c r="AY41" s="18">
        <v>11931</v>
      </c>
      <c r="AZ41" s="18">
        <v>11294</v>
      </c>
      <c r="BA41" s="18">
        <v>11236</v>
      </c>
      <c r="BB41" s="18">
        <v>12575</v>
      </c>
      <c r="BC41" s="18">
        <v>11173</v>
      </c>
      <c r="BD41" s="19">
        <v>8933</v>
      </c>
      <c r="BE41" s="17">
        <v>9477</v>
      </c>
      <c r="BF41" s="18">
        <v>11734</v>
      </c>
      <c r="BG41" s="18">
        <v>12881</v>
      </c>
      <c r="BH41" s="18">
        <v>14709</v>
      </c>
      <c r="BI41" s="18">
        <v>12019.305214376955</v>
      </c>
      <c r="BJ41" s="18">
        <v>11289</v>
      </c>
      <c r="BK41" s="18">
        <v>12888</v>
      </c>
      <c r="BL41" s="18">
        <v>12056</v>
      </c>
      <c r="BM41" s="18">
        <v>12170</v>
      </c>
      <c r="BN41" s="18">
        <v>13558</v>
      </c>
      <c r="BO41" s="18">
        <v>11161</v>
      </c>
      <c r="BP41" s="19">
        <v>10113</v>
      </c>
      <c r="BQ41" s="17">
        <v>9642</v>
      </c>
      <c r="BR41" s="18">
        <v>12200</v>
      </c>
      <c r="BS41" s="18">
        <v>14627</v>
      </c>
      <c r="BT41" s="18">
        <v>15238</v>
      </c>
      <c r="BU41" s="18">
        <v>11627</v>
      </c>
      <c r="BV41" s="18">
        <v>11984</v>
      </c>
      <c r="BW41" s="18">
        <v>12377</v>
      </c>
      <c r="BX41" s="18">
        <v>12062</v>
      </c>
      <c r="BY41" s="18">
        <v>12699</v>
      </c>
      <c r="BZ41" s="18">
        <v>13099</v>
      </c>
      <c r="CA41" s="18">
        <v>10193</v>
      </c>
      <c r="CB41" s="19">
        <v>10298</v>
      </c>
      <c r="CC41" s="20">
        <v>9565</v>
      </c>
      <c r="CD41" s="18">
        <v>11204</v>
      </c>
      <c r="CE41" s="18">
        <v>12686</v>
      </c>
      <c r="CF41" s="18">
        <v>13014</v>
      </c>
      <c r="CG41" s="18">
        <v>10563</v>
      </c>
      <c r="CH41" s="18">
        <v>10436</v>
      </c>
      <c r="CI41" s="18">
        <v>10245</v>
      </c>
      <c r="CJ41" s="18">
        <v>10777</v>
      </c>
      <c r="CK41" s="18">
        <v>11625</v>
      </c>
      <c r="CL41" s="18">
        <v>11036</v>
      </c>
      <c r="CM41" s="18">
        <v>9109</v>
      </c>
      <c r="CN41" s="21">
        <v>8927</v>
      </c>
      <c r="CO41" s="17">
        <v>8006</v>
      </c>
      <c r="CP41" s="18">
        <v>10743</v>
      </c>
      <c r="CQ41" s="18">
        <v>10565</v>
      </c>
      <c r="CR41" s="18">
        <v>10106</v>
      </c>
      <c r="CS41" s="18">
        <v>9522</v>
      </c>
      <c r="CT41" s="18">
        <v>9003</v>
      </c>
      <c r="CU41" s="18">
        <v>9711</v>
      </c>
      <c r="CV41" s="18">
        <v>9325</v>
      </c>
      <c r="CW41" s="18">
        <v>10599</v>
      </c>
      <c r="CX41" s="18">
        <v>8896</v>
      </c>
      <c r="CY41" s="18">
        <v>9002</v>
      </c>
      <c r="CZ41" s="19">
        <v>9600</v>
      </c>
      <c r="DA41" s="17">
        <v>8120</v>
      </c>
      <c r="DB41" s="18">
        <v>11779</v>
      </c>
      <c r="DC41" s="18">
        <v>10847</v>
      </c>
      <c r="DD41" s="18">
        <v>11643</v>
      </c>
      <c r="DE41" s="18">
        <v>9799</v>
      </c>
      <c r="DF41" s="18">
        <v>8904</v>
      </c>
      <c r="DG41" s="18">
        <v>10603</v>
      </c>
      <c r="DH41" s="18">
        <v>10098</v>
      </c>
      <c r="DI41" s="18">
        <v>10364</v>
      </c>
      <c r="DJ41" s="18">
        <v>9994</v>
      </c>
      <c r="DK41" s="18">
        <v>9069</v>
      </c>
      <c r="DL41" s="19">
        <v>8245</v>
      </c>
      <c r="DM41" s="17">
        <v>7936</v>
      </c>
      <c r="DN41" s="18">
        <v>10668</v>
      </c>
      <c r="DO41" s="18">
        <v>8977</v>
      </c>
      <c r="DP41" s="18">
        <v>10828</v>
      </c>
      <c r="DQ41" s="18">
        <v>9596</v>
      </c>
      <c r="DR41" s="18">
        <v>7833</v>
      </c>
      <c r="DS41" s="18">
        <v>10088</v>
      </c>
      <c r="DT41" s="18">
        <v>9191</v>
      </c>
      <c r="DU41" s="18">
        <v>9455</v>
      </c>
      <c r="DV41" s="18">
        <v>2636</v>
      </c>
      <c r="DW41" s="18">
        <v>8483</v>
      </c>
      <c r="DX41" s="19">
        <v>7761</v>
      </c>
      <c r="DY41" s="100">
        <v>8063</v>
      </c>
      <c r="DZ41" s="18">
        <v>9390</v>
      </c>
      <c r="EA41" s="18">
        <v>10478</v>
      </c>
      <c r="EB41" s="18">
        <v>12671</v>
      </c>
      <c r="EC41" s="18">
        <v>10937</v>
      </c>
      <c r="ED41" s="18">
        <v>9747</v>
      </c>
      <c r="EE41" s="18">
        <v>11017</v>
      </c>
      <c r="EF41" s="18">
        <v>10300</v>
      </c>
      <c r="EG41" s="18">
        <v>8204</v>
      </c>
      <c r="EH41" s="18">
        <v>6312</v>
      </c>
      <c r="EI41" s="18">
        <v>6318</v>
      </c>
      <c r="EJ41" s="19">
        <v>6443</v>
      </c>
      <c r="EK41" s="100">
        <v>7471</v>
      </c>
      <c r="EL41" s="18">
        <v>5814</v>
      </c>
      <c r="EM41" s="18">
        <v>6275</v>
      </c>
      <c r="EN41" s="103">
        <v>6788</v>
      </c>
      <c r="EO41" s="18">
        <v>4601</v>
      </c>
      <c r="EP41" s="18">
        <v>4965</v>
      </c>
      <c r="EQ41" s="18">
        <v>2497</v>
      </c>
      <c r="ER41" s="18">
        <v>4497</v>
      </c>
      <c r="ES41" s="18">
        <v>5265</v>
      </c>
      <c r="ET41" s="18">
        <v>5445</v>
      </c>
      <c r="EU41" s="18">
        <v>4130</v>
      </c>
      <c r="EV41" s="19">
        <v>5027</v>
      </c>
      <c r="EW41" s="103">
        <v>4430</v>
      </c>
      <c r="EX41" s="18">
        <v>5587</v>
      </c>
      <c r="EY41" s="18">
        <v>6297</v>
      </c>
      <c r="EZ41" s="103">
        <v>6315</v>
      </c>
      <c r="FA41" s="18">
        <v>6418</v>
      </c>
      <c r="FB41" s="149">
        <v>5340</v>
      </c>
      <c r="FC41" s="18">
        <v>5130</v>
      </c>
      <c r="FD41" s="18">
        <v>6364</v>
      </c>
      <c r="FE41" s="149">
        <v>7524</v>
      </c>
      <c r="FF41" s="149">
        <v>6931</v>
      </c>
      <c r="FG41" s="149">
        <v>6233</v>
      </c>
      <c r="FH41" s="155">
        <v>5503</v>
      </c>
      <c r="FI41" s="103">
        <f>'Average Weekday Boardings'!FI41*20</f>
        <v>5343</v>
      </c>
      <c r="FJ41" s="18">
        <f>'Average Weekday Boardings'!FJ41*23</f>
        <v>7347.9999999999991</v>
      </c>
      <c r="FK41" s="18">
        <f>'Average Weekday Boardings'!FK41*21</f>
        <v>7385</v>
      </c>
      <c r="FL41" s="103">
        <v>7139</v>
      </c>
      <c r="FM41" s="18">
        <v>7113</v>
      </c>
      <c r="FN41" s="149">
        <v>6309</v>
      </c>
      <c r="FO41" s="18">
        <v>7470</v>
      </c>
      <c r="FP41" s="18">
        <v>6577</v>
      </c>
      <c r="FQ41" s="149">
        <v>8041</v>
      </c>
      <c r="FR41" s="149">
        <v>7022</v>
      </c>
      <c r="FS41" s="149">
        <v>7053</v>
      </c>
      <c r="FT41" s="155">
        <v>6027</v>
      </c>
      <c r="FU41" s="169">
        <v>5723</v>
      </c>
      <c r="FV41" s="169">
        <v>6824</v>
      </c>
      <c r="FW41" s="169">
        <v>6321</v>
      </c>
      <c r="FX41" s="169">
        <v>7308</v>
      </c>
      <c r="FY41" s="169">
        <v>7027</v>
      </c>
      <c r="FZ41" s="169">
        <v>5876</v>
      </c>
      <c r="GA41" s="169">
        <v>7678</v>
      </c>
      <c r="GB41" s="18">
        <v>8170</v>
      </c>
      <c r="GC41" s="52">
        <v>7566</v>
      </c>
      <c r="GD41" s="18">
        <v>7877</v>
      </c>
      <c r="GE41" s="18">
        <v>6414</v>
      </c>
      <c r="GF41" s="52">
        <v>5360</v>
      </c>
      <c r="GG41" s="18">
        <v>6381</v>
      </c>
      <c r="GH41" s="18">
        <v>7906</v>
      </c>
      <c r="GI41" s="52">
        <v>8587</v>
      </c>
      <c r="GJ41" s="242">
        <v>9125</v>
      </c>
      <c r="GK41" s="184">
        <v>8347</v>
      </c>
      <c r="GL41" s="184">
        <v>7794</v>
      </c>
    </row>
    <row r="42" spans="1:194" x14ac:dyDescent="0.3">
      <c r="A42" s="3" t="s">
        <v>24</v>
      </c>
      <c r="B42" s="17"/>
      <c r="C42" s="18">
        <v>13345</v>
      </c>
      <c r="D42" s="18">
        <v>16522</v>
      </c>
      <c r="E42" s="18">
        <v>18042</v>
      </c>
      <c r="F42" s="18">
        <v>18373</v>
      </c>
      <c r="G42" s="18">
        <v>12163</v>
      </c>
      <c r="H42" s="19">
        <v>11616</v>
      </c>
      <c r="I42" s="17">
        <v>12053</v>
      </c>
      <c r="J42" s="18">
        <v>17344</v>
      </c>
      <c r="K42" s="18">
        <v>32790</v>
      </c>
      <c r="L42" s="18">
        <v>32461</v>
      </c>
      <c r="M42" s="18">
        <v>26600</v>
      </c>
      <c r="N42" s="18">
        <v>26671</v>
      </c>
      <c r="O42" s="62">
        <v>22990</v>
      </c>
      <c r="P42" s="62">
        <v>30584</v>
      </c>
      <c r="Q42" s="62">
        <v>35239</v>
      </c>
      <c r="R42" s="62">
        <v>31967</v>
      </c>
      <c r="S42" s="62">
        <v>24001</v>
      </c>
      <c r="T42" s="63">
        <v>15990</v>
      </c>
      <c r="U42" s="64">
        <v>12286</v>
      </c>
      <c r="V42" s="62">
        <v>22817</v>
      </c>
      <c r="W42" s="62">
        <v>32563</v>
      </c>
      <c r="X42" s="62">
        <v>31580</v>
      </c>
      <c r="Y42" s="62">
        <v>27523</v>
      </c>
      <c r="Z42" s="62">
        <v>20905</v>
      </c>
      <c r="AA42" s="18">
        <v>22562</v>
      </c>
      <c r="AB42" s="18">
        <v>28001</v>
      </c>
      <c r="AC42" s="18">
        <v>30701</v>
      </c>
      <c r="AD42" s="18">
        <v>30138</v>
      </c>
      <c r="AE42" s="18">
        <v>18307</v>
      </c>
      <c r="AF42" s="19">
        <v>15771</v>
      </c>
      <c r="AG42" s="17">
        <v>14766</v>
      </c>
      <c r="AH42" s="18">
        <v>25962</v>
      </c>
      <c r="AI42" s="18">
        <v>36359</v>
      </c>
      <c r="AJ42" s="18">
        <v>32199</v>
      </c>
      <c r="AK42" s="18">
        <v>25997</v>
      </c>
      <c r="AL42" s="18">
        <v>19174</v>
      </c>
      <c r="AM42" s="18">
        <v>26256</v>
      </c>
      <c r="AN42" s="18">
        <v>26888</v>
      </c>
      <c r="AO42" s="18">
        <v>27497</v>
      </c>
      <c r="AP42" s="18">
        <v>30610</v>
      </c>
      <c r="AQ42" s="18">
        <v>20011</v>
      </c>
      <c r="AR42" s="19">
        <v>17884</v>
      </c>
      <c r="AS42" s="17">
        <v>15556</v>
      </c>
      <c r="AT42" s="18">
        <v>24026</v>
      </c>
      <c r="AU42" s="18">
        <v>28768</v>
      </c>
      <c r="AV42" s="18">
        <v>35279</v>
      </c>
      <c r="AW42" s="18">
        <v>28934</v>
      </c>
      <c r="AX42" s="18">
        <v>20857</v>
      </c>
      <c r="AY42" s="18">
        <v>28372</v>
      </c>
      <c r="AZ42" s="18">
        <v>27964</v>
      </c>
      <c r="BA42" s="18">
        <v>25509</v>
      </c>
      <c r="BB42" s="18">
        <v>31362</v>
      </c>
      <c r="BC42" s="18">
        <v>19695</v>
      </c>
      <c r="BD42" s="19">
        <v>14861</v>
      </c>
      <c r="BE42" s="17">
        <v>15761</v>
      </c>
      <c r="BF42" s="18">
        <v>21763</v>
      </c>
      <c r="BG42" s="18">
        <v>30425</v>
      </c>
      <c r="BH42" s="18">
        <v>31649</v>
      </c>
      <c r="BI42" s="18">
        <v>25757.67170836599</v>
      </c>
      <c r="BJ42" s="18">
        <v>19251</v>
      </c>
      <c r="BK42" s="18">
        <v>25216</v>
      </c>
      <c r="BL42" s="18">
        <v>26292</v>
      </c>
      <c r="BM42" s="18">
        <v>25518</v>
      </c>
      <c r="BN42" s="18">
        <v>28515</v>
      </c>
      <c r="BO42" s="18">
        <v>18594</v>
      </c>
      <c r="BP42" s="19">
        <v>16688</v>
      </c>
      <c r="BQ42" s="17">
        <v>14775</v>
      </c>
      <c r="BR42" s="18">
        <v>21202</v>
      </c>
      <c r="BS42" s="18">
        <v>30591</v>
      </c>
      <c r="BT42" s="18">
        <v>30067</v>
      </c>
      <c r="BU42" s="18">
        <v>22752</v>
      </c>
      <c r="BV42" s="18">
        <v>19771</v>
      </c>
      <c r="BW42" s="18">
        <v>28286</v>
      </c>
      <c r="BX42" s="18">
        <v>25308</v>
      </c>
      <c r="BY42" s="18">
        <v>25806</v>
      </c>
      <c r="BZ42" s="18">
        <v>27798</v>
      </c>
      <c r="CA42" s="18">
        <v>17604</v>
      </c>
      <c r="CB42" s="19">
        <v>15575</v>
      </c>
      <c r="CC42" s="20">
        <v>13494</v>
      </c>
      <c r="CD42" s="18">
        <v>18970</v>
      </c>
      <c r="CE42" s="18">
        <v>29691</v>
      </c>
      <c r="CF42" s="18">
        <v>29934</v>
      </c>
      <c r="CG42" s="18">
        <v>23729</v>
      </c>
      <c r="CH42" s="18">
        <v>20130</v>
      </c>
      <c r="CI42" s="18">
        <v>22261</v>
      </c>
      <c r="CJ42" s="18">
        <v>25603</v>
      </c>
      <c r="CK42" s="18">
        <v>26705</v>
      </c>
      <c r="CL42" s="18">
        <v>27160</v>
      </c>
      <c r="CM42" s="18">
        <v>18422</v>
      </c>
      <c r="CN42" s="21">
        <v>17629</v>
      </c>
      <c r="CO42" s="17">
        <v>14212</v>
      </c>
      <c r="CP42" s="18">
        <v>22521</v>
      </c>
      <c r="CQ42" s="18">
        <v>25898</v>
      </c>
      <c r="CR42" s="18">
        <v>24386</v>
      </c>
      <c r="CS42" s="18">
        <v>24169</v>
      </c>
      <c r="CT42" s="18">
        <v>17268</v>
      </c>
      <c r="CU42" s="18">
        <v>22935</v>
      </c>
      <c r="CV42" s="18">
        <v>22805</v>
      </c>
      <c r="CW42" s="18">
        <v>25297</v>
      </c>
      <c r="CX42" s="18">
        <v>22882</v>
      </c>
      <c r="CY42" s="18">
        <v>18980</v>
      </c>
      <c r="CZ42" s="19">
        <v>16317</v>
      </c>
      <c r="DA42" s="17">
        <v>13864</v>
      </c>
      <c r="DB42" s="18">
        <v>23184</v>
      </c>
      <c r="DC42" s="18">
        <v>23066</v>
      </c>
      <c r="DD42" s="18">
        <v>25594</v>
      </c>
      <c r="DE42" s="18">
        <v>21657</v>
      </c>
      <c r="DF42" s="18">
        <v>15841</v>
      </c>
      <c r="DG42" s="18">
        <v>21952</v>
      </c>
      <c r="DH42" s="18">
        <v>20906</v>
      </c>
      <c r="DI42" s="18">
        <v>22541</v>
      </c>
      <c r="DJ42" s="18">
        <v>23210</v>
      </c>
      <c r="DK42" s="18">
        <v>17477</v>
      </c>
      <c r="DL42" s="19">
        <v>14755</v>
      </c>
      <c r="DM42" s="17">
        <v>13726</v>
      </c>
      <c r="DN42" s="18">
        <v>20242</v>
      </c>
      <c r="DO42" s="18">
        <v>19193</v>
      </c>
      <c r="DP42" s="18">
        <v>22927</v>
      </c>
      <c r="DQ42" s="18">
        <v>20781</v>
      </c>
      <c r="DR42" s="18">
        <v>14023</v>
      </c>
      <c r="DS42" s="18">
        <v>20350</v>
      </c>
      <c r="DT42" s="18">
        <v>18926</v>
      </c>
      <c r="DU42" s="18">
        <v>18720</v>
      </c>
      <c r="DV42" s="18">
        <v>19600</v>
      </c>
      <c r="DW42" s="18">
        <v>14836</v>
      </c>
      <c r="DX42" s="19">
        <v>13039</v>
      </c>
      <c r="DY42" s="100">
        <v>13307</v>
      </c>
      <c r="DZ42" s="18">
        <v>16471</v>
      </c>
      <c r="EA42" s="18">
        <v>20130</v>
      </c>
      <c r="EB42" s="18">
        <v>23313</v>
      </c>
      <c r="EC42" s="18">
        <v>20222</v>
      </c>
      <c r="ED42" s="18">
        <v>16498</v>
      </c>
      <c r="EE42" s="18">
        <v>19622</v>
      </c>
      <c r="EF42" s="18">
        <v>20075</v>
      </c>
      <c r="EG42" s="18">
        <v>13611</v>
      </c>
      <c r="EH42" s="18">
        <v>8093</v>
      </c>
      <c r="EI42" s="18">
        <v>6966</v>
      </c>
      <c r="EJ42" s="19">
        <v>7486</v>
      </c>
      <c r="EK42" s="100">
        <v>7566</v>
      </c>
      <c r="EL42" s="18">
        <v>7219</v>
      </c>
      <c r="EM42" s="18">
        <v>7458</v>
      </c>
      <c r="EN42" s="104">
        <v>8429</v>
      </c>
      <c r="EO42" s="18">
        <v>7055</v>
      </c>
      <c r="EP42" s="18">
        <v>6508</v>
      </c>
      <c r="EQ42" s="18">
        <v>3814</v>
      </c>
      <c r="ER42" s="18">
        <v>6395</v>
      </c>
      <c r="ES42" s="18">
        <v>7718</v>
      </c>
      <c r="ET42" s="18">
        <v>7342</v>
      </c>
      <c r="EU42" s="18">
        <v>6109</v>
      </c>
      <c r="EV42" s="19">
        <v>7166</v>
      </c>
      <c r="EW42" s="103">
        <v>6771</v>
      </c>
      <c r="EX42" s="18">
        <v>8984</v>
      </c>
      <c r="EY42" s="18">
        <v>11070</v>
      </c>
      <c r="EZ42" s="104">
        <v>11124</v>
      </c>
      <c r="FA42" s="18">
        <v>10210</v>
      </c>
      <c r="FB42" s="149">
        <v>8118</v>
      </c>
      <c r="FC42" s="18">
        <v>8064</v>
      </c>
      <c r="FD42" s="18">
        <v>10240</v>
      </c>
      <c r="FE42" s="149">
        <v>11810</v>
      </c>
      <c r="FF42" s="149">
        <v>10608</v>
      </c>
      <c r="FG42" s="149">
        <v>8981</v>
      </c>
      <c r="FH42" s="155">
        <v>7247</v>
      </c>
      <c r="FI42" s="103">
        <f>'Average Weekday Boardings'!FI42*20</f>
        <v>6576</v>
      </c>
      <c r="FJ42" s="18">
        <f>'Average Weekday Boardings'!FJ42*23</f>
        <v>10796</v>
      </c>
      <c r="FK42" s="18">
        <f>'Average Weekday Boardings'!FK42*21</f>
        <v>11984</v>
      </c>
      <c r="FL42" s="104">
        <v>10767</v>
      </c>
      <c r="FM42" s="18">
        <v>10809</v>
      </c>
      <c r="FN42" s="149">
        <v>8821</v>
      </c>
      <c r="FO42" s="18">
        <v>11985</v>
      </c>
      <c r="FP42" s="18">
        <v>11150</v>
      </c>
      <c r="FQ42" s="149">
        <v>13294</v>
      </c>
      <c r="FR42" s="149">
        <v>11891</v>
      </c>
      <c r="FS42" s="149">
        <v>10621</v>
      </c>
      <c r="FT42" s="155">
        <v>9198</v>
      </c>
      <c r="FU42" s="169">
        <v>8038</v>
      </c>
      <c r="FV42" s="169">
        <v>11480</v>
      </c>
      <c r="FW42" s="169">
        <v>10724</v>
      </c>
      <c r="FX42" s="169">
        <v>13700</v>
      </c>
      <c r="FY42" s="169">
        <v>12327</v>
      </c>
      <c r="FZ42" s="169">
        <v>9405</v>
      </c>
      <c r="GA42" s="169">
        <v>12791</v>
      </c>
      <c r="GB42" s="18">
        <v>13049</v>
      </c>
      <c r="GC42" s="52">
        <v>12617</v>
      </c>
      <c r="GD42" s="18">
        <v>12301</v>
      </c>
      <c r="GE42" s="18">
        <v>10191</v>
      </c>
      <c r="GF42" s="52">
        <v>8114</v>
      </c>
      <c r="GG42" s="18">
        <v>9312</v>
      </c>
      <c r="GH42" s="18">
        <v>11787</v>
      </c>
      <c r="GI42" s="52">
        <v>12694</v>
      </c>
      <c r="GJ42" s="242">
        <v>14495</v>
      </c>
      <c r="GK42" s="184">
        <v>11472</v>
      </c>
      <c r="GL42" s="184">
        <v>10199</v>
      </c>
    </row>
    <row r="43" spans="1:194" ht="15" thickBot="1" x14ac:dyDescent="0.35">
      <c r="A43" s="9" t="s">
        <v>25</v>
      </c>
      <c r="B43" s="22"/>
      <c r="C43" s="23">
        <v>70422</v>
      </c>
      <c r="D43" s="23">
        <v>67356</v>
      </c>
      <c r="E43" s="23">
        <v>80050</v>
      </c>
      <c r="F43" s="23">
        <v>81509</v>
      </c>
      <c r="G43" s="23">
        <v>63430</v>
      </c>
      <c r="H43" s="24">
        <v>62544</v>
      </c>
      <c r="I43" s="22">
        <v>56211</v>
      </c>
      <c r="J43" s="23">
        <v>59474</v>
      </c>
      <c r="K43" s="23">
        <v>70290</v>
      </c>
      <c r="L43" s="23">
        <v>78349</v>
      </c>
      <c r="M43" s="23">
        <v>69207</v>
      </c>
      <c r="N43" s="23">
        <v>74883</v>
      </c>
      <c r="O43" s="65">
        <v>70515</v>
      </c>
      <c r="P43" s="65">
        <v>77159</v>
      </c>
      <c r="Q43" s="65">
        <v>87878</v>
      </c>
      <c r="R43" s="65">
        <v>87042</v>
      </c>
      <c r="S43" s="65">
        <v>67905</v>
      </c>
      <c r="T43" s="66">
        <v>69260</v>
      </c>
      <c r="U43" s="67">
        <v>60746</v>
      </c>
      <c r="V43" s="65">
        <v>73643</v>
      </c>
      <c r="W43" s="65">
        <v>87070</v>
      </c>
      <c r="X43" s="65">
        <v>83205</v>
      </c>
      <c r="Y43" s="65">
        <v>77079</v>
      </c>
      <c r="Z43" s="65">
        <v>76304</v>
      </c>
      <c r="AA43" s="23">
        <v>76940</v>
      </c>
      <c r="AB43" s="23">
        <v>78989</v>
      </c>
      <c r="AC43" s="23">
        <v>93543</v>
      </c>
      <c r="AD43" s="23">
        <v>84144</v>
      </c>
      <c r="AE43" s="23">
        <v>68971</v>
      </c>
      <c r="AF43" s="24">
        <v>71110</v>
      </c>
      <c r="AG43" s="22">
        <v>66022</v>
      </c>
      <c r="AH43" s="23">
        <v>86031</v>
      </c>
      <c r="AI43" s="23">
        <v>88143</v>
      </c>
      <c r="AJ43" s="23">
        <v>89670</v>
      </c>
      <c r="AK43" s="23">
        <v>70873</v>
      </c>
      <c r="AL43" s="23">
        <v>74937</v>
      </c>
      <c r="AM43" s="23">
        <v>81764</v>
      </c>
      <c r="AN43" s="23">
        <v>85294</v>
      </c>
      <c r="AO43" s="23">
        <v>89071</v>
      </c>
      <c r="AP43" s="23">
        <v>86851</v>
      </c>
      <c r="AQ43" s="23">
        <v>78470</v>
      </c>
      <c r="AR43" s="24"/>
      <c r="AS43" s="22">
        <v>70070</v>
      </c>
      <c r="AT43" s="23">
        <v>86646</v>
      </c>
      <c r="AU43" s="23">
        <v>81313</v>
      </c>
      <c r="AV43" s="23">
        <v>96724</v>
      </c>
      <c r="AW43" s="23">
        <v>83316</v>
      </c>
      <c r="AX43" s="23">
        <v>75539</v>
      </c>
      <c r="AY43" s="23">
        <v>85319</v>
      </c>
      <c r="AZ43" s="23">
        <v>83606</v>
      </c>
      <c r="BA43" s="23">
        <v>88984</v>
      </c>
      <c r="BB43" s="23">
        <v>95682</v>
      </c>
      <c r="BC43" s="23">
        <v>81186</v>
      </c>
      <c r="BD43" s="24">
        <v>69708</v>
      </c>
      <c r="BE43" s="22">
        <v>71850</v>
      </c>
      <c r="BF43" s="23">
        <v>77549</v>
      </c>
      <c r="BG43" s="23">
        <v>81273</v>
      </c>
      <c r="BH43" s="23">
        <v>88984</v>
      </c>
      <c r="BI43" s="23">
        <v>74136.535360829221</v>
      </c>
      <c r="BJ43" s="23">
        <v>71175</v>
      </c>
      <c r="BK43" s="23">
        <v>84768</v>
      </c>
      <c r="BL43" s="23">
        <v>80478</v>
      </c>
      <c r="BM43" s="23">
        <v>90669</v>
      </c>
      <c r="BN43" s="23">
        <v>87998</v>
      </c>
      <c r="BO43" s="23">
        <v>73129</v>
      </c>
      <c r="BP43" s="24">
        <v>73813</v>
      </c>
      <c r="BQ43" s="22">
        <v>71155</v>
      </c>
      <c r="BR43" s="23">
        <v>75510</v>
      </c>
      <c r="BS43" s="23">
        <v>81201</v>
      </c>
      <c r="BT43" s="23">
        <v>87100</v>
      </c>
      <c r="BU43" s="23">
        <v>65100</v>
      </c>
      <c r="BV43" s="23">
        <v>74106</v>
      </c>
      <c r="BW43" s="23">
        <v>86613</v>
      </c>
      <c r="BX43" s="23">
        <v>77782</v>
      </c>
      <c r="BY43" s="23">
        <v>86587</v>
      </c>
      <c r="BZ43" s="23">
        <v>85207</v>
      </c>
      <c r="CA43" s="23">
        <v>69434</v>
      </c>
      <c r="CB43" s="24">
        <v>74974</v>
      </c>
      <c r="CC43" s="25">
        <v>70038</v>
      </c>
      <c r="CD43" s="23">
        <v>66491</v>
      </c>
      <c r="CE43" s="23">
        <v>41407</v>
      </c>
      <c r="CF43" s="23">
        <v>42227</v>
      </c>
      <c r="CG43" s="23">
        <v>33308</v>
      </c>
      <c r="CH43" s="23">
        <v>34534</v>
      </c>
      <c r="CI43" s="23">
        <v>33220</v>
      </c>
      <c r="CJ43" s="23">
        <v>36133</v>
      </c>
      <c r="CK43" s="23">
        <v>39222</v>
      </c>
      <c r="CL43" s="23">
        <v>36217</v>
      </c>
      <c r="CM43" s="23">
        <v>31917</v>
      </c>
      <c r="CN43" s="26">
        <v>31597</v>
      </c>
      <c r="CO43" s="22">
        <v>27445</v>
      </c>
      <c r="CP43" s="23">
        <v>35683</v>
      </c>
      <c r="CQ43" s="23">
        <v>33955</v>
      </c>
      <c r="CR43" s="23">
        <v>33685</v>
      </c>
      <c r="CS43" s="23">
        <v>30736</v>
      </c>
      <c r="CT43" s="23">
        <v>30380</v>
      </c>
      <c r="CU43" s="23">
        <v>32470</v>
      </c>
      <c r="CV43" s="23">
        <v>30658</v>
      </c>
      <c r="CW43" s="23">
        <v>35457</v>
      </c>
      <c r="CX43" s="23">
        <v>31666</v>
      </c>
      <c r="CY43" s="23">
        <v>32417</v>
      </c>
      <c r="CZ43" s="24">
        <v>28939</v>
      </c>
      <c r="DA43" s="22">
        <v>25859</v>
      </c>
      <c r="DB43" s="23">
        <v>33562</v>
      </c>
      <c r="DC43" s="23">
        <v>30955</v>
      </c>
      <c r="DD43" s="23">
        <v>34014</v>
      </c>
      <c r="DE43" s="23">
        <v>28633</v>
      </c>
      <c r="DF43" s="23">
        <v>27013</v>
      </c>
      <c r="DG43" s="23">
        <v>31434</v>
      </c>
      <c r="DH43" s="23">
        <v>29317</v>
      </c>
      <c r="DI43" s="23">
        <v>32247</v>
      </c>
      <c r="DJ43" s="23">
        <v>32227</v>
      </c>
      <c r="DK43" s="23">
        <v>29740</v>
      </c>
      <c r="DL43" s="24">
        <v>26148</v>
      </c>
      <c r="DM43" s="22">
        <v>25103</v>
      </c>
      <c r="DN43" s="23">
        <v>30362</v>
      </c>
      <c r="DO43" s="23">
        <v>27171</v>
      </c>
      <c r="DP43" s="23">
        <v>33878</v>
      </c>
      <c r="DQ43" s="23">
        <v>30008</v>
      </c>
      <c r="DR43" s="23">
        <v>26029</v>
      </c>
      <c r="DS43" s="23">
        <v>30427</v>
      </c>
      <c r="DT43" s="23">
        <v>28418</v>
      </c>
      <c r="DU43" s="23">
        <v>29149</v>
      </c>
      <c r="DV43" s="23">
        <v>30257</v>
      </c>
      <c r="DW43" s="23">
        <v>27549</v>
      </c>
      <c r="DX43" s="24">
        <v>22309</v>
      </c>
      <c r="DY43" s="100">
        <v>23407</v>
      </c>
      <c r="DZ43" s="23">
        <v>25693</v>
      </c>
      <c r="EA43" s="23">
        <v>26333</v>
      </c>
      <c r="EB43" s="23">
        <v>30654</v>
      </c>
      <c r="EC43" s="23">
        <v>26925</v>
      </c>
      <c r="ED43" s="23">
        <v>25109</v>
      </c>
      <c r="EE43" s="23">
        <v>28134</v>
      </c>
      <c r="EF43" s="23">
        <v>27980</v>
      </c>
      <c r="EG43" s="23">
        <v>22461</v>
      </c>
      <c r="EH43" s="23">
        <v>15535</v>
      </c>
      <c r="EI43" s="23">
        <v>12767</v>
      </c>
      <c r="EJ43" s="24">
        <v>13270</v>
      </c>
      <c r="EK43" s="100">
        <v>12325</v>
      </c>
      <c r="EL43" s="23">
        <v>12220</v>
      </c>
      <c r="EM43" s="23">
        <v>12399</v>
      </c>
      <c r="EN43" s="105">
        <v>13908</v>
      </c>
      <c r="EO43" s="23">
        <v>12624</v>
      </c>
      <c r="EP43" s="23">
        <v>10216</v>
      </c>
      <c r="EQ43" s="23">
        <v>5463</v>
      </c>
      <c r="ER43" s="23">
        <v>10543</v>
      </c>
      <c r="ES43" s="23">
        <v>12590</v>
      </c>
      <c r="ET43" s="23">
        <v>12837</v>
      </c>
      <c r="EU43" s="23">
        <v>11497</v>
      </c>
      <c r="EV43" s="24">
        <v>12724</v>
      </c>
      <c r="EW43" s="103">
        <v>12182</v>
      </c>
      <c r="EX43" s="23">
        <v>13579</v>
      </c>
      <c r="EY43" s="23">
        <v>15545</v>
      </c>
      <c r="EZ43" s="105">
        <v>15685</v>
      </c>
      <c r="FA43" s="23">
        <v>16411</v>
      </c>
      <c r="FB43" s="23">
        <v>15555</v>
      </c>
      <c r="FC43" s="23">
        <v>14242</v>
      </c>
      <c r="FD43" s="23">
        <v>17479</v>
      </c>
      <c r="FE43" s="23">
        <v>20408</v>
      </c>
      <c r="FF43" s="23">
        <v>17799</v>
      </c>
      <c r="FG43" s="23">
        <v>16301</v>
      </c>
      <c r="FH43" s="26">
        <v>14539</v>
      </c>
      <c r="FI43" s="103">
        <f>'Average Weekday Boardings'!FI43*20</f>
        <v>14129</v>
      </c>
      <c r="FJ43" s="23">
        <f>'Average Weekday Boardings'!FJ43*23</f>
        <v>18344</v>
      </c>
      <c r="FK43" s="23">
        <f>'Average Weekday Boardings'!FK43*21</f>
        <v>17792</v>
      </c>
      <c r="FL43" s="105">
        <v>17583</v>
      </c>
      <c r="FM43" s="23">
        <v>16491</v>
      </c>
      <c r="FN43" s="23">
        <v>15278</v>
      </c>
      <c r="FO43" s="23">
        <v>17925</v>
      </c>
      <c r="FP43" s="23">
        <v>15455</v>
      </c>
      <c r="FQ43" s="23">
        <v>20887</v>
      </c>
      <c r="FR43" s="23">
        <v>18256</v>
      </c>
      <c r="FS43" s="23">
        <v>19477</v>
      </c>
      <c r="FT43" s="26">
        <v>16915</v>
      </c>
      <c r="FU43" s="169">
        <v>14977</v>
      </c>
      <c r="FV43" s="169">
        <v>17962</v>
      </c>
      <c r="FW43" s="169">
        <v>16101</v>
      </c>
      <c r="FX43" s="169">
        <v>18517</v>
      </c>
      <c r="FY43" s="169">
        <v>18313</v>
      </c>
      <c r="FZ43" s="169">
        <v>16455</v>
      </c>
      <c r="GA43" s="169">
        <v>19727</v>
      </c>
      <c r="GB43" s="18">
        <v>20225</v>
      </c>
      <c r="GC43" s="52">
        <v>20689</v>
      </c>
      <c r="GD43" s="18">
        <v>18981</v>
      </c>
      <c r="GE43" s="18">
        <v>18421</v>
      </c>
      <c r="GF43" s="52">
        <v>15539</v>
      </c>
      <c r="GG43" s="18">
        <v>17247</v>
      </c>
      <c r="GH43" s="18">
        <v>19233</v>
      </c>
      <c r="GI43" s="52">
        <v>18425</v>
      </c>
      <c r="GJ43" s="242">
        <v>20179</v>
      </c>
      <c r="GK43" s="184">
        <v>17647</v>
      </c>
      <c r="GL43" s="184">
        <v>16408</v>
      </c>
    </row>
    <row r="44" spans="1:194" x14ac:dyDescent="0.3">
      <c r="A44" s="10" t="s">
        <v>26</v>
      </c>
      <c r="B44" s="12"/>
      <c r="C44" s="13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4"/>
      <c r="AG44" s="12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2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4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4"/>
      <c r="BQ44" s="12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4"/>
      <c r="CC44" s="15"/>
      <c r="CD44" s="13">
        <v>4743</v>
      </c>
      <c r="CE44" s="13">
        <v>19448</v>
      </c>
      <c r="CF44" s="13">
        <v>22036</v>
      </c>
      <c r="CG44" s="13">
        <v>19784</v>
      </c>
      <c r="CH44" s="13">
        <v>22705</v>
      </c>
      <c r="CI44" s="13">
        <v>21155</v>
      </c>
      <c r="CJ44" s="13">
        <v>23029</v>
      </c>
      <c r="CK44" s="13">
        <v>25760</v>
      </c>
      <c r="CL44" s="13">
        <v>24200</v>
      </c>
      <c r="CM44" s="13">
        <v>23176</v>
      </c>
      <c r="CN44" s="16">
        <v>23857</v>
      </c>
      <c r="CO44" s="12">
        <v>22046</v>
      </c>
      <c r="CP44" s="13">
        <v>26205</v>
      </c>
      <c r="CQ44" s="13">
        <v>23861</v>
      </c>
      <c r="CR44" s="13">
        <v>25184</v>
      </c>
      <c r="CS44" s="13">
        <v>21961</v>
      </c>
      <c r="CT44" s="13">
        <v>23977</v>
      </c>
      <c r="CU44" s="13">
        <v>24068</v>
      </c>
      <c r="CV44" s="13">
        <v>22728</v>
      </c>
      <c r="CW44" s="13">
        <v>26651</v>
      </c>
      <c r="CX44" s="13">
        <v>23867</v>
      </c>
      <c r="CY44" s="13">
        <v>25734</v>
      </c>
      <c r="CZ44" s="14">
        <v>24844</v>
      </c>
      <c r="DA44" s="12">
        <v>23233</v>
      </c>
      <c r="DB44" s="13">
        <v>27000</v>
      </c>
      <c r="DC44" s="13">
        <v>23497</v>
      </c>
      <c r="DD44" s="13">
        <v>26145</v>
      </c>
      <c r="DE44" s="13">
        <v>22332</v>
      </c>
      <c r="DF44" s="13">
        <v>23250</v>
      </c>
      <c r="DG44" s="13">
        <v>24887</v>
      </c>
      <c r="DH44" s="13">
        <v>23137</v>
      </c>
      <c r="DI44" s="13">
        <v>26308</v>
      </c>
      <c r="DJ44" s="13">
        <v>24807</v>
      </c>
      <c r="DK44" s="13">
        <v>24745</v>
      </c>
      <c r="DL44" s="14">
        <v>23999</v>
      </c>
      <c r="DM44" s="12">
        <v>23348</v>
      </c>
      <c r="DN44" s="13">
        <v>27321</v>
      </c>
      <c r="DO44" s="13">
        <v>22623</v>
      </c>
      <c r="DP44" s="13">
        <v>27951</v>
      </c>
      <c r="DQ44" s="13">
        <v>25597</v>
      </c>
      <c r="DR44" s="13">
        <v>23560</v>
      </c>
      <c r="DS44" s="13">
        <v>26471</v>
      </c>
      <c r="DT44" s="13">
        <v>23352</v>
      </c>
      <c r="DU44" s="13">
        <v>24031</v>
      </c>
      <c r="DV44" s="13">
        <v>25221</v>
      </c>
      <c r="DW44" s="13">
        <v>25069</v>
      </c>
      <c r="DX44" s="14">
        <v>21774</v>
      </c>
      <c r="DY44" s="13">
        <v>23593</v>
      </c>
      <c r="DZ44" s="13">
        <v>24291</v>
      </c>
      <c r="EA44" s="13">
        <v>23618</v>
      </c>
      <c r="EB44" s="13">
        <v>28147</v>
      </c>
      <c r="EC44" s="13">
        <v>24541</v>
      </c>
      <c r="ED44" s="13">
        <v>23648</v>
      </c>
      <c r="EE44" s="13">
        <v>26454</v>
      </c>
      <c r="EF44" s="13">
        <v>24831</v>
      </c>
      <c r="EG44" s="13">
        <v>23609</v>
      </c>
      <c r="EH44" s="13">
        <v>16800</v>
      </c>
      <c r="EI44" s="13">
        <v>14601</v>
      </c>
      <c r="EJ44" s="14">
        <v>15462</v>
      </c>
      <c r="EK44" s="13">
        <v>14627</v>
      </c>
      <c r="EL44" s="13">
        <v>13924</v>
      </c>
      <c r="EM44" s="13">
        <v>13471</v>
      </c>
      <c r="EN44" s="106">
        <v>15004</v>
      </c>
      <c r="EO44" s="13">
        <v>12519</v>
      </c>
      <c r="EP44" s="13">
        <v>10474</v>
      </c>
      <c r="EQ44" s="13">
        <v>5588</v>
      </c>
      <c r="ER44" s="13">
        <v>10571</v>
      </c>
      <c r="ES44" s="13">
        <v>12717</v>
      </c>
      <c r="ET44" s="13">
        <v>13134</v>
      </c>
      <c r="EU44" s="13">
        <v>11264</v>
      </c>
      <c r="EV44" s="14">
        <v>12773</v>
      </c>
      <c r="EW44" s="13">
        <v>12106</v>
      </c>
      <c r="EX44" s="13">
        <v>12915</v>
      </c>
      <c r="EY44" s="13">
        <v>14005</v>
      </c>
      <c r="EZ44" s="106">
        <v>14791</v>
      </c>
      <c r="FA44" s="13">
        <v>14931</v>
      </c>
      <c r="FB44" s="13">
        <v>14541</v>
      </c>
      <c r="FC44" s="13">
        <v>13452</v>
      </c>
      <c r="FD44" s="13">
        <v>16084</v>
      </c>
      <c r="FE44" s="13">
        <v>19812</v>
      </c>
      <c r="FF44" s="13">
        <v>18217</v>
      </c>
      <c r="FG44" s="13">
        <v>17560</v>
      </c>
      <c r="FH44" s="16">
        <v>16823</v>
      </c>
      <c r="FI44" s="13">
        <f>'Average Weekday Boardings'!FI44*20</f>
        <v>16173</v>
      </c>
      <c r="FJ44" s="13">
        <f>'Average Weekday Boardings'!FJ44*23</f>
        <v>19107</v>
      </c>
      <c r="FK44" s="13">
        <f>'Average Weekday Boardings'!FK44*21</f>
        <v>17431</v>
      </c>
      <c r="FL44" s="106">
        <v>16881</v>
      </c>
      <c r="FM44" s="13">
        <v>16255</v>
      </c>
      <c r="FN44" s="13">
        <v>14961</v>
      </c>
      <c r="FO44" s="13">
        <v>16119</v>
      </c>
      <c r="FP44" s="13">
        <v>13709</v>
      </c>
      <c r="FQ44" s="13">
        <v>17806</v>
      </c>
      <c r="FR44" s="13">
        <v>16136</v>
      </c>
      <c r="FS44" s="13">
        <v>17263</v>
      </c>
      <c r="FT44" s="16">
        <v>15300</v>
      </c>
      <c r="FU44" s="169">
        <v>13451</v>
      </c>
      <c r="FV44" s="169">
        <v>15418</v>
      </c>
      <c r="FW44" s="169">
        <v>13704</v>
      </c>
      <c r="FX44" s="169">
        <v>16255</v>
      </c>
      <c r="FY44" s="169">
        <v>16620</v>
      </c>
      <c r="FZ44" s="169">
        <v>15227</v>
      </c>
      <c r="GA44" s="169">
        <v>18185</v>
      </c>
      <c r="GB44" s="18">
        <v>18088</v>
      </c>
      <c r="GC44" s="52">
        <v>17505</v>
      </c>
      <c r="GD44" s="18">
        <v>16702</v>
      </c>
      <c r="GE44" s="18">
        <v>16273</v>
      </c>
      <c r="GF44" s="52">
        <v>14609</v>
      </c>
      <c r="GG44" s="18">
        <v>16301</v>
      </c>
      <c r="GH44" s="18">
        <v>16129</v>
      </c>
      <c r="GI44" s="52">
        <v>15815</v>
      </c>
      <c r="GJ44" s="242">
        <v>17918</v>
      </c>
      <c r="GK44" s="184">
        <v>14803</v>
      </c>
      <c r="GL44" s="184">
        <v>13918</v>
      </c>
    </row>
    <row r="45" spans="1:194" x14ac:dyDescent="0.3">
      <c r="A45" s="4" t="s">
        <v>27</v>
      </c>
      <c r="B45" s="17"/>
      <c r="C45" s="18"/>
      <c r="D45" s="18"/>
      <c r="E45" s="18"/>
      <c r="F45" s="18"/>
      <c r="G45" s="18"/>
      <c r="H45" s="19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9"/>
      <c r="U45" s="17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9"/>
      <c r="AG45" s="17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9"/>
      <c r="AS45" s="17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9"/>
      <c r="BE45" s="17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9"/>
      <c r="BQ45" s="17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9"/>
      <c r="CC45" s="20"/>
      <c r="CD45" s="18">
        <v>4861</v>
      </c>
      <c r="CE45" s="18">
        <v>21272</v>
      </c>
      <c r="CF45" s="18">
        <v>24755</v>
      </c>
      <c r="CG45" s="18">
        <v>20894</v>
      </c>
      <c r="CH45" s="18">
        <v>24281</v>
      </c>
      <c r="CI45" s="18">
        <v>22565</v>
      </c>
      <c r="CJ45" s="18">
        <v>23801</v>
      </c>
      <c r="CK45" s="18">
        <v>26836</v>
      </c>
      <c r="CL45" s="18">
        <v>23762</v>
      </c>
      <c r="CM45" s="18">
        <v>23426</v>
      </c>
      <c r="CN45" s="21">
        <v>23586</v>
      </c>
      <c r="CO45" s="17">
        <v>21898</v>
      </c>
      <c r="CP45" s="18">
        <v>26085</v>
      </c>
      <c r="CQ45" s="18">
        <v>24225</v>
      </c>
      <c r="CR45" s="18">
        <v>25438</v>
      </c>
      <c r="CS45" s="18">
        <v>21741</v>
      </c>
      <c r="CT45" s="18">
        <v>23811</v>
      </c>
      <c r="CU45" s="18">
        <v>25030</v>
      </c>
      <c r="CV45" s="18">
        <v>24504</v>
      </c>
      <c r="CW45" s="18">
        <v>28720</v>
      </c>
      <c r="CX45" s="18">
        <v>25869</v>
      </c>
      <c r="CY45" s="18">
        <v>27151</v>
      </c>
      <c r="CZ45" s="19">
        <v>25668</v>
      </c>
      <c r="DA45" s="17">
        <v>23241</v>
      </c>
      <c r="DB45" s="18">
        <v>27482</v>
      </c>
      <c r="DC45" s="18">
        <v>23747</v>
      </c>
      <c r="DD45" s="18">
        <v>27342</v>
      </c>
      <c r="DE45" s="18">
        <v>22620</v>
      </c>
      <c r="DF45" s="18">
        <v>24250</v>
      </c>
      <c r="DG45" s="18">
        <v>26113</v>
      </c>
      <c r="DH45" s="18">
        <v>23936</v>
      </c>
      <c r="DI45" s="18">
        <v>26815</v>
      </c>
      <c r="DJ45" s="18">
        <v>25094</v>
      </c>
      <c r="DK45" s="18">
        <v>25971</v>
      </c>
      <c r="DL45" s="19">
        <v>24387</v>
      </c>
      <c r="DM45" s="17">
        <v>23872</v>
      </c>
      <c r="DN45" s="18">
        <v>27787</v>
      </c>
      <c r="DO45" s="18">
        <v>23094</v>
      </c>
      <c r="DP45" s="18">
        <v>29124</v>
      </c>
      <c r="DQ45" s="18">
        <v>26240</v>
      </c>
      <c r="DR45" s="18">
        <v>24158</v>
      </c>
      <c r="DS45" s="18">
        <v>27195</v>
      </c>
      <c r="DT45" s="18">
        <v>24229</v>
      </c>
      <c r="DU45" s="18">
        <v>24419</v>
      </c>
      <c r="DV45" s="18">
        <v>24793</v>
      </c>
      <c r="DW45" s="18">
        <v>26049</v>
      </c>
      <c r="DX45" s="19">
        <v>23228</v>
      </c>
      <c r="DY45" s="100">
        <v>25089</v>
      </c>
      <c r="DZ45" s="18">
        <v>25480</v>
      </c>
      <c r="EA45" s="18">
        <v>24808</v>
      </c>
      <c r="EB45" s="18">
        <v>29989</v>
      </c>
      <c r="EC45" s="18">
        <v>25533</v>
      </c>
      <c r="ED45" s="18">
        <v>24688</v>
      </c>
      <c r="EE45" s="18">
        <v>26608</v>
      </c>
      <c r="EF45" s="18">
        <v>25059</v>
      </c>
      <c r="EG45" s="18">
        <v>22727</v>
      </c>
      <c r="EH45" s="18">
        <v>15684</v>
      </c>
      <c r="EI45" s="18">
        <v>14279</v>
      </c>
      <c r="EJ45" s="19">
        <v>14641</v>
      </c>
      <c r="EK45" s="100">
        <v>13090</v>
      </c>
      <c r="EL45" s="18">
        <v>12042</v>
      </c>
      <c r="EM45" s="18">
        <v>12595</v>
      </c>
      <c r="EN45" s="103">
        <v>13115</v>
      </c>
      <c r="EO45" s="18">
        <v>11939</v>
      </c>
      <c r="EP45" s="18">
        <v>9426</v>
      </c>
      <c r="EQ45" s="18">
        <v>5339</v>
      </c>
      <c r="ER45" s="18">
        <v>9710</v>
      </c>
      <c r="ES45" s="18">
        <v>11430</v>
      </c>
      <c r="ET45" s="18">
        <v>12197</v>
      </c>
      <c r="EU45" s="18">
        <v>10830</v>
      </c>
      <c r="EV45" s="19">
        <v>12285</v>
      </c>
      <c r="EW45" s="103">
        <v>11516</v>
      </c>
      <c r="EX45" s="18">
        <v>12367</v>
      </c>
      <c r="EY45" s="18">
        <v>12901</v>
      </c>
      <c r="EZ45" s="103">
        <v>13094</v>
      </c>
      <c r="FA45" s="18">
        <v>13657</v>
      </c>
      <c r="FB45" s="149">
        <v>12980</v>
      </c>
      <c r="FC45" s="18">
        <v>12085</v>
      </c>
      <c r="FD45" s="18">
        <v>14600</v>
      </c>
      <c r="FE45" s="18">
        <v>17491</v>
      </c>
      <c r="FF45" s="18">
        <v>15968</v>
      </c>
      <c r="FG45" s="18">
        <v>15434</v>
      </c>
      <c r="FH45" s="21">
        <v>13931</v>
      </c>
      <c r="FI45" s="103">
        <f>'Average Weekday Boardings'!FI45*20</f>
        <v>12465</v>
      </c>
      <c r="FJ45" s="18">
        <f>'Average Weekday Boardings'!FJ45*23</f>
        <v>15124</v>
      </c>
      <c r="FK45" s="18">
        <f>'Average Weekday Boardings'!FK45*21</f>
        <v>14755</v>
      </c>
      <c r="FL45" s="103">
        <v>14885</v>
      </c>
      <c r="FM45" s="18">
        <v>13699</v>
      </c>
      <c r="FN45" s="149">
        <v>13590</v>
      </c>
      <c r="FO45" s="18">
        <v>14119</v>
      </c>
      <c r="FP45" s="18">
        <v>12439</v>
      </c>
      <c r="FQ45" s="18">
        <v>16594</v>
      </c>
      <c r="FR45" s="18">
        <v>15003</v>
      </c>
      <c r="FS45" s="18">
        <v>16385</v>
      </c>
      <c r="FT45" s="21">
        <v>15045</v>
      </c>
      <c r="FU45" s="169">
        <v>12673</v>
      </c>
      <c r="FV45" s="169">
        <v>14360</v>
      </c>
      <c r="FW45" s="169">
        <v>12874</v>
      </c>
      <c r="FX45" s="169">
        <v>15165</v>
      </c>
      <c r="FY45" s="169">
        <v>14779</v>
      </c>
      <c r="FZ45" s="169">
        <v>13762</v>
      </c>
      <c r="GA45" s="169">
        <v>16002</v>
      </c>
      <c r="GB45" s="18">
        <v>16450</v>
      </c>
      <c r="GC45" s="52">
        <v>15593</v>
      </c>
      <c r="GD45" s="18">
        <v>14884</v>
      </c>
      <c r="GE45" s="18">
        <v>14676</v>
      </c>
      <c r="GF45" s="52">
        <v>13106</v>
      </c>
      <c r="GG45" s="18">
        <v>14292</v>
      </c>
      <c r="GH45" s="18">
        <v>14031</v>
      </c>
      <c r="GI45" s="52">
        <v>13727</v>
      </c>
      <c r="GJ45" s="242">
        <v>15218</v>
      </c>
      <c r="GK45" s="184">
        <v>13382</v>
      </c>
      <c r="GL45" s="184">
        <v>13087</v>
      </c>
    </row>
    <row r="46" spans="1:194" x14ac:dyDescent="0.3">
      <c r="A46" s="4" t="s">
        <v>28</v>
      </c>
      <c r="B46" s="17"/>
      <c r="C46" s="18"/>
      <c r="D46" s="18"/>
      <c r="E46" s="18"/>
      <c r="F46" s="18"/>
      <c r="G46" s="18"/>
      <c r="H46" s="19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  <c r="U46" s="17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9"/>
      <c r="AG46" s="17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9"/>
      <c r="AS46" s="17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9"/>
      <c r="BE46" s="17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9"/>
      <c r="BQ46" s="17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9"/>
      <c r="CC46" s="20"/>
      <c r="CD46" s="18">
        <v>2169</v>
      </c>
      <c r="CE46" s="18">
        <v>9090</v>
      </c>
      <c r="CF46" s="18">
        <v>9348</v>
      </c>
      <c r="CG46" s="18">
        <v>7897</v>
      </c>
      <c r="CH46" s="18">
        <v>10117</v>
      </c>
      <c r="CI46" s="18">
        <v>8330</v>
      </c>
      <c r="CJ46" s="18">
        <v>9019</v>
      </c>
      <c r="CK46" s="18">
        <v>10575</v>
      </c>
      <c r="CL46" s="18">
        <v>9324</v>
      </c>
      <c r="CM46" s="18">
        <v>9034</v>
      </c>
      <c r="CN46" s="21">
        <v>8865</v>
      </c>
      <c r="CO46" s="17">
        <v>8317</v>
      </c>
      <c r="CP46" s="18">
        <v>9556</v>
      </c>
      <c r="CQ46" s="18">
        <v>9275</v>
      </c>
      <c r="CR46" s="18">
        <v>9921</v>
      </c>
      <c r="CS46" s="18">
        <v>9290</v>
      </c>
      <c r="CT46" s="18">
        <v>10671</v>
      </c>
      <c r="CU46" s="18">
        <v>9892</v>
      </c>
      <c r="CV46" s="18">
        <v>9769</v>
      </c>
      <c r="CW46" s="18">
        <v>11523</v>
      </c>
      <c r="CX46" s="18">
        <v>10396</v>
      </c>
      <c r="CY46" s="18">
        <v>10376</v>
      </c>
      <c r="CZ46" s="19">
        <v>9940</v>
      </c>
      <c r="DA46" s="17">
        <v>9260</v>
      </c>
      <c r="DB46" s="18">
        <v>11327</v>
      </c>
      <c r="DC46" s="18">
        <v>9637</v>
      </c>
      <c r="DD46" s="18">
        <v>10836</v>
      </c>
      <c r="DE46" s="18">
        <v>9321</v>
      </c>
      <c r="DF46" s="18">
        <v>9867</v>
      </c>
      <c r="DG46" s="18">
        <v>10424</v>
      </c>
      <c r="DH46" s="18">
        <v>9413</v>
      </c>
      <c r="DI46" s="18">
        <v>11431</v>
      </c>
      <c r="DJ46" s="18">
        <v>10002</v>
      </c>
      <c r="DK46" s="18">
        <v>9880</v>
      </c>
      <c r="DL46" s="19">
        <v>9509</v>
      </c>
      <c r="DM46" s="17">
        <v>9142</v>
      </c>
      <c r="DN46" s="18">
        <v>10723</v>
      </c>
      <c r="DO46" s="18">
        <v>9082</v>
      </c>
      <c r="DP46" s="18">
        <v>11038</v>
      </c>
      <c r="DQ46" s="18">
        <v>10276</v>
      </c>
      <c r="DR46" s="18">
        <v>9239</v>
      </c>
      <c r="DS46" s="18">
        <v>10337</v>
      </c>
      <c r="DT46" s="18">
        <v>9388</v>
      </c>
      <c r="DU46" s="18">
        <v>9789</v>
      </c>
      <c r="DV46" s="18">
        <v>9872</v>
      </c>
      <c r="DW46" s="18">
        <v>10151</v>
      </c>
      <c r="DX46" s="19">
        <v>9635</v>
      </c>
      <c r="DY46" s="100">
        <v>10387</v>
      </c>
      <c r="DZ46" s="18">
        <v>11349</v>
      </c>
      <c r="EA46" s="18">
        <v>11024</v>
      </c>
      <c r="EB46" s="18">
        <v>13200</v>
      </c>
      <c r="EC46" s="18">
        <v>11354</v>
      </c>
      <c r="ED46" s="18">
        <v>10699</v>
      </c>
      <c r="EE46" s="18">
        <v>11973</v>
      </c>
      <c r="EF46" s="18">
        <v>11426</v>
      </c>
      <c r="EG46" s="18">
        <v>10318</v>
      </c>
      <c r="EH46" s="18">
        <v>6278</v>
      </c>
      <c r="EI46" s="18">
        <v>5478</v>
      </c>
      <c r="EJ46" s="19">
        <v>5311</v>
      </c>
      <c r="EK46" s="100">
        <v>4776</v>
      </c>
      <c r="EL46" s="18">
        <v>4815</v>
      </c>
      <c r="EM46" s="18">
        <v>5097</v>
      </c>
      <c r="EN46" s="104">
        <v>5625</v>
      </c>
      <c r="EO46" s="18">
        <v>4504</v>
      </c>
      <c r="EP46" s="18">
        <v>4012</v>
      </c>
      <c r="EQ46" s="18">
        <v>2286</v>
      </c>
      <c r="ER46" s="18">
        <v>4077</v>
      </c>
      <c r="ES46" s="18">
        <v>4995</v>
      </c>
      <c r="ET46" s="18">
        <v>4989</v>
      </c>
      <c r="EU46" s="18">
        <v>3965</v>
      </c>
      <c r="EV46" s="19">
        <v>4768</v>
      </c>
      <c r="EW46" s="103">
        <v>4308</v>
      </c>
      <c r="EX46" s="18">
        <v>5028</v>
      </c>
      <c r="EY46" s="18">
        <v>5194</v>
      </c>
      <c r="EZ46" s="104">
        <v>5751</v>
      </c>
      <c r="FA46" s="18">
        <v>6157</v>
      </c>
      <c r="FB46" s="149">
        <v>5978</v>
      </c>
      <c r="FC46" s="18">
        <v>5149</v>
      </c>
      <c r="FD46" s="18">
        <v>6171</v>
      </c>
      <c r="FE46" s="18">
        <v>7731</v>
      </c>
      <c r="FF46" s="18">
        <v>6803</v>
      </c>
      <c r="FG46" s="18">
        <v>6315</v>
      </c>
      <c r="FH46" s="21">
        <v>6067</v>
      </c>
      <c r="FI46" s="103">
        <f>'Average Weekday Boardings'!FI46*20</f>
        <v>5708</v>
      </c>
      <c r="FJ46" s="18">
        <f>'Average Weekday Boardings'!FJ46*23</f>
        <v>7149</v>
      </c>
      <c r="FK46" s="18">
        <f>'Average Weekday Boardings'!FK46*21</f>
        <v>7505.0000000000009</v>
      </c>
      <c r="FL46" s="104">
        <v>7298</v>
      </c>
      <c r="FM46" s="18">
        <v>7000</v>
      </c>
      <c r="FN46" s="149">
        <v>7018</v>
      </c>
      <c r="FO46" s="18">
        <v>7307</v>
      </c>
      <c r="FP46" s="18">
        <v>6196</v>
      </c>
      <c r="FQ46" s="18">
        <v>8447</v>
      </c>
      <c r="FR46" s="18">
        <v>7845</v>
      </c>
      <c r="FS46" s="18">
        <v>7938</v>
      </c>
      <c r="FT46" s="21">
        <v>7136</v>
      </c>
      <c r="FU46" s="169">
        <v>6207</v>
      </c>
      <c r="FV46" s="169">
        <v>7405</v>
      </c>
      <c r="FW46" s="169">
        <v>7257</v>
      </c>
      <c r="FX46" s="169">
        <v>7990</v>
      </c>
      <c r="FY46" s="169">
        <v>7769</v>
      </c>
      <c r="FZ46" s="169">
        <v>6829</v>
      </c>
      <c r="GA46" s="169">
        <v>7610</v>
      </c>
      <c r="GB46" s="18">
        <v>8597</v>
      </c>
      <c r="GC46" s="52">
        <v>8313</v>
      </c>
      <c r="GD46" s="18">
        <v>8268</v>
      </c>
      <c r="GE46" s="18">
        <v>8021</v>
      </c>
      <c r="GF46" s="52">
        <v>6487</v>
      </c>
      <c r="GG46" s="18">
        <v>7710</v>
      </c>
      <c r="GH46" s="18">
        <v>8082</v>
      </c>
      <c r="GI46" s="52">
        <v>8229</v>
      </c>
      <c r="GJ46" s="242">
        <v>9625</v>
      </c>
      <c r="GK46" s="184">
        <v>8204</v>
      </c>
      <c r="GL46" s="184">
        <v>8219</v>
      </c>
    </row>
    <row r="47" spans="1:194" ht="15" thickBot="1" x14ac:dyDescent="0.35">
      <c r="A47" s="11" t="s">
        <v>29</v>
      </c>
      <c r="B47" s="27"/>
      <c r="C47" s="28"/>
      <c r="D47" s="28"/>
      <c r="E47" s="28"/>
      <c r="F47" s="28"/>
      <c r="G47" s="28"/>
      <c r="H47" s="29"/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9"/>
      <c r="U47" s="27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9"/>
      <c r="AG47" s="27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9"/>
      <c r="AS47" s="27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9"/>
      <c r="BE47" s="27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9"/>
      <c r="BQ47" s="27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9"/>
      <c r="CC47" s="30"/>
      <c r="CD47" s="28">
        <v>14976</v>
      </c>
      <c r="CE47" s="28">
        <v>47970</v>
      </c>
      <c r="CF47" s="28">
        <v>49993</v>
      </c>
      <c r="CG47" s="28">
        <v>40580</v>
      </c>
      <c r="CH47" s="28">
        <v>47596</v>
      </c>
      <c r="CI47" s="28">
        <v>44987</v>
      </c>
      <c r="CJ47" s="28">
        <v>50148</v>
      </c>
      <c r="CK47" s="28">
        <v>57415</v>
      </c>
      <c r="CL47" s="28">
        <v>51910</v>
      </c>
      <c r="CM47" s="28">
        <v>44656</v>
      </c>
      <c r="CN47" s="31">
        <v>48807</v>
      </c>
      <c r="CO47" s="27">
        <v>43699</v>
      </c>
      <c r="CP47" s="28">
        <v>53712</v>
      </c>
      <c r="CQ47" s="28">
        <v>49450</v>
      </c>
      <c r="CR47" s="28">
        <v>48503</v>
      </c>
      <c r="CS47" s="28">
        <v>45014</v>
      </c>
      <c r="CT47" s="28">
        <v>48454</v>
      </c>
      <c r="CU47" s="28">
        <v>49938</v>
      </c>
      <c r="CV47" s="28">
        <v>49682</v>
      </c>
      <c r="CW47" s="28">
        <v>58143</v>
      </c>
      <c r="CX47" s="28">
        <v>49375</v>
      </c>
      <c r="CY47" s="28">
        <v>53007</v>
      </c>
      <c r="CZ47" s="29">
        <v>48809</v>
      </c>
      <c r="DA47" s="27">
        <v>43961</v>
      </c>
      <c r="DB47" s="28">
        <v>57325</v>
      </c>
      <c r="DC47" s="28">
        <v>50824</v>
      </c>
      <c r="DD47" s="28">
        <v>55407</v>
      </c>
      <c r="DE47" s="28">
        <v>44034</v>
      </c>
      <c r="DF47" s="28">
        <v>50505</v>
      </c>
      <c r="DG47" s="28">
        <v>50873</v>
      </c>
      <c r="DH47" s="28">
        <v>47980</v>
      </c>
      <c r="DI47" s="28">
        <v>56859</v>
      </c>
      <c r="DJ47" s="28">
        <v>54316</v>
      </c>
      <c r="DK47" s="28">
        <v>49803</v>
      </c>
      <c r="DL47" s="29">
        <v>44209</v>
      </c>
      <c r="DM47" s="27">
        <v>44335</v>
      </c>
      <c r="DN47" s="28">
        <v>54516</v>
      </c>
      <c r="DO47" s="28">
        <v>46366</v>
      </c>
      <c r="DP47" s="28">
        <v>54697</v>
      </c>
      <c r="DQ47" s="28">
        <v>52072</v>
      </c>
      <c r="DR47" s="28">
        <v>49042</v>
      </c>
      <c r="DS47" s="28">
        <v>57968</v>
      </c>
      <c r="DT47" s="28">
        <v>50933</v>
      </c>
      <c r="DU47" s="28">
        <v>53945</v>
      </c>
      <c r="DV47" s="28">
        <v>55584</v>
      </c>
      <c r="DW47" s="28">
        <v>39741</v>
      </c>
      <c r="DX47" s="29">
        <v>16041</v>
      </c>
      <c r="DY47" s="100">
        <v>16770</v>
      </c>
      <c r="DZ47" s="28">
        <v>17395</v>
      </c>
      <c r="EA47" s="28">
        <v>18363</v>
      </c>
      <c r="EB47" s="28">
        <v>21228</v>
      </c>
      <c r="EC47" s="28">
        <v>18139</v>
      </c>
      <c r="ED47" s="28">
        <v>21190</v>
      </c>
      <c r="EE47" s="28">
        <v>18999</v>
      </c>
      <c r="EF47" s="28">
        <v>18409</v>
      </c>
      <c r="EG47" s="28">
        <v>15319</v>
      </c>
      <c r="EH47" s="28">
        <v>9983</v>
      </c>
      <c r="EI47" s="28">
        <v>8788</v>
      </c>
      <c r="EJ47" s="29">
        <v>8425</v>
      </c>
      <c r="EK47" s="100">
        <v>7905</v>
      </c>
      <c r="EL47" s="28">
        <v>7906</v>
      </c>
      <c r="EM47" s="28">
        <v>8097</v>
      </c>
      <c r="EN47" s="105">
        <v>8765</v>
      </c>
      <c r="EO47" s="28">
        <v>7836</v>
      </c>
      <c r="EP47" s="28">
        <v>6470</v>
      </c>
      <c r="EQ47" s="28">
        <v>3291</v>
      </c>
      <c r="ER47" s="28">
        <v>6399</v>
      </c>
      <c r="ES47" s="28">
        <v>8059</v>
      </c>
      <c r="ET47" s="28">
        <v>7797</v>
      </c>
      <c r="EU47" s="28">
        <v>6350</v>
      </c>
      <c r="EV47" s="29">
        <v>7782</v>
      </c>
      <c r="EW47" s="103">
        <v>7537</v>
      </c>
      <c r="EX47" s="28">
        <v>8776</v>
      </c>
      <c r="EY47" s="28">
        <v>9046</v>
      </c>
      <c r="EZ47" s="105">
        <v>10219</v>
      </c>
      <c r="FA47" s="28">
        <v>10943</v>
      </c>
      <c r="FB47" s="149">
        <v>11403</v>
      </c>
      <c r="FC47" s="28">
        <v>8291</v>
      </c>
      <c r="FD47" s="28">
        <v>10106</v>
      </c>
      <c r="FE47" s="28">
        <v>13005</v>
      </c>
      <c r="FF47" s="28">
        <v>12815</v>
      </c>
      <c r="FG47" s="28">
        <v>10879</v>
      </c>
      <c r="FH47" s="31">
        <v>9829</v>
      </c>
      <c r="FI47" s="103">
        <f>'Average Weekday Boardings'!FI47*20</f>
        <v>9727</v>
      </c>
      <c r="FJ47" s="28">
        <f>'Average Weekday Boardings'!FJ47*23</f>
        <v>12237.000000000002</v>
      </c>
      <c r="FK47" s="28">
        <f>'Average Weekday Boardings'!FK47*21</f>
        <v>12091.000000000002</v>
      </c>
      <c r="FL47" s="105">
        <v>12034</v>
      </c>
      <c r="FM47" s="28">
        <v>12485</v>
      </c>
      <c r="FN47" s="149">
        <v>16657</v>
      </c>
      <c r="FO47" s="28">
        <v>13843</v>
      </c>
      <c r="FP47" s="28">
        <v>10148</v>
      </c>
      <c r="FQ47" s="28">
        <v>13631</v>
      </c>
      <c r="FR47" s="28">
        <v>12496</v>
      </c>
      <c r="FS47" s="28">
        <v>12170</v>
      </c>
      <c r="FT47" s="31">
        <v>10948</v>
      </c>
      <c r="FU47" s="169">
        <v>10333</v>
      </c>
      <c r="FV47" s="169">
        <v>11832</v>
      </c>
      <c r="FW47" s="169">
        <v>11017</v>
      </c>
      <c r="FX47" s="169">
        <v>12201</v>
      </c>
      <c r="FY47" s="169">
        <v>11424</v>
      </c>
      <c r="FZ47" s="169">
        <v>12461</v>
      </c>
      <c r="GA47" s="169">
        <v>12223</v>
      </c>
      <c r="GB47" s="18">
        <v>11897</v>
      </c>
      <c r="GC47" s="52">
        <v>15913</v>
      </c>
      <c r="GD47" s="18">
        <v>11620</v>
      </c>
      <c r="GE47" s="18">
        <v>10613</v>
      </c>
      <c r="GF47" s="52">
        <v>9861</v>
      </c>
      <c r="GG47" s="18">
        <v>10479</v>
      </c>
      <c r="GH47" s="18">
        <v>10748</v>
      </c>
      <c r="GI47" s="52">
        <v>10660</v>
      </c>
      <c r="GJ47" s="242">
        <v>12332</v>
      </c>
      <c r="GK47" s="184">
        <v>9844</v>
      </c>
      <c r="GL47" s="184">
        <v>12979</v>
      </c>
    </row>
    <row r="48" spans="1:194" x14ac:dyDescent="0.3">
      <c r="A48" s="93" t="s">
        <v>69</v>
      </c>
      <c r="B48" s="12"/>
      <c r="C48" s="13"/>
      <c r="D48" s="13"/>
      <c r="E48" s="13"/>
      <c r="F48" s="13"/>
      <c r="G48" s="13"/>
      <c r="H48" s="14"/>
      <c r="I48" s="1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6"/>
      <c r="U48" s="12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4"/>
      <c r="AS48" s="15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6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4"/>
      <c r="BQ48" s="15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6"/>
      <c r="CC48" s="12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4"/>
      <c r="CO48" s="15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4"/>
      <c r="DA48" s="12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4"/>
      <c r="DM48" s="12"/>
      <c r="DN48" s="13"/>
      <c r="DO48" s="13"/>
      <c r="DP48" s="13"/>
      <c r="DQ48" s="13"/>
      <c r="DR48" s="13"/>
      <c r="DS48" s="13"/>
      <c r="DT48" s="13"/>
      <c r="DU48" s="13"/>
      <c r="DV48" s="13"/>
      <c r="DW48" s="13">
        <v>3372</v>
      </c>
      <c r="DX48" s="14">
        <v>8155</v>
      </c>
      <c r="DY48" s="13">
        <v>9464</v>
      </c>
      <c r="DZ48" s="13">
        <v>10069</v>
      </c>
      <c r="EA48" s="13">
        <v>9853</v>
      </c>
      <c r="EB48" s="13">
        <v>12473</v>
      </c>
      <c r="EC48" s="13">
        <v>10817</v>
      </c>
      <c r="ED48" s="13">
        <v>10135</v>
      </c>
      <c r="EE48" s="13">
        <v>11963</v>
      </c>
      <c r="EF48" s="13">
        <v>11515</v>
      </c>
      <c r="EG48" s="13">
        <v>11309</v>
      </c>
      <c r="EH48" s="13">
        <v>8022</v>
      </c>
      <c r="EI48" s="13">
        <v>6728</v>
      </c>
      <c r="EJ48" s="14">
        <v>7151</v>
      </c>
      <c r="EK48" s="13">
        <v>6604</v>
      </c>
      <c r="EL48" s="13">
        <v>6254</v>
      </c>
      <c r="EM48" s="13">
        <v>6439</v>
      </c>
      <c r="EN48" s="107">
        <v>7108</v>
      </c>
      <c r="EO48" s="13">
        <v>6045</v>
      </c>
      <c r="EP48" s="13">
        <v>5318</v>
      </c>
      <c r="EQ48" s="13">
        <v>3059</v>
      </c>
      <c r="ER48" s="13">
        <v>5463</v>
      </c>
      <c r="ES48" s="13">
        <v>2594</v>
      </c>
      <c r="ET48" s="13">
        <v>6009</v>
      </c>
      <c r="EU48" s="13">
        <v>5193</v>
      </c>
      <c r="EV48" s="14">
        <v>6012</v>
      </c>
      <c r="EW48" s="13">
        <v>5802</v>
      </c>
      <c r="EX48" s="13">
        <v>6039</v>
      </c>
      <c r="EY48" s="13">
        <v>6591</v>
      </c>
      <c r="EZ48" s="107">
        <v>7150</v>
      </c>
      <c r="FA48" s="13">
        <v>7200</v>
      </c>
      <c r="FB48" s="13">
        <v>7098</v>
      </c>
      <c r="FC48" s="13">
        <v>6937</v>
      </c>
      <c r="FD48" s="13">
        <v>9026</v>
      </c>
      <c r="FE48" s="13">
        <v>10533</v>
      </c>
      <c r="FF48" s="13">
        <v>9436</v>
      </c>
      <c r="FG48" s="13">
        <v>8282</v>
      </c>
      <c r="FH48" s="16">
        <v>7447</v>
      </c>
      <c r="FI48" s="13">
        <f>'Average Weekday Boardings'!FI48*20</f>
        <v>7123</v>
      </c>
      <c r="FJ48" s="13">
        <f>'Average Weekday Boardings'!FJ48*23</f>
        <v>8857</v>
      </c>
      <c r="FK48" s="13">
        <f>'Average Weekday Boardings'!FK48*21</f>
        <v>7970</v>
      </c>
      <c r="FL48" s="107">
        <v>7925</v>
      </c>
      <c r="FM48" s="13">
        <v>8236</v>
      </c>
      <c r="FN48" s="13">
        <v>8762</v>
      </c>
      <c r="FO48" s="13">
        <v>9155</v>
      </c>
      <c r="FP48" s="13">
        <v>7432</v>
      </c>
      <c r="FQ48" s="13">
        <v>10525</v>
      </c>
      <c r="FR48" s="13">
        <v>9332</v>
      </c>
      <c r="FS48" s="13">
        <v>9307</v>
      </c>
      <c r="FT48" s="16">
        <v>9014</v>
      </c>
      <c r="FU48" s="169">
        <v>8774</v>
      </c>
      <c r="FV48" s="169">
        <v>10108</v>
      </c>
      <c r="FW48" s="169">
        <v>8914</v>
      </c>
      <c r="FX48" s="169">
        <v>9909</v>
      </c>
      <c r="FY48" s="169">
        <v>8676</v>
      </c>
      <c r="FZ48" s="169">
        <v>7869</v>
      </c>
      <c r="GA48" s="169">
        <v>9272</v>
      </c>
      <c r="GB48" s="18">
        <v>9578</v>
      </c>
      <c r="GC48" s="52">
        <v>8446</v>
      </c>
      <c r="GD48" s="18">
        <v>8585</v>
      </c>
      <c r="GE48" s="18">
        <v>8394</v>
      </c>
      <c r="GF48" s="52">
        <v>8294</v>
      </c>
      <c r="GG48" s="18">
        <v>9599</v>
      </c>
      <c r="GH48" s="18">
        <v>10472</v>
      </c>
      <c r="GI48" s="52">
        <v>9739</v>
      </c>
      <c r="GJ48" s="242">
        <v>10791</v>
      </c>
      <c r="GK48" s="184">
        <v>8354</v>
      </c>
      <c r="GL48" s="184">
        <v>7887</v>
      </c>
    </row>
    <row r="49" spans="1:194" ht="15" thickBot="1" x14ac:dyDescent="0.35">
      <c r="A49" s="94" t="s">
        <v>70</v>
      </c>
      <c r="B49" s="27"/>
      <c r="C49" s="28"/>
      <c r="D49" s="28"/>
      <c r="E49" s="28"/>
      <c r="F49" s="28"/>
      <c r="G49" s="28"/>
      <c r="H49" s="29"/>
      <c r="I49" s="30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27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9"/>
      <c r="AS49" s="30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31"/>
      <c r="BE49" s="27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9"/>
      <c r="BQ49" s="30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31"/>
      <c r="CC49" s="27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9"/>
      <c r="CO49" s="30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9"/>
      <c r="DA49" s="27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9"/>
      <c r="DM49" s="27"/>
      <c r="DN49" s="28"/>
      <c r="DO49" s="28"/>
      <c r="DP49" s="28"/>
      <c r="DQ49" s="28"/>
      <c r="DR49" s="28"/>
      <c r="DS49" s="28"/>
      <c r="DT49" s="28"/>
      <c r="DU49" s="28"/>
      <c r="DV49" s="28"/>
      <c r="DW49" s="28">
        <v>17473</v>
      </c>
      <c r="DX49" s="29">
        <v>38678</v>
      </c>
      <c r="DY49" s="100">
        <v>43364</v>
      </c>
      <c r="DZ49" s="28">
        <v>44723</v>
      </c>
      <c r="EA49" s="28">
        <v>43476</v>
      </c>
      <c r="EB49" s="28">
        <v>47088</v>
      </c>
      <c r="EC49" s="28">
        <v>43760</v>
      </c>
      <c r="ED49" s="28">
        <v>44766</v>
      </c>
      <c r="EE49" s="28">
        <v>51407</v>
      </c>
      <c r="EF49" s="28">
        <v>50230</v>
      </c>
      <c r="EG49" s="28">
        <v>21882</v>
      </c>
      <c r="EH49" s="28">
        <v>15616</v>
      </c>
      <c r="EI49" s="28">
        <v>14433</v>
      </c>
      <c r="EJ49" s="29">
        <v>15231</v>
      </c>
      <c r="EK49" s="101">
        <v>14594</v>
      </c>
      <c r="EL49" s="28">
        <v>14709</v>
      </c>
      <c r="EM49" s="28">
        <v>13728</v>
      </c>
      <c r="EN49" s="105">
        <v>13576</v>
      </c>
      <c r="EO49" s="28">
        <v>26884</v>
      </c>
      <c r="EP49" s="28">
        <v>6887</v>
      </c>
      <c r="EQ49" s="28">
        <v>5696</v>
      </c>
      <c r="ER49" s="28">
        <v>12082</v>
      </c>
      <c r="ES49" s="28">
        <v>10120</v>
      </c>
      <c r="ET49" s="28">
        <v>26884</v>
      </c>
      <c r="EU49" s="28">
        <v>22607</v>
      </c>
      <c r="EV49" s="29">
        <v>27745</v>
      </c>
      <c r="EW49" s="108">
        <v>25795</v>
      </c>
      <c r="EX49" s="28">
        <v>29174</v>
      </c>
      <c r="EY49" s="28">
        <v>28549</v>
      </c>
      <c r="EZ49" s="105">
        <v>28241</v>
      </c>
      <c r="FA49" s="28">
        <v>28235</v>
      </c>
      <c r="FB49" s="28">
        <v>27813</v>
      </c>
      <c r="FC49" s="28">
        <v>27442</v>
      </c>
      <c r="FD49" s="28">
        <v>31878</v>
      </c>
      <c r="FE49" s="28">
        <v>37117</v>
      </c>
      <c r="FF49" s="28">
        <v>32271</v>
      </c>
      <c r="FG49" s="28">
        <v>28330</v>
      </c>
      <c r="FH49" s="31">
        <v>26962</v>
      </c>
      <c r="FI49" s="108">
        <f>'Average Weekday Boardings'!FI49*20</f>
        <v>26275</v>
      </c>
      <c r="FJ49" s="28">
        <f>'Average Weekday Boardings'!FJ49*23</f>
        <v>30674</v>
      </c>
      <c r="FK49" s="28">
        <f>'Average Weekday Boardings'!FK49*21</f>
        <v>29805</v>
      </c>
      <c r="FL49" s="105">
        <v>28361</v>
      </c>
      <c r="FM49" s="28">
        <v>27759</v>
      </c>
      <c r="FN49" s="28">
        <v>27931</v>
      </c>
      <c r="FO49" s="28">
        <v>30634</v>
      </c>
      <c r="FP49" s="28">
        <v>10700</v>
      </c>
      <c r="FQ49" s="28">
        <v>39550</v>
      </c>
      <c r="FR49" s="28">
        <v>33932</v>
      </c>
      <c r="FS49" s="28">
        <v>33932</v>
      </c>
      <c r="FT49" s="31">
        <v>29553</v>
      </c>
      <c r="FU49" s="169">
        <v>28989</v>
      </c>
      <c r="FV49" s="169">
        <v>33044</v>
      </c>
      <c r="FW49" s="169">
        <v>29089</v>
      </c>
      <c r="FX49" s="169">
        <v>35482</v>
      </c>
      <c r="FY49" s="169">
        <v>33164</v>
      </c>
      <c r="FZ49" s="169">
        <v>31944</v>
      </c>
      <c r="GA49" s="169">
        <v>34558</v>
      </c>
      <c r="GB49" s="18">
        <v>38402</v>
      </c>
      <c r="GC49" s="52">
        <v>34588</v>
      </c>
      <c r="GD49" s="18">
        <v>38403</v>
      </c>
      <c r="GE49" s="33">
        <v>35407</v>
      </c>
      <c r="GF49" s="52">
        <v>29777</v>
      </c>
      <c r="GG49" s="18">
        <v>38242</v>
      </c>
      <c r="GH49" s="18">
        <v>41497</v>
      </c>
      <c r="GI49" s="52">
        <v>40836</v>
      </c>
      <c r="GJ49" s="242">
        <v>45065</v>
      </c>
      <c r="GK49" s="184">
        <v>36741</v>
      </c>
      <c r="GL49" s="184">
        <v>40124</v>
      </c>
    </row>
    <row r="50" spans="1:194" s="5" customFormat="1" x14ac:dyDescent="0.3">
      <c r="A50" s="45" t="s">
        <v>53</v>
      </c>
      <c r="B50" s="47"/>
      <c r="C50" s="48">
        <f>SUM(C10:C43)</f>
        <v>612339</v>
      </c>
      <c r="D50" s="48">
        <f t="shared" ref="D50:M50" si="0">SUM(D10:D43)</f>
        <v>705534</v>
      </c>
      <c r="E50" s="48">
        <f t="shared" si="0"/>
        <v>756271</v>
      </c>
      <c r="F50" s="48">
        <f t="shared" si="0"/>
        <v>822482</v>
      </c>
      <c r="G50" s="48">
        <f t="shared" si="0"/>
        <v>671065</v>
      </c>
      <c r="H50" s="49">
        <f t="shared" si="0"/>
        <v>648320</v>
      </c>
      <c r="I50" s="47">
        <f t="shared" si="0"/>
        <v>584201</v>
      </c>
      <c r="J50" s="48">
        <f t="shared" si="0"/>
        <v>695335</v>
      </c>
      <c r="K50" s="48">
        <f t="shared" si="0"/>
        <v>856208</v>
      </c>
      <c r="L50" s="48">
        <f t="shared" si="0"/>
        <v>903698</v>
      </c>
      <c r="M50" s="48">
        <f t="shared" si="0"/>
        <v>804221</v>
      </c>
      <c r="N50" s="48">
        <f t="shared" ref="N50:Z50" si="1">SUM(N10:N43)</f>
        <v>781789</v>
      </c>
      <c r="O50" s="48">
        <f>SUM(O10:O43)</f>
        <v>744155</v>
      </c>
      <c r="P50" s="48">
        <f t="shared" si="1"/>
        <v>826664</v>
      </c>
      <c r="Q50" s="48">
        <f t="shared" si="1"/>
        <v>952491</v>
      </c>
      <c r="R50" s="48">
        <f t="shared" si="1"/>
        <v>988500</v>
      </c>
      <c r="S50" s="48">
        <f>SUM(S10:S43)</f>
        <v>745336</v>
      </c>
      <c r="T50" s="49">
        <f t="shared" si="1"/>
        <v>779230</v>
      </c>
      <c r="U50" s="47">
        <f t="shared" si="1"/>
        <v>622329</v>
      </c>
      <c r="V50" s="48">
        <f t="shared" si="1"/>
        <v>839024</v>
      </c>
      <c r="W50" s="48">
        <f t="shared" si="1"/>
        <v>936120</v>
      </c>
      <c r="X50" s="48">
        <f t="shared" si="1"/>
        <v>911933</v>
      </c>
      <c r="Y50" s="48">
        <f t="shared" si="1"/>
        <v>821457</v>
      </c>
      <c r="Z50" s="48">
        <f t="shared" si="1"/>
        <v>786890</v>
      </c>
      <c r="AA50" s="48">
        <f t="shared" ref="AA50:AF50" si="2">SUM(AA10:AA43)</f>
        <v>830595</v>
      </c>
      <c r="AB50" s="48">
        <f t="shared" si="2"/>
        <v>856399</v>
      </c>
      <c r="AC50" s="48">
        <f t="shared" si="2"/>
        <v>971392</v>
      </c>
      <c r="AD50" s="48">
        <f t="shared" si="2"/>
        <v>948075</v>
      </c>
      <c r="AE50" s="48">
        <f t="shared" si="2"/>
        <v>771363</v>
      </c>
      <c r="AF50" s="49">
        <f t="shared" si="2"/>
        <v>744131</v>
      </c>
      <c r="AG50" s="47">
        <f>SUM(AG10:AG43)</f>
        <v>669757</v>
      </c>
      <c r="AH50" s="48">
        <f t="shared" ref="AH50:AR50" si="3">SUM(AH10:AH43)</f>
        <v>929597</v>
      </c>
      <c r="AI50" s="48">
        <f t="shared" si="3"/>
        <v>1004187</v>
      </c>
      <c r="AJ50" s="48">
        <f t="shared" si="3"/>
        <v>963203</v>
      </c>
      <c r="AK50" s="48">
        <f t="shared" si="3"/>
        <v>806577</v>
      </c>
      <c r="AL50" s="48">
        <f t="shared" si="3"/>
        <v>778347</v>
      </c>
      <c r="AM50" s="48">
        <f t="shared" si="3"/>
        <v>881730</v>
      </c>
      <c r="AN50" s="48">
        <f t="shared" si="3"/>
        <v>891577</v>
      </c>
      <c r="AO50" s="48">
        <f t="shared" si="3"/>
        <v>964830</v>
      </c>
      <c r="AP50" s="48">
        <f t="shared" si="3"/>
        <v>995401</v>
      </c>
      <c r="AQ50" s="48">
        <f t="shared" si="3"/>
        <v>882434</v>
      </c>
      <c r="AR50" s="49">
        <f t="shared" si="3"/>
        <v>695351</v>
      </c>
      <c r="AS50" s="47">
        <f>SUM(AS10:AS43)</f>
        <v>717526</v>
      </c>
      <c r="AT50" s="48">
        <f t="shared" ref="AT50:BD50" si="4">SUM(AT10:AT43)</f>
        <v>967235</v>
      </c>
      <c r="AU50" s="48">
        <f t="shared" si="4"/>
        <v>940245</v>
      </c>
      <c r="AV50" s="48">
        <f t="shared" si="4"/>
        <v>1124759</v>
      </c>
      <c r="AW50" s="48">
        <f t="shared" si="4"/>
        <v>955665</v>
      </c>
      <c r="AX50" s="48">
        <f t="shared" si="4"/>
        <v>824841</v>
      </c>
      <c r="AY50" s="48">
        <f t="shared" si="4"/>
        <v>947652</v>
      </c>
      <c r="AZ50" s="48">
        <f t="shared" si="4"/>
        <v>923560</v>
      </c>
      <c r="BA50" s="48">
        <f t="shared" si="4"/>
        <v>949273</v>
      </c>
      <c r="BB50" s="48">
        <f t="shared" si="4"/>
        <v>1058777</v>
      </c>
      <c r="BC50" s="48">
        <f t="shared" si="4"/>
        <v>907364</v>
      </c>
      <c r="BD50" s="49">
        <f t="shared" si="4"/>
        <v>732623</v>
      </c>
      <c r="BE50" s="47">
        <f>SUM(BE10:BE43)</f>
        <v>762678</v>
      </c>
      <c r="BF50" s="48">
        <f t="shared" ref="BF50:BP50" si="5">SUM(BF10:BF43)</f>
        <v>920585</v>
      </c>
      <c r="BG50" s="48">
        <f t="shared" si="5"/>
        <v>976200</v>
      </c>
      <c r="BH50" s="48">
        <f t="shared" si="5"/>
        <v>1069313</v>
      </c>
      <c r="BI50" s="48">
        <f t="shared" si="5"/>
        <v>882970</v>
      </c>
      <c r="BJ50" s="48">
        <f t="shared" si="5"/>
        <v>804003</v>
      </c>
      <c r="BK50" s="48">
        <f t="shared" si="5"/>
        <v>971743</v>
      </c>
      <c r="BL50" s="48">
        <f t="shared" si="5"/>
        <v>929560</v>
      </c>
      <c r="BM50" s="48">
        <f t="shared" si="5"/>
        <v>1003411</v>
      </c>
      <c r="BN50" s="48">
        <f t="shared" si="5"/>
        <v>1034459</v>
      </c>
      <c r="BO50" s="48">
        <f t="shared" si="5"/>
        <v>854812</v>
      </c>
      <c r="BP50" s="49">
        <f t="shared" si="5"/>
        <v>790735</v>
      </c>
      <c r="BQ50" s="47">
        <f>SUM(BQ10:BQ43)</f>
        <v>750593</v>
      </c>
      <c r="BR50" s="48">
        <f t="shared" ref="BR50:CC50" si="6">SUM(BR10:BR43)</f>
        <v>879403</v>
      </c>
      <c r="BS50" s="48">
        <f t="shared" si="6"/>
        <v>999053</v>
      </c>
      <c r="BT50" s="48">
        <f t="shared" si="6"/>
        <v>1070823</v>
      </c>
      <c r="BU50" s="48">
        <f t="shared" si="6"/>
        <v>804175</v>
      </c>
      <c r="BV50" s="48">
        <f t="shared" si="6"/>
        <v>851268</v>
      </c>
      <c r="BW50" s="48">
        <f t="shared" si="6"/>
        <v>1009796</v>
      </c>
      <c r="BX50" s="48">
        <f t="shared" si="6"/>
        <v>900213</v>
      </c>
      <c r="BY50" s="48">
        <f t="shared" si="6"/>
        <v>981026</v>
      </c>
      <c r="BZ50" s="48">
        <f t="shared" si="6"/>
        <v>1005399</v>
      </c>
      <c r="CA50" s="48">
        <f t="shared" si="6"/>
        <v>800329</v>
      </c>
      <c r="CB50" s="49">
        <f t="shared" si="6"/>
        <v>802341</v>
      </c>
      <c r="CC50" s="50">
        <f t="shared" si="6"/>
        <v>756940</v>
      </c>
      <c r="CD50" s="48">
        <f>SUM(CD10:CD47)</f>
        <v>898581</v>
      </c>
      <c r="CE50" s="48">
        <f t="shared" ref="CE50:CJ50" si="7">SUM(CE10:CE47)</f>
        <v>1071404</v>
      </c>
      <c r="CF50" s="48">
        <f t="shared" si="7"/>
        <v>1110447</v>
      </c>
      <c r="CG50" s="48">
        <f t="shared" si="7"/>
        <v>899218</v>
      </c>
      <c r="CH50" s="48">
        <f t="shared" si="7"/>
        <v>911335</v>
      </c>
      <c r="CI50" s="48">
        <f t="shared" si="7"/>
        <v>917497</v>
      </c>
      <c r="CJ50" s="48">
        <f t="shared" si="7"/>
        <v>992955</v>
      </c>
      <c r="CK50" s="48">
        <f>SUM(CK7:CK47)</f>
        <v>1127343</v>
      </c>
      <c r="CL50" s="48">
        <f t="shared" ref="CL50:CZ50" si="8">SUM(CL7:CL47)</f>
        <v>1132022</v>
      </c>
      <c r="CM50" s="48">
        <f t="shared" si="8"/>
        <v>998516</v>
      </c>
      <c r="CN50" s="51">
        <f t="shared" si="8"/>
        <v>998099</v>
      </c>
      <c r="CO50" s="47">
        <f t="shared" si="8"/>
        <v>860040</v>
      </c>
      <c r="CP50" s="48">
        <f t="shared" si="8"/>
        <v>1138693</v>
      </c>
      <c r="CQ50" s="48">
        <f t="shared" si="8"/>
        <v>1113394</v>
      </c>
      <c r="CR50" s="48">
        <f t="shared" si="8"/>
        <v>1098342</v>
      </c>
      <c r="CS50" s="48">
        <f t="shared" si="8"/>
        <v>987020</v>
      </c>
      <c r="CT50" s="48">
        <f t="shared" si="8"/>
        <v>962608</v>
      </c>
      <c r="CU50" s="48">
        <f t="shared" si="8"/>
        <v>1026211</v>
      </c>
      <c r="CV50" s="48">
        <f t="shared" si="8"/>
        <v>1021489</v>
      </c>
      <c r="CW50" s="48">
        <f t="shared" si="8"/>
        <v>1194437</v>
      </c>
      <c r="CX50" s="48">
        <f t="shared" si="8"/>
        <v>1058204</v>
      </c>
      <c r="CY50" s="48">
        <f t="shared" si="8"/>
        <v>1064691</v>
      </c>
      <c r="CZ50" s="49">
        <f t="shared" si="8"/>
        <v>955918</v>
      </c>
      <c r="DA50" s="47">
        <f t="shared" ref="DA50:DL50" si="9">SUM(DA7:DA47)</f>
        <v>827241</v>
      </c>
      <c r="DB50" s="48">
        <f t="shared" si="9"/>
        <v>1128139</v>
      </c>
      <c r="DC50" s="48">
        <f t="shared" si="9"/>
        <v>1030526</v>
      </c>
      <c r="DD50" s="48">
        <f t="shared" si="9"/>
        <v>1132967</v>
      </c>
      <c r="DE50" s="48">
        <f t="shared" si="9"/>
        <v>956405</v>
      </c>
      <c r="DF50" s="48">
        <f t="shared" si="9"/>
        <v>900363</v>
      </c>
      <c r="DG50" s="48">
        <f t="shared" si="9"/>
        <v>1029104</v>
      </c>
      <c r="DH50" s="48">
        <f t="shared" si="9"/>
        <v>966176</v>
      </c>
      <c r="DI50" s="48">
        <f t="shared" si="9"/>
        <v>1083684</v>
      </c>
      <c r="DJ50" s="48">
        <f t="shared" si="9"/>
        <v>1061298</v>
      </c>
      <c r="DK50" s="48">
        <f t="shared" si="9"/>
        <v>990400</v>
      </c>
      <c r="DL50" s="49">
        <f t="shared" si="9"/>
        <v>866892</v>
      </c>
      <c r="DM50" s="47">
        <f t="shared" ref="DM50:DV50" si="10">SUM(DM7:DM47)</f>
        <v>831828</v>
      </c>
      <c r="DN50" s="48">
        <f t="shared" si="10"/>
        <v>1058966</v>
      </c>
      <c r="DO50" s="48">
        <f t="shared" si="10"/>
        <v>933955</v>
      </c>
      <c r="DP50" s="48">
        <f t="shared" si="10"/>
        <v>1122166</v>
      </c>
      <c r="DQ50" s="48">
        <f t="shared" si="10"/>
        <v>1014824</v>
      </c>
      <c r="DR50" s="48">
        <f t="shared" si="10"/>
        <v>865183</v>
      </c>
      <c r="DS50" s="48">
        <f t="shared" si="10"/>
        <v>1041499</v>
      </c>
      <c r="DT50" s="48">
        <f t="shared" si="10"/>
        <v>941262</v>
      </c>
      <c r="DU50" s="48">
        <f t="shared" si="10"/>
        <v>978773</v>
      </c>
      <c r="DV50" s="48">
        <f t="shared" si="10"/>
        <v>943919</v>
      </c>
      <c r="DW50" s="48">
        <f t="shared" ref="DW50:EE50" si="11">SUM(DW7:DW49)</f>
        <v>945282</v>
      </c>
      <c r="DX50" s="49">
        <f t="shared" si="11"/>
        <v>830113</v>
      </c>
      <c r="DY50" s="47">
        <f t="shared" si="11"/>
        <v>850516</v>
      </c>
      <c r="DZ50" s="48">
        <f t="shared" si="11"/>
        <v>987646</v>
      </c>
      <c r="EA50" s="48">
        <f t="shared" si="11"/>
        <v>985371</v>
      </c>
      <c r="EB50" s="48">
        <f t="shared" si="11"/>
        <v>1128133</v>
      </c>
      <c r="EC50" s="48">
        <f t="shared" si="11"/>
        <v>974559</v>
      </c>
      <c r="ED50" s="48">
        <f t="shared" si="11"/>
        <v>909254</v>
      </c>
      <c r="EE50" s="48">
        <f t="shared" si="11"/>
        <v>1013717</v>
      </c>
      <c r="EF50" s="48">
        <v>983709</v>
      </c>
      <c r="EG50" s="48">
        <v>751056</v>
      </c>
      <c r="EH50" s="48">
        <v>452164</v>
      </c>
      <c r="EI50" s="48">
        <v>406174</v>
      </c>
      <c r="EJ50" s="49">
        <v>421341</v>
      </c>
      <c r="EK50" s="48">
        <v>403638</v>
      </c>
      <c r="EL50" s="48">
        <v>391521</v>
      </c>
      <c r="EM50" s="48">
        <v>405757</v>
      </c>
      <c r="EN50" s="102">
        <v>432822</v>
      </c>
      <c r="EO50" s="48">
        <v>424626</v>
      </c>
      <c r="EP50" s="48">
        <v>321325</v>
      </c>
      <c r="EQ50" s="48">
        <v>171398</v>
      </c>
      <c r="ER50" s="48">
        <v>334054</v>
      </c>
      <c r="ES50" s="48">
        <v>398664</v>
      </c>
      <c r="ET50" s="48">
        <v>460011</v>
      </c>
      <c r="EU50" s="48">
        <v>424626</v>
      </c>
      <c r="EV50" s="49">
        <v>432363</v>
      </c>
      <c r="EW50" s="48">
        <v>409579</v>
      </c>
      <c r="EX50" s="48">
        <v>482127</v>
      </c>
      <c r="EY50" s="48">
        <v>513932</v>
      </c>
      <c r="EZ50" s="102">
        <v>521693</v>
      </c>
      <c r="FA50" s="48">
        <v>533680</v>
      </c>
      <c r="FB50" s="48">
        <v>496139</v>
      </c>
      <c r="FC50" s="48">
        <v>461544</v>
      </c>
      <c r="FD50" s="48">
        <v>564947</v>
      </c>
      <c r="FE50" s="48">
        <v>673923</v>
      </c>
      <c r="FF50" s="48">
        <v>673923</v>
      </c>
      <c r="FG50" s="48">
        <v>545544</v>
      </c>
      <c r="FH50" s="48">
        <v>466632</v>
      </c>
      <c r="FI50" s="48">
        <v>440138</v>
      </c>
      <c r="FJ50" s="48">
        <v>582585</v>
      </c>
      <c r="FK50" s="48">
        <v>607880</v>
      </c>
      <c r="FL50" s="102">
        <v>585091</v>
      </c>
      <c r="FM50" s="48">
        <v>562954</v>
      </c>
      <c r="FN50" s="48">
        <v>529484</v>
      </c>
      <c r="FO50" s="48">
        <v>601603</v>
      </c>
      <c r="FP50" s="48">
        <v>525434</v>
      </c>
      <c r="FQ50" s="48">
        <v>713927</v>
      </c>
      <c r="FR50" s="48">
        <v>649420</v>
      </c>
      <c r="FS50" s="48">
        <v>657686</v>
      </c>
      <c r="FT50" s="51">
        <v>576265</v>
      </c>
      <c r="FU50" s="179">
        <f>SUM(FU7:FU49)</f>
        <v>512856</v>
      </c>
      <c r="FV50" s="179">
        <f t="shared" ref="FV50:FZ50" si="12">SUM(FV7:FV49)</f>
        <v>641095</v>
      </c>
      <c r="FW50" s="179">
        <f t="shared" si="12"/>
        <v>583806</v>
      </c>
      <c r="FX50" s="179">
        <f t="shared" si="12"/>
        <v>708724</v>
      </c>
      <c r="FY50" s="179">
        <f t="shared" si="12"/>
        <v>644706</v>
      </c>
      <c r="FZ50" s="179">
        <f t="shared" si="12"/>
        <v>559761</v>
      </c>
      <c r="GA50" s="179">
        <f t="shared" ref="GA50:GF50" si="13">SUM(GA4:GA49)</f>
        <v>659060</v>
      </c>
      <c r="GB50" s="180">
        <f t="shared" si="13"/>
        <v>713990</v>
      </c>
      <c r="GC50" s="180">
        <f t="shared" si="13"/>
        <v>673675</v>
      </c>
      <c r="GD50" s="180">
        <f t="shared" si="13"/>
        <v>680248</v>
      </c>
      <c r="GE50" s="180">
        <f t="shared" si="13"/>
        <v>648456</v>
      </c>
      <c r="GF50" s="180">
        <f t="shared" si="13"/>
        <v>543415</v>
      </c>
      <c r="GG50" s="180">
        <f t="shared" ref="GG50:GL50" si="14">SUM(GG4:GG49)</f>
        <v>585224</v>
      </c>
      <c r="GH50" s="180">
        <f t="shared" si="14"/>
        <v>668056</v>
      </c>
      <c r="GI50" s="176">
        <f t="shared" si="14"/>
        <v>665684</v>
      </c>
      <c r="GJ50" s="243">
        <f t="shared" si="14"/>
        <v>722704</v>
      </c>
      <c r="GK50" s="185">
        <f t="shared" si="14"/>
        <v>617621</v>
      </c>
      <c r="GL50" s="185">
        <f t="shared" si="14"/>
        <v>581767</v>
      </c>
    </row>
    <row r="51" spans="1:194" s="5" customFormat="1" x14ac:dyDescent="0.3">
      <c r="A51" s="45" t="s">
        <v>56</v>
      </c>
      <c r="B51" s="198">
        <f>AVERAGE(C50:H50)</f>
        <v>702668.5</v>
      </c>
      <c r="C51" s="199"/>
      <c r="D51" s="199"/>
      <c r="E51" s="199"/>
      <c r="F51" s="199"/>
      <c r="G51" s="199"/>
      <c r="H51" s="200"/>
      <c r="I51" s="198">
        <f t="shared" ref="I51" si="15">AVERAGE(I50:T50)</f>
        <v>805152.33333333337</v>
      </c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200"/>
      <c r="U51" s="198">
        <f>AVERAGE(U50:AF50)</f>
        <v>836642.33333333337</v>
      </c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200"/>
      <c r="AG51" s="198">
        <f>AVERAGE(AG50:AR50)</f>
        <v>871915.91666666663</v>
      </c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200"/>
      <c r="AS51" s="198">
        <f>AVERAGE(AS50:BD50)</f>
        <v>920793.33333333337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200"/>
      <c r="BE51" s="198">
        <f>AVERAGE(BE50:BP50)</f>
        <v>916705.75</v>
      </c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200"/>
      <c r="BQ51" s="198">
        <f>AVERAGE(BQ50:CB50)</f>
        <v>904534.91666666663</v>
      </c>
      <c r="BR51" s="199"/>
      <c r="BS51" s="199"/>
      <c r="BT51" s="199"/>
      <c r="BU51" s="199"/>
      <c r="BV51" s="199"/>
      <c r="BW51" s="199"/>
      <c r="BX51" s="199"/>
      <c r="BY51" s="199"/>
      <c r="BZ51" s="199"/>
      <c r="CA51" s="199"/>
      <c r="CB51" s="200"/>
      <c r="CC51" s="198">
        <f>AVERAGE(CC50:CN50)</f>
        <v>984529.75</v>
      </c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200"/>
      <c r="CO51" s="198">
        <f>AVERAGE(CO50:CZ50)</f>
        <v>1040087.25</v>
      </c>
      <c r="CP51" s="199"/>
      <c r="CQ51" s="199"/>
      <c r="CR51" s="199"/>
      <c r="CS51" s="199"/>
      <c r="CT51" s="199"/>
      <c r="CU51" s="199"/>
      <c r="CV51" s="199"/>
      <c r="CW51" s="199"/>
      <c r="CX51" s="199"/>
      <c r="CY51" s="199"/>
      <c r="CZ51" s="200"/>
      <c r="DA51" s="198">
        <f>AVERAGE(DA50:DL50)</f>
        <v>997766.25</v>
      </c>
      <c r="DB51" s="199"/>
      <c r="DC51" s="199"/>
      <c r="DD51" s="199"/>
      <c r="DE51" s="199"/>
      <c r="DF51" s="199"/>
      <c r="DG51" s="199"/>
      <c r="DH51" s="199"/>
      <c r="DI51" s="199"/>
      <c r="DJ51" s="199"/>
      <c r="DK51" s="199"/>
      <c r="DL51" s="200"/>
      <c r="DM51" s="198">
        <f>AVERAGE(DM50:DX50)</f>
        <v>958980.83333333337</v>
      </c>
      <c r="DN51" s="199"/>
      <c r="DO51" s="199"/>
      <c r="DP51" s="199"/>
      <c r="DQ51" s="199"/>
      <c r="DR51" s="199"/>
      <c r="DS51" s="199"/>
      <c r="DT51" s="199"/>
      <c r="DU51" s="199"/>
      <c r="DV51" s="199"/>
      <c r="DW51" s="199"/>
      <c r="DX51" s="200"/>
      <c r="DY51" s="198">
        <f>AVERAGE(DY50:EJ50)</f>
        <v>821970</v>
      </c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200"/>
      <c r="EK51" s="198">
        <f>AVERAGE(EK50:EV50)</f>
        <v>383400.41666666669</v>
      </c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200"/>
      <c r="EW51" s="198">
        <f>AVERAGE(EW50:FH50)</f>
        <v>528638.58333333337</v>
      </c>
      <c r="EX51" s="199"/>
      <c r="EY51" s="199"/>
      <c r="EZ51" s="199"/>
      <c r="FA51" s="199"/>
      <c r="FB51" s="199"/>
      <c r="FC51" s="199"/>
      <c r="FD51" s="199"/>
      <c r="FE51" s="199"/>
      <c r="FF51" s="199"/>
      <c r="FG51" s="199"/>
      <c r="FH51" s="200"/>
      <c r="FI51" s="198">
        <v>586038.91666666698</v>
      </c>
      <c r="FJ51" s="199"/>
      <c r="FK51" s="199"/>
      <c r="FL51" s="199"/>
      <c r="FM51" s="199"/>
      <c r="FN51" s="199"/>
      <c r="FO51" s="199"/>
      <c r="FP51" s="199"/>
      <c r="FQ51" s="199"/>
      <c r="FR51" s="199"/>
      <c r="FS51" s="199"/>
      <c r="FT51" s="199"/>
      <c r="FU51" s="207">
        <f>AVERAGE(FU50:GA50)</f>
        <v>615715.42857142852</v>
      </c>
      <c r="FV51" s="207"/>
      <c r="FW51" s="207"/>
      <c r="FX51" s="207"/>
      <c r="FY51" s="207"/>
      <c r="FZ51" s="207"/>
      <c r="GA51" s="207"/>
      <c r="GB51" s="207"/>
      <c r="GC51" s="207"/>
      <c r="GD51" s="207"/>
      <c r="GE51" s="207"/>
      <c r="GF51" s="207"/>
      <c r="GJ51" s="239"/>
    </row>
    <row r="52" spans="1:194" x14ac:dyDescent="0.3">
      <c r="DY52" s="99"/>
      <c r="DZ52" s="99"/>
      <c r="EA52" s="99"/>
      <c r="EB52" s="99"/>
      <c r="EC52" s="99"/>
      <c r="ED52" s="99"/>
      <c r="EE52" s="99"/>
      <c r="EF52" s="99"/>
      <c r="EG52" s="99"/>
      <c r="EH52" s="99"/>
      <c r="EI52" s="99"/>
      <c r="EJ52" s="99"/>
      <c r="EK52" s="99"/>
      <c r="EP52" t="s">
        <v>78</v>
      </c>
    </row>
    <row r="54" spans="1:194" x14ac:dyDescent="0.3">
      <c r="CO54" s="89"/>
      <c r="DA54" s="89"/>
      <c r="FG54" s="206"/>
      <c r="FH54" s="206"/>
      <c r="FI54" s="206"/>
      <c r="FJ54" s="206"/>
      <c r="FK54" s="206"/>
      <c r="FL54" s="206"/>
      <c r="FM54" s="206"/>
      <c r="FN54" s="206"/>
      <c r="FO54" s="206"/>
      <c r="FP54" s="206"/>
      <c r="FQ54" s="206"/>
      <c r="FR54" s="206"/>
      <c r="FS54" s="206"/>
      <c r="FT54" s="206"/>
    </row>
    <row r="55" spans="1:194" ht="15" thickBot="1" x14ac:dyDescent="0.35">
      <c r="CO55" s="90"/>
      <c r="DA55" s="90"/>
      <c r="FG55" s="152"/>
      <c r="FH55" s="152"/>
      <c r="FI55" s="152"/>
      <c r="FJ55" s="152"/>
      <c r="FK55" s="152"/>
      <c r="FL55" s="152"/>
      <c r="FM55" s="152"/>
      <c r="FN55" s="152"/>
      <c r="FO55" s="172">
        <v>44949</v>
      </c>
      <c r="FP55" s="172">
        <v>44980</v>
      </c>
      <c r="FQ55" s="172">
        <v>45008</v>
      </c>
      <c r="FR55" s="172">
        <v>45039</v>
      </c>
      <c r="FS55" s="172">
        <v>45069</v>
      </c>
      <c r="FT55" s="172">
        <v>45100</v>
      </c>
      <c r="FU55" s="173">
        <v>45130</v>
      </c>
      <c r="FV55" s="173">
        <v>45161</v>
      </c>
      <c r="FW55" s="173">
        <v>45192</v>
      </c>
      <c r="FX55" s="173">
        <v>45222</v>
      </c>
      <c r="FY55" s="173">
        <v>45253</v>
      </c>
      <c r="FZ55" s="173">
        <v>45283</v>
      </c>
      <c r="GA55" s="173">
        <v>45315</v>
      </c>
      <c r="GB55" s="173">
        <v>45345</v>
      </c>
      <c r="GC55" s="173">
        <v>45374</v>
      </c>
      <c r="GD55" s="173">
        <v>45405</v>
      </c>
      <c r="GE55" s="173">
        <v>45435</v>
      </c>
      <c r="GF55" s="173">
        <v>45466</v>
      </c>
      <c r="GG55" s="173">
        <v>45496</v>
      </c>
      <c r="GH55" s="173">
        <v>45527</v>
      </c>
      <c r="GI55" s="173">
        <v>45559</v>
      </c>
      <c r="GJ55" s="240">
        <v>45590</v>
      </c>
      <c r="GK55" s="173">
        <v>45622</v>
      </c>
      <c r="GL55" s="173">
        <v>45653</v>
      </c>
    </row>
    <row r="56" spans="1:194" x14ac:dyDescent="0.3">
      <c r="A56" s="156" t="s">
        <v>80</v>
      </c>
      <c r="FM56" s="154"/>
      <c r="FO56" s="174">
        <v>3290</v>
      </c>
      <c r="FP56" s="174">
        <v>2485.455898950604</v>
      </c>
      <c r="FQ56" s="145">
        <v>4138</v>
      </c>
      <c r="FR56" s="169">
        <v>3493</v>
      </c>
      <c r="FS56" s="169">
        <v>4068</v>
      </c>
      <c r="FT56" s="169">
        <v>3553</v>
      </c>
      <c r="FU56" s="52">
        <v>2957</v>
      </c>
      <c r="FV56" s="52">
        <v>4299</v>
      </c>
      <c r="FW56" s="52">
        <v>3366</v>
      </c>
      <c r="FX56" s="52">
        <v>3871</v>
      </c>
      <c r="FY56" s="52">
        <v>3564</v>
      </c>
      <c r="FZ56" s="52">
        <v>2936</v>
      </c>
      <c r="GA56" s="169">
        <v>3197</v>
      </c>
      <c r="GB56" s="169">
        <v>3534</v>
      </c>
      <c r="GC56" s="171">
        <v>2443.5901386748847</v>
      </c>
      <c r="GD56" s="171">
        <v>3787</v>
      </c>
      <c r="GE56" s="169">
        <v>3351</v>
      </c>
      <c r="GF56" s="169">
        <v>2719</v>
      </c>
      <c r="GG56" s="169">
        <v>3198</v>
      </c>
      <c r="GH56" s="169">
        <v>3271</v>
      </c>
      <c r="GI56" s="52">
        <v>3836</v>
      </c>
      <c r="GJ56" s="242">
        <v>4457</v>
      </c>
      <c r="GK56" s="52">
        <v>2888</v>
      </c>
      <c r="GL56" s="52">
        <v>2670</v>
      </c>
    </row>
    <row r="57" spans="1:194" x14ac:dyDescent="0.3">
      <c r="A57" s="157" t="s">
        <v>81</v>
      </c>
      <c r="CO57" s="89"/>
      <c r="DA57" s="89"/>
      <c r="FM57" s="154"/>
      <c r="FO57" s="174">
        <v>1462</v>
      </c>
      <c r="FP57" s="174">
        <v>1092.0627716542997</v>
      </c>
      <c r="FQ57" s="145">
        <v>1705</v>
      </c>
      <c r="FR57" s="169">
        <v>1390</v>
      </c>
      <c r="FS57" s="169">
        <v>1616</v>
      </c>
      <c r="FT57" s="169">
        <v>1935</v>
      </c>
      <c r="FU57" s="52">
        <v>1631</v>
      </c>
      <c r="FV57" s="52">
        <v>1859</v>
      </c>
      <c r="FW57" s="52">
        <v>1611</v>
      </c>
      <c r="FX57" s="52">
        <v>1058</v>
      </c>
      <c r="FY57" s="52">
        <v>875</v>
      </c>
      <c r="FZ57" s="52">
        <v>571</v>
      </c>
      <c r="GA57" s="169">
        <v>941</v>
      </c>
      <c r="GB57" s="169">
        <v>912</v>
      </c>
      <c r="GC57" s="171">
        <v>758.78274268104781</v>
      </c>
      <c r="GD57" s="171">
        <v>931</v>
      </c>
      <c r="GE57" s="169">
        <v>566</v>
      </c>
      <c r="GF57" s="169">
        <v>607</v>
      </c>
      <c r="GG57" s="169">
        <v>880</v>
      </c>
      <c r="GH57" s="169">
        <v>738</v>
      </c>
      <c r="GI57" s="52">
        <v>948</v>
      </c>
      <c r="GJ57" s="242">
        <v>931</v>
      </c>
      <c r="GK57" s="52">
        <v>780</v>
      </c>
      <c r="GL57" s="52">
        <v>731</v>
      </c>
    </row>
    <row r="58" spans="1:194" x14ac:dyDescent="0.3">
      <c r="A58" s="157" t="s">
        <v>82</v>
      </c>
      <c r="CO58" s="89"/>
      <c r="CR58" s="89"/>
      <c r="DA58" s="89"/>
      <c r="DD58" s="89"/>
      <c r="FM58" s="154"/>
      <c r="FO58" s="174">
        <v>620</v>
      </c>
      <c r="FP58" s="174">
        <v>492.51927094589723</v>
      </c>
      <c r="FQ58" s="145">
        <v>777</v>
      </c>
      <c r="FR58" s="169">
        <v>692</v>
      </c>
      <c r="FS58" s="169">
        <v>819</v>
      </c>
      <c r="FT58" s="169">
        <v>821</v>
      </c>
      <c r="FU58" s="52">
        <v>593</v>
      </c>
      <c r="FV58" s="52">
        <v>942</v>
      </c>
      <c r="FW58" s="52">
        <v>785</v>
      </c>
      <c r="FX58" s="52">
        <v>772</v>
      </c>
      <c r="FY58" s="52">
        <v>589</v>
      </c>
      <c r="FZ58" s="52">
        <v>400</v>
      </c>
      <c r="GA58" s="169">
        <v>601</v>
      </c>
      <c r="GB58" s="169">
        <v>501</v>
      </c>
      <c r="GC58" s="171">
        <v>579.15254237288138</v>
      </c>
      <c r="GD58" s="171">
        <v>760</v>
      </c>
      <c r="GE58" s="169">
        <v>878</v>
      </c>
      <c r="GF58" s="169">
        <v>354</v>
      </c>
      <c r="GG58" s="169">
        <v>779</v>
      </c>
      <c r="GH58" s="169">
        <v>771</v>
      </c>
      <c r="GI58" s="52">
        <v>881</v>
      </c>
      <c r="GJ58" s="242">
        <v>791</v>
      </c>
      <c r="GK58" s="52">
        <v>188</v>
      </c>
      <c r="GL58" s="52">
        <v>434</v>
      </c>
    </row>
    <row r="59" spans="1:194" x14ac:dyDescent="0.3">
      <c r="A59" s="157" t="s">
        <v>83</v>
      </c>
      <c r="FM59" s="154"/>
      <c r="FO59" s="174">
        <v>402</v>
      </c>
      <c r="FP59" s="174">
        <v>428.0969190500204</v>
      </c>
      <c r="FQ59" s="145">
        <v>651</v>
      </c>
      <c r="FR59" s="169">
        <v>484</v>
      </c>
      <c r="FS59" s="169">
        <v>535</v>
      </c>
      <c r="FT59" s="169">
        <v>623</v>
      </c>
      <c r="FU59" s="52">
        <v>516</v>
      </c>
      <c r="FV59" s="52">
        <v>911</v>
      </c>
      <c r="FW59" s="52">
        <v>712</v>
      </c>
      <c r="FX59" s="52">
        <v>657</v>
      </c>
      <c r="FY59" s="52">
        <v>614</v>
      </c>
      <c r="FZ59" s="52">
        <v>339</v>
      </c>
      <c r="GA59" s="169">
        <v>577</v>
      </c>
      <c r="GB59" s="169">
        <v>1362</v>
      </c>
      <c r="GC59" s="171">
        <v>529.59938366718029</v>
      </c>
      <c r="GD59" s="171">
        <v>639</v>
      </c>
      <c r="GE59" s="169">
        <v>93</v>
      </c>
      <c r="GF59" s="169">
        <v>993</v>
      </c>
      <c r="GG59" s="169">
        <v>3781</v>
      </c>
      <c r="GH59" s="169">
        <v>3726</v>
      </c>
      <c r="GI59" s="52">
        <v>2990</v>
      </c>
      <c r="GJ59" s="242">
        <v>663</v>
      </c>
      <c r="GK59" s="52">
        <v>1010</v>
      </c>
      <c r="GL59" s="52">
        <v>563</v>
      </c>
    </row>
    <row r="60" spans="1:194" x14ac:dyDescent="0.3">
      <c r="A60" s="157" t="s">
        <v>84</v>
      </c>
      <c r="CO60" s="91"/>
      <c r="DA60" s="91"/>
      <c r="FM60" s="154"/>
      <c r="FO60" s="174">
        <v>746</v>
      </c>
      <c r="FP60" s="174">
        <v>673.31748433109999</v>
      </c>
      <c r="FQ60" s="145">
        <v>841</v>
      </c>
      <c r="FR60" s="169">
        <v>922</v>
      </c>
      <c r="FS60" s="169">
        <v>862</v>
      </c>
      <c r="FT60" s="169">
        <v>922</v>
      </c>
      <c r="FU60" s="52">
        <v>692</v>
      </c>
      <c r="FV60" s="52">
        <v>1358</v>
      </c>
      <c r="FW60" s="52">
        <v>1450</v>
      </c>
      <c r="FX60" s="52">
        <v>1234</v>
      </c>
      <c r="FY60" s="52">
        <v>1174</v>
      </c>
      <c r="FZ60" s="52">
        <v>590</v>
      </c>
      <c r="GA60" s="169">
        <v>1155</v>
      </c>
      <c r="GB60" s="169">
        <v>1336</v>
      </c>
      <c r="GC60" s="171">
        <v>1122.1725731895224</v>
      </c>
      <c r="GD60" s="171">
        <v>1402</v>
      </c>
      <c r="GE60" s="169">
        <v>717</v>
      </c>
      <c r="GF60" s="169">
        <v>509</v>
      </c>
      <c r="GG60" s="169">
        <v>649</v>
      </c>
      <c r="GH60" s="169">
        <v>932</v>
      </c>
      <c r="GI60" s="52">
        <v>1422</v>
      </c>
      <c r="GJ60" s="242">
        <v>1294</v>
      </c>
      <c r="GK60" s="52">
        <v>936</v>
      </c>
      <c r="GL60" s="52">
        <v>673</v>
      </c>
    </row>
    <row r="61" spans="1:194" x14ac:dyDescent="0.3">
      <c r="A61" s="157" t="s">
        <v>85</v>
      </c>
      <c r="FM61" s="154"/>
      <c r="FO61" s="174">
        <v>1070</v>
      </c>
      <c r="FP61" s="174">
        <v>1032.8357707177677</v>
      </c>
      <c r="FQ61" s="145">
        <v>1391</v>
      </c>
      <c r="FR61" s="169">
        <v>1308</v>
      </c>
      <c r="FS61" s="169">
        <v>1282</v>
      </c>
      <c r="FT61" s="169">
        <v>1248</v>
      </c>
      <c r="FU61" s="52">
        <v>1033</v>
      </c>
      <c r="FV61" s="52">
        <v>1945</v>
      </c>
      <c r="FW61" s="52">
        <v>2128</v>
      </c>
      <c r="FX61" s="52">
        <v>2164</v>
      </c>
      <c r="FY61" s="52">
        <v>1965</v>
      </c>
      <c r="FZ61" s="52">
        <v>827</v>
      </c>
      <c r="GA61" s="169">
        <v>1614</v>
      </c>
      <c r="GB61" s="169">
        <v>1664</v>
      </c>
      <c r="GC61" s="171">
        <v>1737.4576271186443</v>
      </c>
      <c r="GD61" s="171">
        <v>1878</v>
      </c>
      <c r="GE61" s="169">
        <v>949</v>
      </c>
      <c r="GF61" s="169">
        <v>757</v>
      </c>
      <c r="GG61" s="169">
        <v>995</v>
      </c>
      <c r="GH61" s="169">
        <v>1417</v>
      </c>
      <c r="GI61" s="52">
        <v>1893</v>
      </c>
      <c r="GJ61" s="242">
        <v>1798</v>
      </c>
      <c r="GK61" s="52">
        <v>1523</v>
      </c>
      <c r="GL61" s="52">
        <v>1086</v>
      </c>
    </row>
    <row r="62" spans="1:194" x14ac:dyDescent="0.3">
      <c r="A62" s="157" t="s">
        <v>86</v>
      </c>
      <c r="FM62" s="154"/>
      <c r="FO62" s="174">
        <v>5060</v>
      </c>
      <c r="FP62" s="174">
        <v>4464.8846144610134</v>
      </c>
      <c r="FQ62" s="145">
        <v>6380</v>
      </c>
      <c r="FR62" s="169">
        <v>6267</v>
      </c>
      <c r="FS62" s="169">
        <v>3876</v>
      </c>
      <c r="FT62" s="169">
        <v>3308</v>
      </c>
      <c r="FU62" s="52">
        <v>2573</v>
      </c>
      <c r="FV62" s="52">
        <v>6783</v>
      </c>
      <c r="FW62" s="52">
        <v>7578</v>
      </c>
      <c r="FX62" s="52">
        <v>7100</v>
      </c>
      <c r="FY62" s="52">
        <v>7521</v>
      </c>
      <c r="FZ62" s="52">
        <v>3321</v>
      </c>
      <c r="GA62" s="169">
        <v>5642</v>
      </c>
      <c r="GB62" s="169">
        <v>6385</v>
      </c>
      <c r="GC62" s="171">
        <v>5151.4637904468418</v>
      </c>
      <c r="GD62" s="171">
        <v>6816</v>
      </c>
      <c r="GE62" s="169">
        <v>3249</v>
      </c>
      <c r="GF62" s="169">
        <v>1932</v>
      </c>
      <c r="GG62" s="169">
        <v>2198</v>
      </c>
      <c r="GH62" s="169">
        <v>5209</v>
      </c>
      <c r="GI62" s="52">
        <v>8008</v>
      </c>
      <c r="GJ62" s="242">
        <v>7582</v>
      </c>
      <c r="GK62" s="52">
        <v>6504</v>
      </c>
      <c r="GL62" s="52">
        <v>4394</v>
      </c>
    </row>
    <row r="63" spans="1:194" x14ac:dyDescent="0.3">
      <c r="A63" s="157" t="s">
        <v>87</v>
      </c>
      <c r="FM63" s="154"/>
      <c r="FO63" s="174">
        <v>3885</v>
      </c>
      <c r="FP63" s="174">
        <v>3512.0572485171574</v>
      </c>
      <c r="FQ63" s="145">
        <v>4887</v>
      </c>
      <c r="FR63" s="169">
        <v>5100</v>
      </c>
      <c r="FS63" s="169">
        <v>1965</v>
      </c>
      <c r="FT63" s="169">
        <v>1967</v>
      </c>
      <c r="FU63" s="52">
        <v>1527</v>
      </c>
      <c r="FV63" s="52">
        <v>5653</v>
      </c>
      <c r="FW63" s="52">
        <v>7381</v>
      </c>
      <c r="FX63" s="52">
        <v>6794</v>
      </c>
      <c r="FY63" s="52">
        <v>6590</v>
      </c>
      <c r="FZ63" s="52">
        <v>1744</v>
      </c>
      <c r="GA63" s="169">
        <v>5095</v>
      </c>
      <c r="GB63" s="169">
        <v>5696</v>
      </c>
      <c r="GC63" s="171">
        <v>4711.679506933745</v>
      </c>
      <c r="GD63" s="171">
        <v>6055</v>
      </c>
      <c r="GE63" s="169">
        <v>1339</v>
      </c>
      <c r="GF63" s="169">
        <v>1011</v>
      </c>
      <c r="GG63" s="169">
        <v>1107</v>
      </c>
      <c r="GH63" s="169">
        <v>3388</v>
      </c>
      <c r="GI63" s="52">
        <v>6698</v>
      </c>
      <c r="GJ63" s="242">
        <v>6201</v>
      </c>
      <c r="GK63" s="52">
        <v>5167</v>
      </c>
      <c r="GL63" s="52">
        <v>2901</v>
      </c>
    </row>
    <row r="64" spans="1:194" x14ac:dyDescent="0.3">
      <c r="A64" s="157" t="s">
        <v>88</v>
      </c>
      <c r="FM64" s="154"/>
      <c r="FO64" s="174">
        <v>7189</v>
      </c>
      <c r="FP64" s="174">
        <v>7046.9740412554329</v>
      </c>
      <c r="FQ64" s="145">
        <v>8035</v>
      </c>
      <c r="FR64" s="169">
        <v>8168</v>
      </c>
      <c r="FS64" s="169">
        <v>3432</v>
      </c>
      <c r="FT64" s="169">
        <v>2640</v>
      </c>
      <c r="FU64" s="52">
        <v>2485</v>
      </c>
      <c r="FV64" s="52">
        <v>9913</v>
      </c>
      <c r="FW64" s="52">
        <v>11902</v>
      </c>
      <c r="FX64" s="52">
        <v>10231</v>
      </c>
      <c r="FY64" s="52">
        <v>8887</v>
      </c>
      <c r="FZ64" s="52">
        <v>2697</v>
      </c>
      <c r="GA64" s="169">
        <v>8540</v>
      </c>
      <c r="GB64" s="169">
        <v>9135</v>
      </c>
      <c r="GC64" s="171">
        <v>6848.6594761171036</v>
      </c>
      <c r="GD64" s="171">
        <v>8812</v>
      </c>
      <c r="GE64" s="169">
        <v>2382</v>
      </c>
      <c r="GF64" s="169">
        <v>2007</v>
      </c>
      <c r="GG64" s="169">
        <v>2460</v>
      </c>
      <c r="GH64" s="169">
        <v>6776</v>
      </c>
      <c r="GI64" s="52">
        <v>12873</v>
      </c>
      <c r="GJ64" s="242">
        <v>11349</v>
      </c>
      <c r="GK64" s="52">
        <v>8936</v>
      </c>
      <c r="GL64" s="52">
        <v>4899</v>
      </c>
    </row>
    <row r="65" spans="1:194" x14ac:dyDescent="0.3">
      <c r="A65" s="157" t="s">
        <v>89</v>
      </c>
      <c r="FM65" s="154"/>
      <c r="FO65" s="174">
        <v>7713</v>
      </c>
      <c r="FP65" s="174">
        <v>7215.3034123382076</v>
      </c>
      <c r="FQ65" s="145">
        <v>10393</v>
      </c>
      <c r="FR65" s="169">
        <v>11083</v>
      </c>
      <c r="FS65" s="169">
        <v>4130</v>
      </c>
      <c r="FT65" s="169">
        <v>2775</v>
      </c>
      <c r="FU65" s="52">
        <v>1801</v>
      </c>
      <c r="FV65" s="52">
        <v>10281</v>
      </c>
      <c r="FW65" s="52">
        <v>13794</v>
      </c>
      <c r="FX65" s="52">
        <v>10780</v>
      </c>
      <c r="FY65" s="52">
        <v>10401</v>
      </c>
      <c r="FZ65" s="52">
        <v>2810</v>
      </c>
      <c r="GA65" s="169">
        <v>7896</v>
      </c>
      <c r="GB65" s="169">
        <v>9281</v>
      </c>
      <c r="GC65" s="171">
        <v>7280.1848998459172</v>
      </c>
      <c r="GD65" s="171">
        <v>10240</v>
      </c>
      <c r="GE65" s="169">
        <v>2745</v>
      </c>
      <c r="GF65" s="169">
        <v>1124</v>
      </c>
      <c r="GG65" s="169">
        <v>1237</v>
      </c>
      <c r="GH65" s="169">
        <v>6362</v>
      </c>
      <c r="GI65" s="52">
        <v>11265</v>
      </c>
      <c r="GJ65" s="242">
        <v>10834</v>
      </c>
      <c r="GK65" s="52">
        <v>9030</v>
      </c>
      <c r="GL65" s="52">
        <v>4554</v>
      </c>
    </row>
    <row r="66" spans="1:194" x14ac:dyDescent="0.3">
      <c r="A66" s="157" t="s">
        <v>90</v>
      </c>
      <c r="FM66" s="154"/>
      <c r="FO66" s="174">
        <v>9067</v>
      </c>
      <c r="FP66" s="174">
        <v>7528.0635400907713</v>
      </c>
      <c r="FQ66" s="145">
        <v>10626</v>
      </c>
      <c r="FR66" s="169">
        <v>11571</v>
      </c>
      <c r="FS66" s="169">
        <v>7054</v>
      </c>
      <c r="FT66" s="169">
        <v>4933</v>
      </c>
      <c r="FU66" s="52">
        <v>4563</v>
      </c>
      <c r="FV66" s="52">
        <v>12067</v>
      </c>
      <c r="FW66" s="52">
        <v>15152</v>
      </c>
      <c r="FX66" s="52">
        <v>13862</v>
      </c>
      <c r="FY66" s="52">
        <v>13006</v>
      </c>
      <c r="FZ66" s="52">
        <v>4941</v>
      </c>
      <c r="GA66" s="169">
        <v>10270</v>
      </c>
      <c r="GB66" s="169">
        <v>11994</v>
      </c>
      <c r="GC66" s="171">
        <v>9673.1895223420652</v>
      </c>
      <c r="GD66" s="171">
        <v>12603</v>
      </c>
      <c r="GE66" s="169">
        <v>5717</v>
      </c>
      <c r="GF66" s="169">
        <v>3432</v>
      </c>
      <c r="GG66" s="169">
        <v>3629</v>
      </c>
      <c r="GH66" s="169">
        <v>8074</v>
      </c>
      <c r="GI66" s="52">
        <v>13413</v>
      </c>
      <c r="GJ66" s="242">
        <v>13291</v>
      </c>
      <c r="GK66" s="52">
        <v>10459</v>
      </c>
      <c r="GL66" s="52">
        <v>6205</v>
      </c>
    </row>
    <row r="67" spans="1:194" x14ac:dyDescent="0.3">
      <c r="A67" s="157" t="s">
        <v>91</v>
      </c>
      <c r="FM67" s="154"/>
      <c r="FO67" s="174">
        <v>7816</v>
      </c>
      <c r="FP67" s="174">
        <v>6585.6268760656048</v>
      </c>
      <c r="FQ67" s="145">
        <v>9638</v>
      </c>
      <c r="FR67" s="169">
        <v>8609</v>
      </c>
      <c r="FS67" s="169">
        <v>6410</v>
      </c>
      <c r="FT67" s="169">
        <v>5430</v>
      </c>
      <c r="FU67" s="52">
        <v>4776</v>
      </c>
      <c r="FV67" s="52">
        <v>12577</v>
      </c>
      <c r="FW67" s="52">
        <v>14168</v>
      </c>
      <c r="FX67" s="52">
        <v>12927</v>
      </c>
      <c r="FY67" s="52">
        <v>12839</v>
      </c>
      <c r="FZ67" s="52">
        <v>5805</v>
      </c>
      <c r="GA67" s="169">
        <v>10878</v>
      </c>
      <c r="GB67" s="169">
        <v>11537</v>
      </c>
      <c r="GC67" s="171">
        <v>8626.3790446841303</v>
      </c>
      <c r="GD67" s="171">
        <v>10586</v>
      </c>
      <c r="GE67" s="169">
        <v>5422</v>
      </c>
      <c r="GF67" s="169">
        <v>4275</v>
      </c>
      <c r="GG67" s="169">
        <v>4675</v>
      </c>
      <c r="GH67" s="169">
        <v>9625</v>
      </c>
      <c r="GI67" s="52">
        <v>14773</v>
      </c>
      <c r="GJ67" s="242">
        <v>14302</v>
      </c>
      <c r="GK67" s="52">
        <v>11486</v>
      </c>
      <c r="GL67" s="52">
        <v>7842</v>
      </c>
    </row>
    <row r="68" spans="1:194" x14ac:dyDescent="0.3">
      <c r="A68" s="157" t="s">
        <v>92</v>
      </c>
      <c r="FM68" s="154"/>
      <c r="FO68" s="174">
        <v>591</v>
      </c>
      <c r="FP68" s="174">
        <v>420.82342770693754</v>
      </c>
      <c r="FQ68" s="145">
        <v>593</v>
      </c>
      <c r="FR68" s="169">
        <v>583</v>
      </c>
      <c r="FS68" s="169">
        <v>755</v>
      </c>
      <c r="FT68" s="169">
        <v>856</v>
      </c>
      <c r="FU68" s="52">
        <v>676</v>
      </c>
      <c r="FV68" s="52">
        <v>934</v>
      </c>
      <c r="FW68" s="52">
        <v>549</v>
      </c>
      <c r="FX68" s="52">
        <v>500</v>
      </c>
      <c r="FY68" s="52">
        <v>426</v>
      </c>
      <c r="FZ68" s="52">
        <v>297</v>
      </c>
      <c r="GA68" s="169">
        <v>416</v>
      </c>
      <c r="GB68" s="169">
        <v>415</v>
      </c>
      <c r="GC68" s="171">
        <v>388.16640986132518</v>
      </c>
      <c r="GD68" s="171">
        <v>476</v>
      </c>
      <c r="GE68" s="169">
        <v>302</v>
      </c>
      <c r="GF68" s="169">
        <v>418</v>
      </c>
      <c r="GG68" s="169">
        <v>539</v>
      </c>
      <c r="GH68" s="169">
        <v>464</v>
      </c>
      <c r="GI68" s="52">
        <v>503</v>
      </c>
      <c r="GJ68" s="242">
        <v>422</v>
      </c>
      <c r="GK68" s="52">
        <v>361</v>
      </c>
      <c r="GL68" s="52">
        <v>345</v>
      </c>
    </row>
    <row r="69" spans="1:194" x14ac:dyDescent="0.3">
      <c r="A69" s="157" t="s">
        <v>93</v>
      </c>
      <c r="FM69" s="154"/>
      <c r="FO69" s="174">
        <v>370</v>
      </c>
      <c r="FP69" s="174">
        <v>291.97872391518382</v>
      </c>
      <c r="FQ69" s="145">
        <v>536</v>
      </c>
      <c r="FR69" s="169">
        <v>447</v>
      </c>
      <c r="FS69" s="169">
        <v>587</v>
      </c>
      <c r="FT69" s="169">
        <v>643</v>
      </c>
      <c r="FU69" s="52">
        <v>549</v>
      </c>
      <c r="FV69" s="52">
        <v>722</v>
      </c>
      <c r="FW69" s="52">
        <v>458</v>
      </c>
      <c r="FX69" s="52">
        <v>426</v>
      </c>
      <c r="FY69" s="52">
        <v>582</v>
      </c>
      <c r="FZ69" s="52">
        <v>388</v>
      </c>
      <c r="GA69" s="169">
        <v>489</v>
      </c>
      <c r="GB69" s="169">
        <v>457</v>
      </c>
      <c r="GC69" s="171">
        <v>331.38674884437597</v>
      </c>
      <c r="GD69" s="171">
        <v>532</v>
      </c>
      <c r="GE69" s="169">
        <v>412</v>
      </c>
      <c r="GF69" s="169">
        <v>425</v>
      </c>
      <c r="GG69" s="169">
        <v>505</v>
      </c>
      <c r="GH69" s="169">
        <v>397</v>
      </c>
      <c r="GI69" s="52">
        <v>456</v>
      </c>
      <c r="GJ69" s="242">
        <v>555</v>
      </c>
      <c r="GK69" s="52">
        <v>462</v>
      </c>
      <c r="GL69" s="52">
        <v>432</v>
      </c>
    </row>
    <row r="70" spans="1:194" ht="15" thickBot="1" x14ac:dyDescent="0.35">
      <c r="A70" s="158" t="s">
        <v>95</v>
      </c>
      <c r="FO70" s="145">
        <f t="shared" ref="FO70:GB70" si="16">SUM(FO56:FO69)</f>
        <v>49281</v>
      </c>
      <c r="FP70" s="145">
        <f t="shared" si="16"/>
        <v>43269.999999999993</v>
      </c>
      <c r="FQ70" s="145">
        <f t="shared" si="16"/>
        <v>60591</v>
      </c>
      <c r="FR70" s="145">
        <f t="shared" si="16"/>
        <v>60117</v>
      </c>
      <c r="FS70" s="145">
        <f t="shared" si="16"/>
        <v>37391</v>
      </c>
      <c r="FT70" s="145">
        <f t="shared" si="16"/>
        <v>31654</v>
      </c>
      <c r="FU70" s="145">
        <f t="shared" si="16"/>
        <v>26372</v>
      </c>
      <c r="FV70" s="145">
        <f t="shared" si="16"/>
        <v>70244</v>
      </c>
      <c r="FW70" s="145">
        <f t="shared" si="16"/>
        <v>81034</v>
      </c>
      <c r="FX70" s="145">
        <f t="shared" si="16"/>
        <v>72376</v>
      </c>
      <c r="FY70" s="145">
        <f t="shared" si="16"/>
        <v>69033</v>
      </c>
      <c r="FZ70" s="145">
        <f t="shared" si="16"/>
        <v>27666</v>
      </c>
      <c r="GA70" s="145">
        <f t="shared" si="16"/>
        <v>57311</v>
      </c>
      <c r="GB70" s="145">
        <f t="shared" si="16"/>
        <v>64209</v>
      </c>
      <c r="GC70" s="145">
        <f t="shared" ref="GC70:GH70" si="17">SUM(GC56:GC69)</f>
        <v>50181.86440677967</v>
      </c>
      <c r="GD70" s="145">
        <f t="shared" si="17"/>
        <v>65517</v>
      </c>
      <c r="GE70" s="145">
        <f t="shared" si="17"/>
        <v>28122</v>
      </c>
      <c r="GF70" s="145">
        <f t="shared" si="17"/>
        <v>20563</v>
      </c>
      <c r="GG70" s="145">
        <f t="shared" si="17"/>
        <v>26632</v>
      </c>
      <c r="GH70" s="145">
        <f t="shared" si="17"/>
        <v>51150</v>
      </c>
      <c r="GI70" s="145">
        <f>SUM(GI56:GI69)</f>
        <v>79959</v>
      </c>
      <c r="GJ70" s="245">
        <f>SUM(GJ56:GJ69)</f>
        <v>74470</v>
      </c>
      <c r="GK70" s="145">
        <f>SUM(GK56:GK69)</f>
        <v>59730</v>
      </c>
      <c r="GL70" s="145">
        <f>SUM(GL56:GL69)</f>
        <v>37729</v>
      </c>
    </row>
    <row r="71" spans="1:194" x14ac:dyDescent="0.3">
      <c r="A71" s="153"/>
    </row>
  </sheetData>
  <mergeCells count="35">
    <mergeCell ref="DA2:DL2"/>
    <mergeCell ref="DA51:DL51"/>
    <mergeCell ref="CO51:CZ51"/>
    <mergeCell ref="CC2:CN2"/>
    <mergeCell ref="AG51:AR51"/>
    <mergeCell ref="AS51:BD51"/>
    <mergeCell ref="BE51:BP51"/>
    <mergeCell ref="BQ51:CB51"/>
    <mergeCell ref="CC51:CN51"/>
    <mergeCell ref="FU51:GF51"/>
    <mergeCell ref="FU2:GF2"/>
    <mergeCell ref="A2:A3"/>
    <mergeCell ref="AG2:AR2"/>
    <mergeCell ref="AS2:BD2"/>
    <mergeCell ref="BE2:BP2"/>
    <mergeCell ref="BQ2:CB2"/>
    <mergeCell ref="B2:H2"/>
    <mergeCell ref="I2:T2"/>
    <mergeCell ref="U2:AF2"/>
    <mergeCell ref="B51:H51"/>
    <mergeCell ref="I51:T51"/>
    <mergeCell ref="U51:AF51"/>
    <mergeCell ref="CO2:CZ2"/>
    <mergeCell ref="DY2:EJ2"/>
    <mergeCell ref="DY51:EJ51"/>
    <mergeCell ref="FG54:FH54"/>
    <mergeCell ref="FI54:FT54"/>
    <mergeCell ref="EW2:FH2"/>
    <mergeCell ref="EW51:FH51"/>
    <mergeCell ref="DM2:DX2"/>
    <mergeCell ref="DM51:DX51"/>
    <mergeCell ref="FI2:FT2"/>
    <mergeCell ref="FI51:FT51"/>
    <mergeCell ref="EK2:EV2"/>
    <mergeCell ref="EK51:EV51"/>
  </mergeCells>
  <pageMargins left="0.7" right="0.7" top="0.75" bottom="0.75" header="0.3" footer="0.3"/>
  <pageSetup orientation="portrait" r:id="rId1"/>
  <ignoredErrors>
    <ignoredError sqref="EW51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GL71"/>
  <sheetViews>
    <sheetView zoomScaleNormal="100" workbookViewId="0">
      <pane xSplit="1" ySplit="3" topLeftCell="FW4" activePane="bottomRight" state="frozen"/>
      <selection activeCell="FJ74" sqref="FJ74"/>
      <selection pane="topRight" activeCell="FJ74" sqref="FJ74"/>
      <selection pane="bottomLeft" activeCell="FJ74" sqref="FJ74"/>
      <selection pane="bottomRight" activeCell="GL50" sqref="GL50"/>
    </sheetView>
  </sheetViews>
  <sheetFormatPr defaultRowHeight="14.4" x14ac:dyDescent="0.3"/>
  <cols>
    <col min="1" max="1" width="40.33203125" bestFit="1" customWidth="1"/>
    <col min="2" max="164" width="9.33203125" customWidth="1"/>
    <col min="165" max="166" width="10.5546875" bestFit="1" customWidth="1"/>
    <col min="167" max="170" width="11.5546875" bestFit="1" customWidth="1"/>
    <col min="171" max="171" width="10.5546875" bestFit="1" customWidth="1"/>
    <col min="172" max="174" width="11.5546875" bestFit="1" customWidth="1"/>
    <col min="175" max="176" width="10.5546875" bestFit="1" customWidth="1"/>
    <col min="177" max="183" width="10.33203125" bestFit="1" customWidth="1"/>
    <col min="192" max="192" width="8.88671875" style="189"/>
  </cols>
  <sheetData>
    <row r="1" spans="1:194" s="5" customFormat="1" x14ac:dyDescent="0.3">
      <c r="A1" s="43" t="s">
        <v>61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GJ1" s="187"/>
    </row>
    <row r="2" spans="1:194" s="5" customFormat="1" x14ac:dyDescent="0.3">
      <c r="A2" s="193"/>
      <c r="B2" s="195" t="s">
        <v>49</v>
      </c>
      <c r="C2" s="196"/>
      <c r="D2" s="196"/>
      <c r="E2" s="196"/>
      <c r="F2" s="196"/>
      <c r="G2" s="196"/>
      <c r="H2" s="197"/>
      <c r="I2" s="195" t="s">
        <v>48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95" t="s">
        <v>47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7"/>
      <c r="AG2" s="192" t="s">
        <v>46</v>
      </c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 t="s">
        <v>45</v>
      </c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 t="s">
        <v>44</v>
      </c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 t="s">
        <v>2</v>
      </c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 t="s">
        <v>1</v>
      </c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 t="s">
        <v>0</v>
      </c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 t="s">
        <v>50</v>
      </c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 t="s">
        <v>72</v>
      </c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 t="s">
        <v>75</v>
      </c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 t="s">
        <v>76</v>
      </c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 t="s">
        <v>77</v>
      </c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 t="s">
        <v>79</v>
      </c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5"/>
      <c r="FU2" s="201" t="s">
        <v>99</v>
      </c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202"/>
      <c r="GJ2" s="187"/>
    </row>
    <row r="3" spans="1:194" s="1" customFormat="1" ht="15" thickBot="1" x14ac:dyDescent="0.35">
      <c r="A3" s="194"/>
      <c r="B3" s="46">
        <v>39783</v>
      </c>
      <c r="C3" s="38">
        <v>39814</v>
      </c>
      <c r="D3" s="38">
        <v>39845</v>
      </c>
      <c r="E3" s="37">
        <v>39873</v>
      </c>
      <c r="F3" s="38">
        <v>39904</v>
      </c>
      <c r="G3" s="38">
        <v>39934</v>
      </c>
      <c r="H3" s="41">
        <v>39965</v>
      </c>
      <c r="I3" s="40">
        <v>39995</v>
      </c>
      <c r="J3" s="38">
        <v>40026</v>
      </c>
      <c r="K3" s="38">
        <v>40057</v>
      </c>
      <c r="L3" s="38">
        <v>40087</v>
      </c>
      <c r="M3" s="37">
        <v>40118</v>
      </c>
      <c r="N3" s="38">
        <v>40148</v>
      </c>
      <c r="O3" s="38">
        <v>40179</v>
      </c>
      <c r="P3" s="38">
        <v>40210</v>
      </c>
      <c r="Q3" s="37">
        <v>40238</v>
      </c>
      <c r="R3" s="38">
        <v>40269</v>
      </c>
      <c r="S3" s="38">
        <v>40299</v>
      </c>
      <c r="T3" s="41">
        <v>40330</v>
      </c>
      <c r="U3" s="40">
        <v>40360</v>
      </c>
      <c r="V3" s="38">
        <v>40391</v>
      </c>
      <c r="W3" s="38">
        <v>40422</v>
      </c>
      <c r="X3" s="38">
        <v>40452</v>
      </c>
      <c r="Y3" s="37">
        <v>40483</v>
      </c>
      <c r="Z3" s="38">
        <v>40513</v>
      </c>
      <c r="AA3" s="38">
        <v>40544</v>
      </c>
      <c r="AB3" s="38">
        <v>40575</v>
      </c>
      <c r="AC3" s="37">
        <v>40603</v>
      </c>
      <c r="AD3" s="38">
        <v>40634</v>
      </c>
      <c r="AE3" s="38">
        <v>40664</v>
      </c>
      <c r="AF3" s="41">
        <v>40695</v>
      </c>
      <c r="AG3" s="40">
        <v>40725</v>
      </c>
      <c r="AH3" s="38">
        <v>40756</v>
      </c>
      <c r="AI3" s="38">
        <v>40787</v>
      </c>
      <c r="AJ3" s="38">
        <v>40817</v>
      </c>
      <c r="AK3" s="37">
        <v>40848</v>
      </c>
      <c r="AL3" s="38">
        <v>40878</v>
      </c>
      <c r="AM3" s="38">
        <v>40909</v>
      </c>
      <c r="AN3" s="38">
        <v>40940</v>
      </c>
      <c r="AO3" s="37">
        <v>40969</v>
      </c>
      <c r="AP3" s="38">
        <v>41000</v>
      </c>
      <c r="AQ3" s="38">
        <v>41030</v>
      </c>
      <c r="AR3" s="41">
        <v>41061</v>
      </c>
      <c r="AS3" s="40">
        <v>41091</v>
      </c>
      <c r="AT3" s="38">
        <v>41122</v>
      </c>
      <c r="AU3" s="38">
        <v>41153</v>
      </c>
      <c r="AV3" s="38">
        <v>41183</v>
      </c>
      <c r="AW3" s="37">
        <v>41214</v>
      </c>
      <c r="AX3" s="38">
        <v>41244</v>
      </c>
      <c r="AY3" s="38">
        <v>41275</v>
      </c>
      <c r="AZ3" s="38">
        <v>41306</v>
      </c>
      <c r="BA3" s="37">
        <v>41334</v>
      </c>
      <c r="BB3" s="38">
        <v>41365</v>
      </c>
      <c r="BC3" s="38">
        <v>41395</v>
      </c>
      <c r="BD3" s="41">
        <v>41426</v>
      </c>
      <c r="BE3" s="40">
        <v>41456</v>
      </c>
      <c r="BF3" s="38">
        <v>41487</v>
      </c>
      <c r="BG3" s="38">
        <v>41518</v>
      </c>
      <c r="BH3" s="38">
        <v>41548</v>
      </c>
      <c r="BI3" s="37">
        <v>41579</v>
      </c>
      <c r="BJ3" s="38">
        <v>41609</v>
      </c>
      <c r="BK3" s="38">
        <v>41640</v>
      </c>
      <c r="BL3" s="38">
        <v>41671</v>
      </c>
      <c r="BM3" s="37">
        <v>41699</v>
      </c>
      <c r="BN3" s="38">
        <v>41730</v>
      </c>
      <c r="BO3" s="38">
        <v>41760</v>
      </c>
      <c r="BP3" s="41">
        <v>41791</v>
      </c>
      <c r="BQ3" s="40">
        <v>41821</v>
      </c>
      <c r="BR3" s="38">
        <v>41852</v>
      </c>
      <c r="BS3" s="38">
        <v>41883</v>
      </c>
      <c r="BT3" s="38">
        <v>41913</v>
      </c>
      <c r="BU3" s="37">
        <v>41944</v>
      </c>
      <c r="BV3" s="38">
        <v>41974</v>
      </c>
      <c r="BW3" s="38">
        <v>42005</v>
      </c>
      <c r="BX3" s="38">
        <v>42036</v>
      </c>
      <c r="BY3" s="37">
        <v>42064</v>
      </c>
      <c r="BZ3" s="38">
        <v>42095</v>
      </c>
      <c r="CA3" s="38">
        <v>42125</v>
      </c>
      <c r="CB3" s="41">
        <v>42156</v>
      </c>
      <c r="CC3" s="42">
        <v>42186</v>
      </c>
      <c r="CD3" s="38">
        <v>42217</v>
      </c>
      <c r="CE3" s="38">
        <v>42248</v>
      </c>
      <c r="CF3" s="38">
        <v>42278</v>
      </c>
      <c r="CG3" s="37">
        <v>42309</v>
      </c>
      <c r="CH3" s="38">
        <v>42339</v>
      </c>
      <c r="CI3" s="38">
        <v>42370</v>
      </c>
      <c r="CJ3" s="38">
        <v>42401</v>
      </c>
      <c r="CK3" s="37">
        <v>42430</v>
      </c>
      <c r="CL3" s="38">
        <v>42461</v>
      </c>
      <c r="CM3" s="38">
        <v>42491</v>
      </c>
      <c r="CN3" s="39">
        <v>42522</v>
      </c>
      <c r="CO3" s="40">
        <v>42552</v>
      </c>
      <c r="CP3" s="38">
        <v>42583</v>
      </c>
      <c r="CQ3" s="38">
        <v>42614</v>
      </c>
      <c r="CR3" s="38">
        <v>42644</v>
      </c>
      <c r="CS3" s="37">
        <v>42675</v>
      </c>
      <c r="CT3" s="38">
        <v>42705</v>
      </c>
      <c r="CU3" s="38">
        <v>42736</v>
      </c>
      <c r="CV3" s="38">
        <v>42767</v>
      </c>
      <c r="CW3" s="37">
        <v>42795</v>
      </c>
      <c r="CX3" s="38">
        <v>42826</v>
      </c>
      <c r="CY3" s="38">
        <v>42856</v>
      </c>
      <c r="CZ3" s="41">
        <v>42887</v>
      </c>
      <c r="DA3" s="40">
        <v>42917</v>
      </c>
      <c r="DB3" s="38">
        <v>42948</v>
      </c>
      <c r="DC3" s="38">
        <v>42979</v>
      </c>
      <c r="DD3" s="38">
        <v>43009</v>
      </c>
      <c r="DE3" s="37">
        <v>43040</v>
      </c>
      <c r="DF3" s="38">
        <v>43070</v>
      </c>
      <c r="DG3" s="38">
        <v>43101</v>
      </c>
      <c r="DH3" s="38">
        <v>43132</v>
      </c>
      <c r="DI3" s="37">
        <v>43160</v>
      </c>
      <c r="DJ3" s="38">
        <v>43191</v>
      </c>
      <c r="DK3" s="38">
        <v>43221</v>
      </c>
      <c r="DL3" s="41">
        <v>43252</v>
      </c>
      <c r="DM3" s="40">
        <v>43282</v>
      </c>
      <c r="DN3" s="38">
        <v>43313</v>
      </c>
      <c r="DO3" s="38">
        <v>43344</v>
      </c>
      <c r="DP3" s="38">
        <v>43374</v>
      </c>
      <c r="DQ3" s="37">
        <v>43405</v>
      </c>
      <c r="DR3" s="38">
        <v>43435</v>
      </c>
      <c r="DS3" s="38">
        <v>43466</v>
      </c>
      <c r="DT3" s="38">
        <v>43497</v>
      </c>
      <c r="DU3" s="37">
        <v>43525</v>
      </c>
      <c r="DV3" s="38">
        <v>43556</v>
      </c>
      <c r="DW3" s="38">
        <v>43586</v>
      </c>
      <c r="DX3" s="41">
        <v>43617</v>
      </c>
      <c r="DY3" s="40">
        <v>43647</v>
      </c>
      <c r="DZ3" s="38">
        <v>43678</v>
      </c>
      <c r="EA3" s="38">
        <v>43709</v>
      </c>
      <c r="EB3" s="38">
        <v>43739</v>
      </c>
      <c r="EC3" s="37">
        <v>43770</v>
      </c>
      <c r="ED3" s="38">
        <v>43800</v>
      </c>
      <c r="EE3" s="38">
        <v>43831</v>
      </c>
      <c r="EF3" s="38">
        <v>43862</v>
      </c>
      <c r="EG3" s="37">
        <v>43891</v>
      </c>
      <c r="EH3" s="38">
        <v>43922</v>
      </c>
      <c r="EI3" s="38">
        <v>43952</v>
      </c>
      <c r="EJ3" s="41">
        <v>43983</v>
      </c>
      <c r="EK3" s="40">
        <v>44013</v>
      </c>
      <c r="EL3" s="38">
        <v>44044</v>
      </c>
      <c r="EM3" s="38">
        <v>44075</v>
      </c>
      <c r="EN3" s="38">
        <v>44105</v>
      </c>
      <c r="EO3" s="37">
        <v>44136</v>
      </c>
      <c r="EP3" s="38">
        <v>44166</v>
      </c>
      <c r="EQ3" s="38">
        <v>44197</v>
      </c>
      <c r="ER3" s="38">
        <v>44228</v>
      </c>
      <c r="ES3" s="37">
        <v>44256</v>
      </c>
      <c r="ET3" s="38">
        <v>44287</v>
      </c>
      <c r="EU3" s="38">
        <v>44317</v>
      </c>
      <c r="EV3" s="41">
        <v>44348</v>
      </c>
      <c r="EW3" s="40">
        <v>44378</v>
      </c>
      <c r="EX3" s="38">
        <v>44409</v>
      </c>
      <c r="EY3" s="38">
        <v>44440</v>
      </c>
      <c r="EZ3" s="38">
        <v>44470</v>
      </c>
      <c r="FA3" s="37">
        <v>44501</v>
      </c>
      <c r="FB3" s="38">
        <v>44531</v>
      </c>
      <c r="FC3" s="38">
        <v>44562</v>
      </c>
      <c r="FD3" s="38">
        <v>44593</v>
      </c>
      <c r="FE3" s="37">
        <v>44621</v>
      </c>
      <c r="FF3" s="38">
        <v>44652</v>
      </c>
      <c r="FG3" s="38">
        <v>44682</v>
      </c>
      <c r="FH3" s="41">
        <v>44713</v>
      </c>
      <c r="FI3" s="40">
        <v>44764</v>
      </c>
      <c r="FJ3" s="38">
        <v>44795</v>
      </c>
      <c r="FK3" s="38">
        <v>44826</v>
      </c>
      <c r="FL3" s="38">
        <v>44856</v>
      </c>
      <c r="FM3" s="37">
        <v>44887</v>
      </c>
      <c r="FN3" s="38">
        <v>44917</v>
      </c>
      <c r="FO3" s="38">
        <v>44949</v>
      </c>
      <c r="FP3" s="38">
        <v>44980</v>
      </c>
      <c r="FQ3" s="37">
        <v>45008</v>
      </c>
      <c r="FR3" s="38">
        <v>45039</v>
      </c>
      <c r="FS3" s="38">
        <v>45069</v>
      </c>
      <c r="FT3" s="39">
        <v>45100</v>
      </c>
      <c r="FU3" s="173">
        <v>45130</v>
      </c>
      <c r="FV3" s="173">
        <v>45161</v>
      </c>
      <c r="FW3" s="173">
        <v>45192</v>
      </c>
      <c r="FX3" s="173">
        <v>45222</v>
      </c>
      <c r="FY3" s="173">
        <v>45253</v>
      </c>
      <c r="FZ3" s="173">
        <v>45283</v>
      </c>
      <c r="GA3" s="173">
        <v>45315</v>
      </c>
      <c r="GB3" s="173">
        <v>45345</v>
      </c>
      <c r="GC3" s="173">
        <v>45374</v>
      </c>
      <c r="GD3" s="173">
        <v>45405</v>
      </c>
      <c r="GE3" s="173">
        <v>45435</v>
      </c>
      <c r="GF3" s="173">
        <v>45466</v>
      </c>
      <c r="GG3" s="173">
        <v>45496</v>
      </c>
      <c r="GH3" s="173">
        <v>45527</v>
      </c>
      <c r="GI3" s="173">
        <v>45559</v>
      </c>
      <c r="GJ3" s="188">
        <v>45590</v>
      </c>
      <c r="GK3" s="188">
        <v>45622</v>
      </c>
      <c r="GL3" s="188">
        <v>45653</v>
      </c>
    </row>
    <row r="4" spans="1:194" s="1" customFormat="1" x14ac:dyDescent="0.3">
      <c r="A4" s="168" t="s">
        <v>96</v>
      </c>
      <c r="B4" s="160"/>
      <c r="C4" s="161"/>
      <c r="D4" s="161"/>
      <c r="E4" s="162"/>
      <c r="F4" s="161"/>
      <c r="G4" s="161"/>
      <c r="H4" s="163"/>
      <c r="I4" s="164"/>
      <c r="J4" s="161"/>
      <c r="K4" s="161"/>
      <c r="L4" s="161"/>
      <c r="M4" s="162"/>
      <c r="N4" s="161"/>
      <c r="O4" s="161"/>
      <c r="P4" s="161"/>
      <c r="Q4" s="162"/>
      <c r="R4" s="161"/>
      <c r="S4" s="161"/>
      <c r="T4" s="163"/>
      <c r="U4" s="164"/>
      <c r="V4" s="161"/>
      <c r="W4" s="161"/>
      <c r="X4" s="161"/>
      <c r="Y4" s="162"/>
      <c r="Z4" s="161"/>
      <c r="AA4" s="161"/>
      <c r="AB4" s="161"/>
      <c r="AC4" s="162"/>
      <c r="AD4" s="161"/>
      <c r="AE4" s="161"/>
      <c r="AF4" s="163"/>
      <c r="AG4" s="164"/>
      <c r="AH4" s="161"/>
      <c r="AI4" s="161"/>
      <c r="AJ4" s="161"/>
      <c r="AK4" s="162"/>
      <c r="AL4" s="161"/>
      <c r="AM4" s="161"/>
      <c r="AN4" s="161"/>
      <c r="AO4" s="162"/>
      <c r="AP4" s="161"/>
      <c r="AQ4" s="161"/>
      <c r="AR4" s="163"/>
      <c r="AS4" s="164"/>
      <c r="AT4" s="161"/>
      <c r="AU4" s="161"/>
      <c r="AV4" s="161"/>
      <c r="AW4" s="162"/>
      <c r="AX4" s="161"/>
      <c r="AY4" s="161"/>
      <c r="AZ4" s="161"/>
      <c r="BA4" s="162"/>
      <c r="BB4" s="161"/>
      <c r="BC4" s="161"/>
      <c r="BD4" s="163"/>
      <c r="BE4" s="164"/>
      <c r="BF4" s="161"/>
      <c r="BG4" s="161"/>
      <c r="BH4" s="161"/>
      <c r="BI4" s="162"/>
      <c r="BJ4" s="161"/>
      <c r="BK4" s="161"/>
      <c r="BL4" s="161"/>
      <c r="BM4" s="162"/>
      <c r="BN4" s="161"/>
      <c r="BO4" s="161"/>
      <c r="BP4" s="163"/>
      <c r="BQ4" s="164"/>
      <c r="BR4" s="161"/>
      <c r="BS4" s="161"/>
      <c r="BT4" s="161"/>
      <c r="BU4" s="162"/>
      <c r="BV4" s="161"/>
      <c r="BW4" s="161"/>
      <c r="BX4" s="161"/>
      <c r="BY4" s="162"/>
      <c r="BZ4" s="161"/>
      <c r="CA4" s="161"/>
      <c r="CB4" s="163"/>
      <c r="CC4" s="165"/>
      <c r="CD4" s="161"/>
      <c r="CE4" s="161"/>
      <c r="CF4" s="161"/>
      <c r="CG4" s="162"/>
      <c r="CH4" s="161"/>
      <c r="CI4" s="161"/>
      <c r="CJ4" s="161"/>
      <c r="CK4" s="162"/>
      <c r="CL4" s="161"/>
      <c r="CM4" s="161"/>
      <c r="CN4" s="166"/>
      <c r="CO4" s="164"/>
      <c r="CP4" s="161"/>
      <c r="CQ4" s="161"/>
      <c r="CR4" s="161"/>
      <c r="CS4" s="162"/>
      <c r="CT4" s="161"/>
      <c r="CU4" s="161"/>
      <c r="CV4" s="161"/>
      <c r="CW4" s="162"/>
      <c r="CX4" s="161"/>
      <c r="CY4" s="161"/>
      <c r="CZ4" s="163"/>
      <c r="DA4" s="164"/>
      <c r="DB4" s="161"/>
      <c r="DC4" s="161"/>
      <c r="DD4" s="161"/>
      <c r="DE4" s="162"/>
      <c r="DF4" s="161"/>
      <c r="DG4" s="161"/>
      <c r="DH4" s="161"/>
      <c r="DI4" s="162"/>
      <c r="DJ4" s="161"/>
      <c r="DK4" s="161"/>
      <c r="DL4" s="163"/>
      <c r="DM4" s="164"/>
      <c r="DN4" s="161"/>
      <c r="DO4" s="161"/>
      <c r="DP4" s="161"/>
      <c r="DQ4" s="162"/>
      <c r="DR4" s="161"/>
      <c r="DS4" s="161"/>
      <c r="DT4" s="161"/>
      <c r="DU4" s="162"/>
      <c r="DV4" s="161"/>
      <c r="DW4" s="161"/>
      <c r="DX4" s="163"/>
      <c r="DY4" s="159"/>
      <c r="DZ4" s="161"/>
      <c r="EA4" s="161"/>
      <c r="EB4" s="161"/>
      <c r="EC4" s="162"/>
      <c r="ED4" s="161"/>
      <c r="EE4" s="161"/>
      <c r="EF4" s="161"/>
      <c r="EG4" s="162"/>
      <c r="EH4" s="161"/>
      <c r="EI4" s="161"/>
      <c r="EJ4" s="163"/>
      <c r="EK4" s="165"/>
      <c r="EL4" s="161"/>
      <c r="EM4" s="161"/>
      <c r="EN4" s="167"/>
      <c r="EO4" s="162"/>
      <c r="EP4" s="161"/>
      <c r="EQ4" s="161"/>
      <c r="ER4" s="161"/>
      <c r="ES4" s="162"/>
      <c r="ET4" s="161"/>
      <c r="EU4" s="161"/>
      <c r="EV4" s="163"/>
      <c r="EW4" s="159"/>
      <c r="EX4" s="161"/>
      <c r="EY4" s="161"/>
      <c r="EZ4" s="167"/>
      <c r="FA4" s="162"/>
      <c r="FB4" s="167"/>
      <c r="FC4" s="161"/>
      <c r="FD4" s="161"/>
      <c r="FE4" s="159"/>
      <c r="FF4" s="167"/>
      <c r="FG4" s="167"/>
      <c r="FH4" s="167"/>
      <c r="FI4" s="159"/>
      <c r="FJ4" s="161"/>
      <c r="FK4" s="161"/>
      <c r="FL4" s="167"/>
      <c r="FM4" s="162"/>
      <c r="FN4" s="167"/>
      <c r="FO4" s="161"/>
      <c r="FP4" s="161"/>
      <c r="FQ4" s="159"/>
      <c r="FR4" s="167"/>
      <c r="FS4" s="167"/>
      <c r="FT4" s="167"/>
      <c r="FU4" s="178"/>
      <c r="FV4" s="178"/>
      <c r="FW4" s="178"/>
      <c r="FX4" s="178"/>
      <c r="FY4" s="178"/>
      <c r="FZ4" s="178"/>
      <c r="GA4" s="178">
        <v>2770</v>
      </c>
      <c r="GB4" s="18">
        <v>6079</v>
      </c>
      <c r="GC4" s="18">
        <v>6490</v>
      </c>
      <c r="GD4" s="18">
        <v>5337</v>
      </c>
      <c r="GE4" s="18">
        <v>6155</v>
      </c>
      <c r="GF4" s="177">
        <v>6450</v>
      </c>
      <c r="GG4" s="18">
        <v>6095</v>
      </c>
      <c r="GH4" s="18">
        <v>7602</v>
      </c>
      <c r="GI4" s="184">
        <v>1539</v>
      </c>
      <c r="GJ4" s="184">
        <v>6961</v>
      </c>
      <c r="GK4" s="184">
        <v>7392</v>
      </c>
      <c r="GL4" s="184">
        <v>5258</v>
      </c>
    </row>
    <row r="5" spans="1:194" s="1" customFormat="1" x14ac:dyDescent="0.3">
      <c r="A5" s="168" t="s">
        <v>97</v>
      </c>
      <c r="B5" s="160"/>
      <c r="C5" s="161"/>
      <c r="D5" s="161"/>
      <c r="E5" s="162"/>
      <c r="F5" s="161"/>
      <c r="G5" s="161"/>
      <c r="H5" s="163"/>
      <c r="I5" s="164"/>
      <c r="J5" s="161"/>
      <c r="K5" s="161"/>
      <c r="L5" s="161"/>
      <c r="M5" s="162"/>
      <c r="N5" s="161"/>
      <c r="O5" s="161"/>
      <c r="P5" s="161"/>
      <c r="Q5" s="162"/>
      <c r="R5" s="161"/>
      <c r="S5" s="161"/>
      <c r="T5" s="163"/>
      <c r="U5" s="164"/>
      <c r="V5" s="161"/>
      <c r="W5" s="161"/>
      <c r="X5" s="161"/>
      <c r="Y5" s="162"/>
      <c r="Z5" s="161"/>
      <c r="AA5" s="161"/>
      <c r="AB5" s="161"/>
      <c r="AC5" s="162"/>
      <c r="AD5" s="161"/>
      <c r="AE5" s="161"/>
      <c r="AF5" s="163"/>
      <c r="AG5" s="164"/>
      <c r="AH5" s="161"/>
      <c r="AI5" s="161"/>
      <c r="AJ5" s="161"/>
      <c r="AK5" s="162"/>
      <c r="AL5" s="161"/>
      <c r="AM5" s="161"/>
      <c r="AN5" s="161"/>
      <c r="AO5" s="162"/>
      <c r="AP5" s="161"/>
      <c r="AQ5" s="161"/>
      <c r="AR5" s="163"/>
      <c r="AS5" s="164"/>
      <c r="AT5" s="161"/>
      <c r="AU5" s="161"/>
      <c r="AV5" s="161"/>
      <c r="AW5" s="162"/>
      <c r="AX5" s="161"/>
      <c r="AY5" s="161"/>
      <c r="AZ5" s="161"/>
      <c r="BA5" s="162"/>
      <c r="BB5" s="161"/>
      <c r="BC5" s="161"/>
      <c r="BD5" s="163"/>
      <c r="BE5" s="164"/>
      <c r="BF5" s="161"/>
      <c r="BG5" s="161"/>
      <c r="BH5" s="161"/>
      <c r="BI5" s="162"/>
      <c r="BJ5" s="161"/>
      <c r="BK5" s="161"/>
      <c r="BL5" s="161"/>
      <c r="BM5" s="162"/>
      <c r="BN5" s="161"/>
      <c r="BO5" s="161"/>
      <c r="BP5" s="163"/>
      <c r="BQ5" s="164"/>
      <c r="BR5" s="161"/>
      <c r="BS5" s="161"/>
      <c r="BT5" s="161"/>
      <c r="BU5" s="162"/>
      <c r="BV5" s="161"/>
      <c r="BW5" s="161"/>
      <c r="BX5" s="161"/>
      <c r="BY5" s="162"/>
      <c r="BZ5" s="161"/>
      <c r="CA5" s="161"/>
      <c r="CB5" s="163"/>
      <c r="CC5" s="165"/>
      <c r="CD5" s="161"/>
      <c r="CE5" s="161"/>
      <c r="CF5" s="161"/>
      <c r="CG5" s="162"/>
      <c r="CH5" s="161"/>
      <c r="CI5" s="161"/>
      <c r="CJ5" s="161"/>
      <c r="CK5" s="162"/>
      <c r="CL5" s="161"/>
      <c r="CM5" s="161"/>
      <c r="CN5" s="166"/>
      <c r="CO5" s="164"/>
      <c r="CP5" s="161"/>
      <c r="CQ5" s="161"/>
      <c r="CR5" s="161"/>
      <c r="CS5" s="162"/>
      <c r="CT5" s="161"/>
      <c r="CU5" s="161"/>
      <c r="CV5" s="161"/>
      <c r="CW5" s="162"/>
      <c r="CX5" s="161"/>
      <c r="CY5" s="161"/>
      <c r="CZ5" s="163"/>
      <c r="DA5" s="164"/>
      <c r="DB5" s="161"/>
      <c r="DC5" s="161"/>
      <c r="DD5" s="161"/>
      <c r="DE5" s="162"/>
      <c r="DF5" s="161"/>
      <c r="DG5" s="161"/>
      <c r="DH5" s="161"/>
      <c r="DI5" s="162"/>
      <c r="DJ5" s="161"/>
      <c r="DK5" s="161"/>
      <c r="DL5" s="163"/>
      <c r="DM5" s="164"/>
      <c r="DN5" s="161"/>
      <c r="DO5" s="161"/>
      <c r="DP5" s="161"/>
      <c r="DQ5" s="162"/>
      <c r="DR5" s="161"/>
      <c r="DS5" s="161"/>
      <c r="DT5" s="161"/>
      <c r="DU5" s="162"/>
      <c r="DV5" s="161"/>
      <c r="DW5" s="161"/>
      <c r="DX5" s="163"/>
      <c r="DY5" s="159"/>
      <c r="DZ5" s="161"/>
      <c r="EA5" s="161"/>
      <c r="EB5" s="161"/>
      <c r="EC5" s="162"/>
      <c r="ED5" s="161"/>
      <c r="EE5" s="161"/>
      <c r="EF5" s="161"/>
      <c r="EG5" s="162"/>
      <c r="EH5" s="161"/>
      <c r="EI5" s="161"/>
      <c r="EJ5" s="163"/>
      <c r="EK5" s="165"/>
      <c r="EL5" s="161"/>
      <c r="EM5" s="161"/>
      <c r="EN5" s="167"/>
      <c r="EO5" s="162"/>
      <c r="EP5" s="161"/>
      <c r="EQ5" s="161"/>
      <c r="ER5" s="161"/>
      <c r="ES5" s="162"/>
      <c r="ET5" s="161"/>
      <c r="EU5" s="161"/>
      <c r="EV5" s="163"/>
      <c r="EW5" s="159"/>
      <c r="EX5" s="161"/>
      <c r="EY5" s="161"/>
      <c r="EZ5" s="167"/>
      <c r="FA5" s="162"/>
      <c r="FB5" s="167"/>
      <c r="FC5" s="161"/>
      <c r="FD5" s="161"/>
      <c r="FE5" s="159"/>
      <c r="FF5" s="167"/>
      <c r="FG5" s="167"/>
      <c r="FH5" s="167"/>
      <c r="FI5" s="159"/>
      <c r="FJ5" s="161"/>
      <c r="FK5" s="161"/>
      <c r="FL5" s="167"/>
      <c r="FM5" s="162"/>
      <c r="FN5" s="167"/>
      <c r="FO5" s="161"/>
      <c r="FP5" s="161"/>
      <c r="FQ5" s="159"/>
      <c r="FR5" s="167"/>
      <c r="FS5" s="167"/>
      <c r="FT5" s="167"/>
      <c r="FU5" s="178"/>
      <c r="FV5" s="178"/>
      <c r="FW5" s="178"/>
      <c r="FX5" s="178"/>
      <c r="FY5" s="178"/>
      <c r="FZ5" s="178"/>
      <c r="GA5" s="178">
        <v>209</v>
      </c>
      <c r="GB5" s="18">
        <v>398</v>
      </c>
      <c r="GC5" s="18">
        <v>482</v>
      </c>
      <c r="GD5" s="18">
        <v>385</v>
      </c>
      <c r="GE5" s="18">
        <v>349</v>
      </c>
      <c r="GF5" s="177">
        <v>428</v>
      </c>
      <c r="GG5" s="18">
        <v>449</v>
      </c>
      <c r="GH5" s="18">
        <v>658</v>
      </c>
      <c r="GI5" s="184">
        <v>84</v>
      </c>
      <c r="GJ5" s="184">
        <v>526</v>
      </c>
      <c r="GK5" s="184">
        <v>636</v>
      </c>
      <c r="GL5" s="184">
        <v>477</v>
      </c>
    </row>
    <row r="6" spans="1:194" s="1" customFormat="1" ht="15" thickBot="1" x14ac:dyDescent="0.35">
      <c r="A6" s="168" t="s">
        <v>98</v>
      </c>
      <c r="B6" s="160"/>
      <c r="C6" s="161"/>
      <c r="D6" s="161"/>
      <c r="E6" s="162"/>
      <c r="F6" s="161"/>
      <c r="G6" s="161"/>
      <c r="H6" s="163"/>
      <c r="I6" s="164"/>
      <c r="J6" s="161"/>
      <c r="K6" s="161"/>
      <c r="L6" s="161"/>
      <c r="M6" s="162"/>
      <c r="N6" s="161"/>
      <c r="O6" s="161"/>
      <c r="P6" s="161"/>
      <c r="Q6" s="162"/>
      <c r="R6" s="161"/>
      <c r="S6" s="161"/>
      <c r="T6" s="163"/>
      <c r="U6" s="164"/>
      <c r="V6" s="161"/>
      <c r="W6" s="161"/>
      <c r="X6" s="161"/>
      <c r="Y6" s="162"/>
      <c r="Z6" s="161"/>
      <c r="AA6" s="161"/>
      <c r="AB6" s="161"/>
      <c r="AC6" s="162"/>
      <c r="AD6" s="161"/>
      <c r="AE6" s="161"/>
      <c r="AF6" s="163"/>
      <c r="AG6" s="164"/>
      <c r="AH6" s="161"/>
      <c r="AI6" s="161"/>
      <c r="AJ6" s="161"/>
      <c r="AK6" s="162"/>
      <c r="AL6" s="161"/>
      <c r="AM6" s="161"/>
      <c r="AN6" s="161"/>
      <c r="AO6" s="162"/>
      <c r="AP6" s="161"/>
      <c r="AQ6" s="161"/>
      <c r="AR6" s="163"/>
      <c r="AS6" s="164"/>
      <c r="AT6" s="161"/>
      <c r="AU6" s="161"/>
      <c r="AV6" s="161"/>
      <c r="AW6" s="162"/>
      <c r="AX6" s="161"/>
      <c r="AY6" s="161"/>
      <c r="AZ6" s="161"/>
      <c r="BA6" s="162"/>
      <c r="BB6" s="161"/>
      <c r="BC6" s="161"/>
      <c r="BD6" s="163"/>
      <c r="BE6" s="164"/>
      <c r="BF6" s="161"/>
      <c r="BG6" s="161"/>
      <c r="BH6" s="161"/>
      <c r="BI6" s="162"/>
      <c r="BJ6" s="161"/>
      <c r="BK6" s="161"/>
      <c r="BL6" s="161"/>
      <c r="BM6" s="162"/>
      <c r="BN6" s="161"/>
      <c r="BO6" s="161"/>
      <c r="BP6" s="163"/>
      <c r="BQ6" s="164"/>
      <c r="BR6" s="161"/>
      <c r="BS6" s="161"/>
      <c r="BT6" s="161"/>
      <c r="BU6" s="162"/>
      <c r="BV6" s="161"/>
      <c r="BW6" s="161"/>
      <c r="BX6" s="161"/>
      <c r="BY6" s="162"/>
      <c r="BZ6" s="161"/>
      <c r="CA6" s="161"/>
      <c r="CB6" s="163"/>
      <c r="CC6" s="165"/>
      <c r="CD6" s="161"/>
      <c r="CE6" s="161"/>
      <c r="CF6" s="161"/>
      <c r="CG6" s="162"/>
      <c r="CH6" s="161"/>
      <c r="CI6" s="161"/>
      <c r="CJ6" s="161"/>
      <c r="CK6" s="162"/>
      <c r="CL6" s="161"/>
      <c r="CM6" s="161"/>
      <c r="CN6" s="166"/>
      <c r="CO6" s="164"/>
      <c r="CP6" s="161"/>
      <c r="CQ6" s="161"/>
      <c r="CR6" s="161"/>
      <c r="CS6" s="162"/>
      <c r="CT6" s="161"/>
      <c r="CU6" s="161"/>
      <c r="CV6" s="161"/>
      <c r="CW6" s="162"/>
      <c r="CX6" s="161"/>
      <c r="CY6" s="161"/>
      <c r="CZ6" s="163"/>
      <c r="DA6" s="164"/>
      <c r="DB6" s="161"/>
      <c r="DC6" s="161"/>
      <c r="DD6" s="161"/>
      <c r="DE6" s="162"/>
      <c r="DF6" s="161"/>
      <c r="DG6" s="161"/>
      <c r="DH6" s="161"/>
      <c r="DI6" s="162"/>
      <c r="DJ6" s="161"/>
      <c r="DK6" s="161"/>
      <c r="DL6" s="163"/>
      <c r="DM6" s="164"/>
      <c r="DN6" s="161"/>
      <c r="DO6" s="161"/>
      <c r="DP6" s="161"/>
      <c r="DQ6" s="162"/>
      <c r="DR6" s="161"/>
      <c r="DS6" s="161"/>
      <c r="DT6" s="161"/>
      <c r="DU6" s="162"/>
      <c r="DV6" s="161"/>
      <c r="DW6" s="161"/>
      <c r="DX6" s="163"/>
      <c r="DY6" s="159"/>
      <c r="DZ6" s="161"/>
      <c r="EA6" s="161"/>
      <c r="EB6" s="161"/>
      <c r="EC6" s="162"/>
      <c r="ED6" s="161"/>
      <c r="EE6" s="161"/>
      <c r="EF6" s="161"/>
      <c r="EG6" s="162"/>
      <c r="EH6" s="161"/>
      <c r="EI6" s="161"/>
      <c r="EJ6" s="163"/>
      <c r="EK6" s="165"/>
      <c r="EL6" s="161"/>
      <c r="EM6" s="161"/>
      <c r="EN6" s="167"/>
      <c r="EO6" s="162"/>
      <c r="EP6" s="161"/>
      <c r="EQ6" s="161"/>
      <c r="ER6" s="161"/>
      <c r="ES6" s="162"/>
      <c r="ET6" s="161"/>
      <c r="EU6" s="161"/>
      <c r="EV6" s="163"/>
      <c r="EW6" s="159"/>
      <c r="EX6" s="161"/>
      <c r="EY6" s="161"/>
      <c r="EZ6" s="167"/>
      <c r="FA6" s="162"/>
      <c r="FB6" s="167"/>
      <c r="FC6" s="161"/>
      <c r="FD6" s="161"/>
      <c r="FE6" s="159"/>
      <c r="FF6" s="167"/>
      <c r="FG6" s="167"/>
      <c r="FH6" s="167"/>
      <c r="FI6" s="159"/>
      <c r="FJ6" s="161"/>
      <c r="FK6" s="161"/>
      <c r="FL6" s="167"/>
      <c r="FM6" s="162"/>
      <c r="FN6" s="167"/>
      <c r="FO6" s="161"/>
      <c r="FP6" s="161"/>
      <c r="FQ6" s="159"/>
      <c r="FR6" s="167"/>
      <c r="FS6" s="167"/>
      <c r="FT6" s="167"/>
      <c r="FU6" s="178"/>
      <c r="FV6" s="178"/>
      <c r="FW6" s="178"/>
      <c r="FX6" s="178"/>
      <c r="FY6" s="178"/>
      <c r="FZ6" s="178"/>
      <c r="GA6" s="178">
        <v>216</v>
      </c>
      <c r="GB6" s="18">
        <v>585</v>
      </c>
      <c r="GC6" s="18">
        <v>730</v>
      </c>
      <c r="GD6" s="18">
        <v>511</v>
      </c>
      <c r="GE6" s="18">
        <v>495</v>
      </c>
      <c r="GF6" s="177">
        <v>641</v>
      </c>
      <c r="GG6" s="18">
        <v>620</v>
      </c>
      <c r="GH6" s="18">
        <v>757</v>
      </c>
      <c r="GI6" s="184">
        <v>137</v>
      </c>
      <c r="GJ6" s="184">
        <v>652</v>
      </c>
      <c r="GK6" s="184">
        <v>732</v>
      </c>
      <c r="GL6" s="184">
        <v>541</v>
      </c>
    </row>
    <row r="7" spans="1:194" x14ac:dyDescent="0.3">
      <c r="A7" s="6" t="s">
        <v>32</v>
      </c>
      <c r="B7" s="12"/>
      <c r="C7" s="13"/>
      <c r="D7" s="13"/>
      <c r="E7" s="13"/>
      <c r="F7" s="13"/>
      <c r="G7" s="13"/>
      <c r="H7" s="14"/>
      <c r="I7" s="12" t="s">
        <v>33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  <c r="U7" s="12" t="s">
        <v>33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2" t="s">
        <v>33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2" t="s">
        <v>33</v>
      </c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4"/>
      <c r="BE7" s="12" t="s">
        <v>33</v>
      </c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4"/>
      <c r="BQ7" s="12" t="s">
        <v>33</v>
      </c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4"/>
      <c r="CC7" s="15"/>
      <c r="CD7" s="13"/>
      <c r="CE7" s="13"/>
      <c r="CF7" s="13"/>
      <c r="CG7" s="13"/>
      <c r="CH7" s="13"/>
      <c r="CI7" s="13"/>
      <c r="CJ7" s="13"/>
      <c r="CK7" s="13">
        <v>5156</v>
      </c>
      <c r="CL7" s="13">
        <v>11897</v>
      </c>
      <c r="CM7" s="13">
        <v>9482</v>
      </c>
      <c r="CN7" s="16">
        <v>10103</v>
      </c>
      <c r="CO7" s="12">
        <v>11717</v>
      </c>
      <c r="CP7" s="13">
        <v>9876</v>
      </c>
      <c r="CQ7" s="13">
        <v>10286</v>
      </c>
      <c r="CR7" s="13">
        <v>12190</v>
      </c>
      <c r="CS7" s="13">
        <v>8883</v>
      </c>
      <c r="CT7" s="13">
        <v>9902</v>
      </c>
      <c r="CU7" s="13">
        <v>9635</v>
      </c>
      <c r="CV7" s="13">
        <v>9926</v>
      </c>
      <c r="CW7" s="13">
        <v>10090</v>
      </c>
      <c r="CX7" s="13">
        <v>14556</v>
      </c>
      <c r="CY7" s="13">
        <v>10365</v>
      </c>
      <c r="CZ7" s="14">
        <v>10257</v>
      </c>
      <c r="DA7" s="12">
        <v>13458</v>
      </c>
      <c r="DB7" s="13">
        <v>11791</v>
      </c>
      <c r="DC7" s="13">
        <v>13681</v>
      </c>
      <c r="DD7" s="13">
        <v>11253</v>
      </c>
      <c r="DE7" s="13">
        <v>10429</v>
      </c>
      <c r="DF7" s="13">
        <v>14203</v>
      </c>
      <c r="DG7" s="13">
        <v>10197</v>
      </c>
      <c r="DH7" s="13">
        <v>11026</v>
      </c>
      <c r="DI7" s="13">
        <v>14533</v>
      </c>
      <c r="DJ7" s="13">
        <v>10999</v>
      </c>
      <c r="DK7" s="13">
        <v>10263</v>
      </c>
      <c r="DL7" s="14">
        <v>12313</v>
      </c>
      <c r="DM7" s="12">
        <v>10026</v>
      </c>
      <c r="DN7" s="13">
        <v>11618</v>
      </c>
      <c r="DO7" s="13">
        <v>13360</v>
      </c>
      <c r="DP7" s="13">
        <v>9815</v>
      </c>
      <c r="DQ7" s="13">
        <v>9948</v>
      </c>
      <c r="DR7" s="13">
        <v>12977</v>
      </c>
      <c r="DS7" s="13">
        <v>9582</v>
      </c>
      <c r="DT7" s="13">
        <v>10280</v>
      </c>
      <c r="DU7" s="13">
        <v>13137</v>
      </c>
      <c r="DV7" s="13">
        <v>10389</v>
      </c>
      <c r="DW7" s="13">
        <v>10186</v>
      </c>
      <c r="DX7" s="14">
        <v>11318</v>
      </c>
      <c r="DY7" s="100">
        <v>8995</v>
      </c>
      <c r="DZ7" s="13">
        <v>12316</v>
      </c>
      <c r="EA7" s="13">
        <v>9791</v>
      </c>
      <c r="EB7" s="13">
        <v>9460</v>
      </c>
      <c r="EC7" s="13">
        <v>12296</v>
      </c>
      <c r="ED7" s="13">
        <v>10056</v>
      </c>
      <c r="EE7" s="13">
        <v>9610</v>
      </c>
      <c r="EF7" s="13">
        <v>12923</v>
      </c>
      <c r="EG7" s="13">
        <v>9026</v>
      </c>
      <c r="EH7" s="13">
        <v>6929</v>
      </c>
      <c r="EI7" s="13">
        <v>7694</v>
      </c>
      <c r="EJ7" s="14">
        <v>6051</v>
      </c>
      <c r="EK7" s="13">
        <v>4339</v>
      </c>
      <c r="EL7" s="13">
        <v>7850</v>
      </c>
      <c r="EM7" s="13">
        <v>6404</v>
      </c>
      <c r="EN7" s="103">
        <v>7164</v>
      </c>
      <c r="EO7" s="13">
        <v>6523</v>
      </c>
      <c r="EP7" s="13">
        <v>4667</v>
      </c>
      <c r="EQ7" s="13">
        <v>3554</v>
      </c>
      <c r="ER7" s="13">
        <v>5700</v>
      </c>
      <c r="ES7" s="13">
        <v>4968</v>
      </c>
      <c r="ET7" s="13">
        <v>5234</v>
      </c>
      <c r="EU7" s="13">
        <v>6042</v>
      </c>
      <c r="EV7" s="14">
        <v>5494</v>
      </c>
      <c r="EW7" s="103">
        <v>6523</v>
      </c>
      <c r="EX7" s="13">
        <v>5234</v>
      </c>
      <c r="EY7" s="13">
        <v>5148</v>
      </c>
      <c r="EZ7" s="103">
        <v>6403</v>
      </c>
      <c r="FA7" s="13">
        <v>5237</v>
      </c>
      <c r="FB7" s="143">
        <v>5652</v>
      </c>
      <c r="FC7" s="13">
        <v>6672</v>
      </c>
      <c r="FD7" s="13">
        <v>6422</v>
      </c>
      <c r="FE7" s="143">
        <v>6546</v>
      </c>
      <c r="FF7" s="143">
        <v>8110</v>
      </c>
      <c r="FG7" s="143">
        <v>6183</v>
      </c>
      <c r="FH7" s="143">
        <v>5697</v>
      </c>
      <c r="FI7" s="103">
        <f>'Average Saturday Boardings'!FI7*5</f>
        <v>7022</v>
      </c>
      <c r="FJ7" s="13">
        <f>'Average Saturday Boardings'!FJ7*4</f>
        <v>6140</v>
      </c>
      <c r="FK7" s="13">
        <f>'Average Saturday Boardings'!FK7*5</f>
        <v>8266.25</v>
      </c>
      <c r="FL7" s="103">
        <v>7527</v>
      </c>
      <c r="FM7" s="13">
        <v>5789</v>
      </c>
      <c r="FN7" s="143">
        <v>6959</v>
      </c>
      <c r="FO7" s="13">
        <v>5911</v>
      </c>
      <c r="FP7" s="13">
        <v>4288</v>
      </c>
      <c r="FQ7" s="143">
        <v>6902</v>
      </c>
      <c r="FR7" s="143">
        <v>7405</v>
      </c>
      <c r="FS7" s="143">
        <v>6299</v>
      </c>
      <c r="FT7" s="175">
        <v>6427</v>
      </c>
      <c r="FU7" s="169">
        <v>8658</v>
      </c>
      <c r="FV7" s="169">
        <v>7453</v>
      </c>
      <c r="FW7" s="169">
        <v>8371</v>
      </c>
      <c r="FX7" s="169">
        <v>7382</v>
      </c>
      <c r="FY7" s="169">
        <v>7473</v>
      </c>
      <c r="FZ7" s="169">
        <v>9020</v>
      </c>
      <c r="GA7" s="169">
        <v>7919</v>
      </c>
      <c r="GB7" s="18">
        <v>3429</v>
      </c>
      <c r="GC7" s="18">
        <v>4482</v>
      </c>
      <c r="GD7" s="18">
        <v>2908</v>
      </c>
      <c r="GE7" s="18">
        <v>2879</v>
      </c>
      <c r="GF7" s="52">
        <v>3310</v>
      </c>
      <c r="GG7" s="18">
        <v>2855</v>
      </c>
      <c r="GH7" s="18">
        <v>3745</v>
      </c>
      <c r="GI7" s="184">
        <v>8078</v>
      </c>
      <c r="GJ7" s="184">
        <v>2914</v>
      </c>
      <c r="GK7" s="184">
        <v>3314</v>
      </c>
      <c r="GL7" s="184">
        <v>2621</v>
      </c>
    </row>
    <row r="8" spans="1:194" x14ac:dyDescent="0.3">
      <c r="A8" s="2" t="s">
        <v>30</v>
      </c>
      <c r="B8" s="17"/>
      <c r="C8" s="18"/>
      <c r="D8" s="18"/>
      <c r="E8" s="18"/>
      <c r="F8" s="18"/>
      <c r="G8" s="18"/>
      <c r="H8" s="19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7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7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  <c r="AS8" s="1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9"/>
      <c r="BE8" s="17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9"/>
      <c r="BQ8" s="17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9"/>
      <c r="CC8" s="20"/>
      <c r="CD8" s="18"/>
      <c r="CE8" s="18"/>
      <c r="CF8" s="18"/>
      <c r="CG8" s="18"/>
      <c r="CH8" s="18"/>
      <c r="CI8" s="18"/>
      <c r="CJ8" s="18"/>
      <c r="CK8" s="18">
        <v>1652</v>
      </c>
      <c r="CL8" s="18">
        <v>4276</v>
      </c>
      <c r="CM8" s="18">
        <v>3279</v>
      </c>
      <c r="CN8" s="21">
        <v>3476</v>
      </c>
      <c r="CO8" s="17">
        <v>4413</v>
      </c>
      <c r="CP8" s="18">
        <v>3637</v>
      </c>
      <c r="CQ8" s="18">
        <v>3665</v>
      </c>
      <c r="CR8" s="18">
        <v>4747</v>
      </c>
      <c r="CS8" s="18">
        <v>3625</v>
      </c>
      <c r="CT8" s="18">
        <v>3885</v>
      </c>
      <c r="CU8" s="18">
        <v>3990</v>
      </c>
      <c r="CV8" s="18">
        <v>4010</v>
      </c>
      <c r="CW8" s="18">
        <v>3951</v>
      </c>
      <c r="CX8" s="18">
        <v>5133</v>
      </c>
      <c r="CY8" s="18">
        <v>3819</v>
      </c>
      <c r="CZ8" s="19">
        <v>3846</v>
      </c>
      <c r="DA8" s="17">
        <v>4794</v>
      </c>
      <c r="DB8" s="18">
        <v>3870</v>
      </c>
      <c r="DC8" s="18">
        <v>5281</v>
      </c>
      <c r="DD8" s="18">
        <v>4113</v>
      </c>
      <c r="DE8" s="18">
        <v>3979</v>
      </c>
      <c r="DF8" s="18">
        <v>4953</v>
      </c>
      <c r="DG8" s="18">
        <v>4031</v>
      </c>
      <c r="DH8" s="18">
        <v>4337</v>
      </c>
      <c r="DI8" s="18">
        <v>5234</v>
      </c>
      <c r="DJ8" s="18">
        <v>4095</v>
      </c>
      <c r="DK8" s="18">
        <v>3832</v>
      </c>
      <c r="DL8" s="19">
        <v>4830</v>
      </c>
      <c r="DM8" s="17">
        <v>3602</v>
      </c>
      <c r="DN8" s="18">
        <v>3803</v>
      </c>
      <c r="DO8" s="18">
        <v>5204</v>
      </c>
      <c r="DP8" s="18">
        <v>4100</v>
      </c>
      <c r="DQ8" s="18">
        <v>4229</v>
      </c>
      <c r="DR8" s="18">
        <v>5247</v>
      </c>
      <c r="DS8" s="18">
        <v>4083</v>
      </c>
      <c r="DT8" s="18">
        <v>4197</v>
      </c>
      <c r="DU8" s="18">
        <v>4856</v>
      </c>
      <c r="DV8" s="18">
        <v>3843</v>
      </c>
      <c r="DW8" s="18">
        <v>3578</v>
      </c>
      <c r="DX8" s="19">
        <v>4264</v>
      </c>
      <c r="DY8" s="100">
        <v>3108</v>
      </c>
      <c r="DZ8" s="18">
        <v>4420</v>
      </c>
      <c r="EA8" s="18">
        <v>3585</v>
      </c>
      <c r="EB8" s="18">
        <v>3830</v>
      </c>
      <c r="EC8" s="18">
        <v>4606</v>
      </c>
      <c r="ED8" s="18">
        <v>3698</v>
      </c>
      <c r="EE8" s="18">
        <v>3724</v>
      </c>
      <c r="EF8" s="18">
        <v>4845</v>
      </c>
      <c r="EG8" s="18">
        <v>3282</v>
      </c>
      <c r="EH8" s="18">
        <v>2387</v>
      </c>
      <c r="EI8" s="18">
        <v>2877</v>
      </c>
      <c r="EJ8" s="19">
        <v>2256</v>
      </c>
      <c r="EK8" s="18">
        <v>1414</v>
      </c>
      <c r="EL8" s="18">
        <v>2417</v>
      </c>
      <c r="EM8" s="18">
        <v>1963</v>
      </c>
      <c r="EN8" s="104">
        <v>2638</v>
      </c>
      <c r="EO8" s="18">
        <v>2105</v>
      </c>
      <c r="EP8" s="18">
        <v>1620</v>
      </c>
      <c r="EQ8" s="18">
        <v>1209</v>
      </c>
      <c r="ER8" s="18">
        <v>1861</v>
      </c>
      <c r="ES8" s="18">
        <v>1861</v>
      </c>
      <c r="ET8" s="18">
        <v>1923</v>
      </c>
      <c r="EU8" s="18">
        <v>2276</v>
      </c>
      <c r="EV8" s="19">
        <v>1724</v>
      </c>
      <c r="EW8" s="103">
        <v>2105</v>
      </c>
      <c r="EX8" s="18">
        <v>1888</v>
      </c>
      <c r="EY8" s="18">
        <v>1817</v>
      </c>
      <c r="EZ8" s="104">
        <v>2347</v>
      </c>
      <c r="FA8" s="18">
        <v>2195</v>
      </c>
      <c r="FB8" s="143">
        <v>2075</v>
      </c>
      <c r="FC8" s="18">
        <v>2261</v>
      </c>
      <c r="FD8" s="18">
        <v>2512</v>
      </c>
      <c r="FE8" s="143">
        <v>2658</v>
      </c>
      <c r="FF8" s="143">
        <v>3112</v>
      </c>
      <c r="FG8" s="143">
        <v>2348</v>
      </c>
      <c r="FH8" s="143">
        <v>1847</v>
      </c>
      <c r="FI8" s="103">
        <f>'Average Saturday Boardings'!FI8*5</f>
        <v>2456</v>
      </c>
      <c r="FJ8" s="18">
        <f>'Average Saturday Boardings'!FJ8*4</f>
        <v>2269</v>
      </c>
      <c r="FK8" s="18">
        <f>'Average Saturday Boardings'!FK8*5</f>
        <v>3258.75</v>
      </c>
      <c r="FL8" s="104">
        <v>3247</v>
      </c>
      <c r="FM8" s="18">
        <v>2253</v>
      </c>
      <c r="FN8" s="143">
        <v>2635</v>
      </c>
      <c r="FO8" s="18">
        <v>2659</v>
      </c>
      <c r="FP8" s="18">
        <v>2546</v>
      </c>
      <c r="FQ8" s="143">
        <v>2696</v>
      </c>
      <c r="FR8" s="143">
        <v>3253</v>
      </c>
      <c r="FS8" s="143">
        <v>2702</v>
      </c>
      <c r="FT8" s="175">
        <v>2477</v>
      </c>
      <c r="FU8" s="169">
        <v>3126</v>
      </c>
      <c r="FV8" s="169">
        <v>2841</v>
      </c>
      <c r="FW8" s="169">
        <v>3398</v>
      </c>
      <c r="FX8" s="169">
        <v>2684</v>
      </c>
      <c r="FY8" s="169">
        <v>2565</v>
      </c>
      <c r="FZ8" s="169">
        <v>3117</v>
      </c>
      <c r="GA8" s="169">
        <v>2713</v>
      </c>
      <c r="GB8" s="18">
        <v>2790</v>
      </c>
      <c r="GC8" s="18">
        <v>3346</v>
      </c>
      <c r="GD8" s="18">
        <v>2443</v>
      </c>
      <c r="GE8" s="18">
        <v>2450</v>
      </c>
      <c r="GF8" s="52">
        <v>2772</v>
      </c>
      <c r="GG8" s="18">
        <v>2287</v>
      </c>
      <c r="GH8" s="18">
        <v>3203</v>
      </c>
      <c r="GI8" s="184">
        <v>2490</v>
      </c>
      <c r="GJ8" s="184">
        <v>2388</v>
      </c>
      <c r="GK8" s="184">
        <v>2779</v>
      </c>
      <c r="GL8" s="184">
        <v>2262</v>
      </c>
    </row>
    <row r="9" spans="1:194" ht="15" thickBot="1" x14ac:dyDescent="0.35">
      <c r="A9" s="7" t="s">
        <v>31</v>
      </c>
      <c r="B9" s="22"/>
      <c r="C9" s="23"/>
      <c r="D9" s="23"/>
      <c r="E9" s="23"/>
      <c r="F9" s="23"/>
      <c r="G9" s="23"/>
      <c r="H9" s="24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2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22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4"/>
      <c r="AS9" s="22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4"/>
      <c r="BE9" s="22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4"/>
      <c r="BQ9" s="22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4"/>
      <c r="CC9" s="25"/>
      <c r="CD9" s="23"/>
      <c r="CE9" s="23"/>
      <c r="CF9" s="23"/>
      <c r="CG9" s="23"/>
      <c r="CH9" s="23"/>
      <c r="CI9" s="23"/>
      <c r="CJ9" s="23"/>
      <c r="CK9" s="23">
        <v>1882</v>
      </c>
      <c r="CL9" s="23">
        <v>5310</v>
      </c>
      <c r="CM9" s="23">
        <v>4326</v>
      </c>
      <c r="CN9" s="26">
        <v>4535</v>
      </c>
      <c r="CO9" s="22">
        <v>5680</v>
      </c>
      <c r="CP9" s="23">
        <v>4655</v>
      </c>
      <c r="CQ9" s="23">
        <v>4711</v>
      </c>
      <c r="CR9" s="23">
        <v>6107</v>
      </c>
      <c r="CS9" s="23">
        <v>4773</v>
      </c>
      <c r="CT9" s="23">
        <v>5020</v>
      </c>
      <c r="CU9" s="23">
        <v>4948</v>
      </c>
      <c r="CV9" s="23">
        <v>5102</v>
      </c>
      <c r="CW9" s="23">
        <v>5114</v>
      </c>
      <c r="CX9" s="23">
        <v>6284</v>
      </c>
      <c r="CY9" s="23">
        <v>4751</v>
      </c>
      <c r="CZ9" s="24">
        <v>4453</v>
      </c>
      <c r="DA9" s="22">
        <v>5639</v>
      </c>
      <c r="DB9" s="23">
        <v>4993</v>
      </c>
      <c r="DC9" s="23">
        <v>6173</v>
      </c>
      <c r="DD9" s="23">
        <v>5353</v>
      </c>
      <c r="DE9" s="23">
        <v>5077</v>
      </c>
      <c r="DF9" s="23">
        <v>6540</v>
      </c>
      <c r="DG9" s="23">
        <v>5276</v>
      </c>
      <c r="DH9" s="23">
        <v>5482</v>
      </c>
      <c r="DI9" s="23">
        <v>6318</v>
      </c>
      <c r="DJ9" s="23">
        <v>5000</v>
      </c>
      <c r="DK9" s="23">
        <v>4931</v>
      </c>
      <c r="DL9" s="24">
        <v>5743</v>
      </c>
      <c r="DM9" s="22">
        <v>4450</v>
      </c>
      <c r="DN9" s="23">
        <v>4702</v>
      </c>
      <c r="DO9" s="23">
        <v>5751</v>
      </c>
      <c r="DP9" s="23">
        <v>4766</v>
      </c>
      <c r="DQ9" s="23">
        <v>5161</v>
      </c>
      <c r="DR9" s="23">
        <v>6177</v>
      </c>
      <c r="DS9" s="23">
        <v>4613</v>
      </c>
      <c r="DT9" s="23">
        <v>4872</v>
      </c>
      <c r="DU9" s="23">
        <v>5880</v>
      </c>
      <c r="DV9" s="23">
        <v>4536</v>
      </c>
      <c r="DW9" s="23">
        <v>4270</v>
      </c>
      <c r="DX9" s="24">
        <v>5085</v>
      </c>
      <c r="DY9" s="100">
        <v>3949</v>
      </c>
      <c r="DZ9" s="23">
        <v>5274</v>
      </c>
      <c r="EA9" s="23">
        <v>4489</v>
      </c>
      <c r="EB9" s="23">
        <v>4663</v>
      </c>
      <c r="EC9" s="23">
        <v>5985</v>
      </c>
      <c r="ED9" s="23">
        <v>4414</v>
      </c>
      <c r="EE9" s="23">
        <v>4397</v>
      </c>
      <c r="EF9" s="23">
        <v>5509</v>
      </c>
      <c r="EG9" s="23">
        <v>4030</v>
      </c>
      <c r="EH9" s="23">
        <v>2875</v>
      </c>
      <c r="EI9" s="23">
        <v>3502</v>
      </c>
      <c r="EJ9" s="24">
        <v>2554</v>
      </c>
      <c r="EK9" s="23">
        <v>1691</v>
      </c>
      <c r="EL9" s="23">
        <v>3002</v>
      </c>
      <c r="EM9" s="23">
        <v>2602</v>
      </c>
      <c r="EN9" s="105">
        <v>3380</v>
      </c>
      <c r="EO9" s="23">
        <v>2468</v>
      </c>
      <c r="EP9" s="23">
        <v>2038</v>
      </c>
      <c r="EQ9" s="23">
        <v>1575</v>
      </c>
      <c r="ER9" s="23">
        <v>2360</v>
      </c>
      <c r="ES9" s="23">
        <v>2365</v>
      </c>
      <c r="ET9" s="23">
        <v>2443</v>
      </c>
      <c r="EU9" s="23">
        <v>2914</v>
      </c>
      <c r="EV9" s="24">
        <v>2173</v>
      </c>
      <c r="EW9" s="23">
        <v>2468</v>
      </c>
      <c r="EX9" s="23">
        <v>2229</v>
      </c>
      <c r="EY9" s="23">
        <v>2348</v>
      </c>
      <c r="EZ9" s="105">
        <v>3120</v>
      </c>
      <c r="FA9" s="23">
        <v>2532</v>
      </c>
      <c r="FB9" s="23">
        <v>2574</v>
      </c>
      <c r="FC9" s="23">
        <v>2982</v>
      </c>
      <c r="FD9" s="23">
        <v>2974</v>
      </c>
      <c r="FE9" s="23">
        <v>3243</v>
      </c>
      <c r="FF9" s="23">
        <v>3803</v>
      </c>
      <c r="FG9" s="23">
        <v>2899</v>
      </c>
      <c r="FH9" s="23">
        <v>2489</v>
      </c>
      <c r="FI9" s="23">
        <f>'Average Saturday Boardings'!FI9*5</f>
        <v>3206</v>
      </c>
      <c r="FJ9" s="23">
        <f>'Average Saturday Boardings'!FJ9*4</f>
        <v>2845</v>
      </c>
      <c r="FK9" s="23">
        <f>'Average Saturday Boardings'!FK9*5</f>
        <v>4060</v>
      </c>
      <c r="FL9" s="105">
        <v>4280</v>
      </c>
      <c r="FM9" s="23">
        <v>3281</v>
      </c>
      <c r="FN9" s="23">
        <v>3903</v>
      </c>
      <c r="FO9" s="23">
        <v>3467</v>
      </c>
      <c r="FP9" s="23">
        <v>3546</v>
      </c>
      <c r="FQ9" s="23">
        <v>3776</v>
      </c>
      <c r="FR9" s="23">
        <v>4254</v>
      </c>
      <c r="FS9" s="23">
        <v>3659</v>
      </c>
      <c r="FT9" s="26">
        <v>3331</v>
      </c>
      <c r="FU9" s="169">
        <v>4192</v>
      </c>
      <c r="FV9" s="169">
        <v>3464</v>
      </c>
      <c r="FW9" s="169">
        <v>4223</v>
      </c>
      <c r="FX9" s="169">
        <v>3240</v>
      </c>
      <c r="FY9" s="169">
        <v>3147</v>
      </c>
      <c r="FZ9" s="169">
        <v>4068</v>
      </c>
      <c r="GA9" s="169">
        <v>3263</v>
      </c>
      <c r="GB9" s="18">
        <v>3283</v>
      </c>
      <c r="GC9" s="18">
        <v>4146</v>
      </c>
      <c r="GD9" s="18">
        <v>3274</v>
      </c>
      <c r="GE9" s="18">
        <v>3324</v>
      </c>
      <c r="GF9" s="52">
        <v>3713</v>
      </c>
      <c r="GG9" s="18">
        <v>3371</v>
      </c>
      <c r="GH9" s="18">
        <v>3719</v>
      </c>
      <c r="GI9" s="184">
        <v>2868</v>
      </c>
      <c r="GJ9" s="184">
        <v>2732</v>
      </c>
      <c r="GK9" s="184">
        <v>3198</v>
      </c>
      <c r="GL9" s="184">
        <v>2661</v>
      </c>
    </row>
    <row r="10" spans="1:194" x14ac:dyDescent="0.3">
      <c r="A10" s="8" t="s">
        <v>3</v>
      </c>
      <c r="B10" s="12"/>
      <c r="C10" s="13">
        <v>25487</v>
      </c>
      <c r="D10" s="13">
        <v>17347</v>
      </c>
      <c r="E10" s="13">
        <v>14195</v>
      </c>
      <c r="F10" s="13">
        <v>15543</v>
      </c>
      <c r="G10" s="13">
        <v>12481</v>
      </c>
      <c r="H10" s="14">
        <v>10240</v>
      </c>
      <c r="I10" s="12">
        <v>9669</v>
      </c>
      <c r="J10" s="13">
        <v>9072</v>
      </c>
      <c r="K10" s="13">
        <v>11410</v>
      </c>
      <c r="L10" s="13">
        <v>11729</v>
      </c>
      <c r="M10" s="13">
        <v>11932</v>
      </c>
      <c r="N10" s="13">
        <v>12917</v>
      </c>
      <c r="O10" s="68">
        <v>13608</v>
      </c>
      <c r="P10" s="68">
        <v>12186</v>
      </c>
      <c r="Q10" s="68">
        <v>12731</v>
      </c>
      <c r="R10" s="68">
        <v>12934</v>
      </c>
      <c r="S10" s="68">
        <v>11385</v>
      </c>
      <c r="T10" s="69">
        <v>10613</v>
      </c>
      <c r="U10" s="70">
        <v>12721</v>
      </c>
      <c r="V10" s="68">
        <v>10482</v>
      </c>
      <c r="W10" s="68">
        <v>12885</v>
      </c>
      <c r="X10" s="68">
        <v>12518</v>
      </c>
      <c r="Y10" s="68">
        <v>11490</v>
      </c>
      <c r="Z10" s="68">
        <v>9523</v>
      </c>
      <c r="AA10" s="13">
        <v>12037</v>
      </c>
      <c r="AB10" s="13">
        <v>11685</v>
      </c>
      <c r="AC10" s="13">
        <v>13806</v>
      </c>
      <c r="AD10" s="13">
        <v>16263</v>
      </c>
      <c r="AE10" s="13">
        <v>11189</v>
      </c>
      <c r="AF10" s="14">
        <v>10928</v>
      </c>
      <c r="AG10" s="12">
        <v>14180</v>
      </c>
      <c r="AH10" s="13">
        <v>11403</v>
      </c>
      <c r="AI10" s="13">
        <v>12851</v>
      </c>
      <c r="AJ10" s="13">
        <v>15388</v>
      </c>
      <c r="AK10" s="13">
        <v>10953</v>
      </c>
      <c r="AL10" s="13">
        <v>16017</v>
      </c>
      <c r="AM10" s="13">
        <v>12976</v>
      </c>
      <c r="AN10" s="13">
        <v>13696</v>
      </c>
      <c r="AO10" s="13">
        <v>15411</v>
      </c>
      <c r="AP10" s="13">
        <v>12900</v>
      </c>
      <c r="AQ10" s="13">
        <v>11748</v>
      </c>
      <c r="AR10" s="14">
        <v>14549</v>
      </c>
      <c r="AS10" s="12">
        <v>11677</v>
      </c>
      <c r="AT10" s="13">
        <v>11953</v>
      </c>
      <c r="AU10" s="13">
        <v>15860</v>
      </c>
      <c r="AV10" s="13">
        <v>13084</v>
      </c>
      <c r="AW10" s="13">
        <v>12707</v>
      </c>
      <c r="AX10" s="13">
        <v>17299</v>
      </c>
      <c r="AY10" s="13">
        <v>12825</v>
      </c>
      <c r="AZ10" s="13">
        <v>14410</v>
      </c>
      <c r="BA10" s="13">
        <v>17811</v>
      </c>
      <c r="BB10" s="13">
        <v>15527</v>
      </c>
      <c r="BC10" s="13">
        <v>13726</v>
      </c>
      <c r="BD10" s="14">
        <v>14843</v>
      </c>
      <c r="BE10" s="12">
        <v>11767</v>
      </c>
      <c r="BF10" s="13">
        <v>15720</v>
      </c>
      <c r="BG10" s="13">
        <v>13328</v>
      </c>
      <c r="BH10" s="13">
        <v>12797</v>
      </c>
      <c r="BI10" s="13">
        <v>15365.521784166578</v>
      </c>
      <c r="BJ10" s="13">
        <v>14116</v>
      </c>
      <c r="BK10" s="13">
        <v>13993</v>
      </c>
      <c r="BL10" s="13">
        <v>14353</v>
      </c>
      <c r="BM10" s="13">
        <v>17006</v>
      </c>
      <c r="BN10" s="13">
        <v>14117</v>
      </c>
      <c r="BO10" s="13">
        <v>14928</v>
      </c>
      <c r="BP10" s="14">
        <v>11922</v>
      </c>
      <c r="BQ10" s="12">
        <v>10893</v>
      </c>
      <c r="BR10" s="13">
        <v>14974</v>
      </c>
      <c r="BS10" s="13">
        <v>11248</v>
      </c>
      <c r="BT10" s="13">
        <v>13392</v>
      </c>
      <c r="BU10" s="13">
        <v>15799</v>
      </c>
      <c r="BV10" s="13">
        <v>12889</v>
      </c>
      <c r="BW10" s="13">
        <v>24852</v>
      </c>
      <c r="BX10" s="13">
        <v>13163</v>
      </c>
      <c r="BY10" s="13">
        <v>13599</v>
      </c>
      <c r="BZ10" s="13">
        <v>13743</v>
      </c>
      <c r="CA10" s="13">
        <v>16674</v>
      </c>
      <c r="CB10" s="14">
        <v>12209</v>
      </c>
      <c r="CC10" s="15">
        <v>13672</v>
      </c>
      <c r="CD10" s="13">
        <v>15828</v>
      </c>
      <c r="CE10" s="13">
        <v>13303</v>
      </c>
      <c r="CF10" s="13">
        <v>17281</v>
      </c>
      <c r="CG10" s="13">
        <v>12263</v>
      </c>
      <c r="CH10" s="13">
        <v>12341</v>
      </c>
      <c r="CI10" s="13">
        <v>16005</v>
      </c>
      <c r="CJ10" s="13">
        <v>11880</v>
      </c>
      <c r="CK10" s="13">
        <v>11754</v>
      </c>
      <c r="CL10" s="13">
        <v>11175</v>
      </c>
      <c r="CM10" s="13">
        <v>8213</v>
      </c>
      <c r="CN10" s="16">
        <v>7998</v>
      </c>
      <c r="CO10" s="12">
        <v>10099</v>
      </c>
      <c r="CP10" s="13">
        <v>8273</v>
      </c>
      <c r="CQ10" s="13">
        <v>8681</v>
      </c>
      <c r="CR10" s="13">
        <v>10494</v>
      </c>
      <c r="CS10" s="13">
        <v>8241</v>
      </c>
      <c r="CT10" s="13">
        <v>9108</v>
      </c>
      <c r="CU10" s="13">
        <v>8209</v>
      </c>
      <c r="CV10" s="13">
        <v>8160</v>
      </c>
      <c r="CW10" s="13">
        <v>8254</v>
      </c>
      <c r="CX10" s="13">
        <v>11550</v>
      </c>
      <c r="CY10" s="13">
        <v>7725</v>
      </c>
      <c r="CZ10" s="14">
        <v>6936</v>
      </c>
      <c r="DA10" s="12">
        <v>8728</v>
      </c>
      <c r="DB10" s="13">
        <v>7490</v>
      </c>
      <c r="DC10" s="13">
        <v>9654</v>
      </c>
      <c r="DD10" s="13">
        <v>7815</v>
      </c>
      <c r="DE10" s="13">
        <v>7728</v>
      </c>
      <c r="DF10" s="13">
        <v>10554</v>
      </c>
      <c r="DG10" s="13">
        <v>7243</v>
      </c>
      <c r="DH10" s="13">
        <v>7938</v>
      </c>
      <c r="DI10" s="13">
        <v>10043</v>
      </c>
      <c r="DJ10" s="13">
        <v>7553</v>
      </c>
      <c r="DK10" s="13">
        <v>7173</v>
      </c>
      <c r="DL10" s="14">
        <v>8538</v>
      </c>
      <c r="DM10" s="12">
        <v>6367</v>
      </c>
      <c r="DN10" s="13">
        <v>6805</v>
      </c>
      <c r="DO10" s="13">
        <v>9097</v>
      </c>
      <c r="DP10" s="13">
        <v>7012</v>
      </c>
      <c r="DQ10" s="13">
        <v>7397</v>
      </c>
      <c r="DR10" s="13">
        <v>9431</v>
      </c>
      <c r="DS10" s="13">
        <v>6945</v>
      </c>
      <c r="DT10" s="13">
        <v>7203</v>
      </c>
      <c r="DU10" s="13">
        <v>9028</v>
      </c>
      <c r="DV10" s="13">
        <v>7149</v>
      </c>
      <c r="DW10" s="13">
        <v>6892</v>
      </c>
      <c r="DX10" s="14">
        <v>7626</v>
      </c>
      <c r="DY10" s="13">
        <v>5627</v>
      </c>
      <c r="DZ10" s="13">
        <v>8827</v>
      </c>
      <c r="EA10" s="13">
        <v>6344</v>
      </c>
      <c r="EB10" s="13">
        <v>6823</v>
      </c>
      <c r="EC10" s="13">
        <v>8695</v>
      </c>
      <c r="ED10" s="13">
        <v>6790</v>
      </c>
      <c r="EE10" s="13">
        <v>6301</v>
      </c>
      <c r="EF10" s="13">
        <v>8240</v>
      </c>
      <c r="EG10" s="13">
        <v>5480</v>
      </c>
      <c r="EH10" s="13">
        <v>3609</v>
      </c>
      <c r="EI10" s="13">
        <v>4512</v>
      </c>
      <c r="EJ10" s="14">
        <v>3622</v>
      </c>
      <c r="EK10" s="13">
        <v>2129</v>
      </c>
      <c r="EL10" s="13">
        <v>3812</v>
      </c>
      <c r="EM10" s="13">
        <v>3157</v>
      </c>
      <c r="EN10" s="106">
        <v>4205</v>
      </c>
      <c r="EO10" s="13">
        <v>3354</v>
      </c>
      <c r="EP10" s="13">
        <v>2496</v>
      </c>
      <c r="EQ10" s="13">
        <v>1992</v>
      </c>
      <c r="ER10" s="13">
        <v>2994</v>
      </c>
      <c r="ES10" s="13">
        <v>3038</v>
      </c>
      <c r="ET10" s="13">
        <v>3811</v>
      </c>
      <c r="EU10" s="13">
        <v>4045</v>
      </c>
      <c r="EV10" s="14">
        <v>2908</v>
      </c>
      <c r="EW10" s="13">
        <v>3354</v>
      </c>
      <c r="EX10" s="13">
        <v>3007</v>
      </c>
      <c r="EY10" s="13">
        <v>3198</v>
      </c>
      <c r="EZ10" s="106">
        <v>4337</v>
      </c>
      <c r="FA10" s="13">
        <v>3685</v>
      </c>
      <c r="FB10" s="13">
        <v>3659</v>
      </c>
      <c r="FC10" s="13">
        <v>4130</v>
      </c>
      <c r="FD10" s="13">
        <v>4377</v>
      </c>
      <c r="FE10" s="13">
        <v>4510</v>
      </c>
      <c r="FF10" s="13">
        <v>5639</v>
      </c>
      <c r="FG10" s="13">
        <v>4259</v>
      </c>
      <c r="FH10" s="13">
        <v>3436</v>
      </c>
      <c r="FI10" s="13">
        <f>'Average Saturday Boardings'!FI10*5</f>
        <v>4549</v>
      </c>
      <c r="FJ10" s="13">
        <f>'Average Saturday Boardings'!FJ10*4</f>
        <v>4162</v>
      </c>
      <c r="FK10" s="13">
        <f>'Average Saturday Boardings'!FK10*5</f>
        <v>6153.75</v>
      </c>
      <c r="FL10" s="106">
        <v>6028</v>
      </c>
      <c r="FM10" s="13">
        <v>4801</v>
      </c>
      <c r="FN10" s="13">
        <v>5580</v>
      </c>
      <c r="FO10" s="13">
        <v>4777</v>
      </c>
      <c r="FP10" s="13">
        <v>5352</v>
      </c>
      <c r="FQ10" s="13">
        <v>5344</v>
      </c>
      <c r="FR10" s="13">
        <v>5951</v>
      </c>
      <c r="FS10" s="13">
        <v>4827</v>
      </c>
      <c r="FT10" s="16">
        <v>4747</v>
      </c>
      <c r="FU10" s="169">
        <v>4908</v>
      </c>
      <c r="FV10" s="169">
        <v>4282</v>
      </c>
      <c r="FW10" s="169">
        <v>5042</v>
      </c>
      <c r="FX10" s="169">
        <v>4166</v>
      </c>
      <c r="FY10" s="169">
        <v>4117</v>
      </c>
      <c r="FZ10" s="169">
        <v>5654</v>
      </c>
      <c r="GA10" s="169">
        <v>4148</v>
      </c>
      <c r="GB10" s="18">
        <v>4451</v>
      </c>
      <c r="GC10" s="18">
        <v>5567</v>
      </c>
      <c r="GD10" s="18">
        <v>4189</v>
      </c>
      <c r="GE10" s="18">
        <v>4133</v>
      </c>
      <c r="GF10" s="52">
        <v>4435</v>
      </c>
      <c r="GG10" s="18">
        <v>3556</v>
      </c>
      <c r="GH10" s="18">
        <v>5245</v>
      </c>
      <c r="GI10" s="184">
        <v>4155</v>
      </c>
      <c r="GJ10" s="184">
        <v>4128</v>
      </c>
      <c r="GK10" s="184">
        <v>4650</v>
      </c>
      <c r="GL10" s="184">
        <v>4045</v>
      </c>
    </row>
    <row r="11" spans="1:194" x14ac:dyDescent="0.3">
      <c r="A11" s="3" t="s">
        <v>4</v>
      </c>
      <c r="B11" s="17"/>
      <c r="C11" s="18">
        <v>2967</v>
      </c>
      <c r="D11" s="18">
        <v>3813</v>
      </c>
      <c r="E11" s="18">
        <v>3542</v>
      </c>
      <c r="F11" s="18">
        <v>3822</v>
      </c>
      <c r="G11" s="18">
        <v>3856</v>
      </c>
      <c r="H11" s="19">
        <v>3460</v>
      </c>
      <c r="I11" s="17">
        <v>3256</v>
      </c>
      <c r="J11" s="18">
        <v>3447</v>
      </c>
      <c r="K11" s="18">
        <v>4284</v>
      </c>
      <c r="L11" s="18">
        <v>4245</v>
      </c>
      <c r="M11" s="18">
        <v>4273</v>
      </c>
      <c r="N11" s="18">
        <v>5320</v>
      </c>
      <c r="O11" s="62">
        <v>5030</v>
      </c>
      <c r="P11" s="62">
        <v>4600</v>
      </c>
      <c r="Q11" s="62">
        <v>4529</v>
      </c>
      <c r="R11" s="62">
        <v>4815</v>
      </c>
      <c r="S11" s="62">
        <v>4449</v>
      </c>
      <c r="T11" s="63">
        <v>4028</v>
      </c>
      <c r="U11" s="64">
        <v>5245</v>
      </c>
      <c r="V11" s="62">
        <v>4310</v>
      </c>
      <c r="W11" s="62">
        <v>5413</v>
      </c>
      <c r="X11" s="62">
        <v>5249</v>
      </c>
      <c r="Y11" s="62">
        <v>5341</v>
      </c>
      <c r="Z11" s="62">
        <v>3718</v>
      </c>
      <c r="AA11" s="18">
        <v>4837</v>
      </c>
      <c r="AB11" s="18">
        <v>4699</v>
      </c>
      <c r="AC11" s="18">
        <v>5072</v>
      </c>
      <c r="AD11" s="18">
        <v>6305</v>
      </c>
      <c r="AE11" s="18">
        <v>4863</v>
      </c>
      <c r="AF11" s="19">
        <v>4377</v>
      </c>
      <c r="AG11" s="17">
        <v>5760</v>
      </c>
      <c r="AH11" s="18">
        <v>5014</v>
      </c>
      <c r="AI11" s="18">
        <v>5568</v>
      </c>
      <c r="AJ11" s="18">
        <v>7251</v>
      </c>
      <c r="AK11" s="18">
        <v>5367</v>
      </c>
      <c r="AL11" s="18">
        <v>6836</v>
      </c>
      <c r="AM11" s="18">
        <v>5284</v>
      </c>
      <c r="AN11" s="18">
        <v>5429</v>
      </c>
      <c r="AO11" s="18">
        <v>6295</v>
      </c>
      <c r="AP11" s="18">
        <v>5656</v>
      </c>
      <c r="AQ11" s="18">
        <v>5428</v>
      </c>
      <c r="AR11" s="19">
        <v>6839</v>
      </c>
      <c r="AS11" s="17">
        <v>5029</v>
      </c>
      <c r="AT11" s="18">
        <v>5502</v>
      </c>
      <c r="AU11" s="18">
        <v>7567</v>
      </c>
      <c r="AV11" s="18">
        <v>6276</v>
      </c>
      <c r="AW11" s="18">
        <v>6376</v>
      </c>
      <c r="AX11" s="18">
        <v>8269</v>
      </c>
      <c r="AY11" s="18">
        <v>5863</v>
      </c>
      <c r="AZ11" s="18">
        <v>6630</v>
      </c>
      <c r="BA11" s="18">
        <v>8074</v>
      </c>
      <c r="BB11" s="18">
        <v>6745</v>
      </c>
      <c r="BC11" s="18">
        <v>6126</v>
      </c>
      <c r="BD11" s="19">
        <v>6721</v>
      </c>
      <c r="BE11" s="17">
        <v>5698</v>
      </c>
      <c r="BF11" s="18">
        <v>7392</v>
      </c>
      <c r="BG11" s="18">
        <v>6265</v>
      </c>
      <c r="BH11" s="18">
        <v>6285</v>
      </c>
      <c r="BI11" s="18">
        <v>7279.6462107599618</v>
      </c>
      <c r="BJ11" s="18">
        <v>6231</v>
      </c>
      <c r="BK11" s="18">
        <v>6297</v>
      </c>
      <c r="BL11" s="18">
        <v>6454</v>
      </c>
      <c r="BM11" s="18">
        <v>7991</v>
      </c>
      <c r="BN11" s="18">
        <v>6668</v>
      </c>
      <c r="BO11" s="18">
        <v>7439</v>
      </c>
      <c r="BP11" s="19">
        <v>5768</v>
      </c>
      <c r="BQ11" s="17">
        <v>5185</v>
      </c>
      <c r="BR11" s="18">
        <v>7115</v>
      </c>
      <c r="BS11" s="18">
        <v>5573</v>
      </c>
      <c r="BT11" s="18">
        <v>6428</v>
      </c>
      <c r="BU11" s="18">
        <v>7622</v>
      </c>
      <c r="BV11" s="18">
        <v>6478</v>
      </c>
      <c r="BW11" s="18">
        <v>10756</v>
      </c>
      <c r="BX11" s="18">
        <v>6522</v>
      </c>
      <c r="BY11" s="18">
        <v>6434</v>
      </c>
      <c r="BZ11" s="18">
        <v>6753</v>
      </c>
      <c r="CA11" s="18">
        <v>7806</v>
      </c>
      <c r="CB11" s="19">
        <v>5795</v>
      </c>
      <c r="CC11" s="20">
        <v>6424</v>
      </c>
      <c r="CD11" s="18">
        <v>7287</v>
      </c>
      <c r="CE11" s="18">
        <v>6444</v>
      </c>
      <c r="CF11" s="18">
        <v>8817</v>
      </c>
      <c r="CG11" s="18">
        <v>6532</v>
      </c>
      <c r="CH11" s="18">
        <v>6392</v>
      </c>
      <c r="CI11" s="18">
        <v>7992</v>
      </c>
      <c r="CJ11" s="18">
        <v>11706</v>
      </c>
      <c r="CK11" s="18">
        <v>6553</v>
      </c>
      <c r="CL11" s="18">
        <v>8913</v>
      </c>
      <c r="CM11" s="18">
        <v>6865</v>
      </c>
      <c r="CN11" s="21">
        <v>6749</v>
      </c>
      <c r="CO11" s="17">
        <v>8351</v>
      </c>
      <c r="CP11" s="18">
        <v>6814</v>
      </c>
      <c r="CQ11" s="18">
        <v>6841</v>
      </c>
      <c r="CR11" s="18">
        <v>8740</v>
      </c>
      <c r="CS11" s="18">
        <v>6500</v>
      </c>
      <c r="CT11" s="18">
        <v>7695</v>
      </c>
      <c r="CU11" s="18">
        <v>6977</v>
      </c>
      <c r="CV11" s="18">
        <v>6658</v>
      </c>
      <c r="CW11" s="18">
        <v>6746</v>
      </c>
      <c r="CX11" s="18">
        <v>9637</v>
      </c>
      <c r="CY11" s="18">
        <v>7131</v>
      </c>
      <c r="CZ11" s="19">
        <v>6314</v>
      </c>
      <c r="DA11" s="17">
        <v>7891</v>
      </c>
      <c r="DB11" s="18">
        <v>7180</v>
      </c>
      <c r="DC11" s="18">
        <v>9117</v>
      </c>
      <c r="DD11" s="18">
        <v>7223</v>
      </c>
      <c r="DE11" s="18">
        <v>7033</v>
      </c>
      <c r="DF11" s="18">
        <v>8719</v>
      </c>
      <c r="DG11" s="18">
        <v>7047</v>
      </c>
      <c r="DH11" s="18">
        <v>6992</v>
      </c>
      <c r="DI11" s="18">
        <v>8626</v>
      </c>
      <c r="DJ11" s="18">
        <v>6532</v>
      </c>
      <c r="DK11" s="18">
        <v>6145</v>
      </c>
      <c r="DL11" s="19">
        <v>7584</v>
      </c>
      <c r="DM11" s="17">
        <v>5988</v>
      </c>
      <c r="DN11" s="18">
        <v>5991</v>
      </c>
      <c r="DO11" s="18">
        <v>7746</v>
      </c>
      <c r="DP11" s="18">
        <v>6203</v>
      </c>
      <c r="DQ11" s="18">
        <v>6509</v>
      </c>
      <c r="DR11" s="18">
        <v>8100</v>
      </c>
      <c r="DS11" s="18">
        <v>6127</v>
      </c>
      <c r="DT11" s="18">
        <v>6098</v>
      </c>
      <c r="DU11" s="18">
        <v>7775</v>
      </c>
      <c r="DV11" s="18">
        <v>6022</v>
      </c>
      <c r="DW11" s="18">
        <v>5987</v>
      </c>
      <c r="DX11" s="19">
        <v>6650</v>
      </c>
      <c r="DY11" s="100">
        <v>4883</v>
      </c>
      <c r="DZ11" s="18">
        <v>6831</v>
      </c>
      <c r="EA11" s="18">
        <v>5560</v>
      </c>
      <c r="EB11" s="18">
        <v>5865</v>
      </c>
      <c r="EC11" s="18">
        <v>7288</v>
      </c>
      <c r="ED11" s="18">
        <v>5701</v>
      </c>
      <c r="EE11" s="18">
        <v>5275</v>
      </c>
      <c r="EF11" s="18">
        <v>7106</v>
      </c>
      <c r="EG11" s="18">
        <v>4710</v>
      </c>
      <c r="EH11" s="18">
        <v>3122</v>
      </c>
      <c r="EI11" s="18">
        <v>3570</v>
      </c>
      <c r="EJ11" s="19">
        <v>2679</v>
      </c>
      <c r="EK11" s="18">
        <v>1794</v>
      </c>
      <c r="EL11" s="18">
        <v>3440</v>
      </c>
      <c r="EM11" s="18">
        <v>2989</v>
      </c>
      <c r="EN11" s="103">
        <v>3661</v>
      </c>
      <c r="EO11" s="18">
        <v>2911</v>
      </c>
      <c r="EP11" s="18">
        <v>2142</v>
      </c>
      <c r="EQ11" s="18">
        <v>1572</v>
      </c>
      <c r="ER11" s="18">
        <v>2653</v>
      </c>
      <c r="ES11" s="18">
        <v>2550</v>
      </c>
      <c r="ET11" s="18">
        <v>2608</v>
      </c>
      <c r="EU11" s="18">
        <v>3411</v>
      </c>
      <c r="EV11" s="19">
        <v>2387</v>
      </c>
      <c r="EW11" s="103">
        <v>2911</v>
      </c>
      <c r="EX11" s="18">
        <v>1934</v>
      </c>
      <c r="EY11" s="18">
        <v>2550</v>
      </c>
      <c r="EZ11" s="103">
        <v>3349</v>
      </c>
      <c r="FA11" s="18">
        <v>2920</v>
      </c>
      <c r="FB11" s="143">
        <v>3255</v>
      </c>
      <c r="FC11" s="18">
        <v>3193</v>
      </c>
      <c r="FD11" s="18">
        <v>3355</v>
      </c>
      <c r="FE11" s="143">
        <v>3479</v>
      </c>
      <c r="FF11" s="143">
        <v>4252</v>
      </c>
      <c r="FG11" s="143">
        <v>3198</v>
      </c>
      <c r="FH11" s="143">
        <v>2635</v>
      </c>
      <c r="FI11" s="103">
        <f>'Average Saturday Boardings'!FI11*5</f>
        <v>3501</v>
      </c>
      <c r="FJ11" s="18">
        <f>'Average Saturday Boardings'!FJ11*4</f>
        <v>3100</v>
      </c>
      <c r="FK11" s="18">
        <f>'Average Saturday Boardings'!FK11*5</f>
        <v>4447.5</v>
      </c>
      <c r="FL11" s="103">
        <v>4125</v>
      </c>
      <c r="FM11" s="18">
        <v>3668</v>
      </c>
      <c r="FN11" s="143">
        <v>4138</v>
      </c>
      <c r="FO11" s="18">
        <v>3738</v>
      </c>
      <c r="FP11" s="18">
        <v>4431</v>
      </c>
      <c r="FQ11" s="143">
        <v>4377</v>
      </c>
      <c r="FR11" s="143">
        <v>4930</v>
      </c>
      <c r="FS11" s="143">
        <v>4220</v>
      </c>
      <c r="FT11" s="175">
        <v>4075</v>
      </c>
      <c r="FU11" s="169">
        <v>4805</v>
      </c>
      <c r="FV11" s="169">
        <v>4049</v>
      </c>
      <c r="FW11" s="169">
        <v>4919</v>
      </c>
      <c r="FX11" s="169">
        <v>3848</v>
      </c>
      <c r="FY11" s="169">
        <v>3887</v>
      </c>
      <c r="FZ11" s="169">
        <v>4996</v>
      </c>
      <c r="GA11" s="169">
        <v>4080</v>
      </c>
      <c r="GB11" s="18">
        <v>4144</v>
      </c>
      <c r="GC11" s="18">
        <v>4946</v>
      </c>
      <c r="GD11" s="18">
        <v>3901</v>
      </c>
      <c r="GE11" s="18">
        <v>3760</v>
      </c>
      <c r="GF11" s="52">
        <v>4148</v>
      </c>
      <c r="GG11" s="18">
        <v>3497</v>
      </c>
      <c r="GH11" s="18">
        <v>4847</v>
      </c>
      <c r="GI11" s="184">
        <v>3879</v>
      </c>
      <c r="GJ11" s="184">
        <v>3638</v>
      </c>
      <c r="GK11" s="184">
        <v>4093</v>
      </c>
      <c r="GL11" s="184">
        <v>3552</v>
      </c>
    </row>
    <row r="12" spans="1:194" x14ac:dyDescent="0.3">
      <c r="A12" s="3" t="s">
        <v>5</v>
      </c>
      <c r="B12" s="17"/>
      <c r="C12" s="18">
        <v>1666</v>
      </c>
      <c r="D12" s="18">
        <v>2438</v>
      </c>
      <c r="E12" s="18">
        <v>2255</v>
      </c>
      <c r="F12" s="18">
        <v>2712</v>
      </c>
      <c r="G12" s="18">
        <v>2386</v>
      </c>
      <c r="H12" s="19">
        <v>1962</v>
      </c>
      <c r="I12" s="17">
        <v>2060</v>
      </c>
      <c r="J12" s="18">
        <v>2205</v>
      </c>
      <c r="K12" s="18">
        <v>2493</v>
      </c>
      <c r="L12" s="18">
        <v>2938</v>
      </c>
      <c r="M12" s="18">
        <v>2866</v>
      </c>
      <c r="N12" s="18">
        <v>3329</v>
      </c>
      <c r="O12" s="62">
        <v>3006</v>
      </c>
      <c r="P12" s="62">
        <v>2724</v>
      </c>
      <c r="Q12" s="62">
        <v>2799</v>
      </c>
      <c r="R12" s="62">
        <v>3440</v>
      </c>
      <c r="S12" s="62">
        <v>2661</v>
      </c>
      <c r="T12" s="63">
        <v>2689</v>
      </c>
      <c r="U12" s="64">
        <v>3450</v>
      </c>
      <c r="V12" s="62">
        <v>2670</v>
      </c>
      <c r="W12" s="62">
        <v>3249</v>
      </c>
      <c r="X12" s="62">
        <v>3117</v>
      </c>
      <c r="Y12" s="62">
        <v>2875</v>
      </c>
      <c r="Z12" s="62">
        <v>2806</v>
      </c>
      <c r="AA12" s="18">
        <v>2964</v>
      </c>
      <c r="AB12" s="18">
        <v>3047</v>
      </c>
      <c r="AC12" s="18">
        <v>3425</v>
      </c>
      <c r="AD12" s="18">
        <v>4384</v>
      </c>
      <c r="AE12" s="18">
        <v>3259</v>
      </c>
      <c r="AF12" s="19">
        <v>2903</v>
      </c>
      <c r="AG12" s="17">
        <v>3489</v>
      </c>
      <c r="AH12" s="18">
        <v>3168</v>
      </c>
      <c r="AI12" s="18">
        <v>3269</v>
      </c>
      <c r="AJ12" s="18">
        <v>4398</v>
      </c>
      <c r="AK12" s="18">
        <v>3109</v>
      </c>
      <c r="AL12" s="18">
        <v>4564</v>
      </c>
      <c r="AM12" s="18">
        <v>3368</v>
      </c>
      <c r="AN12" s="18">
        <v>3568</v>
      </c>
      <c r="AO12" s="18">
        <v>4167</v>
      </c>
      <c r="AP12" s="18">
        <v>4046</v>
      </c>
      <c r="AQ12" s="18">
        <v>3468</v>
      </c>
      <c r="AR12" s="19">
        <v>4180</v>
      </c>
      <c r="AS12" s="17">
        <v>3080</v>
      </c>
      <c r="AT12" s="18">
        <v>3557</v>
      </c>
      <c r="AU12" s="18">
        <v>4723</v>
      </c>
      <c r="AV12" s="18">
        <v>3991</v>
      </c>
      <c r="AW12" s="18">
        <v>3904</v>
      </c>
      <c r="AX12" s="18">
        <v>5055</v>
      </c>
      <c r="AY12" s="18">
        <v>3661</v>
      </c>
      <c r="AZ12" s="18">
        <v>3933</v>
      </c>
      <c r="BA12" s="18">
        <v>4932</v>
      </c>
      <c r="BB12" s="18">
        <v>4634</v>
      </c>
      <c r="BC12" s="18">
        <v>4016</v>
      </c>
      <c r="BD12" s="19">
        <v>4319</v>
      </c>
      <c r="BE12" s="17">
        <v>3598</v>
      </c>
      <c r="BF12" s="18">
        <v>4700</v>
      </c>
      <c r="BG12" s="18">
        <v>3901</v>
      </c>
      <c r="BH12" s="18">
        <v>3799</v>
      </c>
      <c r="BI12" s="18">
        <v>4510.5319310855093</v>
      </c>
      <c r="BJ12" s="18">
        <v>4072</v>
      </c>
      <c r="BK12" s="18">
        <v>3749</v>
      </c>
      <c r="BL12" s="18">
        <v>4084</v>
      </c>
      <c r="BM12" s="18">
        <v>5066</v>
      </c>
      <c r="BN12" s="18">
        <v>4295</v>
      </c>
      <c r="BO12" s="18">
        <v>4408</v>
      </c>
      <c r="BP12" s="19">
        <v>3275</v>
      </c>
      <c r="BQ12" s="17">
        <v>3394</v>
      </c>
      <c r="BR12" s="18">
        <v>4367</v>
      </c>
      <c r="BS12" s="18">
        <v>3451</v>
      </c>
      <c r="BT12" s="18">
        <v>4016</v>
      </c>
      <c r="BU12" s="18">
        <v>4391</v>
      </c>
      <c r="BV12" s="18">
        <v>3900</v>
      </c>
      <c r="BW12" s="18">
        <v>5994</v>
      </c>
      <c r="BX12" s="18">
        <v>3584</v>
      </c>
      <c r="BY12" s="18">
        <v>3854</v>
      </c>
      <c r="BZ12" s="18">
        <v>4014</v>
      </c>
      <c r="CA12" s="18">
        <v>4553</v>
      </c>
      <c r="CB12" s="19">
        <v>3647</v>
      </c>
      <c r="CC12" s="20">
        <v>3850</v>
      </c>
      <c r="CD12" s="18">
        <v>4482</v>
      </c>
      <c r="CE12" s="18">
        <v>3942</v>
      </c>
      <c r="CF12" s="18">
        <v>5219</v>
      </c>
      <c r="CG12" s="18">
        <v>4093</v>
      </c>
      <c r="CH12" s="18">
        <v>4092</v>
      </c>
      <c r="CI12" s="18">
        <v>4821</v>
      </c>
      <c r="CJ12" s="18">
        <v>3793</v>
      </c>
      <c r="CK12" s="18">
        <v>4225</v>
      </c>
      <c r="CL12" s="18">
        <v>5354</v>
      </c>
      <c r="CM12" s="18">
        <v>4063</v>
      </c>
      <c r="CN12" s="21">
        <v>4067</v>
      </c>
      <c r="CO12" s="17">
        <v>5097</v>
      </c>
      <c r="CP12" s="18">
        <v>4093</v>
      </c>
      <c r="CQ12" s="18">
        <v>4109</v>
      </c>
      <c r="CR12" s="18">
        <v>5345</v>
      </c>
      <c r="CS12" s="18">
        <v>4092</v>
      </c>
      <c r="CT12" s="18">
        <v>4691</v>
      </c>
      <c r="CU12" s="18">
        <v>4333</v>
      </c>
      <c r="CV12" s="18">
        <v>4087</v>
      </c>
      <c r="CW12" s="18">
        <v>4233</v>
      </c>
      <c r="CX12" s="18">
        <v>5517</v>
      </c>
      <c r="CY12" s="18">
        <v>3967</v>
      </c>
      <c r="CZ12" s="19">
        <v>3590</v>
      </c>
      <c r="DA12" s="17">
        <v>4714</v>
      </c>
      <c r="DB12" s="18">
        <v>3981</v>
      </c>
      <c r="DC12" s="18">
        <v>4921</v>
      </c>
      <c r="DD12" s="18">
        <v>4113</v>
      </c>
      <c r="DE12" s="18">
        <v>3777</v>
      </c>
      <c r="DF12" s="18">
        <v>4741</v>
      </c>
      <c r="DG12" s="18">
        <v>3570</v>
      </c>
      <c r="DH12" s="18">
        <v>3686</v>
      </c>
      <c r="DI12" s="18">
        <v>4788</v>
      </c>
      <c r="DJ12" s="18">
        <v>3619</v>
      </c>
      <c r="DK12" s="18">
        <v>3456</v>
      </c>
      <c r="DL12" s="19">
        <v>10776</v>
      </c>
      <c r="DM12" s="17">
        <v>3125</v>
      </c>
      <c r="DN12" s="18">
        <v>3186</v>
      </c>
      <c r="DO12" s="18">
        <v>4409</v>
      </c>
      <c r="DP12" s="18">
        <v>3305</v>
      </c>
      <c r="DQ12" s="18">
        <v>3250</v>
      </c>
      <c r="DR12" s="18">
        <v>4414</v>
      </c>
      <c r="DS12" s="18">
        <v>3083</v>
      </c>
      <c r="DT12" s="18">
        <v>3251</v>
      </c>
      <c r="DU12" s="18">
        <v>4483</v>
      </c>
      <c r="DV12" s="18">
        <v>3484</v>
      </c>
      <c r="DW12" s="18">
        <v>3283</v>
      </c>
      <c r="DX12" s="19">
        <v>3787</v>
      </c>
      <c r="DY12" s="100">
        <v>2772</v>
      </c>
      <c r="DZ12" s="18">
        <v>3687</v>
      </c>
      <c r="EA12" s="18">
        <v>3090</v>
      </c>
      <c r="EB12" s="18">
        <v>3020</v>
      </c>
      <c r="EC12" s="18">
        <v>3492</v>
      </c>
      <c r="ED12" s="18">
        <v>2998</v>
      </c>
      <c r="EE12" s="18">
        <v>2702</v>
      </c>
      <c r="EF12" s="18">
        <v>3340</v>
      </c>
      <c r="EG12" s="18">
        <v>2422</v>
      </c>
      <c r="EH12" s="18">
        <v>1603</v>
      </c>
      <c r="EI12" s="18">
        <v>1801</v>
      </c>
      <c r="EJ12" s="19">
        <v>1370</v>
      </c>
      <c r="EK12" s="18">
        <v>931</v>
      </c>
      <c r="EL12" s="18">
        <v>1711</v>
      </c>
      <c r="EM12" s="18">
        <v>1368</v>
      </c>
      <c r="EN12" s="103">
        <v>1755</v>
      </c>
      <c r="EO12" s="18">
        <v>1548</v>
      </c>
      <c r="EP12" s="18">
        <v>1018</v>
      </c>
      <c r="EQ12" s="18">
        <v>780</v>
      </c>
      <c r="ER12" s="18">
        <v>1287</v>
      </c>
      <c r="ES12" s="18">
        <v>1373</v>
      </c>
      <c r="ET12" s="18">
        <v>1586</v>
      </c>
      <c r="EU12" s="18">
        <v>1699</v>
      </c>
      <c r="EV12" s="19">
        <v>1311</v>
      </c>
      <c r="EW12" s="103">
        <v>1548</v>
      </c>
      <c r="EX12" s="18">
        <v>1173</v>
      </c>
      <c r="EY12" s="18">
        <v>1447</v>
      </c>
      <c r="EZ12" s="103">
        <v>1987</v>
      </c>
      <c r="FA12" s="18">
        <v>1863</v>
      </c>
      <c r="FB12" s="143">
        <v>1645</v>
      </c>
      <c r="FC12" s="18">
        <v>1759</v>
      </c>
      <c r="FD12" s="18">
        <v>1888</v>
      </c>
      <c r="FE12" s="143">
        <v>2223</v>
      </c>
      <c r="FF12" s="143">
        <v>2445</v>
      </c>
      <c r="FG12" s="143">
        <v>1810</v>
      </c>
      <c r="FH12" s="143">
        <v>1580</v>
      </c>
      <c r="FI12" s="103">
        <f>'Average Saturday Boardings'!FI12*5</f>
        <v>1988</v>
      </c>
      <c r="FJ12" s="18">
        <f>'Average Saturday Boardings'!FJ12*4</f>
        <v>1762</v>
      </c>
      <c r="FK12" s="18">
        <f>'Average Saturday Boardings'!FK12*5</f>
        <v>2015</v>
      </c>
      <c r="FL12" s="103">
        <v>2271</v>
      </c>
      <c r="FM12" s="18">
        <v>1894</v>
      </c>
      <c r="FN12" s="143">
        <v>2041</v>
      </c>
      <c r="FO12" s="18">
        <v>1839</v>
      </c>
      <c r="FP12" s="18">
        <v>2098</v>
      </c>
      <c r="FQ12" s="143">
        <v>2199</v>
      </c>
      <c r="FR12" s="143">
        <v>2300</v>
      </c>
      <c r="FS12" s="143">
        <v>2020</v>
      </c>
      <c r="FT12" s="175">
        <v>2063</v>
      </c>
      <c r="FU12" s="169">
        <v>2498</v>
      </c>
      <c r="FV12" s="169">
        <v>1941</v>
      </c>
      <c r="FW12" s="169">
        <v>2483</v>
      </c>
      <c r="FX12" s="169">
        <v>2098</v>
      </c>
      <c r="FY12" s="169">
        <v>2035</v>
      </c>
      <c r="FZ12" s="169">
        <v>2639</v>
      </c>
      <c r="GA12" s="169">
        <v>2059</v>
      </c>
      <c r="GB12" s="18">
        <v>2293</v>
      </c>
      <c r="GC12" s="18">
        <v>2909</v>
      </c>
      <c r="GD12" s="18">
        <v>2212</v>
      </c>
      <c r="GE12" s="18">
        <v>2085</v>
      </c>
      <c r="GF12" s="52">
        <v>2258</v>
      </c>
      <c r="GG12" s="18">
        <v>1958</v>
      </c>
      <c r="GH12" s="18">
        <v>2635</v>
      </c>
      <c r="GI12" s="184">
        <v>2063</v>
      </c>
      <c r="GJ12" s="184">
        <v>1892</v>
      </c>
      <c r="GK12" s="184">
        <v>2169</v>
      </c>
      <c r="GL12" s="184">
        <v>2025</v>
      </c>
    </row>
    <row r="13" spans="1:194" x14ac:dyDescent="0.3">
      <c r="A13" s="3" t="s">
        <v>6</v>
      </c>
      <c r="B13" s="17"/>
      <c r="C13" s="18">
        <v>4036</v>
      </c>
      <c r="D13" s="18">
        <v>5419</v>
      </c>
      <c r="E13" s="18">
        <v>4465</v>
      </c>
      <c r="F13" s="18">
        <v>4905</v>
      </c>
      <c r="G13" s="18">
        <v>3640</v>
      </c>
      <c r="H13" s="19">
        <v>3124</v>
      </c>
      <c r="I13" s="17">
        <v>2981</v>
      </c>
      <c r="J13" s="18">
        <v>2841</v>
      </c>
      <c r="K13" s="18">
        <v>3670</v>
      </c>
      <c r="L13" s="18">
        <v>4187</v>
      </c>
      <c r="M13" s="18">
        <v>3792</v>
      </c>
      <c r="N13" s="18">
        <v>6314</v>
      </c>
      <c r="O13" s="62">
        <v>6127</v>
      </c>
      <c r="P13" s="62">
        <v>4119</v>
      </c>
      <c r="Q13" s="62">
        <v>4441</v>
      </c>
      <c r="R13" s="62">
        <v>4438</v>
      </c>
      <c r="S13" s="62">
        <v>4040</v>
      </c>
      <c r="T13" s="63">
        <v>3086</v>
      </c>
      <c r="U13" s="64">
        <v>3236</v>
      </c>
      <c r="V13" s="62">
        <v>3052</v>
      </c>
      <c r="W13" s="62">
        <v>3699</v>
      </c>
      <c r="X13" s="62">
        <v>3159</v>
      </c>
      <c r="Y13" s="62">
        <v>3635</v>
      </c>
      <c r="Z13" s="62">
        <v>4371</v>
      </c>
      <c r="AA13" s="18">
        <v>3418</v>
      </c>
      <c r="AB13" s="18">
        <v>3345</v>
      </c>
      <c r="AC13" s="18">
        <v>4384</v>
      </c>
      <c r="AD13" s="18">
        <v>5361</v>
      </c>
      <c r="AE13" s="18">
        <v>3456</v>
      </c>
      <c r="AF13" s="19">
        <v>2921</v>
      </c>
      <c r="AG13" s="17">
        <v>3494</v>
      </c>
      <c r="AH13" s="18">
        <v>2975</v>
      </c>
      <c r="AI13" s="18">
        <v>3683</v>
      </c>
      <c r="AJ13" s="18">
        <v>4661</v>
      </c>
      <c r="AK13" s="18">
        <v>3262</v>
      </c>
      <c r="AL13" s="18">
        <v>6930</v>
      </c>
      <c r="AM13" s="18">
        <v>3481</v>
      </c>
      <c r="AN13" s="18">
        <v>3978</v>
      </c>
      <c r="AO13" s="18">
        <v>4880</v>
      </c>
      <c r="AP13" s="18">
        <v>4485</v>
      </c>
      <c r="AQ13" s="18">
        <v>3557</v>
      </c>
      <c r="AR13" s="19">
        <v>3811</v>
      </c>
      <c r="AS13" s="17">
        <v>2796</v>
      </c>
      <c r="AT13" s="18">
        <v>2883</v>
      </c>
      <c r="AU13" s="18">
        <v>4263</v>
      </c>
      <c r="AV13" s="18">
        <v>3946</v>
      </c>
      <c r="AW13" s="18">
        <v>3591</v>
      </c>
      <c r="AX13" s="18">
        <v>8332</v>
      </c>
      <c r="AY13" s="18">
        <v>3241</v>
      </c>
      <c r="AZ13" s="18">
        <v>3794</v>
      </c>
      <c r="BA13" s="18">
        <v>4740</v>
      </c>
      <c r="BB13" s="18">
        <v>4820</v>
      </c>
      <c r="BC13" s="18">
        <v>3681</v>
      </c>
      <c r="BD13" s="19">
        <v>3618</v>
      </c>
      <c r="BE13" s="17">
        <v>2911</v>
      </c>
      <c r="BF13" s="18">
        <v>3646</v>
      </c>
      <c r="BG13" s="18">
        <v>3549</v>
      </c>
      <c r="BH13" s="18">
        <v>3569</v>
      </c>
      <c r="BI13" s="18">
        <v>4399.8023676144167</v>
      </c>
      <c r="BJ13" s="18">
        <v>6492</v>
      </c>
      <c r="BK13" s="18">
        <v>3358</v>
      </c>
      <c r="BL13" s="18">
        <v>3453</v>
      </c>
      <c r="BM13" s="18">
        <v>4561</v>
      </c>
      <c r="BN13" s="18">
        <v>4065</v>
      </c>
      <c r="BO13" s="18">
        <v>3790</v>
      </c>
      <c r="BP13" s="19">
        <v>3265</v>
      </c>
      <c r="BQ13" s="17">
        <v>2444</v>
      </c>
      <c r="BR13" s="18">
        <v>3433</v>
      </c>
      <c r="BS13" s="18">
        <v>2782</v>
      </c>
      <c r="BT13" s="18">
        <v>3680</v>
      </c>
      <c r="BU13" s="18">
        <v>4393</v>
      </c>
      <c r="BV13" s="18">
        <v>6136</v>
      </c>
      <c r="BW13" s="18">
        <v>7733</v>
      </c>
      <c r="BX13" s="18">
        <v>3665</v>
      </c>
      <c r="BY13" s="18">
        <v>3824</v>
      </c>
      <c r="BZ13" s="18">
        <v>3984</v>
      </c>
      <c r="CA13" s="18">
        <v>4970</v>
      </c>
      <c r="CB13" s="19">
        <v>2599</v>
      </c>
      <c r="CC13" s="20">
        <v>3524</v>
      </c>
      <c r="CD13" s="18">
        <v>3014</v>
      </c>
      <c r="CE13" s="18">
        <v>3269</v>
      </c>
      <c r="CF13" s="18">
        <v>4631</v>
      </c>
      <c r="CG13" s="18">
        <v>3422</v>
      </c>
      <c r="CH13" s="18">
        <v>5080</v>
      </c>
      <c r="CI13" s="18">
        <v>5792</v>
      </c>
      <c r="CJ13" s="18">
        <v>3363</v>
      </c>
      <c r="CK13" s="18">
        <v>3665</v>
      </c>
      <c r="CL13" s="18">
        <v>4896</v>
      </c>
      <c r="CM13" s="18">
        <v>3388</v>
      </c>
      <c r="CN13" s="21">
        <v>2910</v>
      </c>
      <c r="CO13" s="17">
        <v>3318</v>
      </c>
      <c r="CP13" s="18">
        <v>2756</v>
      </c>
      <c r="CQ13" s="18">
        <v>3276</v>
      </c>
      <c r="CR13" s="18">
        <v>4005</v>
      </c>
      <c r="CS13" s="18">
        <v>2913</v>
      </c>
      <c r="CT13" s="18">
        <v>6025</v>
      </c>
      <c r="CU13" s="18">
        <v>3073</v>
      </c>
      <c r="CV13" s="18">
        <v>2973</v>
      </c>
      <c r="CW13" s="18">
        <v>3364</v>
      </c>
      <c r="CX13" s="18">
        <v>5501</v>
      </c>
      <c r="CY13" s="18">
        <v>3325</v>
      </c>
      <c r="CZ13" s="19">
        <v>2608</v>
      </c>
      <c r="DA13" s="17">
        <v>2964</v>
      </c>
      <c r="DB13" s="18">
        <v>2540</v>
      </c>
      <c r="DC13" s="18">
        <v>3348</v>
      </c>
      <c r="DD13" s="18">
        <v>3762</v>
      </c>
      <c r="DE13" s="18">
        <v>3498</v>
      </c>
      <c r="DF13" s="18">
        <v>6213</v>
      </c>
      <c r="DG13" s="18">
        <v>2527</v>
      </c>
      <c r="DH13" s="18">
        <v>3061</v>
      </c>
      <c r="DI13" s="18">
        <v>4193</v>
      </c>
      <c r="DJ13" s="18">
        <v>3242</v>
      </c>
      <c r="DK13" s="18">
        <v>2870</v>
      </c>
      <c r="DL13" s="19">
        <v>3229</v>
      </c>
      <c r="DM13" s="17">
        <v>2131</v>
      </c>
      <c r="DN13" s="18">
        <v>2176</v>
      </c>
      <c r="DO13" s="18">
        <v>3050</v>
      </c>
      <c r="DP13" s="18">
        <v>2322</v>
      </c>
      <c r="DQ13" s="18">
        <v>2701</v>
      </c>
      <c r="DR13" s="18">
        <v>5983</v>
      </c>
      <c r="DS13" s="18">
        <v>2696</v>
      </c>
      <c r="DT13" s="18">
        <v>2557</v>
      </c>
      <c r="DU13" s="18">
        <v>4230</v>
      </c>
      <c r="DV13" s="18">
        <v>3221</v>
      </c>
      <c r="DW13" s="18">
        <v>2753</v>
      </c>
      <c r="DX13" s="19">
        <v>3052</v>
      </c>
      <c r="DY13" s="100">
        <v>1978</v>
      </c>
      <c r="DZ13" s="18">
        <v>2688</v>
      </c>
      <c r="EA13" s="18">
        <v>2448</v>
      </c>
      <c r="EB13" s="18">
        <v>2448</v>
      </c>
      <c r="EC13" s="18">
        <v>3273</v>
      </c>
      <c r="ED13" s="18">
        <v>3929</v>
      </c>
      <c r="EE13" s="18">
        <v>2677</v>
      </c>
      <c r="EF13" s="18">
        <v>3034</v>
      </c>
      <c r="EG13" s="18">
        <v>1801</v>
      </c>
      <c r="EH13" s="18">
        <v>1022</v>
      </c>
      <c r="EI13" s="18">
        <v>1217</v>
      </c>
      <c r="EJ13" s="19">
        <v>998</v>
      </c>
      <c r="EK13" s="18">
        <v>657</v>
      </c>
      <c r="EL13" s="18">
        <v>1147</v>
      </c>
      <c r="EM13" s="18">
        <v>1052</v>
      </c>
      <c r="EN13" s="103">
        <v>1378</v>
      </c>
      <c r="EO13" s="18">
        <v>1413</v>
      </c>
      <c r="EP13" s="18">
        <v>733</v>
      </c>
      <c r="EQ13" s="18">
        <v>653</v>
      </c>
      <c r="ER13" s="18">
        <v>1033</v>
      </c>
      <c r="ES13" s="18">
        <v>1019</v>
      </c>
      <c r="ET13" s="18">
        <v>1254</v>
      </c>
      <c r="EU13" s="18">
        <v>1458</v>
      </c>
      <c r="EV13" s="19">
        <v>1146</v>
      </c>
      <c r="EW13" s="103">
        <v>1413</v>
      </c>
      <c r="EX13" s="18">
        <v>1064</v>
      </c>
      <c r="EY13" s="18">
        <v>1160</v>
      </c>
      <c r="EZ13" s="103">
        <v>1687</v>
      </c>
      <c r="FA13" s="18">
        <v>1651</v>
      </c>
      <c r="FB13" s="143">
        <v>2548</v>
      </c>
      <c r="FC13" s="18">
        <v>1383</v>
      </c>
      <c r="FD13" s="18">
        <v>1537</v>
      </c>
      <c r="FE13" s="143">
        <v>2066</v>
      </c>
      <c r="FF13" s="143">
        <v>1988</v>
      </c>
      <c r="FG13" s="143">
        <v>1664</v>
      </c>
      <c r="FH13" s="143">
        <v>1165</v>
      </c>
      <c r="FI13" s="103">
        <f>'Average Saturday Boardings'!FI13*5</f>
        <v>1452</v>
      </c>
      <c r="FJ13" s="18">
        <f>'Average Saturday Boardings'!FJ13*4</f>
        <v>1345</v>
      </c>
      <c r="FK13" s="18">
        <f>'Average Saturday Boardings'!FK13*5</f>
        <v>1726.25</v>
      </c>
      <c r="FL13" s="103">
        <v>1775</v>
      </c>
      <c r="FM13" s="18">
        <v>1753</v>
      </c>
      <c r="FN13" s="143">
        <v>2457</v>
      </c>
      <c r="FO13" s="18">
        <v>1553</v>
      </c>
      <c r="FP13" s="18">
        <v>3707</v>
      </c>
      <c r="FQ13" s="143">
        <v>2032</v>
      </c>
      <c r="FR13" s="143">
        <v>2393</v>
      </c>
      <c r="FS13" s="143">
        <v>1879</v>
      </c>
      <c r="FT13" s="175">
        <v>1951</v>
      </c>
      <c r="FU13" s="169">
        <v>2040</v>
      </c>
      <c r="FV13" s="169">
        <v>1552</v>
      </c>
      <c r="FW13" s="169">
        <v>2154</v>
      </c>
      <c r="FX13" s="169">
        <v>2170</v>
      </c>
      <c r="FY13" s="169">
        <v>1902</v>
      </c>
      <c r="FZ13" s="169">
        <v>3483</v>
      </c>
      <c r="GA13" s="169">
        <v>1851</v>
      </c>
      <c r="GB13" s="18">
        <v>2181</v>
      </c>
      <c r="GC13" s="18">
        <v>2775</v>
      </c>
      <c r="GD13" s="18">
        <v>1975</v>
      </c>
      <c r="GE13" s="18">
        <v>2113</v>
      </c>
      <c r="GF13" s="52">
        <v>1757</v>
      </c>
      <c r="GG13" s="18">
        <v>1808</v>
      </c>
      <c r="GH13" s="18">
        <v>2050</v>
      </c>
      <c r="GI13" s="184">
        <v>1630</v>
      </c>
      <c r="GJ13" s="184">
        <v>1680</v>
      </c>
      <c r="GK13" s="184">
        <v>2169</v>
      </c>
      <c r="GL13" s="184">
        <v>3006</v>
      </c>
    </row>
    <row r="14" spans="1:194" x14ac:dyDescent="0.3">
      <c r="A14" s="3" t="s">
        <v>7</v>
      </c>
      <c r="B14" s="17"/>
      <c r="C14" s="18">
        <v>1296</v>
      </c>
      <c r="D14" s="18">
        <v>1673</v>
      </c>
      <c r="E14" s="18">
        <v>1380</v>
      </c>
      <c r="F14" s="18">
        <v>1475</v>
      </c>
      <c r="G14" s="18">
        <v>1105</v>
      </c>
      <c r="H14" s="19">
        <v>768</v>
      </c>
      <c r="I14" s="17">
        <v>1694</v>
      </c>
      <c r="J14" s="18">
        <v>783</v>
      </c>
      <c r="K14" s="18">
        <v>1340</v>
      </c>
      <c r="L14" s="18">
        <v>1794</v>
      </c>
      <c r="M14" s="18">
        <v>1259</v>
      </c>
      <c r="N14" s="18">
        <v>1802</v>
      </c>
      <c r="O14" s="62">
        <v>1466</v>
      </c>
      <c r="P14" s="62">
        <v>1511</v>
      </c>
      <c r="Q14" s="62">
        <v>1253</v>
      </c>
      <c r="R14" s="62">
        <v>1384</v>
      </c>
      <c r="S14" s="62">
        <v>1189</v>
      </c>
      <c r="T14" s="63">
        <v>942</v>
      </c>
      <c r="U14" s="64">
        <v>906</v>
      </c>
      <c r="V14" s="62">
        <v>1108</v>
      </c>
      <c r="W14" s="62">
        <v>1607</v>
      </c>
      <c r="X14" s="62">
        <v>1864</v>
      </c>
      <c r="Y14" s="62">
        <v>1648</v>
      </c>
      <c r="Z14" s="62">
        <v>1569</v>
      </c>
      <c r="AA14" s="18">
        <v>1600</v>
      </c>
      <c r="AB14" s="18">
        <v>1561</v>
      </c>
      <c r="AC14" s="18">
        <v>1540</v>
      </c>
      <c r="AD14" s="18">
        <v>1955</v>
      </c>
      <c r="AE14" s="18">
        <v>1420</v>
      </c>
      <c r="AF14" s="19">
        <v>1014</v>
      </c>
      <c r="AG14" s="17">
        <v>985</v>
      </c>
      <c r="AH14" s="18">
        <v>1042</v>
      </c>
      <c r="AI14" s="18">
        <v>1358</v>
      </c>
      <c r="AJ14" s="18">
        <v>2303</v>
      </c>
      <c r="AK14" s="18">
        <v>1371</v>
      </c>
      <c r="AL14" s="18">
        <v>1971</v>
      </c>
      <c r="AM14" s="18">
        <v>1410</v>
      </c>
      <c r="AN14" s="18">
        <v>1757</v>
      </c>
      <c r="AO14" s="18">
        <v>1900</v>
      </c>
      <c r="AP14" s="18">
        <v>1910</v>
      </c>
      <c r="AQ14" s="18">
        <v>1532</v>
      </c>
      <c r="AR14" s="19">
        <v>1610</v>
      </c>
      <c r="AS14" s="17">
        <v>1150</v>
      </c>
      <c r="AT14" s="18">
        <v>1422</v>
      </c>
      <c r="AU14" s="18">
        <v>1905</v>
      </c>
      <c r="AV14" s="18">
        <v>2062</v>
      </c>
      <c r="AW14" s="18">
        <v>1844</v>
      </c>
      <c r="AX14" s="18">
        <v>2460</v>
      </c>
      <c r="AY14" s="18">
        <v>1451</v>
      </c>
      <c r="AZ14" s="18">
        <v>2086</v>
      </c>
      <c r="BA14" s="18">
        <v>2083</v>
      </c>
      <c r="BB14" s="18">
        <v>2112</v>
      </c>
      <c r="BC14" s="18">
        <v>1809</v>
      </c>
      <c r="BD14" s="19">
        <v>1463</v>
      </c>
      <c r="BE14" s="17">
        <v>1122</v>
      </c>
      <c r="BF14" s="18">
        <v>1827</v>
      </c>
      <c r="BG14" s="18">
        <v>1688</v>
      </c>
      <c r="BH14" s="18">
        <v>1850</v>
      </c>
      <c r="BI14" s="18">
        <v>2218.1760913222706</v>
      </c>
      <c r="BJ14" s="18">
        <v>1948</v>
      </c>
      <c r="BK14" s="18">
        <v>1409</v>
      </c>
      <c r="BL14" s="18">
        <v>1909</v>
      </c>
      <c r="BM14" s="18">
        <v>2567</v>
      </c>
      <c r="BN14" s="18">
        <v>1686</v>
      </c>
      <c r="BO14" s="18">
        <v>1779</v>
      </c>
      <c r="BP14" s="19">
        <v>1323</v>
      </c>
      <c r="BQ14" s="17">
        <v>1028</v>
      </c>
      <c r="BR14" s="18">
        <v>1597</v>
      </c>
      <c r="BS14" s="18">
        <v>1495</v>
      </c>
      <c r="BT14" s="18">
        <v>1641</v>
      </c>
      <c r="BU14" s="18">
        <v>1860</v>
      </c>
      <c r="BV14" s="18">
        <v>2121</v>
      </c>
      <c r="BW14" s="18">
        <v>2872</v>
      </c>
      <c r="BX14" s="18">
        <v>1723</v>
      </c>
      <c r="BY14" s="18">
        <v>1802</v>
      </c>
      <c r="BZ14" s="18">
        <v>1636</v>
      </c>
      <c r="CA14" s="18">
        <v>2601</v>
      </c>
      <c r="CB14" s="19">
        <v>1273</v>
      </c>
      <c r="CC14" s="20">
        <v>2000</v>
      </c>
      <c r="CD14" s="18">
        <v>1561</v>
      </c>
      <c r="CE14" s="18">
        <v>1600</v>
      </c>
      <c r="CF14" s="18">
        <v>2066</v>
      </c>
      <c r="CG14" s="18">
        <v>1663</v>
      </c>
      <c r="CH14" s="18">
        <v>1878</v>
      </c>
      <c r="CI14" s="18">
        <v>1854</v>
      </c>
      <c r="CJ14" s="18">
        <v>1637</v>
      </c>
      <c r="CK14" s="18">
        <v>1579</v>
      </c>
      <c r="CL14" s="18">
        <v>2399</v>
      </c>
      <c r="CM14" s="18">
        <v>1367</v>
      </c>
      <c r="CN14" s="21">
        <v>1179</v>
      </c>
      <c r="CO14" s="17">
        <v>1451</v>
      </c>
      <c r="CP14" s="18">
        <v>1442</v>
      </c>
      <c r="CQ14" s="18">
        <v>1753</v>
      </c>
      <c r="CR14" s="18">
        <v>1886</v>
      </c>
      <c r="CS14" s="18">
        <v>1384</v>
      </c>
      <c r="CT14" s="18">
        <v>1766</v>
      </c>
      <c r="CU14" s="18">
        <v>1430</v>
      </c>
      <c r="CV14" s="18">
        <v>1501</v>
      </c>
      <c r="CW14" s="18">
        <v>1517</v>
      </c>
      <c r="CX14" s="18">
        <v>2451</v>
      </c>
      <c r="CY14" s="18">
        <v>1386</v>
      </c>
      <c r="CZ14" s="19">
        <v>1170</v>
      </c>
      <c r="DA14" s="17">
        <v>1417</v>
      </c>
      <c r="DB14" s="18">
        <v>1411</v>
      </c>
      <c r="DC14" s="18">
        <v>1932</v>
      </c>
      <c r="DD14" s="18">
        <v>2139</v>
      </c>
      <c r="DE14" s="18">
        <v>1654</v>
      </c>
      <c r="DF14" s="18">
        <v>1941</v>
      </c>
      <c r="DG14" s="18">
        <v>1433</v>
      </c>
      <c r="DH14" s="18">
        <v>1548</v>
      </c>
      <c r="DI14" s="18">
        <v>2004</v>
      </c>
      <c r="DJ14" s="18">
        <v>1555</v>
      </c>
      <c r="DK14" s="18">
        <v>1634</v>
      </c>
      <c r="DL14" s="19">
        <v>1634</v>
      </c>
      <c r="DM14" s="17">
        <v>980</v>
      </c>
      <c r="DN14" s="18">
        <v>1115</v>
      </c>
      <c r="DO14" s="18">
        <v>1691</v>
      </c>
      <c r="DP14" s="18">
        <v>1420</v>
      </c>
      <c r="DQ14" s="18">
        <v>1624</v>
      </c>
      <c r="DR14" s="18">
        <v>2052</v>
      </c>
      <c r="DS14" s="18">
        <v>1446</v>
      </c>
      <c r="DT14" s="18">
        <v>1336</v>
      </c>
      <c r="DU14" s="18">
        <v>2077</v>
      </c>
      <c r="DV14" s="18">
        <v>1493</v>
      </c>
      <c r="DW14" s="18">
        <v>1201</v>
      </c>
      <c r="DX14" s="19">
        <v>1269</v>
      </c>
      <c r="DY14" s="100">
        <v>866</v>
      </c>
      <c r="DZ14" s="18">
        <v>1252</v>
      </c>
      <c r="EA14" s="18">
        <v>1181</v>
      </c>
      <c r="EB14" s="18">
        <v>1385</v>
      </c>
      <c r="EC14" s="18">
        <v>1744</v>
      </c>
      <c r="ED14" s="18">
        <v>1673</v>
      </c>
      <c r="EE14" s="18">
        <v>1161</v>
      </c>
      <c r="EF14" s="18">
        <v>1671</v>
      </c>
      <c r="EG14" s="18">
        <v>943</v>
      </c>
      <c r="EH14" s="18">
        <v>564</v>
      </c>
      <c r="EI14" s="18">
        <v>676</v>
      </c>
      <c r="EJ14" s="19">
        <v>515</v>
      </c>
      <c r="EK14" s="18">
        <v>313</v>
      </c>
      <c r="EL14" s="18">
        <v>652</v>
      </c>
      <c r="EM14" s="18">
        <v>512</v>
      </c>
      <c r="EN14" s="103">
        <v>808</v>
      </c>
      <c r="EO14" s="18">
        <v>724</v>
      </c>
      <c r="EP14" s="18">
        <v>442</v>
      </c>
      <c r="EQ14" s="18">
        <v>369</v>
      </c>
      <c r="ER14" s="18">
        <v>573</v>
      </c>
      <c r="ES14" s="18">
        <v>626</v>
      </c>
      <c r="ET14" s="18">
        <v>725</v>
      </c>
      <c r="EU14" s="18">
        <v>776</v>
      </c>
      <c r="EV14" s="19">
        <v>601</v>
      </c>
      <c r="EW14" s="103">
        <v>724</v>
      </c>
      <c r="EX14" s="18">
        <v>640</v>
      </c>
      <c r="EY14" s="18">
        <v>772</v>
      </c>
      <c r="EZ14" s="103">
        <v>931</v>
      </c>
      <c r="FA14" s="18">
        <v>884</v>
      </c>
      <c r="FB14" s="143">
        <v>799</v>
      </c>
      <c r="FC14" s="18">
        <v>737</v>
      </c>
      <c r="FD14" s="18">
        <v>831</v>
      </c>
      <c r="FE14" s="143">
        <v>939</v>
      </c>
      <c r="FF14" s="143">
        <v>917</v>
      </c>
      <c r="FG14" s="143">
        <v>722</v>
      </c>
      <c r="FH14" s="143">
        <v>547</v>
      </c>
      <c r="FI14" s="103">
        <f>'Average Saturday Boardings'!FI14*5</f>
        <v>609</v>
      </c>
      <c r="FJ14" s="18">
        <f>'Average Saturday Boardings'!FJ14*4</f>
        <v>573</v>
      </c>
      <c r="FK14" s="18">
        <f>'Average Saturday Boardings'!FK14*5</f>
        <v>892.5</v>
      </c>
      <c r="FL14" s="103">
        <v>796</v>
      </c>
      <c r="FM14" s="18">
        <v>699</v>
      </c>
      <c r="FN14" s="143">
        <v>722</v>
      </c>
      <c r="FO14" s="18">
        <v>774</v>
      </c>
      <c r="FP14" s="18">
        <v>1122</v>
      </c>
      <c r="FQ14" s="143">
        <v>841</v>
      </c>
      <c r="FR14" s="143">
        <v>826</v>
      </c>
      <c r="FS14" s="143">
        <v>766</v>
      </c>
      <c r="FT14" s="175">
        <v>758</v>
      </c>
      <c r="FU14" s="169">
        <v>860</v>
      </c>
      <c r="FV14" s="169">
        <v>657</v>
      </c>
      <c r="FW14" s="169">
        <v>867</v>
      </c>
      <c r="FX14" s="169">
        <v>711</v>
      </c>
      <c r="FY14" s="169">
        <v>690</v>
      </c>
      <c r="FZ14" s="169">
        <v>978</v>
      </c>
      <c r="GA14" s="169">
        <v>774</v>
      </c>
      <c r="GB14" s="18">
        <v>879</v>
      </c>
      <c r="GC14" s="18">
        <v>1155</v>
      </c>
      <c r="GD14" s="18">
        <v>831</v>
      </c>
      <c r="GE14" s="18">
        <v>801</v>
      </c>
      <c r="GF14" s="52">
        <v>857</v>
      </c>
      <c r="GG14" s="18">
        <v>756</v>
      </c>
      <c r="GH14" s="18">
        <v>944</v>
      </c>
      <c r="GI14" s="184">
        <v>810</v>
      </c>
      <c r="GJ14" s="184">
        <v>714</v>
      </c>
      <c r="GK14" s="184">
        <v>1088</v>
      </c>
      <c r="GL14" s="184">
        <v>816</v>
      </c>
    </row>
    <row r="15" spans="1:194" x14ac:dyDescent="0.3">
      <c r="A15" s="3" t="s">
        <v>8</v>
      </c>
      <c r="B15" s="17"/>
      <c r="C15" s="18">
        <v>5141</v>
      </c>
      <c r="D15" s="18">
        <v>4240</v>
      </c>
      <c r="E15" s="18">
        <v>4051</v>
      </c>
      <c r="F15" s="18">
        <v>6950</v>
      </c>
      <c r="G15" s="18">
        <v>3546</v>
      </c>
      <c r="H15" s="19">
        <v>3149</v>
      </c>
      <c r="I15" s="17">
        <v>3883</v>
      </c>
      <c r="J15" s="18">
        <v>3096</v>
      </c>
      <c r="K15" s="18">
        <v>3577</v>
      </c>
      <c r="L15" s="18">
        <v>3752</v>
      </c>
      <c r="M15" s="18">
        <v>3650</v>
      </c>
      <c r="N15" s="18">
        <v>4034</v>
      </c>
      <c r="O15" s="62">
        <v>4133</v>
      </c>
      <c r="P15" s="62">
        <v>4262</v>
      </c>
      <c r="Q15" s="62">
        <v>4107</v>
      </c>
      <c r="R15" s="62">
        <v>6721</v>
      </c>
      <c r="S15" s="62">
        <v>3846</v>
      </c>
      <c r="T15" s="63">
        <v>3432</v>
      </c>
      <c r="U15" s="64">
        <v>3983</v>
      </c>
      <c r="V15" s="62">
        <v>3305</v>
      </c>
      <c r="W15" s="62">
        <v>3917</v>
      </c>
      <c r="X15" s="62">
        <v>3854</v>
      </c>
      <c r="Y15" s="62">
        <v>3946</v>
      </c>
      <c r="Z15" s="62">
        <v>3043</v>
      </c>
      <c r="AA15" s="18">
        <v>4000</v>
      </c>
      <c r="AB15" s="18">
        <v>4936</v>
      </c>
      <c r="AC15" s="18">
        <v>4272</v>
      </c>
      <c r="AD15" s="18">
        <v>7961</v>
      </c>
      <c r="AE15" s="18">
        <v>3878</v>
      </c>
      <c r="AF15" s="19">
        <v>3484</v>
      </c>
      <c r="AG15" s="17">
        <v>4534</v>
      </c>
      <c r="AH15" s="18">
        <v>3627</v>
      </c>
      <c r="AI15" s="18">
        <v>4159</v>
      </c>
      <c r="AJ15" s="18">
        <v>5117</v>
      </c>
      <c r="AK15" s="18">
        <v>3677</v>
      </c>
      <c r="AL15" s="18">
        <v>4984</v>
      </c>
      <c r="AM15" s="18">
        <v>4105</v>
      </c>
      <c r="AN15" s="18">
        <v>5968</v>
      </c>
      <c r="AO15" s="18">
        <v>6008</v>
      </c>
      <c r="AP15" s="18">
        <v>6846</v>
      </c>
      <c r="AQ15" s="18">
        <v>4108</v>
      </c>
      <c r="AR15" s="19">
        <v>4898</v>
      </c>
      <c r="AS15" s="17">
        <v>3500</v>
      </c>
      <c r="AT15" s="18">
        <v>3903</v>
      </c>
      <c r="AU15" s="18">
        <v>5663</v>
      </c>
      <c r="AV15" s="18">
        <v>4733</v>
      </c>
      <c r="AW15" s="18">
        <v>4427</v>
      </c>
      <c r="AX15" s="18">
        <v>5658</v>
      </c>
      <c r="AY15" s="18">
        <v>4059</v>
      </c>
      <c r="AZ15" s="18">
        <v>5542</v>
      </c>
      <c r="BA15" s="18">
        <v>6239</v>
      </c>
      <c r="BB15" s="18">
        <v>7393</v>
      </c>
      <c r="BC15" s="18">
        <v>4472</v>
      </c>
      <c r="BD15" s="19">
        <v>4802</v>
      </c>
      <c r="BE15" s="17">
        <v>3959</v>
      </c>
      <c r="BF15" s="18">
        <v>4990</v>
      </c>
      <c r="BG15" s="18">
        <v>4487</v>
      </c>
      <c r="BH15" s="18">
        <v>4630</v>
      </c>
      <c r="BI15" s="18">
        <v>5559.4855723496457</v>
      </c>
      <c r="BJ15" s="18">
        <v>4684</v>
      </c>
      <c r="BK15" s="18">
        <v>4484</v>
      </c>
      <c r="BL15" s="18">
        <v>5635</v>
      </c>
      <c r="BM15" s="18">
        <v>6489</v>
      </c>
      <c r="BN15" s="18">
        <v>7404</v>
      </c>
      <c r="BO15" s="18">
        <v>5234</v>
      </c>
      <c r="BP15" s="19">
        <v>4328</v>
      </c>
      <c r="BQ15" s="17">
        <v>4013</v>
      </c>
      <c r="BR15" s="18">
        <v>5422</v>
      </c>
      <c r="BS15" s="18">
        <v>4080</v>
      </c>
      <c r="BT15" s="18">
        <v>5199</v>
      </c>
      <c r="BU15" s="18">
        <v>5789</v>
      </c>
      <c r="BV15" s="18">
        <v>4938</v>
      </c>
      <c r="BW15" s="18">
        <v>6978</v>
      </c>
      <c r="BX15" s="18">
        <v>5833</v>
      </c>
      <c r="BY15" s="18">
        <v>5724</v>
      </c>
      <c r="BZ15" s="18">
        <v>6492</v>
      </c>
      <c r="CA15" s="18">
        <v>5536</v>
      </c>
      <c r="CB15" s="19">
        <v>4299</v>
      </c>
      <c r="CC15" s="20">
        <v>5887</v>
      </c>
      <c r="CD15" s="18">
        <v>5096</v>
      </c>
      <c r="CE15" s="18">
        <v>4496</v>
      </c>
      <c r="CF15" s="18">
        <v>6379</v>
      </c>
      <c r="CG15" s="18">
        <v>4602</v>
      </c>
      <c r="CH15" s="18">
        <v>4522</v>
      </c>
      <c r="CI15" s="18">
        <v>5871</v>
      </c>
      <c r="CJ15" s="18">
        <v>6036</v>
      </c>
      <c r="CK15" s="18">
        <v>5329</v>
      </c>
      <c r="CL15" s="18">
        <v>8179</v>
      </c>
      <c r="CM15" s="18">
        <v>4737</v>
      </c>
      <c r="CN15" s="21">
        <v>4555</v>
      </c>
      <c r="CO15" s="17">
        <v>5752</v>
      </c>
      <c r="CP15" s="18">
        <v>4496</v>
      </c>
      <c r="CQ15" s="18">
        <v>5363</v>
      </c>
      <c r="CR15" s="18">
        <v>5883</v>
      </c>
      <c r="CS15" s="18">
        <v>4574</v>
      </c>
      <c r="CT15" s="18">
        <v>5155</v>
      </c>
      <c r="CU15" s="18">
        <v>4471</v>
      </c>
      <c r="CV15" s="18">
        <v>5617</v>
      </c>
      <c r="CW15" s="18">
        <v>4942</v>
      </c>
      <c r="CX15" s="18">
        <v>7853</v>
      </c>
      <c r="CY15" s="18">
        <v>4607</v>
      </c>
      <c r="CZ15" s="19">
        <v>3925</v>
      </c>
      <c r="DA15" s="17">
        <v>4977</v>
      </c>
      <c r="DB15" s="18">
        <v>3912</v>
      </c>
      <c r="DC15" s="18">
        <v>5067</v>
      </c>
      <c r="DD15" s="18">
        <v>8603</v>
      </c>
      <c r="DE15" s="18">
        <v>4612</v>
      </c>
      <c r="DF15" s="18">
        <v>5663</v>
      </c>
      <c r="DG15" s="18">
        <v>3895</v>
      </c>
      <c r="DH15" s="18">
        <v>5053</v>
      </c>
      <c r="DI15" s="18">
        <v>5956</v>
      </c>
      <c r="DJ15" s="18">
        <v>5830</v>
      </c>
      <c r="DK15" s="18">
        <v>4132</v>
      </c>
      <c r="DL15" s="19">
        <v>4537</v>
      </c>
      <c r="DM15" s="17">
        <v>3366</v>
      </c>
      <c r="DN15" s="18">
        <v>3596</v>
      </c>
      <c r="DO15" s="18">
        <v>4444</v>
      </c>
      <c r="DP15" s="18">
        <v>3872</v>
      </c>
      <c r="DQ15" s="18">
        <v>4027</v>
      </c>
      <c r="DR15" s="18">
        <v>5243</v>
      </c>
      <c r="DS15" s="18">
        <v>3705</v>
      </c>
      <c r="DT15" s="18">
        <v>4219</v>
      </c>
      <c r="DU15" s="18">
        <v>6699</v>
      </c>
      <c r="DV15" s="18">
        <v>5431</v>
      </c>
      <c r="DW15" s="18">
        <v>3584</v>
      </c>
      <c r="DX15" s="19">
        <v>4022</v>
      </c>
      <c r="DY15" s="100">
        <v>3035</v>
      </c>
      <c r="DZ15" s="18">
        <v>3982</v>
      </c>
      <c r="EA15" s="18">
        <v>3434</v>
      </c>
      <c r="EB15" s="18">
        <v>3801</v>
      </c>
      <c r="EC15" s="18">
        <v>4972</v>
      </c>
      <c r="ED15" s="18">
        <v>3604</v>
      </c>
      <c r="EE15" s="18">
        <v>3351</v>
      </c>
      <c r="EF15" s="18">
        <v>5787</v>
      </c>
      <c r="EG15" s="18">
        <v>3319</v>
      </c>
      <c r="EH15" s="18">
        <v>2019</v>
      </c>
      <c r="EI15" s="18">
        <v>2281</v>
      </c>
      <c r="EJ15" s="19">
        <v>1847</v>
      </c>
      <c r="EK15" s="18">
        <v>1244</v>
      </c>
      <c r="EL15" s="18">
        <v>2045</v>
      </c>
      <c r="EM15" s="18">
        <v>1761</v>
      </c>
      <c r="EN15" s="103">
        <v>2251</v>
      </c>
      <c r="EO15" s="18">
        <v>2018</v>
      </c>
      <c r="EP15" s="18">
        <v>1194</v>
      </c>
      <c r="EQ15" s="18">
        <v>988</v>
      </c>
      <c r="ER15" s="18">
        <v>1615</v>
      </c>
      <c r="ES15" s="18">
        <v>1643</v>
      </c>
      <c r="ET15" s="18">
        <v>1744</v>
      </c>
      <c r="EU15" s="18">
        <v>1964</v>
      </c>
      <c r="EV15" s="19">
        <v>1505</v>
      </c>
      <c r="EW15" s="103">
        <v>2018</v>
      </c>
      <c r="EX15" s="18">
        <v>1593</v>
      </c>
      <c r="EY15" s="18">
        <v>1654</v>
      </c>
      <c r="EZ15" s="103">
        <v>2346</v>
      </c>
      <c r="FA15" s="18">
        <v>3044</v>
      </c>
      <c r="FB15" s="143">
        <v>1906</v>
      </c>
      <c r="FC15" s="18">
        <v>2183</v>
      </c>
      <c r="FD15" s="18">
        <v>2249</v>
      </c>
      <c r="FE15" s="143">
        <v>2288</v>
      </c>
      <c r="FF15" s="143">
        <v>2829</v>
      </c>
      <c r="FG15" s="143">
        <v>1995</v>
      </c>
      <c r="FH15" s="143">
        <v>1820</v>
      </c>
      <c r="FI15" s="103">
        <f>'Average Saturday Boardings'!FI15*5</f>
        <v>2130</v>
      </c>
      <c r="FJ15" s="18">
        <f>'Average Saturday Boardings'!FJ15*4</f>
        <v>1814</v>
      </c>
      <c r="FK15" s="18">
        <f>'Average Saturday Boardings'!FK15*5</f>
        <v>2635</v>
      </c>
      <c r="FL15" s="103">
        <v>3248</v>
      </c>
      <c r="FM15" s="18">
        <v>2199</v>
      </c>
      <c r="FN15" s="143">
        <v>2274</v>
      </c>
      <c r="FO15" s="18">
        <v>2397</v>
      </c>
      <c r="FP15" s="18">
        <v>3465</v>
      </c>
      <c r="FQ15" s="143">
        <v>2783</v>
      </c>
      <c r="FR15" s="143">
        <v>2932</v>
      </c>
      <c r="FS15" s="143">
        <v>2586</v>
      </c>
      <c r="FT15" s="175">
        <v>2427</v>
      </c>
      <c r="FU15" s="169">
        <v>2815</v>
      </c>
      <c r="FV15" s="169">
        <v>2309</v>
      </c>
      <c r="FW15" s="169">
        <v>2913</v>
      </c>
      <c r="FX15" s="169">
        <v>3081</v>
      </c>
      <c r="FY15" s="169">
        <v>2474</v>
      </c>
      <c r="FZ15" s="169">
        <v>3130</v>
      </c>
      <c r="GA15" s="169">
        <v>2670</v>
      </c>
      <c r="GB15" s="18">
        <v>3772</v>
      </c>
      <c r="GC15" s="18">
        <v>4578</v>
      </c>
      <c r="GD15" s="18">
        <v>2673</v>
      </c>
      <c r="GE15" s="18">
        <v>2727</v>
      </c>
      <c r="GF15" s="52">
        <v>2912</v>
      </c>
      <c r="GG15" s="18">
        <v>2431</v>
      </c>
      <c r="GH15" s="18">
        <v>3151</v>
      </c>
      <c r="GI15" s="184">
        <v>2490</v>
      </c>
      <c r="GJ15" s="184">
        <v>2926</v>
      </c>
      <c r="GK15" s="184">
        <v>3026</v>
      </c>
      <c r="GL15" s="184">
        <v>2499</v>
      </c>
    </row>
    <row r="16" spans="1:194" x14ac:dyDescent="0.3">
      <c r="A16" s="3" t="s">
        <v>9</v>
      </c>
      <c r="B16" s="17"/>
      <c r="C16" s="18">
        <v>5530</v>
      </c>
      <c r="D16" s="18">
        <v>2339</v>
      </c>
      <c r="E16" s="18">
        <v>1997</v>
      </c>
      <c r="F16" s="18">
        <v>2864</v>
      </c>
      <c r="G16" s="18">
        <v>2070</v>
      </c>
      <c r="H16" s="19">
        <v>1536</v>
      </c>
      <c r="I16" s="17">
        <v>1360</v>
      </c>
      <c r="J16" s="18">
        <v>1586</v>
      </c>
      <c r="K16" s="18">
        <v>2039</v>
      </c>
      <c r="L16" s="18">
        <v>2227</v>
      </c>
      <c r="M16" s="18">
        <v>1954</v>
      </c>
      <c r="N16" s="18">
        <v>2225</v>
      </c>
      <c r="O16" s="62">
        <v>2495</v>
      </c>
      <c r="P16" s="62">
        <v>2416</v>
      </c>
      <c r="Q16" s="62">
        <v>2484</v>
      </c>
      <c r="R16" s="62">
        <v>2985</v>
      </c>
      <c r="S16" s="62">
        <v>2210</v>
      </c>
      <c r="T16" s="63">
        <v>1875</v>
      </c>
      <c r="U16" s="64">
        <v>2493</v>
      </c>
      <c r="V16" s="62">
        <v>2001</v>
      </c>
      <c r="W16" s="62">
        <v>2119</v>
      </c>
      <c r="X16" s="62">
        <v>2309</v>
      </c>
      <c r="Y16" s="62">
        <v>2216</v>
      </c>
      <c r="Z16" s="62">
        <v>1984</v>
      </c>
      <c r="AA16" s="18">
        <v>2313</v>
      </c>
      <c r="AB16" s="18">
        <v>2478</v>
      </c>
      <c r="AC16" s="18">
        <v>2645</v>
      </c>
      <c r="AD16" s="18">
        <v>3846</v>
      </c>
      <c r="AE16" s="18">
        <v>2272</v>
      </c>
      <c r="AF16" s="19">
        <v>1982</v>
      </c>
      <c r="AG16" s="17">
        <v>2516</v>
      </c>
      <c r="AH16" s="18">
        <v>2248</v>
      </c>
      <c r="AI16" s="18">
        <v>2601</v>
      </c>
      <c r="AJ16" s="18">
        <v>3492</v>
      </c>
      <c r="AK16" s="18">
        <v>2247</v>
      </c>
      <c r="AL16" s="18">
        <v>3084</v>
      </c>
      <c r="AM16" s="18">
        <v>2349</v>
      </c>
      <c r="AN16" s="18">
        <v>2324</v>
      </c>
      <c r="AO16" s="18">
        <v>3157</v>
      </c>
      <c r="AP16" s="18">
        <v>3318</v>
      </c>
      <c r="AQ16" s="18">
        <v>2624</v>
      </c>
      <c r="AR16" s="19">
        <v>2776</v>
      </c>
      <c r="AS16" s="17">
        <v>2006</v>
      </c>
      <c r="AT16" s="18">
        <v>2167</v>
      </c>
      <c r="AU16" s="18">
        <v>2771</v>
      </c>
      <c r="AV16" s="18">
        <v>2818</v>
      </c>
      <c r="AW16" s="18">
        <v>2378</v>
      </c>
      <c r="AX16" s="18">
        <v>3296</v>
      </c>
      <c r="AY16" s="18">
        <v>2518</v>
      </c>
      <c r="AZ16" s="18">
        <v>2769</v>
      </c>
      <c r="BA16" s="18">
        <v>3445</v>
      </c>
      <c r="BB16" s="18">
        <v>3596</v>
      </c>
      <c r="BC16" s="18">
        <v>2659</v>
      </c>
      <c r="BD16" s="19">
        <v>2717</v>
      </c>
      <c r="BE16" s="17">
        <v>2185</v>
      </c>
      <c r="BF16" s="18">
        <v>2836</v>
      </c>
      <c r="BG16" s="18">
        <v>2396</v>
      </c>
      <c r="BH16" s="18">
        <v>2869</v>
      </c>
      <c r="BI16" s="18">
        <v>3449.3985413804039</v>
      </c>
      <c r="BJ16" s="18">
        <v>2666</v>
      </c>
      <c r="BK16" s="18">
        <v>2587</v>
      </c>
      <c r="BL16" s="18">
        <v>2645</v>
      </c>
      <c r="BM16" s="18">
        <v>3328</v>
      </c>
      <c r="BN16" s="18">
        <v>3183</v>
      </c>
      <c r="BO16" s="18">
        <v>2792</v>
      </c>
      <c r="BP16" s="19">
        <v>2755</v>
      </c>
      <c r="BQ16" s="17">
        <v>1958</v>
      </c>
      <c r="BR16" s="18">
        <v>2632</v>
      </c>
      <c r="BS16" s="18">
        <v>2115</v>
      </c>
      <c r="BT16" s="18">
        <v>3275</v>
      </c>
      <c r="BU16" s="18">
        <v>3188</v>
      </c>
      <c r="BV16" s="18">
        <v>2858</v>
      </c>
      <c r="BW16" s="18">
        <v>5109</v>
      </c>
      <c r="BX16" s="18">
        <v>2784</v>
      </c>
      <c r="BY16" s="18">
        <v>2589</v>
      </c>
      <c r="BZ16" s="18">
        <v>3016</v>
      </c>
      <c r="CA16" s="18">
        <v>3578</v>
      </c>
      <c r="CB16" s="19">
        <v>2172</v>
      </c>
      <c r="CC16" s="20">
        <v>2466</v>
      </c>
      <c r="CD16" s="18">
        <v>2535</v>
      </c>
      <c r="CE16" s="18">
        <v>2593</v>
      </c>
      <c r="CF16" s="18">
        <v>4102</v>
      </c>
      <c r="CG16" s="18">
        <v>2738</v>
      </c>
      <c r="CH16" s="18">
        <v>2528</v>
      </c>
      <c r="CI16" s="18">
        <v>3438</v>
      </c>
      <c r="CJ16" s="18">
        <v>2850</v>
      </c>
      <c r="CK16" s="18">
        <v>2865</v>
      </c>
      <c r="CL16" s="18">
        <v>4195</v>
      </c>
      <c r="CM16" s="18">
        <v>2758</v>
      </c>
      <c r="CN16" s="21">
        <v>2603</v>
      </c>
      <c r="CO16" s="17">
        <v>2989</v>
      </c>
      <c r="CP16" s="18">
        <v>2429</v>
      </c>
      <c r="CQ16" s="18">
        <v>2619</v>
      </c>
      <c r="CR16" s="18">
        <v>3486</v>
      </c>
      <c r="CS16" s="18">
        <v>2570</v>
      </c>
      <c r="CT16" s="18">
        <v>2727</v>
      </c>
      <c r="CU16" s="18">
        <v>2454</v>
      </c>
      <c r="CV16" s="18">
        <v>2428</v>
      </c>
      <c r="CW16" s="18">
        <v>2738</v>
      </c>
      <c r="CX16" s="18">
        <v>3751</v>
      </c>
      <c r="CY16" s="18">
        <v>2544</v>
      </c>
      <c r="CZ16" s="19">
        <v>2229</v>
      </c>
      <c r="DA16" s="17">
        <v>2810</v>
      </c>
      <c r="DB16" s="18">
        <v>2250</v>
      </c>
      <c r="DC16" s="18">
        <v>2968</v>
      </c>
      <c r="DD16" s="18">
        <v>2963</v>
      </c>
      <c r="DE16" s="18">
        <v>2349</v>
      </c>
      <c r="DF16" s="18">
        <v>2961</v>
      </c>
      <c r="DG16" s="18">
        <v>2413</v>
      </c>
      <c r="DH16" s="18">
        <v>2500</v>
      </c>
      <c r="DI16" s="18">
        <v>3459</v>
      </c>
      <c r="DJ16" s="18">
        <v>2561</v>
      </c>
      <c r="DK16" s="18">
        <v>2561</v>
      </c>
      <c r="DL16" s="19">
        <v>2795</v>
      </c>
      <c r="DM16" s="17">
        <v>1999</v>
      </c>
      <c r="DN16" s="18">
        <v>2084</v>
      </c>
      <c r="DO16" s="18">
        <v>2782</v>
      </c>
      <c r="DP16" s="18">
        <v>2177</v>
      </c>
      <c r="DQ16" s="18">
        <v>2400</v>
      </c>
      <c r="DR16" s="18">
        <v>3025</v>
      </c>
      <c r="DS16" s="18">
        <v>2304</v>
      </c>
      <c r="DT16" s="18">
        <v>2384</v>
      </c>
      <c r="DU16" s="18">
        <v>3359</v>
      </c>
      <c r="DV16" s="18">
        <v>2560</v>
      </c>
      <c r="DW16" s="18">
        <v>2322</v>
      </c>
      <c r="DX16" s="19">
        <v>2369</v>
      </c>
      <c r="DY16" s="100">
        <v>1868</v>
      </c>
      <c r="DZ16" s="18">
        <v>2538</v>
      </c>
      <c r="EA16" s="18">
        <v>2106</v>
      </c>
      <c r="EB16" s="18">
        <v>2247</v>
      </c>
      <c r="EC16" s="18">
        <v>2839</v>
      </c>
      <c r="ED16" s="18">
        <v>2244</v>
      </c>
      <c r="EE16" s="18">
        <v>1959</v>
      </c>
      <c r="EF16" s="18">
        <v>3012</v>
      </c>
      <c r="EG16" s="18">
        <v>1777</v>
      </c>
      <c r="EH16" s="18">
        <v>1284</v>
      </c>
      <c r="EI16" s="18">
        <v>1700</v>
      </c>
      <c r="EJ16" s="19">
        <v>1152</v>
      </c>
      <c r="EK16" s="18">
        <v>779</v>
      </c>
      <c r="EL16" s="18">
        <v>1490</v>
      </c>
      <c r="EM16" s="18">
        <v>1180</v>
      </c>
      <c r="EN16" s="103">
        <v>1465</v>
      </c>
      <c r="EO16" s="18">
        <v>1329</v>
      </c>
      <c r="EP16" s="18">
        <v>836</v>
      </c>
      <c r="EQ16" s="18">
        <v>633</v>
      </c>
      <c r="ER16" s="18">
        <v>971</v>
      </c>
      <c r="ES16" s="18">
        <v>1048</v>
      </c>
      <c r="ET16" s="18">
        <v>1267</v>
      </c>
      <c r="EU16" s="18">
        <v>1432</v>
      </c>
      <c r="EV16" s="19">
        <v>1101</v>
      </c>
      <c r="EW16" s="103">
        <v>1329</v>
      </c>
      <c r="EX16" s="18">
        <v>1114</v>
      </c>
      <c r="EY16" s="18">
        <v>1063</v>
      </c>
      <c r="EZ16" s="103">
        <v>1429</v>
      </c>
      <c r="FA16" s="18">
        <v>1273</v>
      </c>
      <c r="FB16" s="143">
        <v>1272</v>
      </c>
      <c r="FC16" s="18">
        <v>1526</v>
      </c>
      <c r="FD16" s="18">
        <v>1261</v>
      </c>
      <c r="FE16" s="143">
        <v>1452</v>
      </c>
      <c r="FF16" s="143">
        <v>1766</v>
      </c>
      <c r="FG16" s="143">
        <v>1274</v>
      </c>
      <c r="FH16" s="143">
        <v>1160</v>
      </c>
      <c r="FI16" s="103">
        <f>'Average Saturday Boardings'!FI16*5</f>
        <v>1189</v>
      </c>
      <c r="FJ16" s="18">
        <f>'Average Saturday Boardings'!FJ16*4</f>
        <v>1092</v>
      </c>
      <c r="FK16" s="18">
        <f>'Average Saturday Boardings'!FK16*5</f>
        <v>1438.75</v>
      </c>
      <c r="FL16" s="103">
        <v>1449</v>
      </c>
      <c r="FM16" s="18">
        <v>1339</v>
      </c>
      <c r="FN16" s="143">
        <v>1450</v>
      </c>
      <c r="FO16" s="18">
        <v>1420</v>
      </c>
      <c r="FP16" s="18">
        <v>1955</v>
      </c>
      <c r="FQ16" s="143">
        <v>1477</v>
      </c>
      <c r="FR16" s="143">
        <v>1686</v>
      </c>
      <c r="FS16" s="143">
        <v>1581</v>
      </c>
      <c r="FT16" s="175">
        <v>1464</v>
      </c>
      <c r="FU16" s="169">
        <v>1806</v>
      </c>
      <c r="FV16" s="169">
        <v>1481</v>
      </c>
      <c r="FW16" s="169">
        <v>1544</v>
      </c>
      <c r="FX16" s="169">
        <v>1487</v>
      </c>
      <c r="FY16" s="169">
        <v>1303</v>
      </c>
      <c r="FZ16" s="169">
        <v>1876</v>
      </c>
      <c r="GA16" s="169">
        <v>1504</v>
      </c>
      <c r="GB16" s="18">
        <v>1492</v>
      </c>
      <c r="GC16" s="18">
        <v>1957</v>
      </c>
      <c r="GD16" s="18">
        <v>1460</v>
      </c>
      <c r="GE16" s="18">
        <v>1581</v>
      </c>
      <c r="GF16" s="52">
        <v>1742</v>
      </c>
      <c r="GG16" s="18">
        <v>1459</v>
      </c>
      <c r="GH16" s="18">
        <v>1997</v>
      </c>
      <c r="GI16" s="184">
        <v>1426</v>
      </c>
      <c r="GJ16" s="184">
        <v>1461</v>
      </c>
      <c r="GK16" s="184">
        <v>1888</v>
      </c>
      <c r="GL16" s="184">
        <v>1309</v>
      </c>
    </row>
    <row r="17" spans="1:194" x14ac:dyDescent="0.3">
      <c r="A17" s="3" t="s">
        <v>10</v>
      </c>
      <c r="B17" s="17"/>
      <c r="C17" s="18">
        <v>3348</v>
      </c>
      <c r="D17" s="18">
        <v>4006</v>
      </c>
      <c r="E17" s="18">
        <v>3386</v>
      </c>
      <c r="F17" s="18">
        <v>3942</v>
      </c>
      <c r="G17" s="18">
        <v>3315</v>
      </c>
      <c r="H17" s="19">
        <v>2967</v>
      </c>
      <c r="I17" s="17">
        <v>2519</v>
      </c>
      <c r="J17" s="18">
        <v>2841</v>
      </c>
      <c r="K17" s="18">
        <v>3058</v>
      </c>
      <c r="L17" s="18">
        <v>3440</v>
      </c>
      <c r="M17" s="18">
        <v>3070</v>
      </c>
      <c r="N17" s="18">
        <v>3331</v>
      </c>
      <c r="O17" s="62">
        <v>3692</v>
      </c>
      <c r="P17" s="62">
        <v>3508</v>
      </c>
      <c r="Q17" s="62">
        <v>3382</v>
      </c>
      <c r="R17" s="62">
        <v>3789</v>
      </c>
      <c r="S17" s="62">
        <v>3117</v>
      </c>
      <c r="T17" s="63">
        <v>2825</v>
      </c>
      <c r="U17" s="64">
        <v>3705</v>
      </c>
      <c r="V17" s="62">
        <v>3083</v>
      </c>
      <c r="W17" s="62">
        <v>3286</v>
      </c>
      <c r="X17" s="62">
        <v>3179</v>
      </c>
      <c r="Y17" s="62">
        <v>3255</v>
      </c>
      <c r="Z17" s="62">
        <v>2609</v>
      </c>
      <c r="AA17" s="18">
        <v>3547</v>
      </c>
      <c r="AB17" s="18">
        <v>3444</v>
      </c>
      <c r="AC17" s="18">
        <v>3891</v>
      </c>
      <c r="AD17" s="18">
        <v>4966</v>
      </c>
      <c r="AE17" s="18">
        <v>3255</v>
      </c>
      <c r="AF17" s="19">
        <v>2881</v>
      </c>
      <c r="AG17" s="17">
        <v>3636</v>
      </c>
      <c r="AH17" s="18">
        <v>3323</v>
      </c>
      <c r="AI17" s="18">
        <v>3782</v>
      </c>
      <c r="AJ17" s="18">
        <v>4812</v>
      </c>
      <c r="AK17" s="18">
        <v>3103</v>
      </c>
      <c r="AL17" s="18">
        <v>4523</v>
      </c>
      <c r="AM17" s="18">
        <v>3465</v>
      </c>
      <c r="AN17" s="18">
        <v>3544</v>
      </c>
      <c r="AO17" s="18">
        <v>4791</v>
      </c>
      <c r="AP17" s="18">
        <v>4365</v>
      </c>
      <c r="AQ17" s="18">
        <v>3671</v>
      </c>
      <c r="AR17" s="19">
        <v>4357</v>
      </c>
      <c r="AS17" s="17">
        <v>3203</v>
      </c>
      <c r="AT17" s="18">
        <v>3347</v>
      </c>
      <c r="AU17" s="18">
        <v>4877</v>
      </c>
      <c r="AV17" s="18">
        <v>4289</v>
      </c>
      <c r="AW17" s="18">
        <v>3957</v>
      </c>
      <c r="AX17" s="18">
        <v>4677</v>
      </c>
      <c r="AY17" s="18">
        <v>3833</v>
      </c>
      <c r="AZ17" s="18">
        <v>3925</v>
      </c>
      <c r="BA17" s="18">
        <v>5028</v>
      </c>
      <c r="BB17" s="18">
        <v>4663</v>
      </c>
      <c r="BC17" s="18">
        <v>4201</v>
      </c>
      <c r="BD17" s="19">
        <v>4072</v>
      </c>
      <c r="BE17" s="17">
        <v>3188</v>
      </c>
      <c r="BF17" s="18">
        <v>4582</v>
      </c>
      <c r="BG17" s="18">
        <v>3787</v>
      </c>
      <c r="BH17" s="18">
        <v>3888</v>
      </c>
      <c r="BI17" s="18">
        <v>4732.4993975266889</v>
      </c>
      <c r="BJ17" s="18">
        <v>3582</v>
      </c>
      <c r="BK17" s="18">
        <v>3719</v>
      </c>
      <c r="BL17" s="18">
        <v>4078</v>
      </c>
      <c r="BM17" s="18">
        <v>5411</v>
      </c>
      <c r="BN17" s="18">
        <v>4359</v>
      </c>
      <c r="BO17" s="18">
        <v>4539</v>
      </c>
      <c r="BP17" s="19">
        <v>4137</v>
      </c>
      <c r="BQ17" s="17">
        <v>3083</v>
      </c>
      <c r="BR17" s="18">
        <v>4238</v>
      </c>
      <c r="BS17" s="18">
        <v>3384</v>
      </c>
      <c r="BT17" s="18">
        <v>4199</v>
      </c>
      <c r="BU17" s="18">
        <v>4517</v>
      </c>
      <c r="BV17" s="18">
        <v>3872</v>
      </c>
      <c r="BW17" s="18">
        <v>6649</v>
      </c>
      <c r="BX17" s="18">
        <v>3707</v>
      </c>
      <c r="BY17" s="18">
        <v>4087</v>
      </c>
      <c r="BZ17" s="18">
        <v>4056</v>
      </c>
      <c r="CA17" s="18">
        <v>6511</v>
      </c>
      <c r="CB17" s="19">
        <v>3335</v>
      </c>
      <c r="CC17" s="20">
        <v>3317</v>
      </c>
      <c r="CD17" s="18">
        <v>3922</v>
      </c>
      <c r="CE17" s="18">
        <v>3590</v>
      </c>
      <c r="CF17" s="18">
        <v>5340</v>
      </c>
      <c r="CG17" s="18">
        <v>3780</v>
      </c>
      <c r="CH17" s="18">
        <v>3513</v>
      </c>
      <c r="CI17" s="18">
        <v>4908</v>
      </c>
      <c r="CJ17" s="18">
        <v>3918</v>
      </c>
      <c r="CK17" s="18">
        <v>4015</v>
      </c>
      <c r="CL17" s="18">
        <v>5666</v>
      </c>
      <c r="CM17" s="18">
        <v>3804</v>
      </c>
      <c r="CN17" s="21">
        <v>3808</v>
      </c>
      <c r="CO17" s="17">
        <v>4667</v>
      </c>
      <c r="CP17" s="18">
        <v>3601</v>
      </c>
      <c r="CQ17" s="18">
        <v>3942</v>
      </c>
      <c r="CR17" s="18">
        <v>5107</v>
      </c>
      <c r="CS17" s="18">
        <v>3746</v>
      </c>
      <c r="CT17" s="18">
        <v>4152</v>
      </c>
      <c r="CU17" s="18">
        <v>3809</v>
      </c>
      <c r="CV17" s="18">
        <v>4242</v>
      </c>
      <c r="CW17" s="18">
        <v>4041</v>
      </c>
      <c r="CX17" s="18">
        <v>5549</v>
      </c>
      <c r="CY17" s="18">
        <v>4062</v>
      </c>
      <c r="CZ17" s="19">
        <v>3481</v>
      </c>
      <c r="DA17" s="17">
        <v>4133</v>
      </c>
      <c r="DB17" s="18">
        <v>3392</v>
      </c>
      <c r="DC17" s="18">
        <v>4507</v>
      </c>
      <c r="DD17" s="18">
        <v>3946</v>
      </c>
      <c r="DE17" s="18">
        <v>3668</v>
      </c>
      <c r="DF17" s="18">
        <v>4433</v>
      </c>
      <c r="DG17" s="18">
        <v>3703</v>
      </c>
      <c r="DH17" s="18">
        <v>4113</v>
      </c>
      <c r="DI17" s="18">
        <v>5074</v>
      </c>
      <c r="DJ17" s="18">
        <v>3965</v>
      </c>
      <c r="DK17" s="18">
        <v>3856</v>
      </c>
      <c r="DL17" s="19">
        <v>4113</v>
      </c>
      <c r="DM17" s="17">
        <v>3317</v>
      </c>
      <c r="DN17" s="18">
        <v>3331</v>
      </c>
      <c r="DO17" s="18">
        <v>4227</v>
      </c>
      <c r="DP17" s="18">
        <v>3493</v>
      </c>
      <c r="DQ17" s="18">
        <v>3669</v>
      </c>
      <c r="DR17" s="18">
        <v>4703</v>
      </c>
      <c r="DS17" s="18">
        <v>3480</v>
      </c>
      <c r="DT17" s="18">
        <v>3555</v>
      </c>
      <c r="DU17" s="18">
        <v>5050</v>
      </c>
      <c r="DV17" s="18">
        <v>3725</v>
      </c>
      <c r="DW17" s="18">
        <v>3761</v>
      </c>
      <c r="DX17" s="19">
        <v>4137</v>
      </c>
      <c r="DY17" s="100">
        <v>3039</v>
      </c>
      <c r="DZ17" s="18">
        <v>4480</v>
      </c>
      <c r="EA17" s="18">
        <v>3203</v>
      </c>
      <c r="EB17" s="18">
        <v>3438</v>
      </c>
      <c r="EC17" s="18">
        <v>4639</v>
      </c>
      <c r="ED17" s="18">
        <v>3068</v>
      </c>
      <c r="EE17" s="18">
        <v>3053</v>
      </c>
      <c r="EF17" s="18">
        <v>4429</v>
      </c>
      <c r="EG17" s="18">
        <v>3031</v>
      </c>
      <c r="EH17" s="18">
        <v>1848</v>
      </c>
      <c r="EI17" s="18">
        <v>2152</v>
      </c>
      <c r="EJ17" s="19">
        <v>1839</v>
      </c>
      <c r="EK17" s="18">
        <v>1177</v>
      </c>
      <c r="EL17" s="18">
        <v>1952</v>
      </c>
      <c r="EM17" s="18">
        <v>1663</v>
      </c>
      <c r="EN17" s="103">
        <v>2154</v>
      </c>
      <c r="EO17" s="18">
        <v>2213</v>
      </c>
      <c r="EP17" s="18">
        <v>1208</v>
      </c>
      <c r="EQ17" s="18">
        <v>1085</v>
      </c>
      <c r="ER17" s="18">
        <v>1609</v>
      </c>
      <c r="ES17" s="18">
        <v>1592</v>
      </c>
      <c r="ET17" s="18">
        <v>1898</v>
      </c>
      <c r="EU17" s="18">
        <v>2090</v>
      </c>
      <c r="EV17" s="19">
        <v>1798</v>
      </c>
      <c r="EW17" s="103">
        <v>2213</v>
      </c>
      <c r="EX17" s="18">
        <v>2048</v>
      </c>
      <c r="EY17" s="18">
        <v>1903</v>
      </c>
      <c r="EZ17" s="103">
        <v>2589</v>
      </c>
      <c r="FA17" s="18">
        <v>2328</v>
      </c>
      <c r="FB17" s="143">
        <v>1997</v>
      </c>
      <c r="FC17" s="18">
        <v>2307</v>
      </c>
      <c r="FD17" s="18">
        <v>2302</v>
      </c>
      <c r="FE17" s="143">
        <v>2953</v>
      </c>
      <c r="FF17" s="143">
        <v>3277</v>
      </c>
      <c r="FG17" s="143">
        <v>2418</v>
      </c>
      <c r="FH17" s="143">
        <v>1788</v>
      </c>
      <c r="FI17" s="103">
        <f>'Average Saturday Boardings'!FI17*5</f>
        <v>2363</v>
      </c>
      <c r="FJ17" s="18">
        <f>'Average Saturday Boardings'!FJ17*4</f>
        <v>2095</v>
      </c>
      <c r="FK17" s="18">
        <f>'Average Saturday Boardings'!FK17*5</f>
        <v>2771.25</v>
      </c>
      <c r="FL17" s="103">
        <v>2754</v>
      </c>
      <c r="FM17" s="18">
        <v>2619</v>
      </c>
      <c r="FN17" s="143">
        <v>2551</v>
      </c>
      <c r="FO17" s="18">
        <v>2381</v>
      </c>
      <c r="FP17" s="18">
        <v>3246</v>
      </c>
      <c r="FQ17" s="143">
        <v>2969</v>
      </c>
      <c r="FR17" s="143">
        <v>3051</v>
      </c>
      <c r="FS17" s="143">
        <v>2455</v>
      </c>
      <c r="FT17" s="175">
        <v>2589</v>
      </c>
      <c r="FU17" s="169">
        <v>2738</v>
      </c>
      <c r="FV17" s="169">
        <v>2255</v>
      </c>
      <c r="FW17" s="169">
        <v>2879</v>
      </c>
      <c r="FX17" s="169">
        <v>2725</v>
      </c>
      <c r="FY17" s="169">
        <v>2593</v>
      </c>
      <c r="FZ17" s="169">
        <v>3065</v>
      </c>
      <c r="GA17" s="169">
        <v>2645</v>
      </c>
      <c r="GB17" s="18">
        <v>2874</v>
      </c>
      <c r="GC17" s="18">
        <v>3740</v>
      </c>
      <c r="GD17" s="18">
        <v>2925</v>
      </c>
      <c r="GE17" s="18">
        <v>2953</v>
      </c>
      <c r="GF17" s="52">
        <v>3213</v>
      </c>
      <c r="GG17" s="18">
        <v>2533</v>
      </c>
      <c r="GH17" s="18">
        <v>3597</v>
      </c>
      <c r="GI17" s="184">
        <v>2796</v>
      </c>
      <c r="GJ17" s="184">
        <v>2625</v>
      </c>
      <c r="GK17" s="184">
        <v>3033</v>
      </c>
      <c r="GL17" s="184">
        <v>2395</v>
      </c>
    </row>
    <row r="18" spans="1:194" x14ac:dyDescent="0.3">
      <c r="A18" s="3" t="s">
        <v>11</v>
      </c>
      <c r="B18" s="17"/>
      <c r="C18" s="18">
        <v>1672</v>
      </c>
      <c r="D18" s="18">
        <v>2918</v>
      </c>
      <c r="E18" s="18">
        <v>3188</v>
      </c>
      <c r="F18" s="18">
        <v>2314</v>
      </c>
      <c r="G18" s="18">
        <v>1634</v>
      </c>
      <c r="H18" s="19">
        <v>1315</v>
      </c>
      <c r="I18" s="17">
        <v>1292</v>
      </c>
      <c r="J18" s="18">
        <v>1358</v>
      </c>
      <c r="K18" s="18">
        <v>1449</v>
      </c>
      <c r="L18" s="18">
        <v>1764</v>
      </c>
      <c r="M18" s="18">
        <v>1840</v>
      </c>
      <c r="N18" s="18">
        <v>1636</v>
      </c>
      <c r="O18" s="62">
        <v>1696</v>
      </c>
      <c r="P18" s="62">
        <v>2348</v>
      </c>
      <c r="Q18" s="62">
        <v>3056</v>
      </c>
      <c r="R18" s="62">
        <v>1874</v>
      </c>
      <c r="S18" s="62">
        <v>1561</v>
      </c>
      <c r="T18" s="63">
        <v>1258</v>
      </c>
      <c r="U18" s="64">
        <v>1935</v>
      </c>
      <c r="V18" s="62">
        <v>1358</v>
      </c>
      <c r="W18" s="62">
        <v>1501</v>
      </c>
      <c r="X18" s="62">
        <v>1476</v>
      </c>
      <c r="Y18" s="62">
        <v>1780</v>
      </c>
      <c r="Z18" s="62">
        <v>931</v>
      </c>
      <c r="AA18" s="18">
        <v>1468</v>
      </c>
      <c r="AB18" s="18">
        <v>1919</v>
      </c>
      <c r="AC18" s="18">
        <v>2761</v>
      </c>
      <c r="AD18" s="18">
        <v>2121</v>
      </c>
      <c r="AE18" s="18">
        <v>1330</v>
      </c>
      <c r="AF18" s="19">
        <v>1304</v>
      </c>
      <c r="AG18" s="17">
        <v>1575</v>
      </c>
      <c r="AH18" s="18">
        <v>1374</v>
      </c>
      <c r="AI18" s="18">
        <v>1649</v>
      </c>
      <c r="AJ18" s="18">
        <v>2013</v>
      </c>
      <c r="AK18" s="18">
        <v>1559</v>
      </c>
      <c r="AL18" s="18">
        <v>1949</v>
      </c>
      <c r="AM18" s="18">
        <v>1581</v>
      </c>
      <c r="AN18" s="18">
        <v>2011</v>
      </c>
      <c r="AO18" s="18">
        <v>3049</v>
      </c>
      <c r="AP18" s="18">
        <v>2165</v>
      </c>
      <c r="AQ18" s="18">
        <v>1846</v>
      </c>
      <c r="AR18" s="19">
        <v>1917</v>
      </c>
      <c r="AS18" s="17">
        <v>1554</v>
      </c>
      <c r="AT18" s="18">
        <v>1462</v>
      </c>
      <c r="AU18" s="18">
        <v>2161</v>
      </c>
      <c r="AV18" s="18">
        <v>1960</v>
      </c>
      <c r="AW18" s="18">
        <v>2034</v>
      </c>
      <c r="AX18" s="18">
        <v>2266</v>
      </c>
      <c r="AY18" s="18">
        <v>1615</v>
      </c>
      <c r="AZ18" s="18">
        <v>2102</v>
      </c>
      <c r="BA18" s="18">
        <v>3155</v>
      </c>
      <c r="BB18" s="18">
        <v>2279</v>
      </c>
      <c r="BC18" s="18">
        <v>1799</v>
      </c>
      <c r="BD18" s="19">
        <v>2072</v>
      </c>
      <c r="BE18" s="17">
        <v>1688</v>
      </c>
      <c r="BF18" s="18">
        <v>2021</v>
      </c>
      <c r="BG18" s="18">
        <v>1747</v>
      </c>
      <c r="BH18" s="18">
        <v>2118</v>
      </c>
      <c r="BI18" s="18">
        <v>2452.1846316457036</v>
      </c>
      <c r="BJ18" s="18">
        <v>1829</v>
      </c>
      <c r="BK18" s="18">
        <v>1726</v>
      </c>
      <c r="BL18" s="18">
        <v>2014</v>
      </c>
      <c r="BM18" s="18">
        <v>2767</v>
      </c>
      <c r="BN18" s="18">
        <v>2012</v>
      </c>
      <c r="BO18" s="18">
        <v>1883</v>
      </c>
      <c r="BP18" s="19">
        <v>1720</v>
      </c>
      <c r="BQ18" s="17">
        <v>1445</v>
      </c>
      <c r="BR18" s="18">
        <v>1656</v>
      </c>
      <c r="BS18" s="18">
        <v>1464</v>
      </c>
      <c r="BT18" s="18">
        <v>2005</v>
      </c>
      <c r="BU18" s="18">
        <v>2789</v>
      </c>
      <c r="BV18" s="18">
        <v>1874</v>
      </c>
      <c r="BW18" s="18">
        <v>3584</v>
      </c>
      <c r="BX18" s="18">
        <v>2197</v>
      </c>
      <c r="BY18" s="18">
        <v>2759</v>
      </c>
      <c r="BZ18" s="18">
        <v>1957</v>
      </c>
      <c r="CA18" s="18">
        <v>2369</v>
      </c>
      <c r="CB18" s="19">
        <v>1497</v>
      </c>
      <c r="CC18" s="20">
        <v>1676</v>
      </c>
      <c r="CD18" s="18">
        <v>1777</v>
      </c>
      <c r="CE18" s="18">
        <v>1698</v>
      </c>
      <c r="CF18" s="18">
        <v>2620</v>
      </c>
      <c r="CG18" s="18">
        <v>2072</v>
      </c>
      <c r="CH18" s="18">
        <v>1824</v>
      </c>
      <c r="CI18" s="18">
        <v>2665</v>
      </c>
      <c r="CJ18" s="18">
        <v>2241</v>
      </c>
      <c r="CK18" s="18">
        <v>2663</v>
      </c>
      <c r="CL18" s="18">
        <v>3101</v>
      </c>
      <c r="CM18" s="18">
        <v>1660</v>
      </c>
      <c r="CN18" s="21">
        <v>1657</v>
      </c>
      <c r="CO18" s="17">
        <v>1873</v>
      </c>
      <c r="CP18" s="18">
        <v>1664</v>
      </c>
      <c r="CQ18" s="18">
        <v>1738</v>
      </c>
      <c r="CR18" s="18">
        <v>2028</v>
      </c>
      <c r="CS18" s="18">
        <v>1709</v>
      </c>
      <c r="CT18" s="18">
        <v>1807</v>
      </c>
      <c r="CU18" s="18">
        <v>1793</v>
      </c>
      <c r="CV18" s="18">
        <v>1886</v>
      </c>
      <c r="CW18" s="18">
        <v>2664</v>
      </c>
      <c r="CX18" s="18">
        <v>2884</v>
      </c>
      <c r="CY18" s="18">
        <v>1847</v>
      </c>
      <c r="CZ18" s="19">
        <v>1554</v>
      </c>
      <c r="DA18" s="17">
        <v>1756</v>
      </c>
      <c r="DB18" s="18">
        <v>1562</v>
      </c>
      <c r="DC18" s="18">
        <v>1954</v>
      </c>
      <c r="DD18" s="18">
        <v>1742</v>
      </c>
      <c r="DE18" s="18">
        <v>1655</v>
      </c>
      <c r="DF18" s="18">
        <v>1752</v>
      </c>
      <c r="DG18" s="18">
        <v>1424</v>
      </c>
      <c r="DH18" s="18">
        <v>1852</v>
      </c>
      <c r="DI18" s="18">
        <v>2729</v>
      </c>
      <c r="DJ18" s="18">
        <v>1659</v>
      </c>
      <c r="DK18" s="18">
        <v>1418</v>
      </c>
      <c r="DL18" s="19">
        <v>1792</v>
      </c>
      <c r="DM18" s="17">
        <v>1270</v>
      </c>
      <c r="DN18" s="18">
        <v>1257</v>
      </c>
      <c r="DO18" s="18">
        <v>1869</v>
      </c>
      <c r="DP18" s="18">
        <v>1411</v>
      </c>
      <c r="DQ18" s="18">
        <v>1521</v>
      </c>
      <c r="DR18" s="18">
        <v>1836</v>
      </c>
      <c r="DS18" s="18">
        <v>1482</v>
      </c>
      <c r="DT18" s="18">
        <v>1651</v>
      </c>
      <c r="DU18" s="18">
        <v>2614</v>
      </c>
      <c r="DV18" s="18">
        <v>457</v>
      </c>
      <c r="DW18" s="18">
        <v>1443</v>
      </c>
      <c r="DX18" s="19">
        <v>1487</v>
      </c>
      <c r="DY18" s="100">
        <v>1029</v>
      </c>
      <c r="DZ18" s="18">
        <v>1428</v>
      </c>
      <c r="EA18" s="18">
        <v>1465</v>
      </c>
      <c r="EB18" s="18">
        <v>1547</v>
      </c>
      <c r="EC18" s="18">
        <v>1900</v>
      </c>
      <c r="ED18" s="18">
        <v>1282</v>
      </c>
      <c r="EE18" s="18">
        <v>1473</v>
      </c>
      <c r="EF18" s="18">
        <v>1981</v>
      </c>
      <c r="EG18" s="18">
        <v>1625</v>
      </c>
      <c r="EH18" s="18">
        <v>622</v>
      </c>
      <c r="EI18" s="18">
        <v>880</v>
      </c>
      <c r="EJ18" s="19">
        <v>551</v>
      </c>
      <c r="EK18" s="18">
        <v>385</v>
      </c>
      <c r="EL18" s="18">
        <v>735</v>
      </c>
      <c r="EM18" s="18">
        <v>682</v>
      </c>
      <c r="EN18" s="103">
        <v>879</v>
      </c>
      <c r="EO18" s="18">
        <v>903</v>
      </c>
      <c r="EP18" s="18">
        <v>491</v>
      </c>
      <c r="EQ18" s="18">
        <v>419</v>
      </c>
      <c r="ER18" s="18">
        <v>678</v>
      </c>
      <c r="ES18" s="18">
        <v>688</v>
      </c>
      <c r="ET18" s="18">
        <v>837</v>
      </c>
      <c r="EU18" s="18">
        <v>840</v>
      </c>
      <c r="EV18" s="19">
        <v>743</v>
      </c>
      <c r="EW18" s="103">
        <v>903</v>
      </c>
      <c r="EX18" s="18">
        <v>634</v>
      </c>
      <c r="EY18" s="18">
        <v>757</v>
      </c>
      <c r="EZ18" s="103">
        <v>1000</v>
      </c>
      <c r="FA18" s="18">
        <v>881</v>
      </c>
      <c r="FB18" s="143">
        <v>770</v>
      </c>
      <c r="FC18" s="18">
        <v>817</v>
      </c>
      <c r="FD18" s="18">
        <v>892</v>
      </c>
      <c r="FE18" s="143">
        <v>1513</v>
      </c>
      <c r="FF18" s="143">
        <v>1104</v>
      </c>
      <c r="FG18" s="143">
        <v>826</v>
      </c>
      <c r="FH18" s="143">
        <v>669</v>
      </c>
      <c r="FI18" s="103">
        <f>'Average Saturday Boardings'!FI18*5</f>
        <v>711</v>
      </c>
      <c r="FJ18" s="18">
        <f>'Average Saturday Boardings'!FJ18*4</f>
        <v>683</v>
      </c>
      <c r="FK18" s="18">
        <f>'Average Saturday Boardings'!FK18*5</f>
        <v>937.5</v>
      </c>
      <c r="FL18" s="103">
        <v>776</v>
      </c>
      <c r="FM18" s="18">
        <v>994</v>
      </c>
      <c r="FN18" s="143">
        <v>904</v>
      </c>
      <c r="FO18" s="18">
        <v>877</v>
      </c>
      <c r="FP18" s="18">
        <v>1452</v>
      </c>
      <c r="FQ18" s="143">
        <v>1521</v>
      </c>
      <c r="FR18" s="143">
        <v>1280</v>
      </c>
      <c r="FS18" s="143">
        <v>1004</v>
      </c>
      <c r="FT18" s="175">
        <v>1065</v>
      </c>
      <c r="FU18" s="169">
        <v>1097</v>
      </c>
      <c r="FV18" s="169">
        <v>939</v>
      </c>
      <c r="FW18" s="169">
        <v>1015</v>
      </c>
      <c r="FX18" s="169">
        <v>1108</v>
      </c>
      <c r="FY18" s="169">
        <v>923</v>
      </c>
      <c r="FZ18" s="169">
        <v>1188</v>
      </c>
      <c r="GA18" s="169">
        <v>1018</v>
      </c>
      <c r="GB18" s="18">
        <v>1248</v>
      </c>
      <c r="GC18" s="18">
        <v>1729</v>
      </c>
      <c r="GD18" s="18">
        <v>1053</v>
      </c>
      <c r="GE18" s="18">
        <v>1004</v>
      </c>
      <c r="GF18" s="52">
        <v>1050</v>
      </c>
      <c r="GG18" s="18">
        <v>926</v>
      </c>
      <c r="GH18" s="18">
        <v>1052</v>
      </c>
      <c r="GI18" s="184">
        <v>958</v>
      </c>
      <c r="GJ18" s="184">
        <v>945</v>
      </c>
      <c r="GK18" s="184">
        <v>1224</v>
      </c>
      <c r="GL18" s="184">
        <v>868</v>
      </c>
    </row>
    <row r="19" spans="1:194" x14ac:dyDescent="0.3">
      <c r="A19" s="3" t="s">
        <v>12</v>
      </c>
      <c r="B19" s="17"/>
      <c r="C19" s="18">
        <v>4270</v>
      </c>
      <c r="D19" s="18">
        <v>6775</v>
      </c>
      <c r="E19" s="18">
        <v>5459</v>
      </c>
      <c r="F19" s="18">
        <v>5522</v>
      </c>
      <c r="G19" s="18">
        <v>5183</v>
      </c>
      <c r="H19" s="19">
        <v>4083</v>
      </c>
      <c r="I19" s="17">
        <v>3112</v>
      </c>
      <c r="J19" s="18">
        <v>4094</v>
      </c>
      <c r="K19" s="18">
        <v>4711</v>
      </c>
      <c r="L19" s="18">
        <v>5060</v>
      </c>
      <c r="M19" s="18">
        <v>5100</v>
      </c>
      <c r="N19" s="18">
        <v>4587</v>
      </c>
      <c r="O19" s="62">
        <v>5366</v>
      </c>
      <c r="P19" s="62">
        <v>5703</v>
      </c>
      <c r="Q19" s="62">
        <v>5472</v>
      </c>
      <c r="R19" s="62">
        <v>5227</v>
      </c>
      <c r="S19" s="62">
        <v>4695</v>
      </c>
      <c r="T19" s="63">
        <v>4452</v>
      </c>
      <c r="U19" s="64">
        <v>5264</v>
      </c>
      <c r="V19" s="62">
        <v>4280</v>
      </c>
      <c r="W19" s="62">
        <v>4978</v>
      </c>
      <c r="X19" s="62">
        <v>4871</v>
      </c>
      <c r="Y19" s="62">
        <v>4681</v>
      </c>
      <c r="Z19" s="62">
        <v>3431</v>
      </c>
      <c r="AA19" s="18">
        <v>4774</v>
      </c>
      <c r="AB19" s="18">
        <v>4947</v>
      </c>
      <c r="AC19" s="18">
        <v>5271</v>
      </c>
      <c r="AD19" s="18">
        <v>6256</v>
      </c>
      <c r="AE19" s="18">
        <v>4540</v>
      </c>
      <c r="AF19" s="19">
        <v>4431</v>
      </c>
      <c r="AG19" s="17">
        <v>5199</v>
      </c>
      <c r="AH19" s="18">
        <v>4431</v>
      </c>
      <c r="AI19" s="18">
        <v>4730</v>
      </c>
      <c r="AJ19" s="18">
        <v>7223</v>
      </c>
      <c r="AK19" s="18">
        <v>4425</v>
      </c>
      <c r="AL19" s="18">
        <v>5597</v>
      </c>
      <c r="AM19" s="18">
        <v>4946</v>
      </c>
      <c r="AN19" s="18">
        <v>5463</v>
      </c>
      <c r="AO19" s="18">
        <v>6499</v>
      </c>
      <c r="AP19" s="18">
        <v>5153</v>
      </c>
      <c r="AQ19" s="18">
        <v>4882</v>
      </c>
      <c r="AR19" s="19">
        <v>5902</v>
      </c>
      <c r="AS19" s="17">
        <v>4467</v>
      </c>
      <c r="AT19" s="18">
        <v>4649</v>
      </c>
      <c r="AU19" s="18">
        <v>6444</v>
      </c>
      <c r="AV19" s="18">
        <v>5907</v>
      </c>
      <c r="AW19" s="18">
        <v>5479</v>
      </c>
      <c r="AX19" s="18">
        <v>6225</v>
      </c>
      <c r="AY19" s="18">
        <v>4683</v>
      </c>
      <c r="AZ19" s="18">
        <v>5254</v>
      </c>
      <c r="BA19" s="18">
        <v>6967</v>
      </c>
      <c r="BB19" s="18">
        <v>5786</v>
      </c>
      <c r="BC19" s="18">
        <v>4915</v>
      </c>
      <c r="BD19" s="19">
        <v>5630</v>
      </c>
      <c r="BE19" s="17">
        <v>4737</v>
      </c>
      <c r="BF19" s="18">
        <v>6016</v>
      </c>
      <c r="BG19" s="18">
        <v>5107</v>
      </c>
      <c r="BH19" s="18">
        <v>5827</v>
      </c>
      <c r="BI19" s="18">
        <v>6554.2765458196809</v>
      </c>
      <c r="BJ19" s="18">
        <v>5155</v>
      </c>
      <c r="BK19" s="18">
        <v>5434</v>
      </c>
      <c r="BL19" s="18">
        <v>5933</v>
      </c>
      <c r="BM19" s="18">
        <v>7202</v>
      </c>
      <c r="BN19" s="18">
        <v>5679</v>
      </c>
      <c r="BO19" s="18">
        <v>6258</v>
      </c>
      <c r="BP19" s="19">
        <v>5318</v>
      </c>
      <c r="BQ19" s="17">
        <v>4539</v>
      </c>
      <c r="BR19" s="18">
        <v>6275</v>
      </c>
      <c r="BS19" s="18">
        <v>4848</v>
      </c>
      <c r="BT19" s="18">
        <v>6148</v>
      </c>
      <c r="BU19" s="18">
        <v>6842</v>
      </c>
      <c r="BV19" s="18">
        <v>5506</v>
      </c>
      <c r="BW19" s="18">
        <v>8309</v>
      </c>
      <c r="BX19" s="18">
        <v>5774</v>
      </c>
      <c r="BY19" s="18">
        <v>5882</v>
      </c>
      <c r="BZ19" s="18">
        <v>5359</v>
      </c>
      <c r="CA19" s="18">
        <v>6663</v>
      </c>
      <c r="CB19" s="19">
        <v>4871</v>
      </c>
      <c r="CC19" s="20">
        <v>4758</v>
      </c>
      <c r="CD19" s="18">
        <v>6504</v>
      </c>
      <c r="CE19" s="18">
        <v>5379</v>
      </c>
      <c r="CF19" s="18">
        <v>7657</v>
      </c>
      <c r="CG19" s="18">
        <v>5872</v>
      </c>
      <c r="CH19" s="18">
        <v>5002</v>
      </c>
      <c r="CI19" s="18">
        <v>7109</v>
      </c>
      <c r="CJ19" s="18">
        <v>5993</v>
      </c>
      <c r="CK19" s="18">
        <v>6268</v>
      </c>
      <c r="CL19" s="18">
        <v>8338</v>
      </c>
      <c r="CM19" s="18">
        <v>5418</v>
      </c>
      <c r="CN19" s="21">
        <v>5236</v>
      </c>
      <c r="CO19" s="17">
        <v>6191</v>
      </c>
      <c r="CP19" s="18">
        <v>5358</v>
      </c>
      <c r="CQ19" s="18">
        <v>5434</v>
      </c>
      <c r="CR19" s="18">
        <v>6993</v>
      </c>
      <c r="CS19" s="18">
        <v>5345</v>
      </c>
      <c r="CT19" s="18">
        <v>5061</v>
      </c>
      <c r="CU19" s="18">
        <v>5324</v>
      </c>
      <c r="CV19" s="18">
        <v>6515</v>
      </c>
      <c r="CW19" s="18">
        <v>6021</v>
      </c>
      <c r="CX19" s="18">
        <v>9898</v>
      </c>
      <c r="CY19" s="18">
        <v>5562</v>
      </c>
      <c r="CZ19" s="19">
        <v>5165</v>
      </c>
      <c r="DA19" s="17">
        <v>5014</v>
      </c>
      <c r="DB19" s="18">
        <v>3362</v>
      </c>
      <c r="DC19" s="18">
        <v>4549</v>
      </c>
      <c r="DD19" s="18">
        <v>4199</v>
      </c>
      <c r="DE19" s="18">
        <v>3947</v>
      </c>
      <c r="DF19" s="18">
        <v>4469</v>
      </c>
      <c r="DG19" s="18">
        <v>3322</v>
      </c>
      <c r="DH19" s="18">
        <v>3898</v>
      </c>
      <c r="DI19" s="18">
        <v>4996</v>
      </c>
      <c r="DJ19" s="18">
        <v>3841</v>
      </c>
      <c r="DK19" s="18">
        <v>3390</v>
      </c>
      <c r="DL19" s="19">
        <v>4722</v>
      </c>
      <c r="DM19" s="17">
        <v>4027</v>
      </c>
      <c r="DN19" s="18">
        <v>4532</v>
      </c>
      <c r="DO19" s="18">
        <v>5990</v>
      </c>
      <c r="DP19" s="18">
        <v>4903</v>
      </c>
      <c r="DQ19" s="18">
        <v>4793</v>
      </c>
      <c r="DR19" s="18">
        <v>5754</v>
      </c>
      <c r="DS19" s="18">
        <v>4680</v>
      </c>
      <c r="DT19" s="18">
        <v>4725</v>
      </c>
      <c r="DU19" s="18">
        <v>6119</v>
      </c>
      <c r="DV19" s="18">
        <v>4783</v>
      </c>
      <c r="DW19" s="18">
        <v>4453</v>
      </c>
      <c r="DX19" s="19">
        <v>5390</v>
      </c>
      <c r="DY19" s="100">
        <v>3760</v>
      </c>
      <c r="DZ19" s="18">
        <v>5198</v>
      </c>
      <c r="EA19" s="18">
        <v>4576</v>
      </c>
      <c r="EB19" s="18">
        <v>4800</v>
      </c>
      <c r="EC19" s="18">
        <v>5836</v>
      </c>
      <c r="ED19" s="18">
        <v>3989</v>
      </c>
      <c r="EE19" s="18">
        <v>4005</v>
      </c>
      <c r="EF19" s="18">
        <v>5613</v>
      </c>
      <c r="EG19" s="18">
        <v>3059</v>
      </c>
      <c r="EH19" s="18">
        <v>1627</v>
      </c>
      <c r="EI19" s="18">
        <v>2097</v>
      </c>
      <c r="EJ19" s="19">
        <v>1487</v>
      </c>
      <c r="EK19" s="18">
        <v>1058</v>
      </c>
      <c r="EL19" s="18">
        <v>1939</v>
      </c>
      <c r="EM19" s="18">
        <v>1476</v>
      </c>
      <c r="EN19" s="103">
        <v>2027</v>
      </c>
      <c r="EO19" s="18">
        <v>2232</v>
      </c>
      <c r="EP19" s="18">
        <v>1201</v>
      </c>
      <c r="EQ19" s="18">
        <v>918</v>
      </c>
      <c r="ER19" s="18">
        <v>1764</v>
      </c>
      <c r="ES19" s="18">
        <v>1712</v>
      </c>
      <c r="ET19" s="18">
        <v>1678</v>
      </c>
      <c r="EU19" s="18">
        <v>2013</v>
      </c>
      <c r="EV19" s="19">
        <v>1812</v>
      </c>
      <c r="EW19" s="103">
        <v>2232</v>
      </c>
      <c r="EX19" s="18">
        <v>2257</v>
      </c>
      <c r="EY19" s="18">
        <v>2250</v>
      </c>
      <c r="EZ19" s="103">
        <v>2908</v>
      </c>
      <c r="FA19" s="18">
        <v>2268</v>
      </c>
      <c r="FB19" s="143">
        <v>2286</v>
      </c>
      <c r="FC19" s="18">
        <v>2354</v>
      </c>
      <c r="FD19" s="18">
        <v>2684</v>
      </c>
      <c r="FE19" s="143">
        <v>2964</v>
      </c>
      <c r="FF19" s="143">
        <v>3582</v>
      </c>
      <c r="FG19" s="143">
        <v>2627</v>
      </c>
      <c r="FH19" s="143">
        <v>2131</v>
      </c>
      <c r="FI19" s="103">
        <f>'Average Saturday Boardings'!FI19*5</f>
        <v>2656</v>
      </c>
      <c r="FJ19" s="18">
        <f>'Average Saturday Boardings'!FJ19*4</f>
        <v>2419</v>
      </c>
      <c r="FK19" s="18">
        <f>'Average Saturday Boardings'!FK19*5</f>
        <v>3125</v>
      </c>
      <c r="FL19" s="103">
        <v>3297</v>
      </c>
      <c r="FM19" s="18">
        <v>2782</v>
      </c>
      <c r="FN19" s="143">
        <v>2840</v>
      </c>
      <c r="FO19" s="18">
        <v>2702</v>
      </c>
      <c r="FP19" s="18">
        <v>4725</v>
      </c>
      <c r="FQ19" s="143">
        <v>3131</v>
      </c>
      <c r="FR19" s="143">
        <v>3483</v>
      </c>
      <c r="FS19" s="143">
        <v>2818</v>
      </c>
      <c r="FT19" s="175">
        <v>2925</v>
      </c>
      <c r="FU19" s="169">
        <v>3438</v>
      </c>
      <c r="FV19" s="169">
        <v>2876</v>
      </c>
      <c r="FW19" s="169">
        <v>3653</v>
      </c>
      <c r="FX19" s="169">
        <v>3186</v>
      </c>
      <c r="FY19" s="169">
        <v>3105</v>
      </c>
      <c r="FZ19" s="169">
        <v>3489</v>
      </c>
      <c r="GA19" s="169">
        <v>2964</v>
      </c>
      <c r="GB19" s="18">
        <v>3385</v>
      </c>
      <c r="GC19" s="18">
        <v>4344</v>
      </c>
      <c r="GD19" s="18">
        <v>4009</v>
      </c>
      <c r="GE19" s="18">
        <v>3460</v>
      </c>
      <c r="GF19" s="52">
        <v>4201</v>
      </c>
      <c r="GG19" s="18">
        <v>3708</v>
      </c>
      <c r="GH19" s="18">
        <v>4702</v>
      </c>
      <c r="GI19" s="184">
        <v>3602</v>
      </c>
      <c r="GJ19" s="184">
        <v>3228</v>
      </c>
      <c r="GK19" s="184">
        <v>3584</v>
      </c>
      <c r="GL19" s="184">
        <v>2620</v>
      </c>
    </row>
    <row r="20" spans="1:194" x14ac:dyDescent="0.3">
      <c r="A20" s="3" t="s">
        <v>13</v>
      </c>
      <c r="B20" s="17"/>
      <c r="C20" s="18">
        <v>4170</v>
      </c>
      <c r="D20" s="18">
        <v>4234</v>
      </c>
      <c r="E20" s="18">
        <v>3765</v>
      </c>
      <c r="F20" s="18">
        <v>3407</v>
      </c>
      <c r="G20" s="18">
        <v>2500</v>
      </c>
      <c r="H20" s="19">
        <v>2253</v>
      </c>
      <c r="I20" s="17">
        <v>2085</v>
      </c>
      <c r="J20" s="18">
        <v>2505</v>
      </c>
      <c r="K20" s="18">
        <v>2773</v>
      </c>
      <c r="L20" s="18">
        <v>3424</v>
      </c>
      <c r="M20" s="18">
        <v>2913</v>
      </c>
      <c r="N20" s="18">
        <v>2636</v>
      </c>
      <c r="O20" s="62">
        <v>2944</v>
      </c>
      <c r="P20" s="62">
        <v>3897</v>
      </c>
      <c r="Q20" s="62">
        <v>3940</v>
      </c>
      <c r="R20" s="62">
        <v>3434</v>
      </c>
      <c r="S20" s="62">
        <v>3016</v>
      </c>
      <c r="T20" s="63">
        <v>2832</v>
      </c>
      <c r="U20" s="64">
        <v>2943</v>
      </c>
      <c r="V20" s="62">
        <v>2654</v>
      </c>
      <c r="W20" s="62">
        <v>2901</v>
      </c>
      <c r="X20" s="62">
        <v>3107</v>
      </c>
      <c r="Y20" s="62">
        <v>2868</v>
      </c>
      <c r="Z20" s="62">
        <v>2336</v>
      </c>
      <c r="AA20" s="18">
        <v>2857</v>
      </c>
      <c r="AB20" s="18">
        <v>2935</v>
      </c>
      <c r="AC20" s="18">
        <v>4236</v>
      </c>
      <c r="AD20" s="18">
        <v>4481</v>
      </c>
      <c r="AE20" s="18">
        <v>2943</v>
      </c>
      <c r="AF20" s="19">
        <v>2917</v>
      </c>
      <c r="AG20" s="17">
        <v>3244</v>
      </c>
      <c r="AH20" s="18">
        <v>2795</v>
      </c>
      <c r="AI20" s="18">
        <v>2945</v>
      </c>
      <c r="AJ20" s="18">
        <v>4802</v>
      </c>
      <c r="AK20" s="18">
        <v>2587</v>
      </c>
      <c r="AL20" s="18">
        <v>3527</v>
      </c>
      <c r="AM20" s="18">
        <v>3000</v>
      </c>
      <c r="AN20" s="18">
        <v>3184</v>
      </c>
      <c r="AO20" s="18">
        <v>4721</v>
      </c>
      <c r="AP20" s="18">
        <v>3457</v>
      </c>
      <c r="AQ20" s="18">
        <v>2869</v>
      </c>
      <c r="AR20" s="19">
        <v>3279</v>
      </c>
      <c r="AS20" s="17">
        <v>2419</v>
      </c>
      <c r="AT20" s="18">
        <v>2545</v>
      </c>
      <c r="AU20" s="18">
        <v>3958</v>
      </c>
      <c r="AV20" s="18">
        <v>3627</v>
      </c>
      <c r="AW20" s="18">
        <v>3878</v>
      </c>
      <c r="AX20" s="18">
        <v>3953</v>
      </c>
      <c r="AY20" s="18">
        <v>2704</v>
      </c>
      <c r="AZ20" s="18">
        <v>3271</v>
      </c>
      <c r="BA20" s="18">
        <v>5092</v>
      </c>
      <c r="BB20" s="18">
        <v>4348</v>
      </c>
      <c r="BC20" s="18">
        <v>3218</v>
      </c>
      <c r="BD20" s="19">
        <v>3377</v>
      </c>
      <c r="BE20" s="17">
        <v>2521</v>
      </c>
      <c r="BF20" s="18">
        <v>3438</v>
      </c>
      <c r="BG20" s="18">
        <v>3262</v>
      </c>
      <c r="BH20" s="18">
        <v>3611</v>
      </c>
      <c r="BI20" s="18">
        <v>4636.2460416446465</v>
      </c>
      <c r="BJ20" s="18">
        <v>3060</v>
      </c>
      <c r="BK20" s="18">
        <v>3299</v>
      </c>
      <c r="BL20" s="18">
        <v>3681</v>
      </c>
      <c r="BM20" s="18">
        <v>5287</v>
      </c>
      <c r="BN20" s="18">
        <v>3839</v>
      </c>
      <c r="BO20" s="18">
        <v>4039</v>
      </c>
      <c r="BP20" s="19">
        <v>3141</v>
      </c>
      <c r="BQ20" s="17">
        <v>2488</v>
      </c>
      <c r="BR20" s="18">
        <v>3622</v>
      </c>
      <c r="BS20" s="18">
        <v>3230</v>
      </c>
      <c r="BT20" s="18">
        <v>3961</v>
      </c>
      <c r="BU20" s="18">
        <v>5146</v>
      </c>
      <c r="BV20" s="18">
        <v>3052</v>
      </c>
      <c r="BW20" s="18">
        <v>6036</v>
      </c>
      <c r="BX20" s="18">
        <v>3853</v>
      </c>
      <c r="BY20" s="18">
        <v>4926</v>
      </c>
      <c r="BZ20" s="18">
        <v>4191</v>
      </c>
      <c r="CA20" s="18">
        <v>5284</v>
      </c>
      <c r="CB20" s="19">
        <v>3060</v>
      </c>
      <c r="CC20" s="20">
        <v>3380</v>
      </c>
      <c r="CD20" s="18">
        <v>3847</v>
      </c>
      <c r="CE20" s="18">
        <v>4195</v>
      </c>
      <c r="CF20" s="18">
        <v>4981</v>
      </c>
      <c r="CG20" s="18">
        <v>4335</v>
      </c>
      <c r="CH20" s="18">
        <v>3252</v>
      </c>
      <c r="CI20" s="18">
        <v>4618</v>
      </c>
      <c r="CJ20" s="18">
        <v>4127</v>
      </c>
      <c r="CK20" s="18">
        <v>5053</v>
      </c>
      <c r="CL20" s="18">
        <v>6018</v>
      </c>
      <c r="CM20" s="18">
        <v>3524</v>
      </c>
      <c r="CN20" s="21">
        <v>3040</v>
      </c>
      <c r="CO20" s="17">
        <v>3709</v>
      </c>
      <c r="CP20" s="18">
        <v>3103</v>
      </c>
      <c r="CQ20" s="18">
        <v>3624</v>
      </c>
      <c r="CR20" s="18">
        <v>4602</v>
      </c>
      <c r="CS20" s="18">
        <v>3557</v>
      </c>
      <c r="CT20" s="18">
        <v>3554</v>
      </c>
      <c r="CU20" s="18">
        <v>3307</v>
      </c>
      <c r="CV20" s="18">
        <v>3919</v>
      </c>
      <c r="CW20" s="18">
        <v>4560</v>
      </c>
      <c r="CX20" s="18">
        <v>9841</v>
      </c>
      <c r="CY20" s="18">
        <v>3893</v>
      </c>
      <c r="CZ20" s="19">
        <v>3213</v>
      </c>
      <c r="DA20" s="17">
        <v>3699</v>
      </c>
      <c r="DB20" s="18">
        <v>3136</v>
      </c>
      <c r="DC20" s="18">
        <v>4132</v>
      </c>
      <c r="DD20" s="18">
        <v>4173</v>
      </c>
      <c r="DE20" s="18">
        <v>3695</v>
      </c>
      <c r="DF20" s="18">
        <v>3962</v>
      </c>
      <c r="DG20" s="18">
        <v>3208</v>
      </c>
      <c r="DH20" s="18">
        <v>3663</v>
      </c>
      <c r="DI20" s="18">
        <v>5410</v>
      </c>
      <c r="DJ20" s="18">
        <v>4160</v>
      </c>
      <c r="DK20" s="18">
        <v>3289</v>
      </c>
      <c r="DL20" s="19">
        <v>3725</v>
      </c>
      <c r="DM20" s="17">
        <v>2585</v>
      </c>
      <c r="DN20" s="18">
        <v>2769</v>
      </c>
      <c r="DO20" s="18">
        <v>3827</v>
      </c>
      <c r="DP20" s="18">
        <v>2964</v>
      </c>
      <c r="DQ20" s="18">
        <v>3267</v>
      </c>
      <c r="DR20" s="18">
        <v>3877</v>
      </c>
      <c r="DS20" s="18">
        <v>2913</v>
      </c>
      <c r="DT20" s="18">
        <v>3151</v>
      </c>
      <c r="DU20" s="18">
        <v>5369</v>
      </c>
      <c r="DV20" s="18">
        <v>3529</v>
      </c>
      <c r="DW20" s="18">
        <v>3261</v>
      </c>
      <c r="DX20" s="19">
        <v>3380</v>
      </c>
      <c r="DY20" s="100">
        <v>2248</v>
      </c>
      <c r="DZ20" s="18">
        <v>3268</v>
      </c>
      <c r="EA20" s="18">
        <v>3121</v>
      </c>
      <c r="EB20" s="18">
        <v>3107</v>
      </c>
      <c r="EC20" s="18">
        <v>4365</v>
      </c>
      <c r="ED20" s="18">
        <v>3069</v>
      </c>
      <c r="EE20" s="18">
        <v>2925</v>
      </c>
      <c r="EF20" s="18">
        <v>4178</v>
      </c>
      <c r="EG20" s="18">
        <v>2872</v>
      </c>
      <c r="EH20" s="18">
        <v>1320</v>
      </c>
      <c r="EI20" s="18">
        <v>1771</v>
      </c>
      <c r="EJ20" s="19">
        <v>1239</v>
      </c>
      <c r="EK20" s="18">
        <v>768</v>
      </c>
      <c r="EL20" s="18">
        <v>1601</v>
      </c>
      <c r="EM20" s="18">
        <v>1329</v>
      </c>
      <c r="EN20" s="103">
        <v>1811</v>
      </c>
      <c r="EO20" s="18">
        <v>2000</v>
      </c>
      <c r="EP20" s="18">
        <v>1263</v>
      </c>
      <c r="EQ20" s="18">
        <v>857</v>
      </c>
      <c r="ER20" s="18">
        <v>1401</v>
      </c>
      <c r="ES20" s="18">
        <v>1452</v>
      </c>
      <c r="ET20" s="18">
        <v>1749</v>
      </c>
      <c r="EU20" s="18">
        <v>2043</v>
      </c>
      <c r="EV20" s="19">
        <v>1490</v>
      </c>
      <c r="EW20" s="103">
        <v>2000</v>
      </c>
      <c r="EX20" s="18">
        <v>1563</v>
      </c>
      <c r="EY20" s="18">
        <v>1783</v>
      </c>
      <c r="EZ20" s="103">
        <v>2434</v>
      </c>
      <c r="FA20" s="18">
        <v>2118</v>
      </c>
      <c r="FB20" s="143">
        <v>1848</v>
      </c>
      <c r="FC20" s="18">
        <v>2079</v>
      </c>
      <c r="FD20" s="18">
        <v>2287</v>
      </c>
      <c r="FE20" s="143">
        <v>3605</v>
      </c>
      <c r="FF20" s="143">
        <v>3765</v>
      </c>
      <c r="FG20" s="143">
        <v>2771</v>
      </c>
      <c r="FH20" s="143">
        <v>1688</v>
      </c>
      <c r="FI20" s="103">
        <f>'Average Saturday Boardings'!FI20*5</f>
        <v>1929</v>
      </c>
      <c r="FJ20" s="18">
        <f>'Average Saturday Boardings'!FJ20*4</f>
        <v>1718</v>
      </c>
      <c r="FK20" s="18">
        <f>'Average Saturday Boardings'!FK20*5</f>
        <v>2493.75</v>
      </c>
      <c r="FL20" s="103">
        <v>2317</v>
      </c>
      <c r="FM20" s="18">
        <v>2500</v>
      </c>
      <c r="FN20" s="143">
        <v>2454</v>
      </c>
      <c r="FO20" s="18">
        <v>2091</v>
      </c>
      <c r="FP20" s="18">
        <v>6949</v>
      </c>
      <c r="FQ20" s="143">
        <v>3242</v>
      </c>
      <c r="FR20" s="143">
        <v>3129</v>
      </c>
      <c r="FS20" s="143">
        <v>2429</v>
      </c>
      <c r="FT20" s="175">
        <v>2502</v>
      </c>
      <c r="FU20" s="169">
        <v>2558</v>
      </c>
      <c r="FV20" s="169">
        <v>2145</v>
      </c>
      <c r="FW20" s="169">
        <v>2910</v>
      </c>
      <c r="FX20" s="169">
        <v>2749</v>
      </c>
      <c r="FY20" s="169">
        <v>2952</v>
      </c>
      <c r="FZ20" s="169">
        <v>3022</v>
      </c>
      <c r="GA20" s="169">
        <v>2700</v>
      </c>
      <c r="GB20" s="18">
        <v>2562</v>
      </c>
      <c r="GC20" s="18">
        <v>3965</v>
      </c>
      <c r="GD20" s="18">
        <v>3870</v>
      </c>
      <c r="GE20" s="18">
        <v>2451</v>
      </c>
      <c r="GF20" s="52">
        <v>2738</v>
      </c>
      <c r="GG20" s="18">
        <v>2359</v>
      </c>
      <c r="GH20" s="18">
        <v>2925</v>
      </c>
      <c r="GI20" s="184">
        <v>2476</v>
      </c>
      <c r="GJ20" s="184">
        <v>2353</v>
      </c>
      <c r="GK20" s="184">
        <v>2959</v>
      </c>
      <c r="GL20" s="184">
        <v>2111</v>
      </c>
    </row>
    <row r="21" spans="1:194" x14ac:dyDescent="0.3">
      <c r="A21" s="3" t="s">
        <v>34</v>
      </c>
      <c r="B21" s="17"/>
      <c r="C21" s="18">
        <v>3727</v>
      </c>
      <c r="D21" s="18">
        <v>5486</v>
      </c>
      <c r="E21" s="18">
        <v>4499</v>
      </c>
      <c r="F21" s="18">
        <v>4710</v>
      </c>
      <c r="G21" s="18">
        <v>4431</v>
      </c>
      <c r="H21" s="19">
        <v>3810</v>
      </c>
      <c r="I21" s="17">
        <v>3027</v>
      </c>
      <c r="J21" s="18">
        <v>3916</v>
      </c>
      <c r="K21" s="18">
        <v>4379</v>
      </c>
      <c r="L21" s="18">
        <v>4576</v>
      </c>
      <c r="M21" s="18">
        <v>4970</v>
      </c>
      <c r="N21" s="18">
        <v>4438</v>
      </c>
      <c r="O21" s="62">
        <v>4508</v>
      </c>
      <c r="P21" s="62">
        <v>5017</v>
      </c>
      <c r="Q21" s="62">
        <v>5052</v>
      </c>
      <c r="R21" s="62">
        <v>4766</v>
      </c>
      <c r="S21" s="62">
        <v>4279</v>
      </c>
      <c r="T21" s="63">
        <v>3328</v>
      </c>
      <c r="U21" s="64">
        <v>4685</v>
      </c>
      <c r="V21" s="62">
        <v>4028</v>
      </c>
      <c r="W21" s="62">
        <v>4399</v>
      </c>
      <c r="X21" s="62">
        <v>4490</v>
      </c>
      <c r="Y21" s="62">
        <v>4222</v>
      </c>
      <c r="Z21" s="62">
        <v>3129</v>
      </c>
      <c r="AA21" s="18">
        <v>4031</v>
      </c>
      <c r="AB21" s="18">
        <v>4186</v>
      </c>
      <c r="AC21" s="18">
        <v>4108</v>
      </c>
      <c r="AD21" s="18">
        <v>5041</v>
      </c>
      <c r="AE21" s="18">
        <v>3611</v>
      </c>
      <c r="AF21" s="19">
        <v>3404</v>
      </c>
      <c r="AG21" s="17">
        <v>4329</v>
      </c>
      <c r="AH21" s="18">
        <v>3928</v>
      </c>
      <c r="AI21" s="18">
        <v>4244</v>
      </c>
      <c r="AJ21" s="18">
        <v>5417</v>
      </c>
      <c r="AK21" s="18">
        <v>4109</v>
      </c>
      <c r="AL21" s="18">
        <v>5233</v>
      </c>
      <c r="AM21" s="18">
        <v>4306</v>
      </c>
      <c r="AN21" s="18">
        <v>4884</v>
      </c>
      <c r="AO21" s="18">
        <v>5466</v>
      </c>
      <c r="AP21" s="18">
        <v>4794</v>
      </c>
      <c r="AQ21" s="18">
        <v>4647</v>
      </c>
      <c r="AR21" s="19">
        <v>5154</v>
      </c>
      <c r="AS21" s="17">
        <v>4053</v>
      </c>
      <c r="AT21" s="18">
        <v>4365</v>
      </c>
      <c r="AU21" s="18">
        <v>5798</v>
      </c>
      <c r="AV21" s="18">
        <v>5229</v>
      </c>
      <c r="AW21" s="18">
        <v>4924</v>
      </c>
      <c r="AX21" s="18">
        <v>5710</v>
      </c>
      <c r="AY21" s="18">
        <v>4205</v>
      </c>
      <c r="AZ21" s="18">
        <v>5179</v>
      </c>
      <c r="BA21" s="18">
        <v>6016</v>
      </c>
      <c r="BB21" s="18">
        <v>4840</v>
      </c>
      <c r="BC21" s="18">
        <v>5026</v>
      </c>
      <c r="BD21" s="19">
        <v>5112</v>
      </c>
      <c r="BE21" s="17">
        <v>3996</v>
      </c>
      <c r="BF21" s="18">
        <v>5641</v>
      </c>
      <c r="BG21" s="18">
        <v>4593</v>
      </c>
      <c r="BH21" s="18">
        <v>5230</v>
      </c>
      <c r="BI21" s="18">
        <v>5964.1533241729203</v>
      </c>
      <c r="BJ21" s="18">
        <v>4377</v>
      </c>
      <c r="BK21" s="18">
        <v>4576</v>
      </c>
      <c r="BL21" s="18">
        <v>5229</v>
      </c>
      <c r="BM21" s="18">
        <v>6182</v>
      </c>
      <c r="BN21" s="18">
        <v>4923</v>
      </c>
      <c r="BO21" s="18">
        <v>5947</v>
      </c>
      <c r="BP21" s="19">
        <v>4342</v>
      </c>
      <c r="BQ21" s="17">
        <v>3959</v>
      </c>
      <c r="BR21" s="18">
        <v>5467</v>
      </c>
      <c r="BS21" s="18">
        <v>4712</v>
      </c>
      <c r="BT21" s="18">
        <v>5612</v>
      </c>
      <c r="BU21" s="18">
        <v>6419</v>
      </c>
      <c r="BV21" s="18">
        <v>4685</v>
      </c>
      <c r="BW21" s="18">
        <v>9733</v>
      </c>
      <c r="BX21" s="18">
        <v>5142</v>
      </c>
      <c r="BY21" s="18">
        <v>4855</v>
      </c>
      <c r="BZ21" s="18">
        <v>4719</v>
      </c>
      <c r="CA21" s="18">
        <v>5938</v>
      </c>
      <c r="CB21" s="19">
        <v>4341</v>
      </c>
      <c r="CC21" s="20">
        <v>4131</v>
      </c>
      <c r="CD21" s="18">
        <v>5593</v>
      </c>
      <c r="CE21" s="18">
        <v>5350</v>
      </c>
      <c r="CF21" s="18">
        <v>6755</v>
      </c>
      <c r="CG21" s="18">
        <v>5149</v>
      </c>
      <c r="CH21" s="18">
        <v>4637</v>
      </c>
      <c r="CI21" s="18">
        <v>6401</v>
      </c>
      <c r="CJ21" s="18">
        <v>5160</v>
      </c>
      <c r="CK21" s="18">
        <v>5176</v>
      </c>
      <c r="CL21" s="18">
        <v>6872</v>
      </c>
      <c r="CM21" s="18">
        <v>4967</v>
      </c>
      <c r="CN21" s="21">
        <v>4900</v>
      </c>
      <c r="CO21" s="17">
        <v>5909</v>
      </c>
      <c r="CP21" s="18">
        <v>5000</v>
      </c>
      <c r="CQ21" s="18">
        <v>5406</v>
      </c>
      <c r="CR21" s="18">
        <v>6717</v>
      </c>
      <c r="CS21" s="18">
        <v>5277</v>
      </c>
      <c r="CT21" s="18">
        <v>5133</v>
      </c>
      <c r="CU21" s="18">
        <v>5275</v>
      </c>
      <c r="CV21" s="18">
        <v>5300</v>
      </c>
      <c r="CW21" s="18">
        <v>5416</v>
      </c>
      <c r="CX21" s="18">
        <v>7331</v>
      </c>
      <c r="CY21" s="18">
        <v>5127</v>
      </c>
      <c r="CZ21" s="19">
        <v>4618</v>
      </c>
      <c r="DA21" s="17">
        <v>5316</v>
      </c>
      <c r="DB21" s="18">
        <v>4672</v>
      </c>
      <c r="DC21" s="18">
        <v>5749</v>
      </c>
      <c r="DD21" s="18">
        <v>5239</v>
      </c>
      <c r="DE21" s="18">
        <v>4797</v>
      </c>
      <c r="DF21" s="18">
        <v>6087</v>
      </c>
      <c r="DG21" s="18">
        <v>4610</v>
      </c>
      <c r="DH21" s="18">
        <v>5151</v>
      </c>
      <c r="DI21" s="18">
        <v>6277</v>
      </c>
      <c r="DJ21" s="18">
        <v>4931</v>
      </c>
      <c r="DK21" s="18">
        <v>4741</v>
      </c>
      <c r="DL21" s="19">
        <v>5537</v>
      </c>
      <c r="DM21" s="17">
        <v>4052</v>
      </c>
      <c r="DN21" s="18">
        <v>4379</v>
      </c>
      <c r="DO21" s="18">
        <v>5707</v>
      </c>
      <c r="DP21" s="18">
        <v>4329</v>
      </c>
      <c r="DQ21" s="18">
        <v>4742</v>
      </c>
      <c r="DR21" s="18">
        <v>5430</v>
      </c>
      <c r="DS21" s="18">
        <v>4567</v>
      </c>
      <c r="DT21" s="18">
        <v>4927</v>
      </c>
      <c r="DU21" s="18">
        <v>6000</v>
      </c>
      <c r="DV21" s="18">
        <v>3133</v>
      </c>
      <c r="DW21" s="18">
        <v>4233</v>
      </c>
      <c r="DX21" s="19">
        <v>5001</v>
      </c>
      <c r="DY21" s="100">
        <v>3714</v>
      </c>
      <c r="DZ21" s="18">
        <v>5578</v>
      </c>
      <c r="EA21" s="18">
        <v>4355</v>
      </c>
      <c r="EB21" s="18">
        <v>4255</v>
      </c>
      <c r="EC21" s="18">
        <v>5550</v>
      </c>
      <c r="ED21" s="18">
        <v>3753</v>
      </c>
      <c r="EE21" s="18">
        <v>3504</v>
      </c>
      <c r="EF21" s="18">
        <v>4892</v>
      </c>
      <c r="EG21" s="18">
        <v>3226</v>
      </c>
      <c r="EH21" s="18">
        <v>2044</v>
      </c>
      <c r="EI21" s="18">
        <v>2583</v>
      </c>
      <c r="EJ21" s="19">
        <v>1679</v>
      </c>
      <c r="EK21" s="18">
        <v>1272</v>
      </c>
      <c r="EL21" s="18">
        <v>2261</v>
      </c>
      <c r="EM21" s="18">
        <v>1746</v>
      </c>
      <c r="EN21" s="103">
        <v>2387</v>
      </c>
      <c r="EO21" s="18">
        <v>2377</v>
      </c>
      <c r="EP21" s="18">
        <v>1243</v>
      </c>
      <c r="EQ21" s="18">
        <v>1003</v>
      </c>
      <c r="ER21" s="18">
        <v>755</v>
      </c>
      <c r="ES21" s="18">
        <v>2096</v>
      </c>
      <c r="ET21" s="18">
        <v>1836</v>
      </c>
      <c r="EU21" s="18">
        <v>2166</v>
      </c>
      <c r="EV21" s="19">
        <v>1728</v>
      </c>
      <c r="EW21" s="103">
        <v>2377</v>
      </c>
      <c r="EX21" s="18">
        <v>1940</v>
      </c>
      <c r="EY21" s="18">
        <v>2085</v>
      </c>
      <c r="EZ21" s="103">
        <v>2689</v>
      </c>
      <c r="FA21" s="18">
        <v>2282</v>
      </c>
      <c r="FB21" s="143">
        <v>1970</v>
      </c>
      <c r="FC21" s="18">
        <v>2279</v>
      </c>
      <c r="FD21" s="18">
        <v>2279</v>
      </c>
      <c r="FE21" s="143">
        <v>2610</v>
      </c>
      <c r="FF21" s="143">
        <v>1938</v>
      </c>
      <c r="FG21" s="143">
        <v>2443</v>
      </c>
      <c r="FH21" s="143">
        <v>2958</v>
      </c>
      <c r="FI21" s="103">
        <f>'Average Saturday Boardings'!FI21*5</f>
        <v>2279</v>
      </c>
      <c r="FJ21" s="18">
        <f>'Average Saturday Boardings'!FJ21*4</f>
        <v>1551</v>
      </c>
      <c r="FK21" s="18">
        <f>'Average Saturday Boardings'!FK21*5</f>
        <v>2411.25</v>
      </c>
      <c r="FL21" s="103">
        <v>2399</v>
      </c>
      <c r="FM21" s="18">
        <v>2063</v>
      </c>
      <c r="FN21" s="143">
        <v>1574</v>
      </c>
      <c r="FO21" s="18">
        <v>1947</v>
      </c>
      <c r="FP21" s="18">
        <v>1946</v>
      </c>
      <c r="FQ21" s="143">
        <v>1811</v>
      </c>
      <c r="FR21" s="143">
        <v>2126</v>
      </c>
      <c r="FS21" s="143">
        <v>1531</v>
      </c>
      <c r="FT21" s="175">
        <v>1618</v>
      </c>
      <c r="FU21" s="169">
        <v>1820</v>
      </c>
      <c r="FV21" s="169">
        <v>1737</v>
      </c>
      <c r="FW21" s="169">
        <v>2638</v>
      </c>
      <c r="FX21" s="169">
        <v>1983</v>
      </c>
      <c r="FY21" s="169">
        <v>2013</v>
      </c>
      <c r="FZ21" s="169">
        <v>2014</v>
      </c>
      <c r="GA21" s="169">
        <v>1521</v>
      </c>
      <c r="GB21" s="18">
        <v>1891</v>
      </c>
      <c r="GC21" s="18">
        <v>2420</v>
      </c>
      <c r="GD21" s="18">
        <v>1825</v>
      </c>
      <c r="GE21" s="18">
        <v>1601</v>
      </c>
      <c r="GF21" s="52">
        <v>1855</v>
      </c>
      <c r="GG21" s="18">
        <v>1508</v>
      </c>
      <c r="GH21" s="18">
        <v>2422</v>
      </c>
      <c r="GI21" s="184">
        <v>2141</v>
      </c>
      <c r="GJ21" s="184">
        <v>1905</v>
      </c>
      <c r="GK21" s="184">
        <v>2189</v>
      </c>
      <c r="GL21" s="184">
        <v>1506</v>
      </c>
    </row>
    <row r="22" spans="1:194" x14ac:dyDescent="0.3">
      <c r="A22" s="3" t="s">
        <v>35</v>
      </c>
      <c r="B22" s="17"/>
      <c r="C22" s="18">
        <v>3606</v>
      </c>
      <c r="D22" s="18">
        <v>3513</v>
      </c>
      <c r="E22" s="18">
        <v>3008</v>
      </c>
      <c r="F22" s="18">
        <v>3327</v>
      </c>
      <c r="G22" s="18">
        <v>2842</v>
      </c>
      <c r="H22" s="19">
        <v>2277</v>
      </c>
      <c r="I22" s="17">
        <v>1873</v>
      </c>
      <c r="J22" s="18">
        <v>2615</v>
      </c>
      <c r="K22" s="18">
        <v>3548</v>
      </c>
      <c r="L22" s="18">
        <v>3672</v>
      </c>
      <c r="M22" s="18">
        <v>3360</v>
      </c>
      <c r="N22" s="18">
        <v>2886</v>
      </c>
      <c r="O22" s="62">
        <v>3167</v>
      </c>
      <c r="P22" s="62">
        <v>3669</v>
      </c>
      <c r="Q22" s="62">
        <v>3543</v>
      </c>
      <c r="R22" s="62">
        <v>3267</v>
      </c>
      <c r="S22" s="62">
        <v>2849</v>
      </c>
      <c r="T22" s="63">
        <v>2178</v>
      </c>
      <c r="U22" s="64">
        <v>2985</v>
      </c>
      <c r="V22" s="62">
        <v>2730</v>
      </c>
      <c r="W22" s="62">
        <v>4676</v>
      </c>
      <c r="X22" s="62">
        <v>3656</v>
      </c>
      <c r="Y22" s="62">
        <v>3165</v>
      </c>
      <c r="Z22" s="62">
        <v>2156</v>
      </c>
      <c r="AA22" s="18">
        <v>3343</v>
      </c>
      <c r="AB22" s="18">
        <v>2992</v>
      </c>
      <c r="AC22" s="18">
        <v>3372</v>
      </c>
      <c r="AD22" s="18">
        <v>4425</v>
      </c>
      <c r="AE22" s="18">
        <v>2533</v>
      </c>
      <c r="AF22" s="19">
        <v>2685</v>
      </c>
      <c r="AG22" s="17">
        <v>3353</v>
      </c>
      <c r="AH22" s="18">
        <v>3612</v>
      </c>
      <c r="AI22" s="18">
        <v>3979</v>
      </c>
      <c r="AJ22" s="18">
        <v>5437</v>
      </c>
      <c r="AK22" s="18">
        <v>3808</v>
      </c>
      <c r="AL22" s="18">
        <v>3555</v>
      </c>
      <c r="AM22" s="18">
        <v>3480</v>
      </c>
      <c r="AN22" s="18">
        <v>4152</v>
      </c>
      <c r="AO22" s="18">
        <v>4436</v>
      </c>
      <c r="AP22" s="18">
        <v>3736</v>
      </c>
      <c r="AQ22" s="18">
        <v>3179</v>
      </c>
      <c r="AR22" s="19">
        <v>3560</v>
      </c>
      <c r="AS22" s="17">
        <v>2692</v>
      </c>
      <c r="AT22" s="18">
        <v>3495</v>
      </c>
      <c r="AU22" s="18">
        <v>5532</v>
      </c>
      <c r="AV22" s="18">
        <v>4516</v>
      </c>
      <c r="AW22" s="18">
        <v>3797</v>
      </c>
      <c r="AX22" s="18">
        <v>3964</v>
      </c>
      <c r="AY22" s="18">
        <v>3330</v>
      </c>
      <c r="AZ22" s="18">
        <v>3573</v>
      </c>
      <c r="BA22" s="18">
        <v>4530</v>
      </c>
      <c r="BB22" s="18">
        <v>4408</v>
      </c>
      <c r="BC22" s="18">
        <v>3377</v>
      </c>
      <c r="BD22" s="19">
        <v>3460</v>
      </c>
      <c r="BE22" s="17">
        <v>3103</v>
      </c>
      <c r="BF22" s="18">
        <v>4228</v>
      </c>
      <c r="BG22" s="18">
        <v>5043</v>
      </c>
      <c r="BH22" s="18">
        <v>4510</v>
      </c>
      <c r="BI22" s="18">
        <v>5340.6567804671813</v>
      </c>
      <c r="BJ22" s="18">
        <v>3794</v>
      </c>
      <c r="BK22" s="18">
        <v>3745</v>
      </c>
      <c r="BL22" s="18">
        <v>3956</v>
      </c>
      <c r="BM22" s="18">
        <v>5125</v>
      </c>
      <c r="BN22" s="18">
        <v>3899</v>
      </c>
      <c r="BO22" s="18">
        <v>3904</v>
      </c>
      <c r="BP22" s="19">
        <v>3143</v>
      </c>
      <c r="BQ22" s="17">
        <v>2727</v>
      </c>
      <c r="BR22" s="18">
        <v>4445</v>
      </c>
      <c r="BS22" s="18">
        <v>4025</v>
      </c>
      <c r="BT22" s="18">
        <v>4663</v>
      </c>
      <c r="BU22" s="18">
        <v>5900</v>
      </c>
      <c r="BV22" s="18">
        <v>2916</v>
      </c>
      <c r="BW22" s="18">
        <v>7171</v>
      </c>
      <c r="BX22" s="18">
        <v>3866</v>
      </c>
      <c r="BY22" s="18">
        <v>3681</v>
      </c>
      <c r="BZ22" s="18">
        <v>3720</v>
      </c>
      <c r="CA22" s="18">
        <v>4593</v>
      </c>
      <c r="CB22" s="19">
        <v>3111</v>
      </c>
      <c r="CC22" s="20">
        <v>3384</v>
      </c>
      <c r="CD22" s="18">
        <v>4562</v>
      </c>
      <c r="CE22" s="18">
        <v>5274</v>
      </c>
      <c r="CF22" s="18">
        <v>5050</v>
      </c>
      <c r="CG22" s="18">
        <v>4419</v>
      </c>
      <c r="CH22" s="18">
        <v>2925</v>
      </c>
      <c r="CI22" s="18">
        <v>4680</v>
      </c>
      <c r="CJ22" s="18">
        <v>3875</v>
      </c>
      <c r="CK22" s="18">
        <v>3664</v>
      </c>
      <c r="CL22" s="18">
        <v>4805</v>
      </c>
      <c r="CM22" s="18">
        <v>2854</v>
      </c>
      <c r="CN22" s="21">
        <v>2813</v>
      </c>
      <c r="CO22" s="17">
        <v>3552</v>
      </c>
      <c r="CP22" s="18">
        <v>3400</v>
      </c>
      <c r="CQ22" s="18">
        <v>4742</v>
      </c>
      <c r="CR22" s="18">
        <v>4609</v>
      </c>
      <c r="CS22" s="18">
        <v>3029</v>
      </c>
      <c r="CT22" s="18">
        <v>3001</v>
      </c>
      <c r="CU22" s="18">
        <v>3638</v>
      </c>
      <c r="CV22" s="18">
        <v>3486</v>
      </c>
      <c r="CW22" s="18">
        <v>3532</v>
      </c>
      <c r="CX22" s="18">
        <v>4681</v>
      </c>
      <c r="CY22" s="18">
        <v>3118</v>
      </c>
      <c r="CZ22" s="19">
        <v>3108</v>
      </c>
      <c r="DA22" s="17">
        <v>3657</v>
      </c>
      <c r="DB22" s="18">
        <v>3789</v>
      </c>
      <c r="DC22" s="18">
        <v>5049</v>
      </c>
      <c r="DD22" s="18">
        <v>4451</v>
      </c>
      <c r="DE22" s="18">
        <v>3592</v>
      </c>
      <c r="DF22" s="18">
        <v>3934</v>
      </c>
      <c r="DG22" s="18">
        <v>3353</v>
      </c>
      <c r="DH22" s="18">
        <v>3647</v>
      </c>
      <c r="DI22" s="18">
        <v>4246</v>
      </c>
      <c r="DJ22" s="18">
        <v>3566</v>
      </c>
      <c r="DK22" s="18">
        <v>2904</v>
      </c>
      <c r="DL22" s="19">
        <v>3517</v>
      </c>
      <c r="DM22" s="17">
        <v>2878</v>
      </c>
      <c r="DN22" s="18">
        <v>3074</v>
      </c>
      <c r="DO22" s="18">
        <v>5732</v>
      </c>
      <c r="DP22" s="18">
        <v>3173</v>
      </c>
      <c r="DQ22" s="18">
        <v>3693</v>
      </c>
      <c r="DR22" s="18">
        <v>3838</v>
      </c>
      <c r="DS22" s="18">
        <v>3273</v>
      </c>
      <c r="DT22" s="18">
        <v>3332</v>
      </c>
      <c r="DU22" s="18">
        <v>4057</v>
      </c>
      <c r="DV22" s="18">
        <v>4451</v>
      </c>
      <c r="DW22" s="18">
        <v>2677</v>
      </c>
      <c r="DX22" s="19">
        <v>3421</v>
      </c>
      <c r="DY22" s="100">
        <v>2384</v>
      </c>
      <c r="DZ22" s="18">
        <v>3730</v>
      </c>
      <c r="EA22" s="18">
        <v>3465</v>
      </c>
      <c r="EB22" s="18">
        <v>3250</v>
      </c>
      <c r="EC22" s="18">
        <v>4563</v>
      </c>
      <c r="ED22" s="18">
        <v>2906</v>
      </c>
      <c r="EE22" s="18">
        <v>2723</v>
      </c>
      <c r="EF22" s="18">
        <v>4039</v>
      </c>
      <c r="EG22" s="18">
        <v>2130</v>
      </c>
      <c r="EH22" s="18">
        <v>1602</v>
      </c>
      <c r="EI22" s="18">
        <v>1838</v>
      </c>
      <c r="EJ22" s="19">
        <v>1521</v>
      </c>
      <c r="EK22" s="18">
        <v>1127</v>
      </c>
      <c r="EL22" s="18">
        <v>2100</v>
      </c>
      <c r="EM22" s="18">
        <v>1654</v>
      </c>
      <c r="EN22" s="103">
        <v>2160</v>
      </c>
      <c r="EO22" s="18">
        <v>1461</v>
      </c>
      <c r="EP22" s="18">
        <v>1089</v>
      </c>
      <c r="EQ22" s="18">
        <v>769</v>
      </c>
      <c r="ER22" s="18">
        <v>1786</v>
      </c>
      <c r="ES22" s="18">
        <v>843</v>
      </c>
      <c r="ET22" s="18">
        <v>1391</v>
      </c>
      <c r="EU22" s="18">
        <v>1412</v>
      </c>
      <c r="EV22" s="19">
        <v>1201</v>
      </c>
      <c r="EW22" s="103">
        <v>1461</v>
      </c>
      <c r="EX22" s="18">
        <v>1546</v>
      </c>
      <c r="EY22" s="18">
        <v>2055</v>
      </c>
      <c r="EZ22" s="103">
        <v>2208</v>
      </c>
      <c r="FA22" s="18">
        <v>2162</v>
      </c>
      <c r="FB22" s="143">
        <v>1602</v>
      </c>
      <c r="FC22" s="18">
        <v>1774</v>
      </c>
      <c r="FD22" s="18">
        <v>2040</v>
      </c>
      <c r="FE22" s="143">
        <v>1995</v>
      </c>
      <c r="FF22" s="143">
        <v>3204</v>
      </c>
      <c r="FG22" s="143">
        <v>874</v>
      </c>
      <c r="FH22" s="143">
        <v>0</v>
      </c>
      <c r="FI22" s="103">
        <f>'Average Saturday Boardings'!FI22*5</f>
        <v>1522</v>
      </c>
      <c r="FJ22" s="18">
        <f>'Average Saturday Boardings'!FJ22*4</f>
        <v>1982</v>
      </c>
      <c r="FK22" s="18">
        <f>'Average Saturday Boardings'!FK22*5</f>
        <v>2616.25</v>
      </c>
      <c r="FL22" s="103">
        <v>2695</v>
      </c>
      <c r="FM22" s="18">
        <v>2217</v>
      </c>
      <c r="FN22" s="143">
        <v>2285</v>
      </c>
      <c r="FO22" s="18">
        <v>2103</v>
      </c>
      <c r="FP22" s="18">
        <v>3112</v>
      </c>
      <c r="FQ22" s="143">
        <v>2407</v>
      </c>
      <c r="FR22" s="143">
        <v>2878</v>
      </c>
      <c r="FS22" s="143">
        <v>2274</v>
      </c>
      <c r="FT22" s="175">
        <v>2233</v>
      </c>
      <c r="FU22" s="169">
        <v>2657</v>
      </c>
      <c r="FV22" s="169">
        <v>2169</v>
      </c>
      <c r="FW22" s="169">
        <v>2700</v>
      </c>
      <c r="FX22" s="169">
        <v>2123</v>
      </c>
      <c r="FY22" s="169">
        <v>2356</v>
      </c>
      <c r="FZ22" s="169">
        <v>2880</v>
      </c>
      <c r="GA22" s="169">
        <v>2494</v>
      </c>
      <c r="GB22" s="18">
        <v>2311</v>
      </c>
      <c r="GC22" s="18">
        <v>3103</v>
      </c>
      <c r="GD22" s="18">
        <v>2371</v>
      </c>
      <c r="GE22" s="18">
        <v>2310</v>
      </c>
      <c r="GF22" s="52">
        <v>2723</v>
      </c>
      <c r="GG22" s="18">
        <v>2230</v>
      </c>
      <c r="GH22" s="18">
        <v>3068</v>
      </c>
      <c r="GI22" s="184">
        <v>2324</v>
      </c>
      <c r="GJ22" s="184">
        <v>2342</v>
      </c>
      <c r="GK22" s="184">
        <v>2437</v>
      </c>
      <c r="GL22" s="184">
        <v>1857</v>
      </c>
    </row>
    <row r="23" spans="1:194" x14ac:dyDescent="0.3">
      <c r="A23" s="3" t="s">
        <v>36</v>
      </c>
      <c r="B23" s="17"/>
      <c r="C23" s="18">
        <v>1377</v>
      </c>
      <c r="D23" s="18">
        <v>2375</v>
      </c>
      <c r="E23" s="18">
        <v>1257</v>
      </c>
      <c r="F23" s="18">
        <v>1519</v>
      </c>
      <c r="G23" s="18">
        <v>1266</v>
      </c>
      <c r="H23" s="19">
        <v>920</v>
      </c>
      <c r="I23" s="17">
        <v>688</v>
      </c>
      <c r="J23" s="18">
        <v>754</v>
      </c>
      <c r="K23" s="18">
        <v>1073</v>
      </c>
      <c r="L23" s="18">
        <v>1099</v>
      </c>
      <c r="M23" s="18">
        <v>1166</v>
      </c>
      <c r="N23" s="18">
        <v>1310</v>
      </c>
      <c r="O23" s="62">
        <v>1232</v>
      </c>
      <c r="P23" s="62">
        <v>1848</v>
      </c>
      <c r="Q23" s="62">
        <v>1110</v>
      </c>
      <c r="R23" s="62">
        <v>1298</v>
      </c>
      <c r="S23" s="62">
        <v>1516</v>
      </c>
      <c r="T23" s="63">
        <v>1151</v>
      </c>
      <c r="U23" s="64">
        <v>1286</v>
      </c>
      <c r="V23" s="62">
        <v>1102</v>
      </c>
      <c r="W23" s="62">
        <v>1462</v>
      </c>
      <c r="X23" s="62">
        <v>1637</v>
      </c>
      <c r="Y23" s="62">
        <v>1985</v>
      </c>
      <c r="Z23" s="62">
        <v>1591</v>
      </c>
      <c r="AA23" s="18">
        <v>1497</v>
      </c>
      <c r="AB23" s="18">
        <v>1534</v>
      </c>
      <c r="AC23" s="18">
        <v>1662</v>
      </c>
      <c r="AD23" s="18">
        <v>2381</v>
      </c>
      <c r="AE23" s="18">
        <v>1645</v>
      </c>
      <c r="AF23" s="19">
        <v>1622</v>
      </c>
      <c r="AG23" s="17">
        <v>1819</v>
      </c>
      <c r="AH23" s="18">
        <v>1601</v>
      </c>
      <c r="AI23" s="18">
        <v>2065</v>
      </c>
      <c r="AJ23" s="18">
        <v>2950</v>
      </c>
      <c r="AK23" s="18">
        <v>1668</v>
      </c>
      <c r="AL23" s="18">
        <v>2324</v>
      </c>
      <c r="AM23" s="18">
        <v>1827</v>
      </c>
      <c r="AN23" s="18">
        <v>2817</v>
      </c>
      <c r="AO23" s="18">
        <v>2459</v>
      </c>
      <c r="AP23" s="18">
        <v>1988</v>
      </c>
      <c r="AQ23" s="18">
        <v>1760</v>
      </c>
      <c r="AR23" s="19">
        <v>1963</v>
      </c>
      <c r="AS23" s="17">
        <v>1674</v>
      </c>
      <c r="AT23" s="18">
        <v>1493</v>
      </c>
      <c r="AU23" s="18">
        <v>2400</v>
      </c>
      <c r="AV23" s="18">
        <v>2003</v>
      </c>
      <c r="AW23" s="18">
        <v>1790</v>
      </c>
      <c r="AX23" s="18">
        <v>2478</v>
      </c>
      <c r="AY23" s="18">
        <v>1809</v>
      </c>
      <c r="AZ23" s="18">
        <v>1900</v>
      </c>
      <c r="BA23" s="18">
        <v>2529</v>
      </c>
      <c r="BB23" s="18">
        <v>2003</v>
      </c>
      <c r="BC23" s="18">
        <v>2010</v>
      </c>
      <c r="BD23" s="19">
        <v>1833</v>
      </c>
      <c r="BE23" s="17">
        <v>1725</v>
      </c>
      <c r="BF23" s="18">
        <v>1954</v>
      </c>
      <c r="BG23" s="18">
        <v>1853</v>
      </c>
      <c r="BH23" s="18">
        <v>2052</v>
      </c>
      <c r="BI23" s="18">
        <v>2518.2924003805092</v>
      </c>
      <c r="BJ23" s="18">
        <v>2196</v>
      </c>
      <c r="BK23" s="18">
        <v>2022</v>
      </c>
      <c r="BL23" s="18">
        <v>2304</v>
      </c>
      <c r="BM23" s="18">
        <v>2787</v>
      </c>
      <c r="BN23" s="18">
        <v>2167</v>
      </c>
      <c r="BO23" s="18">
        <v>2423</v>
      </c>
      <c r="BP23" s="19">
        <v>2018</v>
      </c>
      <c r="BQ23" s="17">
        <v>1727</v>
      </c>
      <c r="BR23" s="18">
        <v>2145</v>
      </c>
      <c r="BS23" s="18">
        <v>1694</v>
      </c>
      <c r="BT23" s="18">
        <v>2382</v>
      </c>
      <c r="BU23" s="18">
        <v>2561</v>
      </c>
      <c r="BV23" s="18">
        <v>2031</v>
      </c>
      <c r="BW23" s="18">
        <v>3587</v>
      </c>
      <c r="BX23" s="18">
        <v>1850</v>
      </c>
      <c r="BY23" s="18">
        <v>2002</v>
      </c>
      <c r="BZ23" s="18">
        <v>1935</v>
      </c>
      <c r="CA23" s="18">
        <v>2764</v>
      </c>
      <c r="CB23" s="19">
        <v>1651</v>
      </c>
      <c r="CC23" s="20">
        <v>2038</v>
      </c>
      <c r="CD23" s="18">
        <v>2467</v>
      </c>
      <c r="CE23" s="18">
        <v>2371</v>
      </c>
      <c r="CF23" s="18">
        <v>3076</v>
      </c>
      <c r="CG23" s="18">
        <v>2265</v>
      </c>
      <c r="CH23" s="18">
        <v>2040</v>
      </c>
      <c r="CI23" s="18">
        <v>3163</v>
      </c>
      <c r="CJ23" s="18">
        <v>2376</v>
      </c>
      <c r="CK23" s="18">
        <v>3510</v>
      </c>
      <c r="CL23" s="18">
        <v>4469</v>
      </c>
      <c r="CM23" s="18">
        <v>3278</v>
      </c>
      <c r="CN23" s="21">
        <v>2882</v>
      </c>
      <c r="CO23" s="17">
        <v>2125</v>
      </c>
      <c r="CP23" s="18">
        <v>1840</v>
      </c>
      <c r="CQ23" s="18">
        <v>1878</v>
      </c>
      <c r="CR23" s="18">
        <v>2667</v>
      </c>
      <c r="CS23" s="18">
        <v>1904</v>
      </c>
      <c r="CT23" s="18">
        <v>2158</v>
      </c>
      <c r="CU23" s="18">
        <v>2500</v>
      </c>
      <c r="CV23" s="18">
        <v>1934</v>
      </c>
      <c r="CW23" s="18">
        <v>2411</v>
      </c>
      <c r="CX23" s="18">
        <v>3842</v>
      </c>
      <c r="CY23" s="18">
        <v>2101</v>
      </c>
      <c r="CZ23" s="19">
        <v>1646</v>
      </c>
      <c r="DA23" s="17">
        <v>1967</v>
      </c>
      <c r="DB23" s="18">
        <v>1744</v>
      </c>
      <c r="DC23" s="18">
        <v>2254</v>
      </c>
      <c r="DD23" s="18">
        <v>1980</v>
      </c>
      <c r="DE23" s="18">
        <v>1943</v>
      </c>
      <c r="DF23" s="18">
        <v>2339</v>
      </c>
      <c r="DG23" s="18">
        <v>2598</v>
      </c>
      <c r="DH23" s="18">
        <v>2616</v>
      </c>
      <c r="DI23" s="18">
        <v>3667</v>
      </c>
      <c r="DJ23" s="18">
        <v>3023</v>
      </c>
      <c r="DK23" s="18">
        <v>3066</v>
      </c>
      <c r="DL23" s="19">
        <v>2924</v>
      </c>
      <c r="DM23" s="17">
        <v>2207</v>
      </c>
      <c r="DN23" s="18">
        <v>2149</v>
      </c>
      <c r="DO23" s="18">
        <v>3092</v>
      </c>
      <c r="DP23" s="18">
        <v>2188</v>
      </c>
      <c r="DQ23" s="18">
        <v>2728</v>
      </c>
      <c r="DR23" s="18">
        <v>3309</v>
      </c>
      <c r="DS23" s="18">
        <v>2362</v>
      </c>
      <c r="DT23" s="18">
        <v>2302</v>
      </c>
      <c r="DU23" s="18">
        <v>3387</v>
      </c>
      <c r="DV23" s="18">
        <v>1654</v>
      </c>
      <c r="DW23" s="18">
        <v>2732</v>
      </c>
      <c r="DX23" s="19">
        <v>2825</v>
      </c>
      <c r="DY23" s="100">
        <v>1960</v>
      </c>
      <c r="DZ23" s="18">
        <v>2769</v>
      </c>
      <c r="EA23" s="18">
        <v>2523</v>
      </c>
      <c r="EB23" s="18">
        <v>2402</v>
      </c>
      <c r="EC23" s="18">
        <v>3570</v>
      </c>
      <c r="ED23" s="18">
        <v>2513</v>
      </c>
      <c r="EE23" s="18">
        <v>2629</v>
      </c>
      <c r="EF23" s="18">
        <v>3480</v>
      </c>
      <c r="EG23" s="18">
        <v>2031</v>
      </c>
      <c r="EH23" s="18">
        <v>1156</v>
      </c>
      <c r="EI23" s="18">
        <v>1319</v>
      </c>
      <c r="EJ23" s="19">
        <v>1028</v>
      </c>
      <c r="EK23" s="18">
        <v>790</v>
      </c>
      <c r="EL23" s="18">
        <v>1425</v>
      </c>
      <c r="EM23" s="18">
        <v>1144</v>
      </c>
      <c r="EN23" s="103">
        <v>1541</v>
      </c>
      <c r="EO23" s="18">
        <v>1785</v>
      </c>
      <c r="EP23" s="18">
        <v>535</v>
      </c>
      <c r="EQ23" s="18">
        <v>658</v>
      </c>
      <c r="ER23" s="18">
        <v>515</v>
      </c>
      <c r="ES23" s="18">
        <v>361</v>
      </c>
      <c r="ET23" s="18">
        <v>1140</v>
      </c>
      <c r="EU23" s="18">
        <v>1420</v>
      </c>
      <c r="EV23" s="19">
        <v>1254</v>
      </c>
      <c r="EW23" s="103">
        <v>1785</v>
      </c>
      <c r="EX23" s="18">
        <v>856</v>
      </c>
      <c r="EY23" s="18">
        <v>1302</v>
      </c>
      <c r="EZ23" s="103">
        <v>1686</v>
      </c>
      <c r="FA23" s="18">
        <v>1523</v>
      </c>
      <c r="FB23" s="143">
        <v>1454</v>
      </c>
      <c r="FC23" s="18">
        <v>1525</v>
      </c>
      <c r="FD23" s="18">
        <v>1667</v>
      </c>
      <c r="FE23" s="143">
        <v>1845</v>
      </c>
      <c r="FF23" s="143">
        <v>1240</v>
      </c>
      <c r="FG23" s="143">
        <v>1936</v>
      </c>
      <c r="FH23" s="143">
        <v>2215</v>
      </c>
      <c r="FI23" s="103">
        <f>'Average Saturday Boardings'!FI23*5</f>
        <v>1523</v>
      </c>
      <c r="FJ23" s="18">
        <f>'Average Saturday Boardings'!FJ23*4</f>
        <v>774</v>
      </c>
      <c r="FK23" s="18">
        <f>'Average Saturday Boardings'!FK23*5</f>
        <v>1096.25</v>
      </c>
      <c r="FL23" s="103">
        <v>1101</v>
      </c>
      <c r="FM23" s="18">
        <v>1058</v>
      </c>
      <c r="FN23" s="143">
        <v>958</v>
      </c>
      <c r="FO23" s="18">
        <v>911</v>
      </c>
      <c r="FP23" s="18">
        <v>1362</v>
      </c>
      <c r="FQ23" s="143">
        <v>1216</v>
      </c>
      <c r="FR23" s="143">
        <v>1314</v>
      </c>
      <c r="FS23" s="143">
        <v>1139</v>
      </c>
      <c r="FT23" s="175">
        <v>1071</v>
      </c>
      <c r="FU23" s="169">
        <v>1183</v>
      </c>
      <c r="FV23" s="169">
        <v>908</v>
      </c>
      <c r="FW23" s="169">
        <v>1317</v>
      </c>
      <c r="FX23" s="169">
        <v>1079</v>
      </c>
      <c r="FY23" s="169">
        <v>1156</v>
      </c>
      <c r="FZ23" s="169">
        <v>1203</v>
      </c>
      <c r="GA23" s="169">
        <v>773</v>
      </c>
      <c r="GB23" s="18">
        <v>961</v>
      </c>
      <c r="GC23" s="18">
        <v>1556</v>
      </c>
      <c r="GD23" s="18">
        <v>1104</v>
      </c>
      <c r="GE23" s="18">
        <v>1046</v>
      </c>
      <c r="GF23" s="52">
        <v>1005</v>
      </c>
      <c r="GG23" s="18">
        <v>879</v>
      </c>
      <c r="GH23" s="18">
        <v>1150</v>
      </c>
      <c r="GI23" s="184">
        <v>1040</v>
      </c>
      <c r="GJ23" s="184">
        <v>856</v>
      </c>
      <c r="GK23" s="184">
        <v>1224</v>
      </c>
      <c r="GL23" s="184">
        <v>807</v>
      </c>
    </row>
    <row r="24" spans="1:194" x14ac:dyDescent="0.3">
      <c r="A24" s="3" t="s">
        <v>37</v>
      </c>
      <c r="B24" s="17"/>
      <c r="C24" s="18">
        <v>1396</v>
      </c>
      <c r="D24" s="18">
        <v>2748</v>
      </c>
      <c r="E24" s="18">
        <v>1355</v>
      </c>
      <c r="F24" s="18">
        <v>1591</v>
      </c>
      <c r="G24" s="18">
        <v>1428</v>
      </c>
      <c r="H24" s="19">
        <v>968</v>
      </c>
      <c r="I24" s="17">
        <v>799</v>
      </c>
      <c r="J24" s="18">
        <v>936</v>
      </c>
      <c r="K24" s="18">
        <v>1188</v>
      </c>
      <c r="L24" s="18">
        <v>1112</v>
      </c>
      <c r="M24" s="18">
        <v>1328</v>
      </c>
      <c r="N24" s="18">
        <v>1694</v>
      </c>
      <c r="O24" s="62">
        <v>1523</v>
      </c>
      <c r="P24" s="62">
        <v>1861</v>
      </c>
      <c r="Q24" s="62">
        <v>1459</v>
      </c>
      <c r="R24" s="62">
        <v>1496</v>
      </c>
      <c r="S24" s="62">
        <v>1718</v>
      </c>
      <c r="T24" s="63">
        <v>1375</v>
      </c>
      <c r="U24" s="64">
        <v>1787</v>
      </c>
      <c r="V24" s="62">
        <v>1267</v>
      </c>
      <c r="W24" s="62">
        <v>1856</v>
      </c>
      <c r="X24" s="62">
        <v>1730</v>
      </c>
      <c r="Y24" s="62">
        <v>2576</v>
      </c>
      <c r="Z24" s="62">
        <v>1646</v>
      </c>
      <c r="AA24" s="18">
        <v>2130</v>
      </c>
      <c r="AB24" s="18">
        <v>2167</v>
      </c>
      <c r="AC24" s="18">
        <v>2249</v>
      </c>
      <c r="AD24" s="18">
        <v>2945</v>
      </c>
      <c r="AE24" s="18">
        <v>2059</v>
      </c>
      <c r="AF24" s="19">
        <v>2314</v>
      </c>
      <c r="AG24" s="17">
        <v>2678</v>
      </c>
      <c r="AH24" s="18">
        <v>2063</v>
      </c>
      <c r="AI24" s="18">
        <v>2435</v>
      </c>
      <c r="AJ24" s="18">
        <v>3278</v>
      </c>
      <c r="AK24" s="18">
        <v>2260</v>
      </c>
      <c r="AL24" s="18">
        <v>2947</v>
      </c>
      <c r="AM24" s="18">
        <v>2503</v>
      </c>
      <c r="AN24" s="18">
        <v>3384</v>
      </c>
      <c r="AO24" s="18">
        <v>3381</v>
      </c>
      <c r="AP24" s="18">
        <v>2796</v>
      </c>
      <c r="AQ24" s="18">
        <v>2601</v>
      </c>
      <c r="AR24" s="19">
        <v>3076</v>
      </c>
      <c r="AS24" s="17">
        <v>2272</v>
      </c>
      <c r="AT24" s="18">
        <v>2195</v>
      </c>
      <c r="AU24" s="18">
        <v>2996</v>
      </c>
      <c r="AV24" s="18">
        <v>2405</v>
      </c>
      <c r="AW24" s="18">
        <v>2652</v>
      </c>
      <c r="AX24" s="18">
        <v>3356</v>
      </c>
      <c r="AY24" s="18">
        <v>2065</v>
      </c>
      <c r="AZ24" s="18">
        <v>2621</v>
      </c>
      <c r="BA24" s="18">
        <v>3438</v>
      </c>
      <c r="BB24" s="18">
        <v>2835</v>
      </c>
      <c r="BC24" s="18">
        <v>2584</v>
      </c>
      <c r="BD24" s="19">
        <v>2716</v>
      </c>
      <c r="BE24" s="17">
        <v>2158</v>
      </c>
      <c r="BF24" s="18">
        <v>2757</v>
      </c>
      <c r="BG24" s="18">
        <v>2530</v>
      </c>
      <c r="BH24" s="18">
        <v>2754</v>
      </c>
      <c r="BI24" s="18">
        <v>3375.9686925272172</v>
      </c>
      <c r="BJ24" s="18">
        <v>3038</v>
      </c>
      <c r="BK24" s="18">
        <v>3264</v>
      </c>
      <c r="BL24" s="18">
        <v>3240</v>
      </c>
      <c r="BM24" s="18">
        <v>3824</v>
      </c>
      <c r="BN24" s="18">
        <v>3100</v>
      </c>
      <c r="BO24" s="18">
        <v>3550</v>
      </c>
      <c r="BP24" s="19">
        <v>3008</v>
      </c>
      <c r="BQ24" s="17">
        <v>2481</v>
      </c>
      <c r="BR24" s="18">
        <v>3298</v>
      </c>
      <c r="BS24" s="18">
        <v>2548</v>
      </c>
      <c r="BT24" s="18">
        <v>3473</v>
      </c>
      <c r="BU24" s="18">
        <v>3536</v>
      </c>
      <c r="BV24" s="18">
        <v>3250</v>
      </c>
      <c r="BW24" s="18">
        <v>18110</v>
      </c>
      <c r="BX24" s="18">
        <v>3002</v>
      </c>
      <c r="BY24" s="18">
        <v>3359</v>
      </c>
      <c r="BZ24" s="18">
        <v>3147</v>
      </c>
      <c r="CA24" s="18">
        <v>4339</v>
      </c>
      <c r="CB24" s="19">
        <v>2633</v>
      </c>
      <c r="CC24" s="20">
        <v>3111</v>
      </c>
      <c r="CD24" s="18">
        <v>3245</v>
      </c>
      <c r="CE24" s="18">
        <v>2692</v>
      </c>
      <c r="CF24" s="18">
        <v>3843</v>
      </c>
      <c r="CG24" s="18">
        <v>2864</v>
      </c>
      <c r="CH24" s="18">
        <v>2778</v>
      </c>
      <c r="CI24" s="18">
        <v>4614</v>
      </c>
      <c r="CJ24" s="18">
        <v>2877</v>
      </c>
      <c r="CK24" s="18">
        <v>2177</v>
      </c>
      <c r="CL24" s="18">
        <v>3177</v>
      </c>
      <c r="CM24" s="18">
        <v>2442</v>
      </c>
      <c r="CN24" s="21">
        <v>2004</v>
      </c>
      <c r="CO24" s="17">
        <v>3070</v>
      </c>
      <c r="CP24" s="18">
        <v>2569</v>
      </c>
      <c r="CQ24" s="18">
        <v>2813</v>
      </c>
      <c r="CR24" s="18">
        <v>3257</v>
      </c>
      <c r="CS24" s="18">
        <v>2804</v>
      </c>
      <c r="CT24" s="18">
        <v>2906</v>
      </c>
      <c r="CU24" s="18">
        <v>2983</v>
      </c>
      <c r="CV24" s="18">
        <v>2521</v>
      </c>
      <c r="CW24" s="18">
        <v>3378</v>
      </c>
      <c r="CX24" s="18">
        <v>4867</v>
      </c>
      <c r="CY24" s="18">
        <v>3256</v>
      </c>
      <c r="CZ24" s="19">
        <v>2660</v>
      </c>
      <c r="DA24" s="17">
        <v>2927</v>
      </c>
      <c r="DB24" s="18">
        <v>2710</v>
      </c>
      <c r="DC24" s="18">
        <v>2863</v>
      </c>
      <c r="DD24" s="18">
        <v>2570</v>
      </c>
      <c r="DE24" s="18">
        <v>2920</v>
      </c>
      <c r="DF24" s="18">
        <v>3547</v>
      </c>
      <c r="DG24" s="18">
        <v>1845</v>
      </c>
      <c r="DH24" s="18">
        <v>1871</v>
      </c>
      <c r="DI24" s="18">
        <v>2925</v>
      </c>
      <c r="DJ24" s="18">
        <v>2006</v>
      </c>
      <c r="DK24" s="18">
        <v>1816</v>
      </c>
      <c r="DL24" s="19">
        <v>2174</v>
      </c>
      <c r="DM24" s="17">
        <v>1379</v>
      </c>
      <c r="DN24" s="18">
        <v>1495</v>
      </c>
      <c r="DO24" s="18">
        <v>2084</v>
      </c>
      <c r="DP24" s="18">
        <v>1677</v>
      </c>
      <c r="DQ24" s="18">
        <v>1863</v>
      </c>
      <c r="DR24" s="18">
        <v>2184</v>
      </c>
      <c r="DS24" s="18">
        <v>1690</v>
      </c>
      <c r="DT24" s="18">
        <v>1723</v>
      </c>
      <c r="DU24" s="18">
        <v>2396</v>
      </c>
      <c r="DV24" s="18">
        <v>2407</v>
      </c>
      <c r="DW24" s="18">
        <v>1731</v>
      </c>
      <c r="DX24" s="19">
        <v>1992</v>
      </c>
      <c r="DY24" s="100">
        <v>1226</v>
      </c>
      <c r="DZ24" s="18">
        <v>1997</v>
      </c>
      <c r="EA24" s="18">
        <v>1495</v>
      </c>
      <c r="EB24" s="18">
        <v>1728</v>
      </c>
      <c r="EC24" s="18">
        <v>2142</v>
      </c>
      <c r="ED24" s="18">
        <v>1625</v>
      </c>
      <c r="EE24" s="18">
        <v>1623</v>
      </c>
      <c r="EF24" s="18">
        <v>1905</v>
      </c>
      <c r="EG24" s="18">
        <v>1203</v>
      </c>
      <c r="EH24" s="18">
        <v>726</v>
      </c>
      <c r="EI24" s="18">
        <v>858</v>
      </c>
      <c r="EJ24" s="19">
        <v>621</v>
      </c>
      <c r="EK24" s="18">
        <v>502</v>
      </c>
      <c r="EL24" s="18">
        <v>818</v>
      </c>
      <c r="EM24" s="18">
        <v>754</v>
      </c>
      <c r="EN24" s="103">
        <v>965</v>
      </c>
      <c r="EO24" s="18">
        <v>825</v>
      </c>
      <c r="EP24" s="18">
        <v>839</v>
      </c>
      <c r="EQ24" s="18">
        <v>386</v>
      </c>
      <c r="ER24" s="18">
        <v>971</v>
      </c>
      <c r="ES24" s="18">
        <v>1536</v>
      </c>
      <c r="ET24" s="18">
        <v>718</v>
      </c>
      <c r="EU24" s="18">
        <v>799</v>
      </c>
      <c r="EV24" s="19">
        <v>604</v>
      </c>
      <c r="EW24" s="103">
        <v>825</v>
      </c>
      <c r="EX24" s="18">
        <v>597</v>
      </c>
      <c r="EY24" s="18">
        <v>730</v>
      </c>
      <c r="EZ24" s="103">
        <v>923</v>
      </c>
      <c r="FA24" s="18">
        <v>838</v>
      </c>
      <c r="FB24" s="143">
        <v>854</v>
      </c>
      <c r="FC24" s="18">
        <v>930</v>
      </c>
      <c r="FD24" s="18">
        <v>981</v>
      </c>
      <c r="FE24" s="143">
        <v>1103</v>
      </c>
      <c r="FF24" s="143">
        <v>1951</v>
      </c>
      <c r="FG24" s="143">
        <v>613</v>
      </c>
      <c r="FH24" s="143">
        <v>0</v>
      </c>
      <c r="FI24" s="103">
        <f>'Average Saturday Boardings'!FI24*5</f>
        <v>865</v>
      </c>
      <c r="FJ24" s="18">
        <f>'Average Saturday Boardings'!FJ24*4</f>
        <v>1216</v>
      </c>
      <c r="FK24" s="18">
        <f>'Average Saturday Boardings'!FK24*5</f>
        <v>1900</v>
      </c>
      <c r="FL24" s="103">
        <v>1810</v>
      </c>
      <c r="FM24" s="18">
        <v>1887</v>
      </c>
      <c r="FN24" s="143">
        <v>1833</v>
      </c>
      <c r="FO24" s="18">
        <v>1749</v>
      </c>
      <c r="FP24" s="18">
        <v>4033</v>
      </c>
      <c r="FQ24" s="143">
        <v>2260</v>
      </c>
      <c r="FR24" s="143">
        <v>2295</v>
      </c>
      <c r="FS24" s="143">
        <v>1943</v>
      </c>
      <c r="FT24" s="175">
        <v>1913</v>
      </c>
      <c r="FU24" s="169">
        <v>2121</v>
      </c>
      <c r="FV24" s="169">
        <v>1904</v>
      </c>
      <c r="FW24" s="169">
        <v>2205</v>
      </c>
      <c r="FX24" s="169">
        <v>2001</v>
      </c>
      <c r="FY24" s="169">
        <v>1872</v>
      </c>
      <c r="FZ24" s="169">
        <v>2336</v>
      </c>
      <c r="GA24" s="169">
        <v>2073</v>
      </c>
      <c r="GB24" s="18">
        <v>2037</v>
      </c>
      <c r="GC24" s="18">
        <v>2608</v>
      </c>
      <c r="GD24" s="18">
        <v>2483</v>
      </c>
      <c r="GE24" s="18">
        <v>1997</v>
      </c>
      <c r="GF24" s="52">
        <v>2451</v>
      </c>
      <c r="GG24" s="18">
        <v>1990</v>
      </c>
      <c r="GH24" s="18">
        <v>2283</v>
      </c>
      <c r="GI24" s="184">
        <v>1786</v>
      </c>
      <c r="GJ24" s="184">
        <v>1768</v>
      </c>
      <c r="GK24" s="184">
        <v>2103</v>
      </c>
      <c r="GL24" s="184">
        <v>1621</v>
      </c>
    </row>
    <row r="25" spans="1:194" x14ac:dyDescent="0.3">
      <c r="A25" s="3" t="s">
        <v>38</v>
      </c>
      <c r="B25" s="17"/>
      <c r="C25" s="18">
        <v>10029</v>
      </c>
      <c r="D25" s="18">
        <v>11269</v>
      </c>
      <c r="E25" s="18">
        <v>5503</v>
      </c>
      <c r="F25" s="18">
        <v>11004</v>
      </c>
      <c r="G25" s="18">
        <v>6289</v>
      </c>
      <c r="H25" s="19">
        <v>6820</v>
      </c>
      <c r="I25" s="17">
        <v>3771</v>
      </c>
      <c r="J25" s="18">
        <v>4368</v>
      </c>
      <c r="K25" s="18">
        <v>7005</v>
      </c>
      <c r="L25" s="18">
        <v>3863</v>
      </c>
      <c r="M25" s="18">
        <v>3087</v>
      </c>
      <c r="N25" s="18">
        <v>3536</v>
      </c>
      <c r="O25" s="62">
        <v>8300</v>
      </c>
      <c r="P25" s="62">
        <v>5362</v>
      </c>
      <c r="Q25" s="62">
        <v>5417</v>
      </c>
      <c r="R25" s="62">
        <v>7928</v>
      </c>
      <c r="S25" s="62">
        <v>6780</v>
      </c>
      <c r="T25" s="63">
        <v>6061</v>
      </c>
      <c r="U25" s="64">
        <v>7239</v>
      </c>
      <c r="V25" s="62">
        <v>6844</v>
      </c>
      <c r="W25" s="62">
        <v>4763</v>
      </c>
      <c r="X25" s="62">
        <v>2967</v>
      </c>
      <c r="Y25" s="62">
        <v>4390</v>
      </c>
      <c r="Z25" s="62">
        <v>1902</v>
      </c>
      <c r="AA25" s="18">
        <v>7949</v>
      </c>
      <c r="AB25" s="18">
        <v>4546</v>
      </c>
      <c r="AC25" s="18">
        <v>4575</v>
      </c>
      <c r="AD25" s="18">
        <v>8713</v>
      </c>
      <c r="AE25" s="18">
        <v>6664</v>
      </c>
      <c r="AF25" s="19">
        <v>6099</v>
      </c>
      <c r="AG25" s="17">
        <v>7139</v>
      </c>
      <c r="AH25" s="18">
        <v>6518</v>
      </c>
      <c r="AI25" s="18">
        <v>7433</v>
      </c>
      <c r="AJ25" s="18">
        <v>3927</v>
      </c>
      <c r="AK25" s="18">
        <v>2382</v>
      </c>
      <c r="AL25" s="18">
        <v>3577</v>
      </c>
      <c r="AM25" s="18">
        <v>6767</v>
      </c>
      <c r="AN25" s="18">
        <v>5989</v>
      </c>
      <c r="AO25" s="18">
        <v>5335</v>
      </c>
      <c r="AP25" s="18">
        <v>8721</v>
      </c>
      <c r="AQ25" s="18">
        <v>8172</v>
      </c>
      <c r="AR25" s="19">
        <v>8107</v>
      </c>
      <c r="AS25" s="17">
        <v>6882</v>
      </c>
      <c r="AT25" s="18">
        <v>5036</v>
      </c>
      <c r="AU25" s="18">
        <v>5718</v>
      </c>
      <c r="AV25" s="18">
        <v>3873</v>
      </c>
      <c r="AW25" s="18">
        <v>3657</v>
      </c>
      <c r="AX25" s="18">
        <v>3645</v>
      </c>
      <c r="AY25" s="18">
        <v>6193</v>
      </c>
      <c r="AZ25" s="18">
        <v>4631</v>
      </c>
      <c r="BA25" s="18">
        <v>7287</v>
      </c>
      <c r="BB25" s="18">
        <v>7643</v>
      </c>
      <c r="BC25" s="18">
        <v>7451</v>
      </c>
      <c r="BD25" s="19">
        <v>5716</v>
      </c>
      <c r="BE25" s="17">
        <v>6632</v>
      </c>
      <c r="BF25" s="18">
        <v>5616</v>
      </c>
      <c r="BG25" s="18">
        <v>4705</v>
      </c>
      <c r="BH25" s="18">
        <v>2890</v>
      </c>
      <c r="BI25" s="18">
        <v>4741.0744318782372</v>
      </c>
      <c r="BJ25" s="18">
        <v>3936</v>
      </c>
      <c r="BK25" s="18">
        <v>7492</v>
      </c>
      <c r="BL25" s="18">
        <v>6104</v>
      </c>
      <c r="BM25" s="18">
        <v>4997</v>
      </c>
      <c r="BN25" s="18">
        <v>7117</v>
      </c>
      <c r="BO25" s="18">
        <v>5426</v>
      </c>
      <c r="BP25" s="19">
        <v>8831</v>
      </c>
      <c r="BQ25" s="17">
        <v>3733</v>
      </c>
      <c r="BR25" s="18">
        <v>6219</v>
      </c>
      <c r="BS25" s="18">
        <v>4115</v>
      </c>
      <c r="BT25" s="18">
        <v>3984</v>
      </c>
      <c r="BU25" s="18">
        <v>3459</v>
      </c>
      <c r="BV25" s="18">
        <v>3081</v>
      </c>
      <c r="BW25" s="18">
        <v>23895</v>
      </c>
      <c r="BX25" s="18">
        <v>5000</v>
      </c>
      <c r="BY25" s="18">
        <v>3579</v>
      </c>
      <c r="BZ25" s="18">
        <v>7575</v>
      </c>
      <c r="CA25" s="18">
        <v>9856</v>
      </c>
      <c r="CB25" s="19">
        <v>4847</v>
      </c>
      <c r="CC25" s="20">
        <v>7852</v>
      </c>
      <c r="CD25" s="18">
        <v>5074</v>
      </c>
      <c r="CE25" s="18">
        <v>4085</v>
      </c>
      <c r="CF25" s="18">
        <v>8456</v>
      </c>
      <c r="CG25" s="18">
        <v>3763</v>
      </c>
      <c r="CH25" s="18">
        <v>3282</v>
      </c>
      <c r="CI25" s="18">
        <v>7546</v>
      </c>
      <c r="CJ25" s="18">
        <v>5174</v>
      </c>
      <c r="CK25" s="18">
        <v>3634</v>
      </c>
      <c r="CL25" s="18">
        <v>9817</v>
      </c>
      <c r="CM25" s="18">
        <v>6958</v>
      </c>
      <c r="CN25" s="21">
        <v>7433</v>
      </c>
      <c r="CO25" s="17">
        <v>4703</v>
      </c>
      <c r="CP25" s="18">
        <v>4364</v>
      </c>
      <c r="CQ25" s="18">
        <v>4317</v>
      </c>
      <c r="CR25" s="18">
        <v>5244</v>
      </c>
      <c r="CS25" s="18">
        <v>2916</v>
      </c>
      <c r="CT25" s="18">
        <v>2082</v>
      </c>
      <c r="CU25" s="18">
        <v>3592</v>
      </c>
      <c r="CV25" s="18">
        <v>3819</v>
      </c>
      <c r="CW25" s="18">
        <v>3320</v>
      </c>
      <c r="CX25" s="18">
        <v>10249</v>
      </c>
      <c r="CY25" s="18">
        <v>7141</v>
      </c>
      <c r="CZ25" s="19">
        <v>4206</v>
      </c>
      <c r="DA25" s="17">
        <v>5248</v>
      </c>
      <c r="DB25" s="18">
        <v>4116</v>
      </c>
      <c r="DC25" s="18">
        <v>4174</v>
      </c>
      <c r="DD25" s="18">
        <v>2463</v>
      </c>
      <c r="DE25" s="18">
        <v>3465</v>
      </c>
      <c r="DF25" s="18">
        <v>2822</v>
      </c>
      <c r="DG25" s="18">
        <v>1605</v>
      </c>
      <c r="DH25" s="18">
        <v>2290</v>
      </c>
      <c r="DI25" s="18">
        <v>3410</v>
      </c>
      <c r="DJ25" s="18">
        <v>3030</v>
      </c>
      <c r="DK25" s="18">
        <v>3489</v>
      </c>
      <c r="DL25" s="19">
        <v>4760</v>
      </c>
      <c r="DM25" s="17">
        <v>2354</v>
      </c>
      <c r="DN25" s="18">
        <v>2511</v>
      </c>
      <c r="DO25" s="18">
        <v>3163</v>
      </c>
      <c r="DP25" s="18">
        <v>1578</v>
      </c>
      <c r="DQ25" s="18">
        <v>1954</v>
      </c>
      <c r="DR25" s="18">
        <v>2081</v>
      </c>
      <c r="DS25" s="18">
        <v>2073</v>
      </c>
      <c r="DT25" s="18">
        <v>2038</v>
      </c>
      <c r="DU25" s="18">
        <v>3567</v>
      </c>
      <c r="DV25" s="18">
        <v>3960</v>
      </c>
      <c r="DW25" s="18">
        <v>5761</v>
      </c>
      <c r="DX25" s="19">
        <v>4619</v>
      </c>
      <c r="DY25" s="100">
        <v>2836</v>
      </c>
      <c r="DZ25" s="18">
        <v>6169</v>
      </c>
      <c r="EA25" s="18">
        <v>3562</v>
      </c>
      <c r="EB25" s="18">
        <v>2572</v>
      </c>
      <c r="EC25" s="18">
        <v>4304</v>
      </c>
      <c r="ED25" s="18">
        <v>1862</v>
      </c>
      <c r="EE25" s="18">
        <v>2180</v>
      </c>
      <c r="EF25" s="18">
        <v>3759</v>
      </c>
      <c r="EG25" s="18">
        <v>889</v>
      </c>
      <c r="EH25" s="18">
        <v>475</v>
      </c>
      <c r="EI25" s="18">
        <v>649</v>
      </c>
      <c r="EJ25" s="19">
        <v>594</v>
      </c>
      <c r="EK25" s="18">
        <v>478</v>
      </c>
      <c r="EL25" s="18">
        <v>958</v>
      </c>
      <c r="EM25" s="18">
        <v>853</v>
      </c>
      <c r="EN25" s="103">
        <v>675</v>
      </c>
      <c r="EO25" s="18">
        <v>3442</v>
      </c>
      <c r="EP25" s="18">
        <v>563</v>
      </c>
      <c r="EQ25" s="18">
        <v>199</v>
      </c>
      <c r="ER25" s="18">
        <v>239</v>
      </c>
      <c r="ES25" s="18">
        <v>477</v>
      </c>
      <c r="ET25" s="18">
        <v>1359</v>
      </c>
      <c r="EU25" s="18">
        <v>1865</v>
      </c>
      <c r="EV25" s="19">
        <v>1744</v>
      </c>
      <c r="EW25" s="103">
        <v>3442</v>
      </c>
      <c r="EX25" s="18">
        <v>638</v>
      </c>
      <c r="EY25" s="18">
        <v>2103</v>
      </c>
      <c r="EZ25" s="103">
        <v>2081</v>
      </c>
      <c r="FA25" s="18">
        <v>1664</v>
      </c>
      <c r="FB25" s="143">
        <v>1681</v>
      </c>
      <c r="FC25" s="18">
        <v>1966</v>
      </c>
      <c r="FD25" s="18">
        <v>2001</v>
      </c>
      <c r="FE25" s="143">
        <v>1758</v>
      </c>
      <c r="FF25" s="143">
        <v>3818</v>
      </c>
      <c r="FG25" s="143">
        <v>1295</v>
      </c>
      <c r="FH25" s="143">
        <v>0</v>
      </c>
      <c r="FI25" s="103">
        <f>'Average Saturday Boardings'!FI25*5</f>
        <v>1955</v>
      </c>
      <c r="FJ25" s="18">
        <f>'Average Saturday Boardings'!FJ25*4</f>
        <v>1981</v>
      </c>
      <c r="FK25" s="18">
        <f>'Average Saturday Boardings'!FK25*5</f>
        <v>3240</v>
      </c>
      <c r="FL25" s="103">
        <v>1649</v>
      </c>
      <c r="FM25" s="18">
        <v>4016</v>
      </c>
      <c r="FN25" s="143">
        <v>1694</v>
      </c>
      <c r="FO25" s="18">
        <v>1904</v>
      </c>
      <c r="FP25" s="18">
        <v>6385</v>
      </c>
      <c r="FQ25" s="143">
        <v>3439</v>
      </c>
      <c r="FR25" s="143">
        <v>3729</v>
      </c>
      <c r="FS25" s="143">
        <v>3223</v>
      </c>
      <c r="FT25" s="175">
        <v>3837</v>
      </c>
      <c r="FU25" s="169">
        <v>3048</v>
      </c>
      <c r="FV25" s="169">
        <v>2700</v>
      </c>
      <c r="FW25" s="169">
        <v>3458</v>
      </c>
      <c r="FX25" s="169">
        <v>3942</v>
      </c>
      <c r="FY25" s="169">
        <v>1873</v>
      </c>
      <c r="FZ25" s="169">
        <v>2108</v>
      </c>
      <c r="GA25" s="169">
        <v>2306</v>
      </c>
      <c r="GB25" s="18">
        <v>1478</v>
      </c>
      <c r="GC25" s="18">
        <v>3912</v>
      </c>
      <c r="GD25" s="18">
        <v>3352</v>
      </c>
      <c r="GE25" s="18">
        <v>5275</v>
      </c>
      <c r="GF25" s="52">
        <v>3335</v>
      </c>
      <c r="GG25" s="18">
        <v>3671</v>
      </c>
      <c r="GH25" s="18">
        <v>3165</v>
      </c>
      <c r="GI25" s="184">
        <v>3240</v>
      </c>
      <c r="GJ25" s="184">
        <v>1910</v>
      </c>
      <c r="GK25" s="184">
        <v>3722</v>
      </c>
      <c r="GL25" s="184">
        <v>1859</v>
      </c>
    </row>
    <row r="26" spans="1:194" x14ac:dyDescent="0.3">
      <c r="A26" s="3" t="s">
        <v>39</v>
      </c>
      <c r="B26" s="17"/>
      <c r="C26" s="18">
        <v>4089</v>
      </c>
      <c r="D26" s="18">
        <v>7123</v>
      </c>
      <c r="E26" s="18">
        <v>2947</v>
      </c>
      <c r="F26" s="18">
        <v>6067</v>
      </c>
      <c r="G26" s="18">
        <v>4878</v>
      </c>
      <c r="H26" s="19">
        <v>4107</v>
      </c>
      <c r="I26" s="17">
        <v>2316</v>
      </c>
      <c r="J26" s="18">
        <v>2820</v>
      </c>
      <c r="K26" s="18">
        <v>5242</v>
      </c>
      <c r="L26" s="18">
        <v>2966</v>
      </c>
      <c r="M26" s="18">
        <v>1647</v>
      </c>
      <c r="N26" s="18">
        <v>1905</v>
      </c>
      <c r="O26" s="62">
        <v>4769</v>
      </c>
      <c r="P26" s="62">
        <v>3147</v>
      </c>
      <c r="Q26" s="62">
        <v>3337</v>
      </c>
      <c r="R26" s="62">
        <v>4950</v>
      </c>
      <c r="S26" s="62">
        <v>4425</v>
      </c>
      <c r="T26" s="63">
        <v>4342</v>
      </c>
      <c r="U26" s="64">
        <v>5044</v>
      </c>
      <c r="V26" s="62">
        <v>4538</v>
      </c>
      <c r="W26" s="62">
        <v>3097</v>
      </c>
      <c r="X26" s="62">
        <v>2287</v>
      </c>
      <c r="Y26" s="62">
        <v>2613</v>
      </c>
      <c r="Z26" s="62">
        <v>1319</v>
      </c>
      <c r="AA26" s="18">
        <v>4293</v>
      </c>
      <c r="AB26" s="18">
        <v>2429</v>
      </c>
      <c r="AC26" s="18">
        <v>2397</v>
      </c>
      <c r="AD26" s="18">
        <v>4691</v>
      </c>
      <c r="AE26" s="18">
        <v>3655</v>
      </c>
      <c r="AF26" s="19">
        <v>3795</v>
      </c>
      <c r="AG26" s="17">
        <v>4331</v>
      </c>
      <c r="AH26" s="18">
        <v>4088</v>
      </c>
      <c r="AI26" s="18">
        <v>5358</v>
      </c>
      <c r="AJ26" s="18">
        <v>3308</v>
      </c>
      <c r="AK26" s="18">
        <v>1471</v>
      </c>
      <c r="AL26" s="18">
        <v>1951</v>
      </c>
      <c r="AM26" s="18">
        <v>4098</v>
      </c>
      <c r="AN26" s="18">
        <v>3220</v>
      </c>
      <c r="AO26" s="18">
        <v>3609</v>
      </c>
      <c r="AP26" s="18">
        <v>5121</v>
      </c>
      <c r="AQ26" s="18">
        <v>4875</v>
      </c>
      <c r="AR26" s="19">
        <v>4700</v>
      </c>
      <c r="AS26" s="17">
        <v>4140</v>
      </c>
      <c r="AT26" s="18">
        <v>2958</v>
      </c>
      <c r="AU26" s="18">
        <v>3042</v>
      </c>
      <c r="AV26" s="18">
        <v>2344</v>
      </c>
      <c r="AW26" s="18">
        <v>1803</v>
      </c>
      <c r="AX26" s="18">
        <v>1845</v>
      </c>
      <c r="AY26" s="18">
        <v>3080</v>
      </c>
      <c r="AZ26" s="18">
        <v>2478</v>
      </c>
      <c r="BA26" s="18">
        <v>3484</v>
      </c>
      <c r="BB26" s="18">
        <v>4676</v>
      </c>
      <c r="BC26" s="18">
        <v>4422</v>
      </c>
      <c r="BD26" s="19">
        <v>3183</v>
      </c>
      <c r="BE26" s="17">
        <v>3347</v>
      </c>
      <c r="BF26" s="18">
        <v>3336</v>
      </c>
      <c r="BG26" s="18">
        <v>2720</v>
      </c>
      <c r="BH26" s="18">
        <v>1721</v>
      </c>
      <c r="BI26" s="18">
        <v>2116.0065109396469</v>
      </c>
      <c r="BJ26" s="18">
        <v>1689</v>
      </c>
      <c r="BK26" s="18">
        <v>3836</v>
      </c>
      <c r="BL26" s="18">
        <v>3246</v>
      </c>
      <c r="BM26" s="18">
        <v>2339</v>
      </c>
      <c r="BN26" s="18">
        <v>4474</v>
      </c>
      <c r="BO26" s="18">
        <v>3373</v>
      </c>
      <c r="BP26" s="19">
        <v>5750</v>
      </c>
      <c r="BQ26" s="17">
        <v>2047</v>
      </c>
      <c r="BR26" s="18">
        <v>4002</v>
      </c>
      <c r="BS26" s="18">
        <v>2082</v>
      </c>
      <c r="BT26" s="18">
        <v>2270</v>
      </c>
      <c r="BU26" s="18">
        <v>1816</v>
      </c>
      <c r="BV26" s="18">
        <v>1553</v>
      </c>
      <c r="BW26" s="18">
        <v>5972</v>
      </c>
      <c r="BX26" s="18">
        <v>2769</v>
      </c>
      <c r="BY26" s="18">
        <v>1967</v>
      </c>
      <c r="BZ26" s="18">
        <v>4478</v>
      </c>
      <c r="CA26" s="18">
        <v>7046</v>
      </c>
      <c r="CB26" s="19">
        <v>3180</v>
      </c>
      <c r="CC26" s="20">
        <v>4925</v>
      </c>
      <c r="CD26" s="18">
        <v>3332</v>
      </c>
      <c r="CE26" s="18">
        <v>2109</v>
      </c>
      <c r="CF26" s="18">
        <v>5067</v>
      </c>
      <c r="CG26" s="18">
        <v>1824</v>
      </c>
      <c r="CH26" s="18">
        <v>1635</v>
      </c>
      <c r="CI26" s="18">
        <v>3272</v>
      </c>
      <c r="CJ26" s="18">
        <v>2621</v>
      </c>
      <c r="CK26" s="18">
        <v>2028</v>
      </c>
      <c r="CL26" s="18">
        <v>6164</v>
      </c>
      <c r="CM26" s="18">
        <v>3952</v>
      </c>
      <c r="CN26" s="21">
        <v>5203</v>
      </c>
      <c r="CO26" s="17">
        <v>3034</v>
      </c>
      <c r="CP26" s="18">
        <v>2889</v>
      </c>
      <c r="CQ26" s="18">
        <v>2664</v>
      </c>
      <c r="CR26" s="18">
        <v>3433</v>
      </c>
      <c r="CS26" s="18">
        <v>1748</v>
      </c>
      <c r="CT26" s="18">
        <v>1138</v>
      </c>
      <c r="CU26" s="18">
        <v>1876</v>
      </c>
      <c r="CV26" s="18">
        <v>2251</v>
      </c>
      <c r="CW26" s="18">
        <v>1961</v>
      </c>
      <c r="CX26" s="18">
        <v>6824</v>
      </c>
      <c r="CY26" s="18">
        <v>5400</v>
      </c>
      <c r="CZ26" s="19">
        <v>3171</v>
      </c>
      <c r="DA26" s="17">
        <v>3671</v>
      </c>
      <c r="DB26" s="18">
        <v>2876</v>
      </c>
      <c r="DC26" s="18">
        <v>3033</v>
      </c>
      <c r="DD26" s="18">
        <v>1815</v>
      </c>
      <c r="DE26" s="18">
        <v>2293</v>
      </c>
      <c r="DF26" s="18">
        <v>1934</v>
      </c>
      <c r="DG26" s="18">
        <v>2688</v>
      </c>
      <c r="DH26" s="18">
        <v>3423</v>
      </c>
      <c r="DI26" s="18">
        <v>5105</v>
      </c>
      <c r="DJ26" s="18">
        <v>4246</v>
      </c>
      <c r="DK26" s="18">
        <v>5691</v>
      </c>
      <c r="DL26" s="19">
        <v>6631</v>
      </c>
      <c r="DM26" s="17">
        <v>3472</v>
      </c>
      <c r="DN26" s="18">
        <v>3369</v>
      </c>
      <c r="DO26" s="18">
        <v>4338</v>
      </c>
      <c r="DP26" s="18">
        <v>2190</v>
      </c>
      <c r="DQ26" s="18">
        <v>2461</v>
      </c>
      <c r="DR26" s="18">
        <v>2642</v>
      </c>
      <c r="DS26" s="18">
        <v>3325</v>
      </c>
      <c r="DT26" s="18">
        <v>2758</v>
      </c>
      <c r="DU26" s="18">
        <v>4678</v>
      </c>
      <c r="DV26" s="18">
        <v>6160</v>
      </c>
      <c r="DW26" s="18">
        <v>3979</v>
      </c>
      <c r="DX26" s="19">
        <v>3242</v>
      </c>
      <c r="DY26" s="100">
        <v>2084</v>
      </c>
      <c r="DZ26" s="18">
        <v>4826</v>
      </c>
      <c r="EA26" s="18">
        <v>2571</v>
      </c>
      <c r="EB26" s="18">
        <v>1584</v>
      </c>
      <c r="EC26" s="18">
        <v>2725</v>
      </c>
      <c r="ED26" s="18">
        <v>1475</v>
      </c>
      <c r="EE26" s="18">
        <v>1680</v>
      </c>
      <c r="EF26" s="18">
        <v>2900</v>
      </c>
      <c r="EG26" s="18">
        <v>1244</v>
      </c>
      <c r="EH26" s="18">
        <v>660</v>
      </c>
      <c r="EI26" s="18">
        <v>895</v>
      </c>
      <c r="EJ26" s="19">
        <v>545</v>
      </c>
      <c r="EK26" s="18">
        <v>463</v>
      </c>
      <c r="EL26" s="18">
        <v>1017</v>
      </c>
      <c r="EM26" s="18">
        <v>740</v>
      </c>
      <c r="EN26" s="103">
        <v>903</v>
      </c>
      <c r="EO26" s="18">
        <v>1959</v>
      </c>
      <c r="EP26" s="18">
        <v>403</v>
      </c>
      <c r="EQ26" s="18">
        <v>346</v>
      </c>
      <c r="ER26" s="18">
        <v>808</v>
      </c>
      <c r="ES26" s="18">
        <v>891</v>
      </c>
      <c r="ET26" s="18">
        <v>1036</v>
      </c>
      <c r="EU26" s="18">
        <v>1174</v>
      </c>
      <c r="EV26" s="19">
        <v>1185</v>
      </c>
      <c r="EW26" s="103">
        <v>1959</v>
      </c>
      <c r="EX26" s="18">
        <v>518</v>
      </c>
      <c r="EY26" s="18">
        <v>1485</v>
      </c>
      <c r="EZ26" s="103">
        <v>1373</v>
      </c>
      <c r="FA26" s="18">
        <v>1072</v>
      </c>
      <c r="FB26" s="143">
        <v>1049</v>
      </c>
      <c r="FC26" s="18">
        <v>1338</v>
      </c>
      <c r="FD26" s="18">
        <v>1288</v>
      </c>
      <c r="FE26" s="143">
        <v>1147</v>
      </c>
      <c r="FF26" s="143">
        <v>983</v>
      </c>
      <c r="FG26" s="143">
        <v>5271</v>
      </c>
      <c r="FH26" s="143">
        <v>2639</v>
      </c>
      <c r="FI26" s="103">
        <f>'Average Saturday Boardings'!FI26*5</f>
        <v>1330</v>
      </c>
      <c r="FJ26" s="18">
        <f>'Average Saturday Boardings'!FJ26*4</f>
        <v>1112</v>
      </c>
      <c r="FK26" s="18">
        <f>'Average Saturday Boardings'!FK26*5</f>
        <v>2151.25</v>
      </c>
      <c r="FL26" s="103">
        <v>1247</v>
      </c>
      <c r="FM26" s="18">
        <v>2750</v>
      </c>
      <c r="FN26" s="143">
        <v>1134</v>
      </c>
      <c r="FO26" s="18">
        <v>1147</v>
      </c>
      <c r="FP26" s="18">
        <v>4170</v>
      </c>
      <c r="FQ26" s="143">
        <v>1998</v>
      </c>
      <c r="FR26" s="143">
        <v>2326</v>
      </c>
      <c r="FS26" s="143">
        <v>1950</v>
      </c>
      <c r="FT26" s="175">
        <v>2794</v>
      </c>
      <c r="FU26" s="169">
        <v>1986</v>
      </c>
      <c r="FV26" s="169">
        <v>1894</v>
      </c>
      <c r="FW26" s="169">
        <v>2355</v>
      </c>
      <c r="FX26" s="169">
        <v>2211</v>
      </c>
      <c r="FY26" s="169">
        <v>1195</v>
      </c>
      <c r="FZ26" s="169">
        <v>2275</v>
      </c>
      <c r="GA26" s="169">
        <v>1648</v>
      </c>
      <c r="GB26" s="18">
        <v>2156</v>
      </c>
      <c r="GC26" s="18">
        <v>2794</v>
      </c>
      <c r="GD26" s="18">
        <v>2314</v>
      </c>
      <c r="GE26" s="18">
        <v>3399</v>
      </c>
      <c r="GF26" s="52">
        <v>2174</v>
      </c>
      <c r="GG26" s="18">
        <v>2715</v>
      </c>
      <c r="GH26" s="18">
        <v>2468</v>
      </c>
      <c r="GI26" s="184">
        <v>2294</v>
      </c>
      <c r="GJ26" s="184">
        <v>1259</v>
      </c>
      <c r="GK26" s="184">
        <v>2388</v>
      </c>
      <c r="GL26" s="184">
        <v>1171</v>
      </c>
    </row>
    <row r="27" spans="1:194" x14ac:dyDescent="0.3">
      <c r="A27" s="3" t="s">
        <v>40</v>
      </c>
      <c r="B27" s="17"/>
      <c r="C27" s="18">
        <v>608</v>
      </c>
      <c r="D27" s="18">
        <v>987</v>
      </c>
      <c r="E27" s="18">
        <v>604</v>
      </c>
      <c r="F27" s="18">
        <v>791</v>
      </c>
      <c r="G27" s="18">
        <v>651</v>
      </c>
      <c r="H27" s="19">
        <v>595</v>
      </c>
      <c r="I27" s="17">
        <v>519</v>
      </c>
      <c r="J27" s="18">
        <v>627</v>
      </c>
      <c r="K27" s="18">
        <v>648</v>
      </c>
      <c r="L27" s="18">
        <v>634</v>
      </c>
      <c r="M27" s="18">
        <v>779</v>
      </c>
      <c r="N27" s="18">
        <v>959</v>
      </c>
      <c r="O27" s="62">
        <v>822</v>
      </c>
      <c r="P27" s="62">
        <v>915</v>
      </c>
      <c r="Q27" s="62">
        <v>981</v>
      </c>
      <c r="R27" s="62">
        <v>914</v>
      </c>
      <c r="S27" s="62">
        <v>805</v>
      </c>
      <c r="T27" s="63">
        <v>720</v>
      </c>
      <c r="U27" s="64">
        <v>912</v>
      </c>
      <c r="V27" s="62">
        <v>690</v>
      </c>
      <c r="W27" s="62">
        <v>798</v>
      </c>
      <c r="X27" s="62">
        <v>771</v>
      </c>
      <c r="Y27" s="62">
        <v>878</v>
      </c>
      <c r="Z27" s="62">
        <v>682</v>
      </c>
      <c r="AA27" s="18">
        <v>893</v>
      </c>
      <c r="AB27" s="18">
        <v>853</v>
      </c>
      <c r="AC27" s="18">
        <v>917</v>
      </c>
      <c r="AD27" s="18">
        <v>1088</v>
      </c>
      <c r="AE27" s="18">
        <v>846</v>
      </c>
      <c r="AF27" s="19">
        <v>773</v>
      </c>
      <c r="AG27" s="17">
        <v>1053</v>
      </c>
      <c r="AH27" s="18">
        <v>893</v>
      </c>
      <c r="AI27" s="18">
        <v>902</v>
      </c>
      <c r="AJ27" s="18">
        <v>1264</v>
      </c>
      <c r="AK27" s="18">
        <v>986</v>
      </c>
      <c r="AL27" s="18">
        <v>1188</v>
      </c>
      <c r="AM27" s="18">
        <v>1051</v>
      </c>
      <c r="AN27" s="18">
        <v>1043</v>
      </c>
      <c r="AO27" s="18">
        <v>1179</v>
      </c>
      <c r="AP27" s="18">
        <v>1115</v>
      </c>
      <c r="AQ27" s="18">
        <v>1018</v>
      </c>
      <c r="AR27" s="19">
        <v>1177</v>
      </c>
      <c r="AS27" s="17">
        <v>942</v>
      </c>
      <c r="AT27" s="18">
        <v>1023</v>
      </c>
      <c r="AU27" s="18">
        <v>1225</v>
      </c>
      <c r="AV27" s="18">
        <v>1171</v>
      </c>
      <c r="AW27" s="18">
        <v>1082</v>
      </c>
      <c r="AX27" s="18">
        <v>1357</v>
      </c>
      <c r="AY27" s="18">
        <v>914</v>
      </c>
      <c r="AZ27" s="18">
        <v>1157</v>
      </c>
      <c r="BA27" s="18">
        <v>1369</v>
      </c>
      <c r="BB27" s="18">
        <v>1243</v>
      </c>
      <c r="BC27" s="18">
        <v>1048</v>
      </c>
      <c r="BD27" s="19">
        <v>1089</v>
      </c>
      <c r="BE27" s="17">
        <v>901</v>
      </c>
      <c r="BF27" s="18">
        <v>1188</v>
      </c>
      <c r="BG27" s="18">
        <v>1085</v>
      </c>
      <c r="BH27" s="18">
        <v>1108</v>
      </c>
      <c r="BI27" s="18">
        <v>1481.8491279991545</v>
      </c>
      <c r="BJ27" s="18">
        <v>1036</v>
      </c>
      <c r="BK27" s="18">
        <v>1114</v>
      </c>
      <c r="BL27" s="18">
        <v>1236</v>
      </c>
      <c r="BM27" s="18">
        <v>1317</v>
      </c>
      <c r="BN27" s="18">
        <v>1178</v>
      </c>
      <c r="BO27" s="18">
        <v>1362</v>
      </c>
      <c r="BP27" s="19">
        <v>1152</v>
      </c>
      <c r="BQ27" s="17">
        <v>1062</v>
      </c>
      <c r="BR27" s="18">
        <v>1282</v>
      </c>
      <c r="BS27" s="18">
        <v>974</v>
      </c>
      <c r="BT27" s="18">
        <v>1182</v>
      </c>
      <c r="BU27" s="18">
        <v>1405</v>
      </c>
      <c r="BV27" s="18">
        <v>1142</v>
      </c>
      <c r="BW27" s="18">
        <v>2527</v>
      </c>
      <c r="BX27" s="18">
        <v>1116</v>
      </c>
      <c r="BY27" s="18">
        <v>1121</v>
      </c>
      <c r="BZ27" s="18">
        <v>1231</v>
      </c>
      <c r="CA27" s="18">
        <v>1327</v>
      </c>
      <c r="CB27" s="19">
        <v>955</v>
      </c>
      <c r="CC27" s="20">
        <v>1041</v>
      </c>
      <c r="CD27" s="18">
        <v>1316</v>
      </c>
      <c r="CE27" s="18">
        <v>1147</v>
      </c>
      <c r="CF27" s="18">
        <v>1604</v>
      </c>
      <c r="CG27" s="18">
        <v>1277</v>
      </c>
      <c r="CH27" s="18">
        <v>1191</v>
      </c>
      <c r="CI27" s="18">
        <v>2165</v>
      </c>
      <c r="CJ27" s="18">
        <v>1350</v>
      </c>
      <c r="CK27" s="18">
        <v>1303</v>
      </c>
      <c r="CL27" s="18">
        <v>1879</v>
      </c>
      <c r="CM27" s="18">
        <v>1229</v>
      </c>
      <c r="CN27" s="21">
        <v>1257</v>
      </c>
      <c r="CO27" s="17">
        <v>1268</v>
      </c>
      <c r="CP27" s="18">
        <v>1137</v>
      </c>
      <c r="CQ27" s="18">
        <v>1178</v>
      </c>
      <c r="CR27" s="18">
        <v>1612</v>
      </c>
      <c r="CS27" s="18">
        <v>1271</v>
      </c>
      <c r="CT27" s="18">
        <v>1156</v>
      </c>
      <c r="CU27" s="18">
        <v>1214</v>
      </c>
      <c r="CV27" s="18">
        <v>1222</v>
      </c>
      <c r="CW27" s="18">
        <v>1401</v>
      </c>
      <c r="CX27" s="18">
        <v>1901</v>
      </c>
      <c r="CY27" s="18">
        <v>1338</v>
      </c>
      <c r="CZ27" s="19">
        <v>1098</v>
      </c>
      <c r="DA27" s="17">
        <v>1285</v>
      </c>
      <c r="DB27" s="18">
        <v>990</v>
      </c>
      <c r="DC27" s="18">
        <v>1364</v>
      </c>
      <c r="DD27" s="18">
        <v>1139</v>
      </c>
      <c r="DE27" s="18">
        <v>1082</v>
      </c>
      <c r="DF27" s="18">
        <v>1261</v>
      </c>
      <c r="DG27" s="18">
        <v>878</v>
      </c>
      <c r="DH27" s="18">
        <v>931</v>
      </c>
      <c r="DI27" s="18">
        <v>1208</v>
      </c>
      <c r="DJ27" s="18">
        <v>990</v>
      </c>
      <c r="DK27" s="18">
        <v>853</v>
      </c>
      <c r="DL27" s="19">
        <v>1074</v>
      </c>
      <c r="DM27" s="17">
        <v>729</v>
      </c>
      <c r="DN27" s="18">
        <v>826</v>
      </c>
      <c r="DO27" s="18">
        <v>1221</v>
      </c>
      <c r="DP27" s="18">
        <v>894</v>
      </c>
      <c r="DQ27" s="18">
        <v>1031</v>
      </c>
      <c r="DR27" s="18">
        <v>1091</v>
      </c>
      <c r="DS27" s="18">
        <v>923</v>
      </c>
      <c r="DT27" s="18">
        <v>915</v>
      </c>
      <c r="DU27" s="18">
        <v>1232</v>
      </c>
      <c r="DV27" s="18">
        <v>319</v>
      </c>
      <c r="DW27" s="18">
        <v>1030</v>
      </c>
      <c r="DX27" s="19">
        <v>1100</v>
      </c>
      <c r="DY27" s="100">
        <v>798</v>
      </c>
      <c r="DZ27" s="18">
        <v>1184</v>
      </c>
      <c r="EA27" s="18">
        <v>1012</v>
      </c>
      <c r="EB27" s="18">
        <v>992</v>
      </c>
      <c r="EC27" s="18">
        <v>1312</v>
      </c>
      <c r="ED27" s="18">
        <v>923</v>
      </c>
      <c r="EE27" s="18">
        <v>1117</v>
      </c>
      <c r="EF27" s="18">
        <v>1270</v>
      </c>
      <c r="EG27" s="18">
        <v>697</v>
      </c>
      <c r="EH27" s="18">
        <v>516</v>
      </c>
      <c r="EI27" s="18">
        <v>548</v>
      </c>
      <c r="EJ27" s="19">
        <v>383</v>
      </c>
      <c r="EK27" s="18">
        <v>283</v>
      </c>
      <c r="EL27" s="18">
        <v>521</v>
      </c>
      <c r="EM27" s="18">
        <v>435</v>
      </c>
      <c r="EN27" s="103">
        <v>629</v>
      </c>
      <c r="EO27" s="18">
        <v>479</v>
      </c>
      <c r="EP27" s="18">
        <v>345</v>
      </c>
      <c r="EQ27" s="18">
        <v>269</v>
      </c>
      <c r="ER27" s="18">
        <v>450</v>
      </c>
      <c r="ES27" s="18">
        <v>462</v>
      </c>
      <c r="ET27" s="18">
        <v>470</v>
      </c>
      <c r="EU27" s="18">
        <v>592</v>
      </c>
      <c r="EV27" s="19">
        <v>387</v>
      </c>
      <c r="EW27" s="103">
        <v>479</v>
      </c>
      <c r="EX27" s="18">
        <v>313</v>
      </c>
      <c r="EY27" s="18">
        <v>449</v>
      </c>
      <c r="EZ27" s="103">
        <v>572</v>
      </c>
      <c r="FA27" s="18">
        <v>512</v>
      </c>
      <c r="FB27" s="143">
        <v>514</v>
      </c>
      <c r="FC27" s="18">
        <v>613</v>
      </c>
      <c r="FD27" s="18">
        <v>573</v>
      </c>
      <c r="FE27" s="143">
        <v>638</v>
      </c>
      <c r="FF27" s="143">
        <v>798</v>
      </c>
      <c r="FG27" s="143">
        <v>654</v>
      </c>
      <c r="FH27" s="143">
        <v>494</v>
      </c>
      <c r="FI27" s="103">
        <f>'Average Saturday Boardings'!FI27*5</f>
        <v>500</v>
      </c>
      <c r="FJ27" s="18">
        <f>'Average Saturday Boardings'!FJ27*4</f>
        <v>476</v>
      </c>
      <c r="FK27" s="18">
        <f>'Average Saturday Boardings'!FK27*5</f>
        <v>557.5</v>
      </c>
      <c r="FL27" s="103">
        <v>616</v>
      </c>
      <c r="FM27" s="18">
        <v>541</v>
      </c>
      <c r="FN27" s="143">
        <v>482</v>
      </c>
      <c r="FO27" s="18">
        <v>512</v>
      </c>
      <c r="FP27" s="18">
        <v>729</v>
      </c>
      <c r="FQ27" s="143">
        <v>712</v>
      </c>
      <c r="FR27" s="143">
        <v>843</v>
      </c>
      <c r="FS27" s="143">
        <v>645</v>
      </c>
      <c r="FT27" s="175">
        <v>695</v>
      </c>
      <c r="FU27" s="169">
        <v>700</v>
      </c>
      <c r="FV27" s="169">
        <v>624</v>
      </c>
      <c r="FW27" s="169">
        <v>765</v>
      </c>
      <c r="FX27" s="169">
        <v>719</v>
      </c>
      <c r="FY27" s="169">
        <v>610</v>
      </c>
      <c r="FZ27" s="169">
        <v>618</v>
      </c>
      <c r="GA27" s="169">
        <v>660</v>
      </c>
      <c r="GB27" s="18">
        <v>654</v>
      </c>
      <c r="GC27" s="18">
        <v>858</v>
      </c>
      <c r="GD27" s="18">
        <v>658</v>
      </c>
      <c r="GE27" s="18">
        <v>688</v>
      </c>
      <c r="GF27" s="52">
        <v>751</v>
      </c>
      <c r="GG27" s="18">
        <v>515</v>
      </c>
      <c r="GH27" s="18">
        <v>757</v>
      </c>
      <c r="GI27" s="184">
        <v>573</v>
      </c>
      <c r="GJ27" s="184">
        <v>477</v>
      </c>
      <c r="GK27" s="184">
        <v>665</v>
      </c>
      <c r="GL27" s="184">
        <v>505</v>
      </c>
    </row>
    <row r="28" spans="1:194" x14ac:dyDescent="0.3">
      <c r="A28" s="3" t="s">
        <v>41</v>
      </c>
      <c r="B28" s="17"/>
      <c r="C28" s="18">
        <v>1041</v>
      </c>
      <c r="D28" s="18">
        <v>965</v>
      </c>
      <c r="E28" s="18">
        <v>783</v>
      </c>
      <c r="F28" s="18">
        <v>803</v>
      </c>
      <c r="G28" s="18">
        <v>574</v>
      </c>
      <c r="H28" s="19">
        <v>538</v>
      </c>
      <c r="I28" s="17">
        <v>481</v>
      </c>
      <c r="J28" s="18">
        <v>608</v>
      </c>
      <c r="K28" s="18">
        <v>558</v>
      </c>
      <c r="L28" s="18">
        <v>724</v>
      </c>
      <c r="M28" s="18">
        <v>724</v>
      </c>
      <c r="N28" s="18">
        <v>691</v>
      </c>
      <c r="O28" s="62">
        <v>757</v>
      </c>
      <c r="P28" s="62">
        <v>734</v>
      </c>
      <c r="Q28" s="62">
        <v>785</v>
      </c>
      <c r="R28" s="62">
        <v>744</v>
      </c>
      <c r="S28" s="62">
        <v>647</v>
      </c>
      <c r="T28" s="63">
        <v>547</v>
      </c>
      <c r="U28" s="64">
        <v>731</v>
      </c>
      <c r="V28" s="62">
        <v>679</v>
      </c>
      <c r="W28" s="62">
        <v>789</v>
      </c>
      <c r="X28" s="62">
        <v>639</v>
      </c>
      <c r="Y28" s="62">
        <v>622</v>
      </c>
      <c r="Z28" s="62">
        <v>515</v>
      </c>
      <c r="AA28" s="18">
        <v>808</v>
      </c>
      <c r="AB28" s="18">
        <v>679</v>
      </c>
      <c r="AC28" s="18">
        <v>776</v>
      </c>
      <c r="AD28" s="18">
        <v>982</v>
      </c>
      <c r="AE28" s="18">
        <v>691</v>
      </c>
      <c r="AF28" s="19">
        <v>585</v>
      </c>
      <c r="AG28" s="17">
        <v>779</v>
      </c>
      <c r="AH28" s="18">
        <v>654</v>
      </c>
      <c r="AI28" s="18">
        <v>722</v>
      </c>
      <c r="AJ28" s="18">
        <v>919</v>
      </c>
      <c r="AK28" s="18">
        <v>669</v>
      </c>
      <c r="AL28" s="18">
        <v>833</v>
      </c>
      <c r="AM28" s="18">
        <v>783</v>
      </c>
      <c r="AN28" s="18">
        <v>712</v>
      </c>
      <c r="AO28" s="18">
        <v>920</v>
      </c>
      <c r="AP28" s="18">
        <v>889</v>
      </c>
      <c r="AQ28" s="18">
        <v>824</v>
      </c>
      <c r="AR28" s="19">
        <v>956</v>
      </c>
      <c r="AS28" s="17">
        <v>667</v>
      </c>
      <c r="AT28" s="18">
        <v>721</v>
      </c>
      <c r="AU28" s="18">
        <v>1039</v>
      </c>
      <c r="AV28" s="18">
        <v>904</v>
      </c>
      <c r="AW28" s="18">
        <v>864</v>
      </c>
      <c r="AX28" s="18">
        <v>1055</v>
      </c>
      <c r="AY28" s="18">
        <v>669</v>
      </c>
      <c r="AZ28" s="18">
        <v>983</v>
      </c>
      <c r="BA28" s="18">
        <v>964</v>
      </c>
      <c r="BB28" s="18">
        <v>959</v>
      </c>
      <c r="BC28" s="18">
        <v>788</v>
      </c>
      <c r="BD28" s="19">
        <v>810</v>
      </c>
      <c r="BE28" s="17">
        <v>709</v>
      </c>
      <c r="BF28" s="18">
        <v>916</v>
      </c>
      <c r="BG28" s="18">
        <v>860</v>
      </c>
      <c r="BH28" s="18">
        <v>1022</v>
      </c>
      <c r="BI28" s="18">
        <v>1173.434732057922</v>
      </c>
      <c r="BJ28" s="18">
        <v>947</v>
      </c>
      <c r="BK28" s="18">
        <v>862</v>
      </c>
      <c r="BL28" s="18">
        <v>856</v>
      </c>
      <c r="BM28" s="18">
        <v>1114</v>
      </c>
      <c r="BN28" s="18">
        <v>1020</v>
      </c>
      <c r="BO28" s="18">
        <v>1111</v>
      </c>
      <c r="BP28" s="19">
        <v>868</v>
      </c>
      <c r="BQ28" s="17">
        <v>751</v>
      </c>
      <c r="BR28" s="18">
        <v>931</v>
      </c>
      <c r="BS28" s="18">
        <v>862</v>
      </c>
      <c r="BT28" s="18">
        <v>1074</v>
      </c>
      <c r="BU28" s="18">
        <v>1234</v>
      </c>
      <c r="BV28" s="18">
        <v>841</v>
      </c>
      <c r="BW28" s="18">
        <v>1547</v>
      </c>
      <c r="BX28" s="18">
        <v>911</v>
      </c>
      <c r="BY28" s="18">
        <v>886</v>
      </c>
      <c r="BZ28" s="18">
        <v>986</v>
      </c>
      <c r="CA28" s="18">
        <v>1243</v>
      </c>
      <c r="CB28" s="19">
        <v>843</v>
      </c>
      <c r="CC28" s="20">
        <v>917</v>
      </c>
      <c r="CD28" s="18">
        <v>1107</v>
      </c>
      <c r="CE28" s="18">
        <v>1043</v>
      </c>
      <c r="CF28" s="18">
        <v>1396</v>
      </c>
      <c r="CG28" s="18">
        <v>1083</v>
      </c>
      <c r="CH28" s="18">
        <v>936</v>
      </c>
      <c r="CI28" s="18">
        <v>1138</v>
      </c>
      <c r="CJ28" s="18">
        <v>1090</v>
      </c>
      <c r="CK28" s="18">
        <v>1080</v>
      </c>
      <c r="CL28" s="18">
        <v>1356</v>
      </c>
      <c r="CM28" s="18">
        <v>1044</v>
      </c>
      <c r="CN28" s="21">
        <v>915</v>
      </c>
      <c r="CO28" s="17">
        <v>1147</v>
      </c>
      <c r="CP28" s="18">
        <v>927</v>
      </c>
      <c r="CQ28" s="18">
        <v>1083</v>
      </c>
      <c r="CR28" s="18">
        <v>1495</v>
      </c>
      <c r="CS28" s="18">
        <v>942</v>
      </c>
      <c r="CT28" s="18">
        <v>1220</v>
      </c>
      <c r="CU28" s="18">
        <v>1029</v>
      </c>
      <c r="CV28" s="18">
        <v>1022</v>
      </c>
      <c r="CW28" s="18">
        <v>1043</v>
      </c>
      <c r="CX28" s="18">
        <v>1459</v>
      </c>
      <c r="CY28" s="18">
        <v>1032</v>
      </c>
      <c r="CZ28" s="19">
        <v>918</v>
      </c>
      <c r="DA28" s="17">
        <v>1004</v>
      </c>
      <c r="DB28" s="18">
        <v>780</v>
      </c>
      <c r="DC28" s="18">
        <v>1071</v>
      </c>
      <c r="DD28" s="18">
        <v>1070</v>
      </c>
      <c r="DE28" s="18">
        <v>1055</v>
      </c>
      <c r="DF28" s="18">
        <v>1127</v>
      </c>
      <c r="DG28" s="18">
        <v>1139</v>
      </c>
      <c r="DH28" s="18">
        <v>1116</v>
      </c>
      <c r="DI28" s="18">
        <v>1412</v>
      </c>
      <c r="DJ28" s="18">
        <v>1083</v>
      </c>
      <c r="DK28" s="18">
        <v>1046</v>
      </c>
      <c r="DL28" s="19">
        <v>1319</v>
      </c>
      <c r="DM28" s="17">
        <v>975</v>
      </c>
      <c r="DN28" s="18">
        <v>965</v>
      </c>
      <c r="DO28" s="18">
        <v>1383</v>
      </c>
      <c r="DP28" s="18">
        <v>993</v>
      </c>
      <c r="DQ28" s="18">
        <v>1007</v>
      </c>
      <c r="DR28" s="18">
        <v>1215</v>
      </c>
      <c r="DS28" s="18">
        <v>1037</v>
      </c>
      <c r="DT28" s="18">
        <v>1008</v>
      </c>
      <c r="DU28" s="18">
        <v>1296</v>
      </c>
      <c r="DV28" s="18">
        <v>1106</v>
      </c>
      <c r="DW28" s="18">
        <v>926</v>
      </c>
      <c r="DX28" s="19">
        <v>973</v>
      </c>
      <c r="DY28" s="100">
        <v>654</v>
      </c>
      <c r="DZ28" s="18">
        <v>937</v>
      </c>
      <c r="EA28" s="18">
        <v>890</v>
      </c>
      <c r="EB28" s="18">
        <v>983</v>
      </c>
      <c r="EC28" s="18">
        <v>1256</v>
      </c>
      <c r="ED28" s="18">
        <v>973</v>
      </c>
      <c r="EE28" s="18">
        <v>859</v>
      </c>
      <c r="EF28" s="18">
        <v>1134</v>
      </c>
      <c r="EG28" s="18">
        <v>754</v>
      </c>
      <c r="EH28" s="18">
        <v>571</v>
      </c>
      <c r="EI28" s="18">
        <v>678</v>
      </c>
      <c r="EJ28" s="19">
        <v>493</v>
      </c>
      <c r="EK28" s="18">
        <v>296</v>
      </c>
      <c r="EL28" s="18">
        <v>634</v>
      </c>
      <c r="EM28" s="18">
        <v>411</v>
      </c>
      <c r="EN28" s="103">
        <v>601</v>
      </c>
      <c r="EO28" s="18">
        <v>593</v>
      </c>
      <c r="EP28" s="18">
        <v>362</v>
      </c>
      <c r="EQ28" s="18">
        <v>281</v>
      </c>
      <c r="ER28" s="18">
        <v>475</v>
      </c>
      <c r="ES28" s="18">
        <v>511</v>
      </c>
      <c r="ET28" s="18">
        <v>518</v>
      </c>
      <c r="EU28" s="18">
        <v>533</v>
      </c>
      <c r="EV28" s="19">
        <v>455</v>
      </c>
      <c r="EW28" s="103">
        <v>593</v>
      </c>
      <c r="EX28" s="18">
        <v>372</v>
      </c>
      <c r="EY28" s="18">
        <v>537</v>
      </c>
      <c r="EZ28" s="103">
        <v>659</v>
      </c>
      <c r="FA28" s="18">
        <v>613</v>
      </c>
      <c r="FB28" s="143">
        <v>509</v>
      </c>
      <c r="FC28" s="18">
        <v>766</v>
      </c>
      <c r="FD28" s="18">
        <v>566</v>
      </c>
      <c r="FE28" s="143">
        <v>732</v>
      </c>
      <c r="FF28" s="143">
        <v>1052</v>
      </c>
      <c r="FG28" s="143">
        <v>983</v>
      </c>
      <c r="FH28" s="143">
        <v>750</v>
      </c>
      <c r="FI28" s="103">
        <f>'Average Saturday Boardings'!FI28*5</f>
        <v>556</v>
      </c>
      <c r="FJ28" s="18">
        <f>'Average Saturday Boardings'!FJ28*4</f>
        <v>437</v>
      </c>
      <c r="FK28" s="18">
        <f>'Average Saturday Boardings'!FK28*5</f>
        <v>675</v>
      </c>
      <c r="FL28" s="103">
        <v>740</v>
      </c>
      <c r="FM28" s="18">
        <v>564</v>
      </c>
      <c r="FN28" s="143">
        <v>681</v>
      </c>
      <c r="FO28" s="18">
        <v>616</v>
      </c>
      <c r="FP28" s="18">
        <v>954</v>
      </c>
      <c r="FQ28" s="143">
        <v>738</v>
      </c>
      <c r="FR28" s="143">
        <v>822</v>
      </c>
      <c r="FS28" s="143">
        <v>643</v>
      </c>
      <c r="FT28" s="175">
        <v>693</v>
      </c>
      <c r="FU28" s="169">
        <v>722</v>
      </c>
      <c r="FV28" s="169">
        <v>622</v>
      </c>
      <c r="FW28" s="169">
        <v>846</v>
      </c>
      <c r="FX28" s="169">
        <v>744</v>
      </c>
      <c r="FY28" s="169">
        <v>660</v>
      </c>
      <c r="FZ28" s="169">
        <v>686</v>
      </c>
      <c r="GA28" s="169">
        <v>810</v>
      </c>
      <c r="GB28" s="18">
        <v>772</v>
      </c>
      <c r="GC28" s="18">
        <v>958</v>
      </c>
      <c r="GD28" s="18">
        <v>720</v>
      </c>
      <c r="GE28" s="18">
        <v>728</v>
      </c>
      <c r="GF28" s="52">
        <v>813</v>
      </c>
      <c r="GG28" s="18">
        <v>682</v>
      </c>
      <c r="GH28" s="18">
        <v>936</v>
      </c>
      <c r="GI28" s="184">
        <v>691</v>
      </c>
      <c r="GJ28" s="184">
        <v>650</v>
      </c>
      <c r="GK28" s="184">
        <v>788</v>
      </c>
      <c r="GL28" s="184">
        <v>625</v>
      </c>
    </row>
    <row r="29" spans="1:194" x14ac:dyDescent="0.3">
      <c r="A29" s="3" t="s">
        <v>42</v>
      </c>
      <c r="B29" s="17"/>
      <c r="C29" s="18">
        <v>821</v>
      </c>
      <c r="D29" s="18">
        <v>1080</v>
      </c>
      <c r="E29" s="18">
        <v>983</v>
      </c>
      <c r="F29" s="18">
        <v>1098</v>
      </c>
      <c r="G29" s="18">
        <v>954</v>
      </c>
      <c r="H29" s="19">
        <v>954</v>
      </c>
      <c r="I29" s="17">
        <v>843</v>
      </c>
      <c r="J29" s="18">
        <v>923</v>
      </c>
      <c r="K29" s="18">
        <v>987</v>
      </c>
      <c r="L29" s="18">
        <v>1203</v>
      </c>
      <c r="M29" s="18">
        <v>1207</v>
      </c>
      <c r="N29" s="18">
        <v>1464</v>
      </c>
      <c r="O29" s="62">
        <v>1303</v>
      </c>
      <c r="P29" s="62">
        <v>1329</v>
      </c>
      <c r="Q29" s="62">
        <v>1303</v>
      </c>
      <c r="R29" s="62">
        <v>1115</v>
      </c>
      <c r="S29" s="62">
        <v>1214</v>
      </c>
      <c r="T29" s="63">
        <v>971</v>
      </c>
      <c r="U29" s="64">
        <v>1334</v>
      </c>
      <c r="V29" s="62">
        <v>1206</v>
      </c>
      <c r="W29" s="62">
        <v>1465</v>
      </c>
      <c r="X29" s="62">
        <v>1237</v>
      </c>
      <c r="Y29" s="62">
        <v>1220</v>
      </c>
      <c r="Z29" s="62">
        <v>915</v>
      </c>
      <c r="AA29" s="18">
        <v>1297</v>
      </c>
      <c r="AB29" s="18">
        <v>1360</v>
      </c>
      <c r="AC29" s="18">
        <v>1515</v>
      </c>
      <c r="AD29" s="18">
        <v>1814</v>
      </c>
      <c r="AE29" s="18">
        <v>1593</v>
      </c>
      <c r="AF29" s="19">
        <v>1204</v>
      </c>
      <c r="AG29" s="17">
        <v>1548</v>
      </c>
      <c r="AH29" s="18">
        <v>1241</v>
      </c>
      <c r="AI29" s="18">
        <v>1461</v>
      </c>
      <c r="AJ29" s="18">
        <v>1748</v>
      </c>
      <c r="AK29" s="18">
        <v>1317</v>
      </c>
      <c r="AL29" s="18">
        <v>1749</v>
      </c>
      <c r="AM29" s="18">
        <v>1367</v>
      </c>
      <c r="AN29" s="18">
        <v>1485</v>
      </c>
      <c r="AO29" s="18">
        <v>1726</v>
      </c>
      <c r="AP29" s="18">
        <v>1609</v>
      </c>
      <c r="AQ29" s="18">
        <v>1445</v>
      </c>
      <c r="AR29" s="19">
        <v>1919</v>
      </c>
      <c r="AS29" s="17">
        <v>1420</v>
      </c>
      <c r="AT29" s="18">
        <v>1424</v>
      </c>
      <c r="AU29" s="18">
        <v>1942</v>
      </c>
      <c r="AV29" s="18">
        <v>1805</v>
      </c>
      <c r="AW29" s="18">
        <v>1727</v>
      </c>
      <c r="AX29" s="18">
        <v>2135</v>
      </c>
      <c r="AY29" s="18">
        <v>1491</v>
      </c>
      <c r="AZ29" s="18">
        <v>1699</v>
      </c>
      <c r="BA29" s="18">
        <v>2067</v>
      </c>
      <c r="BB29" s="18">
        <v>1673</v>
      </c>
      <c r="BC29" s="18">
        <v>1595</v>
      </c>
      <c r="BD29" s="19">
        <v>1849</v>
      </c>
      <c r="BE29" s="17">
        <v>1696</v>
      </c>
      <c r="BF29" s="18">
        <v>1927</v>
      </c>
      <c r="BG29" s="18">
        <v>1624</v>
      </c>
      <c r="BH29" s="18">
        <v>1858</v>
      </c>
      <c r="BI29" s="18">
        <v>2377.2017122925695</v>
      </c>
      <c r="BJ29" s="18">
        <v>1601</v>
      </c>
      <c r="BK29" s="18">
        <v>1720</v>
      </c>
      <c r="BL29" s="18">
        <v>1832</v>
      </c>
      <c r="BM29" s="18">
        <v>2263</v>
      </c>
      <c r="BN29" s="18">
        <v>1789</v>
      </c>
      <c r="BO29" s="18">
        <v>1967</v>
      </c>
      <c r="BP29" s="19">
        <v>1589</v>
      </c>
      <c r="BQ29" s="17">
        <v>1396</v>
      </c>
      <c r="BR29" s="18">
        <v>1946</v>
      </c>
      <c r="BS29" s="18">
        <v>1587</v>
      </c>
      <c r="BT29" s="18">
        <v>2011</v>
      </c>
      <c r="BU29" s="18">
        <v>2326</v>
      </c>
      <c r="BV29" s="18">
        <v>1668</v>
      </c>
      <c r="BW29" s="18">
        <v>2410</v>
      </c>
      <c r="BX29" s="18">
        <v>1868</v>
      </c>
      <c r="BY29" s="18">
        <v>1838</v>
      </c>
      <c r="BZ29" s="18">
        <v>1699</v>
      </c>
      <c r="CA29" s="18">
        <v>1969</v>
      </c>
      <c r="CB29" s="19">
        <v>1518</v>
      </c>
      <c r="CC29" s="20">
        <v>1673</v>
      </c>
      <c r="CD29" s="18">
        <v>1986</v>
      </c>
      <c r="CE29" s="18">
        <v>1940</v>
      </c>
      <c r="CF29" s="18">
        <v>2520</v>
      </c>
      <c r="CG29" s="18">
        <v>1907</v>
      </c>
      <c r="CH29" s="18">
        <v>1870</v>
      </c>
      <c r="CI29" s="18">
        <v>2262</v>
      </c>
      <c r="CJ29" s="18">
        <v>1921</v>
      </c>
      <c r="CK29" s="18">
        <v>2059</v>
      </c>
      <c r="CL29" s="18">
        <v>2587</v>
      </c>
      <c r="CM29" s="18">
        <v>2184</v>
      </c>
      <c r="CN29" s="21">
        <v>2101</v>
      </c>
      <c r="CO29" s="17">
        <v>2064</v>
      </c>
      <c r="CP29" s="18">
        <v>1794</v>
      </c>
      <c r="CQ29" s="18">
        <v>1838</v>
      </c>
      <c r="CR29" s="18">
        <v>2300</v>
      </c>
      <c r="CS29" s="18">
        <v>1656</v>
      </c>
      <c r="CT29" s="18">
        <v>1772</v>
      </c>
      <c r="CU29" s="18">
        <v>1708</v>
      </c>
      <c r="CV29" s="18">
        <v>1600</v>
      </c>
      <c r="CW29" s="18">
        <v>1658</v>
      </c>
      <c r="CX29" s="18">
        <v>2189</v>
      </c>
      <c r="CY29" s="18">
        <v>1552</v>
      </c>
      <c r="CZ29" s="19">
        <v>1411</v>
      </c>
      <c r="DA29" s="17">
        <v>1827</v>
      </c>
      <c r="DB29" s="18">
        <v>1548</v>
      </c>
      <c r="DC29" s="18">
        <v>1917</v>
      </c>
      <c r="DD29" s="18">
        <v>1800</v>
      </c>
      <c r="DE29" s="18">
        <v>1570</v>
      </c>
      <c r="DF29" s="18">
        <v>1884</v>
      </c>
      <c r="DG29" s="18">
        <v>1491</v>
      </c>
      <c r="DH29" s="18">
        <v>1705</v>
      </c>
      <c r="DI29" s="18">
        <v>2144</v>
      </c>
      <c r="DJ29" s="18">
        <v>1719</v>
      </c>
      <c r="DK29" s="18">
        <v>1592</v>
      </c>
      <c r="DL29" s="19">
        <v>1983</v>
      </c>
      <c r="DM29" s="17">
        <v>1377</v>
      </c>
      <c r="DN29" s="18">
        <v>1439</v>
      </c>
      <c r="DO29" s="18">
        <v>1749</v>
      </c>
      <c r="DP29" s="18">
        <v>1460</v>
      </c>
      <c r="DQ29" s="18">
        <v>1516</v>
      </c>
      <c r="DR29" s="18">
        <v>1938</v>
      </c>
      <c r="DS29" s="18">
        <v>1393</v>
      </c>
      <c r="DT29" s="18">
        <v>1496</v>
      </c>
      <c r="DU29" s="18">
        <v>1771</v>
      </c>
      <c r="DV29" s="18">
        <v>1405</v>
      </c>
      <c r="DW29" s="18">
        <v>1268</v>
      </c>
      <c r="DX29" s="19">
        <v>1623</v>
      </c>
      <c r="DY29" s="100">
        <v>1142</v>
      </c>
      <c r="DZ29" s="18">
        <v>1474</v>
      </c>
      <c r="EA29" s="18">
        <v>1223</v>
      </c>
      <c r="EB29" s="18">
        <v>1363</v>
      </c>
      <c r="EC29" s="18">
        <v>1770</v>
      </c>
      <c r="ED29" s="18">
        <v>1241</v>
      </c>
      <c r="EE29" s="18">
        <v>1272</v>
      </c>
      <c r="EF29" s="18">
        <v>1587</v>
      </c>
      <c r="EG29" s="18">
        <v>1380</v>
      </c>
      <c r="EH29" s="18">
        <v>1129</v>
      </c>
      <c r="EI29" s="18">
        <v>1428</v>
      </c>
      <c r="EJ29" s="19">
        <v>1060</v>
      </c>
      <c r="EK29" s="18">
        <v>713</v>
      </c>
      <c r="EL29" s="18">
        <v>1279</v>
      </c>
      <c r="EM29" s="18">
        <v>828</v>
      </c>
      <c r="EN29" s="103">
        <v>1159</v>
      </c>
      <c r="EO29" s="18">
        <v>819</v>
      </c>
      <c r="EP29" s="18">
        <v>661</v>
      </c>
      <c r="EQ29" s="18">
        <v>508</v>
      </c>
      <c r="ER29" s="18">
        <v>750</v>
      </c>
      <c r="ES29" s="18">
        <v>735</v>
      </c>
      <c r="ET29" s="18">
        <v>758</v>
      </c>
      <c r="EU29" s="18">
        <v>934</v>
      </c>
      <c r="EV29" s="19">
        <v>688</v>
      </c>
      <c r="EW29" s="103">
        <v>819</v>
      </c>
      <c r="EX29" s="18">
        <v>545</v>
      </c>
      <c r="EY29" s="18">
        <v>719</v>
      </c>
      <c r="EZ29" s="103">
        <v>950</v>
      </c>
      <c r="FA29" s="18">
        <v>859</v>
      </c>
      <c r="FB29" s="143">
        <v>751</v>
      </c>
      <c r="FC29" s="18">
        <v>882</v>
      </c>
      <c r="FD29" s="18">
        <v>977</v>
      </c>
      <c r="FE29" s="143">
        <v>1061</v>
      </c>
      <c r="FF29" s="143">
        <v>1145</v>
      </c>
      <c r="FG29" s="143">
        <v>912</v>
      </c>
      <c r="FH29" s="143">
        <v>708</v>
      </c>
      <c r="FI29" s="103">
        <f>'Average Saturday Boardings'!FI29*5</f>
        <v>880</v>
      </c>
      <c r="FJ29" s="18">
        <f>'Average Saturday Boardings'!FJ29*4</f>
        <v>811</v>
      </c>
      <c r="FK29" s="18">
        <f>'Average Saturday Boardings'!FK29*5</f>
        <v>1040</v>
      </c>
      <c r="FL29" s="103">
        <v>1054</v>
      </c>
      <c r="FM29" s="18">
        <v>890</v>
      </c>
      <c r="FN29" s="143">
        <v>960</v>
      </c>
      <c r="FO29" s="18">
        <v>933</v>
      </c>
      <c r="FP29" s="18">
        <v>937</v>
      </c>
      <c r="FQ29" s="143">
        <v>1097</v>
      </c>
      <c r="FR29" s="143">
        <v>1310</v>
      </c>
      <c r="FS29" s="143">
        <v>994</v>
      </c>
      <c r="FT29" s="175">
        <v>964</v>
      </c>
      <c r="FU29" s="169">
        <v>1210</v>
      </c>
      <c r="FV29" s="169">
        <v>896</v>
      </c>
      <c r="FW29" s="169">
        <v>1170</v>
      </c>
      <c r="FX29" s="169">
        <v>997</v>
      </c>
      <c r="FY29" s="169">
        <v>971</v>
      </c>
      <c r="FZ29" s="169">
        <v>945</v>
      </c>
      <c r="GA29" s="169">
        <v>924</v>
      </c>
      <c r="GB29" s="18">
        <v>976</v>
      </c>
      <c r="GC29" s="18">
        <v>1256</v>
      </c>
      <c r="GD29" s="18">
        <v>882</v>
      </c>
      <c r="GE29" s="18">
        <v>1001</v>
      </c>
      <c r="GF29" s="52">
        <v>1017</v>
      </c>
      <c r="GG29" s="18">
        <v>886</v>
      </c>
      <c r="GH29" s="18">
        <v>1259</v>
      </c>
      <c r="GI29" s="184">
        <v>1022</v>
      </c>
      <c r="GJ29" s="184">
        <v>909</v>
      </c>
      <c r="GK29" s="184">
        <v>1120</v>
      </c>
      <c r="GL29" s="184">
        <v>855</v>
      </c>
    </row>
    <row r="30" spans="1:194" x14ac:dyDescent="0.3">
      <c r="A30" s="3" t="s">
        <v>43</v>
      </c>
      <c r="B30" s="17"/>
      <c r="C30" s="18">
        <v>3700</v>
      </c>
      <c r="D30" s="18">
        <v>1010</v>
      </c>
      <c r="E30" s="18">
        <v>830</v>
      </c>
      <c r="F30" s="18">
        <v>978</v>
      </c>
      <c r="G30" s="18">
        <v>940</v>
      </c>
      <c r="H30" s="19">
        <v>899</v>
      </c>
      <c r="I30" s="17">
        <v>739</v>
      </c>
      <c r="J30" s="18">
        <v>961</v>
      </c>
      <c r="K30" s="18">
        <v>1011</v>
      </c>
      <c r="L30" s="18">
        <v>1221</v>
      </c>
      <c r="M30" s="18">
        <v>1182</v>
      </c>
      <c r="N30" s="18">
        <v>1254</v>
      </c>
      <c r="O30" s="62">
        <v>1390</v>
      </c>
      <c r="P30" s="62">
        <v>1229</v>
      </c>
      <c r="Q30" s="62">
        <v>1289</v>
      </c>
      <c r="R30" s="62">
        <v>1175</v>
      </c>
      <c r="S30" s="62">
        <v>1376</v>
      </c>
      <c r="T30" s="63">
        <v>1203</v>
      </c>
      <c r="U30" s="64">
        <v>1547</v>
      </c>
      <c r="V30" s="62">
        <v>1211</v>
      </c>
      <c r="W30" s="62">
        <v>1291</v>
      </c>
      <c r="X30" s="62">
        <v>1321</v>
      </c>
      <c r="Y30" s="62">
        <v>1246</v>
      </c>
      <c r="Z30" s="62">
        <v>1027</v>
      </c>
      <c r="AA30" s="18">
        <v>1527</v>
      </c>
      <c r="AB30" s="18">
        <v>1272</v>
      </c>
      <c r="AC30" s="18">
        <v>2151</v>
      </c>
      <c r="AD30" s="18">
        <v>1968</v>
      </c>
      <c r="AE30" s="18">
        <v>1430</v>
      </c>
      <c r="AF30" s="19">
        <v>1432</v>
      </c>
      <c r="AG30" s="17">
        <v>1780</v>
      </c>
      <c r="AH30" s="18">
        <v>1359</v>
      </c>
      <c r="AI30" s="18">
        <v>1625</v>
      </c>
      <c r="AJ30" s="18">
        <v>2242</v>
      </c>
      <c r="AK30" s="18">
        <v>1257</v>
      </c>
      <c r="AL30" s="18">
        <v>1830</v>
      </c>
      <c r="AM30" s="18">
        <v>1729</v>
      </c>
      <c r="AN30" s="18">
        <v>1683</v>
      </c>
      <c r="AO30" s="18">
        <v>2097</v>
      </c>
      <c r="AP30" s="18">
        <v>1547</v>
      </c>
      <c r="AQ30" s="18">
        <v>1498</v>
      </c>
      <c r="AR30" s="19">
        <v>1961</v>
      </c>
      <c r="AS30" s="17">
        <v>1444</v>
      </c>
      <c r="AT30" s="18">
        <v>1468</v>
      </c>
      <c r="AU30" s="18">
        <v>2009</v>
      </c>
      <c r="AV30" s="18">
        <v>1709</v>
      </c>
      <c r="AW30" s="18">
        <v>1729</v>
      </c>
      <c r="AX30" s="18">
        <v>2059</v>
      </c>
      <c r="AY30" s="18">
        <v>1526</v>
      </c>
      <c r="AZ30" s="18">
        <v>1801</v>
      </c>
      <c r="BA30" s="18">
        <v>2242</v>
      </c>
      <c r="BB30" s="18">
        <v>1777</v>
      </c>
      <c r="BC30" s="18">
        <v>1825</v>
      </c>
      <c r="BD30" s="19">
        <v>1966</v>
      </c>
      <c r="BE30" s="17">
        <v>1738</v>
      </c>
      <c r="BF30" s="18">
        <v>2121</v>
      </c>
      <c r="BG30" s="18">
        <v>1885</v>
      </c>
      <c r="BH30" s="18">
        <v>1914</v>
      </c>
      <c r="BI30" s="18">
        <v>2333.2667794102103</v>
      </c>
      <c r="BJ30" s="18">
        <v>1809</v>
      </c>
      <c r="BK30" s="18">
        <v>2115</v>
      </c>
      <c r="BL30" s="18">
        <v>1931</v>
      </c>
      <c r="BM30" s="18">
        <v>2403</v>
      </c>
      <c r="BN30" s="18">
        <v>1867</v>
      </c>
      <c r="BO30" s="18">
        <v>2180</v>
      </c>
      <c r="BP30" s="19">
        <v>1810</v>
      </c>
      <c r="BQ30" s="17">
        <v>1752</v>
      </c>
      <c r="BR30" s="18">
        <v>2047</v>
      </c>
      <c r="BS30" s="18">
        <v>1741</v>
      </c>
      <c r="BT30" s="18">
        <v>1846</v>
      </c>
      <c r="BU30" s="18">
        <v>2135</v>
      </c>
      <c r="BV30" s="18">
        <v>1725</v>
      </c>
      <c r="BW30" s="18">
        <v>2916</v>
      </c>
      <c r="BX30" s="18">
        <v>1889</v>
      </c>
      <c r="BY30" s="18">
        <v>1748</v>
      </c>
      <c r="BZ30" s="18">
        <v>2034</v>
      </c>
      <c r="CA30" s="18">
        <v>2302</v>
      </c>
      <c r="CB30" s="19">
        <v>1772</v>
      </c>
      <c r="CC30" s="20">
        <v>1871</v>
      </c>
      <c r="CD30" s="18">
        <v>2378</v>
      </c>
      <c r="CE30" s="18">
        <v>2034</v>
      </c>
      <c r="CF30" s="18">
        <v>2496</v>
      </c>
      <c r="CG30" s="18">
        <v>1970</v>
      </c>
      <c r="CH30" s="18">
        <v>1919</v>
      </c>
      <c r="CI30" s="18">
        <v>2531</v>
      </c>
      <c r="CJ30" s="18">
        <v>2020</v>
      </c>
      <c r="CK30" s="18">
        <v>1803</v>
      </c>
      <c r="CL30" s="18">
        <v>2336</v>
      </c>
      <c r="CM30" s="18">
        <v>1855</v>
      </c>
      <c r="CN30" s="21">
        <v>1672</v>
      </c>
      <c r="CO30" s="17">
        <v>2465</v>
      </c>
      <c r="CP30" s="18">
        <v>2035</v>
      </c>
      <c r="CQ30" s="18">
        <v>1989</v>
      </c>
      <c r="CR30" s="18">
        <v>2573</v>
      </c>
      <c r="CS30" s="18">
        <v>1907</v>
      </c>
      <c r="CT30" s="18">
        <v>1893</v>
      </c>
      <c r="CU30" s="18">
        <v>1986</v>
      </c>
      <c r="CV30" s="18">
        <v>1858</v>
      </c>
      <c r="CW30" s="18">
        <v>2082</v>
      </c>
      <c r="CX30" s="18">
        <v>2662</v>
      </c>
      <c r="CY30" s="18">
        <v>1949</v>
      </c>
      <c r="CZ30" s="19">
        <v>1783</v>
      </c>
      <c r="DA30" s="17">
        <v>2482</v>
      </c>
      <c r="DB30" s="18">
        <v>1906</v>
      </c>
      <c r="DC30" s="18">
        <v>2490</v>
      </c>
      <c r="DD30" s="18">
        <v>1994</v>
      </c>
      <c r="DE30" s="18">
        <v>1771</v>
      </c>
      <c r="DF30" s="18">
        <v>2380</v>
      </c>
      <c r="DG30" s="18">
        <v>1834</v>
      </c>
      <c r="DH30" s="18">
        <v>1862</v>
      </c>
      <c r="DI30" s="18">
        <v>2508</v>
      </c>
      <c r="DJ30" s="18">
        <v>1865</v>
      </c>
      <c r="DK30" s="18">
        <v>1771</v>
      </c>
      <c r="DL30" s="19">
        <v>2257</v>
      </c>
      <c r="DM30" s="17">
        <v>1887</v>
      </c>
      <c r="DN30" s="18">
        <v>1811</v>
      </c>
      <c r="DO30" s="18">
        <v>2289</v>
      </c>
      <c r="DP30" s="18">
        <v>1901</v>
      </c>
      <c r="DQ30" s="18">
        <v>1670</v>
      </c>
      <c r="DR30" s="18">
        <v>2205</v>
      </c>
      <c r="DS30" s="18">
        <v>1968</v>
      </c>
      <c r="DT30" s="18">
        <v>1778</v>
      </c>
      <c r="DU30" s="18">
        <v>1971</v>
      </c>
      <c r="DV30" s="18">
        <v>452</v>
      </c>
      <c r="DW30" s="18">
        <v>1555</v>
      </c>
      <c r="DX30" s="19">
        <v>2093</v>
      </c>
      <c r="DY30" s="100">
        <v>1377</v>
      </c>
      <c r="DZ30" s="18">
        <v>2217</v>
      </c>
      <c r="EA30" s="18">
        <v>1594</v>
      </c>
      <c r="EB30" s="18">
        <v>1634</v>
      </c>
      <c r="EC30" s="18">
        <v>2157</v>
      </c>
      <c r="ED30" s="18">
        <v>1694</v>
      </c>
      <c r="EE30" s="18">
        <v>1472</v>
      </c>
      <c r="EF30" s="18">
        <v>2155</v>
      </c>
      <c r="EG30" s="18">
        <v>1145</v>
      </c>
      <c r="EH30" s="18">
        <v>890</v>
      </c>
      <c r="EI30" s="18">
        <v>976</v>
      </c>
      <c r="EJ30" s="19">
        <v>839</v>
      </c>
      <c r="EK30" s="18">
        <v>541</v>
      </c>
      <c r="EL30" s="18">
        <v>973</v>
      </c>
      <c r="EM30" s="18">
        <v>1029</v>
      </c>
      <c r="EN30" s="103">
        <v>1046</v>
      </c>
      <c r="EO30" s="18">
        <v>1064</v>
      </c>
      <c r="EP30" s="18">
        <v>754</v>
      </c>
      <c r="EQ30" s="18">
        <v>445</v>
      </c>
      <c r="ER30" s="18">
        <v>762</v>
      </c>
      <c r="ES30" s="18">
        <v>844</v>
      </c>
      <c r="ET30" s="18">
        <v>744</v>
      </c>
      <c r="EU30" s="18">
        <v>987</v>
      </c>
      <c r="EV30" s="19">
        <v>761</v>
      </c>
      <c r="EW30" s="103">
        <v>1064</v>
      </c>
      <c r="EX30" s="18">
        <v>657</v>
      </c>
      <c r="EY30" s="18">
        <v>798</v>
      </c>
      <c r="EZ30" s="103">
        <v>1204</v>
      </c>
      <c r="FA30" s="18">
        <v>997</v>
      </c>
      <c r="FB30" s="143">
        <v>1052</v>
      </c>
      <c r="FC30" s="18">
        <v>1393</v>
      </c>
      <c r="FD30" s="18">
        <v>1284</v>
      </c>
      <c r="FE30" s="143">
        <v>1154</v>
      </c>
      <c r="FF30" s="143">
        <v>1345</v>
      </c>
      <c r="FG30" s="143">
        <v>1044</v>
      </c>
      <c r="FH30" s="143">
        <v>968</v>
      </c>
      <c r="FI30" s="103">
        <f>'Average Saturday Boardings'!FI30*5</f>
        <v>1162</v>
      </c>
      <c r="FJ30" s="18">
        <f>'Average Saturday Boardings'!FJ30*4</f>
        <v>1080</v>
      </c>
      <c r="FK30" s="18">
        <f>'Average Saturday Boardings'!FK30*5</f>
        <v>1502.5</v>
      </c>
      <c r="FL30" s="103">
        <v>1413</v>
      </c>
      <c r="FM30" s="18">
        <v>1114</v>
      </c>
      <c r="FN30" s="143">
        <v>1318</v>
      </c>
      <c r="FO30" s="18">
        <v>1265</v>
      </c>
      <c r="FP30" s="18">
        <v>1210</v>
      </c>
      <c r="FQ30" s="143">
        <v>1327</v>
      </c>
      <c r="FR30" s="143">
        <v>1630</v>
      </c>
      <c r="FS30" s="143">
        <v>1315</v>
      </c>
      <c r="FT30" s="175">
        <v>1281</v>
      </c>
      <c r="FU30" s="169">
        <v>1621</v>
      </c>
      <c r="FV30" s="169">
        <v>1384</v>
      </c>
      <c r="FW30" s="169">
        <v>1530</v>
      </c>
      <c r="FX30" s="169">
        <v>1198</v>
      </c>
      <c r="FY30" s="169">
        <v>1330</v>
      </c>
      <c r="FZ30" s="169">
        <v>1274</v>
      </c>
      <c r="GA30" s="169">
        <v>1312</v>
      </c>
      <c r="GB30" s="18">
        <v>1439</v>
      </c>
      <c r="GC30" s="18">
        <v>1861</v>
      </c>
      <c r="GD30" s="18">
        <v>1263</v>
      </c>
      <c r="GE30" s="18">
        <v>1412</v>
      </c>
      <c r="GF30" s="52">
        <v>1593</v>
      </c>
      <c r="GG30" s="18">
        <v>1275</v>
      </c>
      <c r="GH30" s="18">
        <v>1682</v>
      </c>
      <c r="GI30" s="184">
        <v>1329</v>
      </c>
      <c r="GJ30" s="184">
        <v>1315</v>
      </c>
      <c r="GK30" s="184">
        <v>1402</v>
      </c>
      <c r="GL30" s="184">
        <v>1152</v>
      </c>
    </row>
    <row r="31" spans="1:194" x14ac:dyDescent="0.3">
      <c r="A31" s="3" t="s">
        <v>14</v>
      </c>
      <c r="B31" s="17"/>
      <c r="C31" s="18">
        <v>3485</v>
      </c>
      <c r="D31" s="18">
        <v>1656</v>
      </c>
      <c r="E31" s="18">
        <v>947</v>
      </c>
      <c r="F31" s="18">
        <v>1024</v>
      </c>
      <c r="G31" s="18">
        <v>1018</v>
      </c>
      <c r="H31" s="19">
        <v>847</v>
      </c>
      <c r="I31" s="17">
        <v>653</v>
      </c>
      <c r="J31" s="18">
        <v>742</v>
      </c>
      <c r="K31" s="18">
        <v>814</v>
      </c>
      <c r="L31" s="18">
        <v>818</v>
      </c>
      <c r="M31" s="18">
        <v>931</v>
      </c>
      <c r="N31" s="18">
        <v>1051</v>
      </c>
      <c r="O31" s="62">
        <v>1113</v>
      </c>
      <c r="P31" s="62">
        <v>1073</v>
      </c>
      <c r="Q31" s="62">
        <v>1263</v>
      </c>
      <c r="R31" s="62">
        <v>1188</v>
      </c>
      <c r="S31" s="62">
        <v>1005</v>
      </c>
      <c r="T31" s="63">
        <v>768</v>
      </c>
      <c r="U31" s="64">
        <v>1008</v>
      </c>
      <c r="V31" s="62">
        <v>793</v>
      </c>
      <c r="W31" s="62">
        <v>975</v>
      </c>
      <c r="X31" s="62">
        <v>769</v>
      </c>
      <c r="Y31" s="62">
        <v>963</v>
      </c>
      <c r="Z31" s="62">
        <v>708</v>
      </c>
      <c r="AA31" s="18">
        <v>914</v>
      </c>
      <c r="AB31" s="18">
        <v>1253</v>
      </c>
      <c r="AC31" s="18">
        <v>1377</v>
      </c>
      <c r="AD31" s="18">
        <v>1639</v>
      </c>
      <c r="AE31" s="18">
        <v>1230</v>
      </c>
      <c r="AF31" s="19">
        <v>964</v>
      </c>
      <c r="AG31" s="17">
        <v>1277</v>
      </c>
      <c r="AH31" s="18">
        <v>1011</v>
      </c>
      <c r="AI31" s="18">
        <v>1189</v>
      </c>
      <c r="AJ31" s="18">
        <v>1369</v>
      </c>
      <c r="AK31" s="18">
        <v>912</v>
      </c>
      <c r="AL31" s="18">
        <v>1310</v>
      </c>
      <c r="AM31" s="18">
        <v>1226</v>
      </c>
      <c r="AN31" s="18">
        <v>1296</v>
      </c>
      <c r="AO31" s="18">
        <v>1630</v>
      </c>
      <c r="AP31" s="18">
        <v>1260</v>
      </c>
      <c r="AQ31" s="18">
        <v>1313</v>
      </c>
      <c r="AR31" s="19">
        <v>1295</v>
      </c>
      <c r="AS31" s="17">
        <v>927</v>
      </c>
      <c r="AT31" s="18">
        <v>907</v>
      </c>
      <c r="AU31" s="18">
        <v>1277</v>
      </c>
      <c r="AV31" s="18">
        <v>1117</v>
      </c>
      <c r="AW31" s="18">
        <v>1331</v>
      </c>
      <c r="AX31" s="18">
        <v>1237</v>
      </c>
      <c r="AY31" s="18">
        <v>988</v>
      </c>
      <c r="AZ31" s="18">
        <v>1351</v>
      </c>
      <c r="BA31" s="18">
        <v>1659</v>
      </c>
      <c r="BB31" s="18">
        <v>1764</v>
      </c>
      <c r="BC31" s="18">
        <v>1154</v>
      </c>
      <c r="BD31" s="19">
        <v>1050</v>
      </c>
      <c r="BE31" s="17">
        <v>896</v>
      </c>
      <c r="BF31" s="18">
        <v>1067</v>
      </c>
      <c r="BG31" s="18">
        <v>1054</v>
      </c>
      <c r="BH31" s="18">
        <v>1094</v>
      </c>
      <c r="BI31" s="18">
        <v>1685.5664940281154</v>
      </c>
      <c r="BJ31" s="18">
        <v>1615</v>
      </c>
      <c r="BK31" s="18">
        <v>1316</v>
      </c>
      <c r="BL31" s="18">
        <v>1487</v>
      </c>
      <c r="BM31" s="18">
        <v>1557</v>
      </c>
      <c r="BN31" s="18">
        <v>1344</v>
      </c>
      <c r="BO31" s="18">
        <v>1206</v>
      </c>
      <c r="BP31" s="19">
        <v>1307</v>
      </c>
      <c r="BQ31" s="17">
        <v>924</v>
      </c>
      <c r="BR31" s="18">
        <v>1345</v>
      </c>
      <c r="BS31" s="18">
        <v>1005</v>
      </c>
      <c r="BT31" s="18">
        <v>1147</v>
      </c>
      <c r="BU31" s="18">
        <v>1475</v>
      </c>
      <c r="BV31" s="18">
        <v>1125</v>
      </c>
      <c r="BW31" s="18">
        <v>2695</v>
      </c>
      <c r="BX31" s="18">
        <v>1287</v>
      </c>
      <c r="BY31" s="18">
        <v>1115</v>
      </c>
      <c r="BZ31" s="18">
        <v>1417</v>
      </c>
      <c r="CA31" s="18">
        <v>1718</v>
      </c>
      <c r="CB31" s="19">
        <v>1181</v>
      </c>
      <c r="CC31" s="20">
        <v>1435</v>
      </c>
      <c r="CD31" s="18">
        <v>2270</v>
      </c>
      <c r="CE31" s="18">
        <v>3969</v>
      </c>
      <c r="CF31" s="18">
        <v>5298</v>
      </c>
      <c r="CG31" s="18">
        <v>4168</v>
      </c>
      <c r="CH31" s="18">
        <v>3037</v>
      </c>
      <c r="CI31" s="18">
        <v>4571</v>
      </c>
      <c r="CJ31" s="18">
        <v>3247</v>
      </c>
      <c r="CK31" s="18">
        <v>3278</v>
      </c>
      <c r="CL31" s="18">
        <v>5053</v>
      </c>
      <c r="CM31" s="18">
        <v>3570</v>
      </c>
      <c r="CN31" s="21">
        <v>3697</v>
      </c>
      <c r="CO31" s="17">
        <v>3542</v>
      </c>
      <c r="CP31" s="18">
        <v>3033</v>
      </c>
      <c r="CQ31" s="18">
        <v>4099</v>
      </c>
      <c r="CR31" s="18">
        <v>5180</v>
      </c>
      <c r="CS31" s="18">
        <v>2986</v>
      </c>
      <c r="CT31" s="18">
        <v>3480</v>
      </c>
      <c r="CU31" s="18">
        <v>3212</v>
      </c>
      <c r="CV31" s="18">
        <v>2975</v>
      </c>
      <c r="CW31" s="18">
        <v>3514</v>
      </c>
      <c r="CX31" s="18">
        <v>5931</v>
      </c>
      <c r="CY31" s="18">
        <v>3558</v>
      </c>
      <c r="CZ31" s="19">
        <v>2728</v>
      </c>
      <c r="DA31" s="17">
        <v>3212</v>
      </c>
      <c r="DB31" s="18">
        <v>2644</v>
      </c>
      <c r="DC31" s="18">
        <v>4002</v>
      </c>
      <c r="DD31" s="18">
        <v>3953</v>
      </c>
      <c r="DE31" s="18">
        <v>3642</v>
      </c>
      <c r="DF31" s="18">
        <v>3413</v>
      </c>
      <c r="DG31" s="18">
        <v>2726</v>
      </c>
      <c r="DH31" s="18">
        <v>2927</v>
      </c>
      <c r="DI31" s="18">
        <v>4426</v>
      </c>
      <c r="DJ31" s="18">
        <v>3237</v>
      </c>
      <c r="DK31" s="18">
        <v>2900</v>
      </c>
      <c r="DL31" s="19">
        <v>3474</v>
      </c>
      <c r="DM31" s="17">
        <v>2030</v>
      </c>
      <c r="DN31" s="18">
        <v>2217</v>
      </c>
      <c r="DO31" s="18">
        <v>4110</v>
      </c>
      <c r="DP31" s="18">
        <v>2361</v>
      </c>
      <c r="DQ31" s="18">
        <v>3144</v>
      </c>
      <c r="DR31" s="18">
        <v>3339</v>
      </c>
      <c r="DS31" s="18">
        <v>2461</v>
      </c>
      <c r="DT31" s="18">
        <v>2553</v>
      </c>
      <c r="DU31" s="18">
        <v>4442</v>
      </c>
      <c r="DV31" s="18">
        <v>3418</v>
      </c>
      <c r="DW31" s="18">
        <v>2736</v>
      </c>
      <c r="DX31" s="19">
        <v>3334</v>
      </c>
      <c r="DY31" s="100">
        <v>2181</v>
      </c>
      <c r="DZ31" s="18">
        <v>3072</v>
      </c>
      <c r="EA31" s="18">
        <v>2684</v>
      </c>
      <c r="EB31" s="18">
        <v>2844</v>
      </c>
      <c r="EC31" s="18">
        <v>4332</v>
      </c>
      <c r="ED31" s="18">
        <v>2453</v>
      </c>
      <c r="EE31" s="18">
        <v>2353</v>
      </c>
      <c r="EF31" s="18">
        <v>3355</v>
      </c>
      <c r="EG31" s="18">
        <v>1766</v>
      </c>
      <c r="EH31" s="18">
        <v>1187</v>
      </c>
      <c r="EI31" s="18">
        <v>1324</v>
      </c>
      <c r="EJ31" s="19">
        <v>1310</v>
      </c>
      <c r="EK31" s="18">
        <v>861</v>
      </c>
      <c r="EL31" s="18">
        <v>1633</v>
      </c>
      <c r="EM31" s="18">
        <v>1390</v>
      </c>
      <c r="EN31" s="103">
        <v>1932</v>
      </c>
      <c r="EO31" s="18">
        <v>1694</v>
      </c>
      <c r="EP31" s="18">
        <v>1217</v>
      </c>
      <c r="EQ31" s="18">
        <v>930</v>
      </c>
      <c r="ER31" s="18">
        <v>1420</v>
      </c>
      <c r="ES31" s="18">
        <v>1564</v>
      </c>
      <c r="ET31" s="18">
        <v>1536</v>
      </c>
      <c r="EU31" s="18">
        <v>1799</v>
      </c>
      <c r="EV31" s="19">
        <v>1389</v>
      </c>
      <c r="EW31" s="103">
        <v>1694</v>
      </c>
      <c r="EX31" s="18">
        <v>929</v>
      </c>
      <c r="EY31" s="18">
        <v>1779</v>
      </c>
      <c r="EZ31" s="103">
        <v>2003</v>
      </c>
      <c r="FA31" s="18">
        <v>2022</v>
      </c>
      <c r="FB31" s="143">
        <v>1529</v>
      </c>
      <c r="FC31" s="18">
        <v>1617</v>
      </c>
      <c r="FD31" s="18">
        <v>1986</v>
      </c>
      <c r="FE31" s="143">
        <v>2035</v>
      </c>
      <c r="FF31" s="143">
        <v>2397</v>
      </c>
      <c r="FG31" s="143">
        <v>1947</v>
      </c>
      <c r="FH31" s="143">
        <v>1190</v>
      </c>
      <c r="FI31" s="103">
        <f>'Average Saturday Boardings'!FI31*5</f>
        <v>1634</v>
      </c>
      <c r="FJ31" s="18">
        <f>'Average Saturday Boardings'!FJ31*4</f>
        <v>1468</v>
      </c>
      <c r="FK31" s="18">
        <f>'Average Saturday Boardings'!FK31*5</f>
        <v>2411.25</v>
      </c>
      <c r="FL31" s="103">
        <v>1990</v>
      </c>
      <c r="FM31" s="18">
        <v>2244</v>
      </c>
      <c r="FN31" s="143">
        <v>1553</v>
      </c>
      <c r="FO31" s="18">
        <v>1666</v>
      </c>
      <c r="FP31" s="18">
        <v>3427</v>
      </c>
      <c r="FQ31" s="143">
        <v>2133</v>
      </c>
      <c r="FR31" s="143">
        <v>4058</v>
      </c>
      <c r="FS31" s="143">
        <v>2175</v>
      </c>
      <c r="FT31" s="175">
        <v>2577</v>
      </c>
      <c r="FU31" s="169">
        <v>2179</v>
      </c>
      <c r="FV31" s="169">
        <v>1924</v>
      </c>
      <c r="FW31" s="169">
        <v>3032</v>
      </c>
      <c r="FX31" s="169">
        <v>2653</v>
      </c>
      <c r="FY31" s="169">
        <v>2004</v>
      </c>
      <c r="FZ31" s="169">
        <v>1450</v>
      </c>
      <c r="GA31" s="169">
        <v>1788</v>
      </c>
      <c r="GB31" s="18">
        <v>2029</v>
      </c>
      <c r="GC31" s="18">
        <v>3811</v>
      </c>
      <c r="GD31" s="18">
        <v>2786</v>
      </c>
      <c r="GE31" s="18">
        <v>3136</v>
      </c>
      <c r="GF31" s="52">
        <v>2541</v>
      </c>
      <c r="GG31" s="18">
        <v>1896</v>
      </c>
      <c r="GH31" s="18">
        <v>2906</v>
      </c>
      <c r="GI31" s="184">
        <v>2506</v>
      </c>
      <c r="GJ31" s="184">
        <v>1787</v>
      </c>
      <c r="GK31" s="184">
        <v>2577</v>
      </c>
      <c r="GL31" s="184">
        <v>1425</v>
      </c>
    </row>
    <row r="32" spans="1:194" x14ac:dyDescent="0.3">
      <c r="A32" s="3" t="s">
        <v>15</v>
      </c>
      <c r="B32" s="17"/>
      <c r="C32" s="18">
        <v>4551</v>
      </c>
      <c r="D32" s="18">
        <v>4285</v>
      </c>
      <c r="E32" s="18">
        <v>3828</v>
      </c>
      <c r="F32" s="18">
        <v>3740</v>
      </c>
      <c r="G32" s="18">
        <v>3248</v>
      </c>
      <c r="H32" s="19">
        <v>3024</v>
      </c>
      <c r="I32" s="17">
        <v>2469</v>
      </c>
      <c r="J32" s="18">
        <v>2491</v>
      </c>
      <c r="K32" s="18">
        <v>3445</v>
      </c>
      <c r="L32" s="18">
        <v>3398</v>
      </c>
      <c r="M32" s="18">
        <v>3495</v>
      </c>
      <c r="N32" s="18">
        <v>3426</v>
      </c>
      <c r="O32" s="62">
        <v>3864</v>
      </c>
      <c r="P32" s="62">
        <v>3603</v>
      </c>
      <c r="Q32" s="62">
        <v>3908</v>
      </c>
      <c r="R32" s="62">
        <v>3607</v>
      </c>
      <c r="S32" s="62">
        <v>3052</v>
      </c>
      <c r="T32" s="63">
        <v>2867</v>
      </c>
      <c r="U32" s="64">
        <v>3544</v>
      </c>
      <c r="V32" s="62">
        <v>2827</v>
      </c>
      <c r="W32" s="62">
        <v>3950</v>
      </c>
      <c r="X32" s="62">
        <v>3174</v>
      </c>
      <c r="Y32" s="62">
        <v>3548</v>
      </c>
      <c r="Z32" s="62">
        <v>2687</v>
      </c>
      <c r="AA32" s="18">
        <v>3591</v>
      </c>
      <c r="AB32" s="18">
        <v>3502</v>
      </c>
      <c r="AC32" s="18">
        <v>4374</v>
      </c>
      <c r="AD32" s="18">
        <v>5075</v>
      </c>
      <c r="AE32" s="18">
        <v>3687</v>
      </c>
      <c r="AF32" s="19">
        <v>3142</v>
      </c>
      <c r="AG32" s="17">
        <v>4150</v>
      </c>
      <c r="AH32" s="18">
        <v>3658</v>
      </c>
      <c r="AI32" s="18">
        <v>3880</v>
      </c>
      <c r="AJ32" s="18">
        <v>5163</v>
      </c>
      <c r="AK32" s="18">
        <v>3588</v>
      </c>
      <c r="AL32" s="18">
        <v>4650</v>
      </c>
      <c r="AM32" s="18">
        <v>3893</v>
      </c>
      <c r="AN32" s="18">
        <v>3960</v>
      </c>
      <c r="AO32" s="18">
        <v>5066</v>
      </c>
      <c r="AP32" s="18">
        <v>4293</v>
      </c>
      <c r="AQ32" s="18">
        <v>4190</v>
      </c>
      <c r="AR32" s="19">
        <v>4769</v>
      </c>
      <c r="AS32" s="17">
        <v>3492</v>
      </c>
      <c r="AT32" s="18">
        <v>3591</v>
      </c>
      <c r="AU32" s="18">
        <v>5006</v>
      </c>
      <c r="AV32" s="18">
        <v>5002</v>
      </c>
      <c r="AW32" s="18">
        <v>4429</v>
      </c>
      <c r="AX32" s="18">
        <v>5264</v>
      </c>
      <c r="AY32" s="18">
        <v>3904</v>
      </c>
      <c r="AZ32" s="18">
        <v>4275</v>
      </c>
      <c r="BA32" s="18">
        <v>5279</v>
      </c>
      <c r="BB32" s="18">
        <v>5616</v>
      </c>
      <c r="BC32" s="18">
        <v>5168</v>
      </c>
      <c r="BD32" s="19">
        <v>5291</v>
      </c>
      <c r="BE32" s="17">
        <v>4364</v>
      </c>
      <c r="BF32" s="18">
        <v>5169</v>
      </c>
      <c r="BG32" s="18">
        <v>5136</v>
      </c>
      <c r="BH32" s="18">
        <v>5406</v>
      </c>
      <c r="BI32" s="18">
        <v>7061.5225874643274</v>
      </c>
      <c r="BJ32" s="18">
        <v>5993</v>
      </c>
      <c r="BK32" s="18">
        <v>5779</v>
      </c>
      <c r="BL32" s="18">
        <v>5274</v>
      </c>
      <c r="BM32" s="18">
        <v>6614</v>
      </c>
      <c r="BN32" s="18">
        <v>5292</v>
      </c>
      <c r="BO32" s="18">
        <v>5667</v>
      </c>
      <c r="BP32" s="19">
        <v>4638</v>
      </c>
      <c r="BQ32" s="17">
        <v>4000</v>
      </c>
      <c r="BR32" s="18">
        <v>5609</v>
      </c>
      <c r="BS32" s="18">
        <v>4178</v>
      </c>
      <c r="BT32" s="18">
        <v>5807</v>
      </c>
      <c r="BU32" s="18">
        <v>7420</v>
      </c>
      <c r="BV32" s="18">
        <v>5283</v>
      </c>
      <c r="BW32" s="18">
        <v>10884</v>
      </c>
      <c r="BX32" s="18">
        <v>5031</v>
      </c>
      <c r="BY32" s="18">
        <v>5310</v>
      </c>
      <c r="BZ32" s="18">
        <v>5431</v>
      </c>
      <c r="CA32" s="18">
        <v>6809</v>
      </c>
      <c r="CB32" s="19">
        <v>4444</v>
      </c>
      <c r="CC32" s="20">
        <v>4960</v>
      </c>
      <c r="CD32" s="18">
        <v>6381</v>
      </c>
      <c r="CE32" s="18">
        <v>7084</v>
      </c>
      <c r="CF32" s="18">
        <v>10126</v>
      </c>
      <c r="CG32" s="18">
        <v>7284</v>
      </c>
      <c r="CH32" s="18">
        <v>6924</v>
      </c>
      <c r="CI32" s="18">
        <v>9407</v>
      </c>
      <c r="CJ32" s="18">
        <v>6864</v>
      </c>
      <c r="CK32" s="18">
        <v>7223</v>
      </c>
      <c r="CL32" s="18">
        <v>9196</v>
      </c>
      <c r="CM32" s="18">
        <v>7239</v>
      </c>
      <c r="CN32" s="21">
        <v>6725</v>
      </c>
      <c r="CO32" s="17">
        <v>8310</v>
      </c>
      <c r="CP32" s="18">
        <v>6619</v>
      </c>
      <c r="CQ32" s="18">
        <v>6957</v>
      </c>
      <c r="CR32" s="18">
        <v>8410</v>
      </c>
      <c r="CS32" s="18">
        <v>6664</v>
      </c>
      <c r="CT32" s="18">
        <v>6852</v>
      </c>
      <c r="CU32" s="18">
        <v>7249</v>
      </c>
      <c r="CV32" s="18">
        <v>6788</v>
      </c>
      <c r="CW32" s="18">
        <v>6694</v>
      </c>
      <c r="CX32" s="18">
        <v>10010</v>
      </c>
      <c r="CY32" s="18">
        <v>6899</v>
      </c>
      <c r="CZ32" s="19">
        <v>6083</v>
      </c>
      <c r="DA32" s="17">
        <v>7309</v>
      </c>
      <c r="DB32" s="18">
        <v>6158</v>
      </c>
      <c r="DC32" s="18">
        <v>7771</v>
      </c>
      <c r="DD32" s="18">
        <v>7224</v>
      </c>
      <c r="DE32" s="18">
        <v>6741</v>
      </c>
      <c r="DF32" s="18">
        <v>8144</v>
      </c>
      <c r="DG32" s="18">
        <v>6401</v>
      </c>
      <c r="DH32" s="18">
        <v>6394</v>
      </c>
      <c r="DI32" s="18">
        <v>8258</v>
      </c>
      <c r="DJ32" s="18">
        <v>6494</v>
      </c>
      <c r="DK32" s="18">
        <v>6370</v>
      </c>
      <c r="DL32" s="19">
        <v>7449</v>
      </c>
      <c r="DM32" s="17">
        <v>6009</v>
      </c>
      <c r="DN32" s="18">
        <v>6191</v>
      </c>
      <c r="DO32" s="18">
        <v>8116</v>
      </c>
      <c r="DP32" s="18">
        <v>5877</v>
      </c>
      <c r="DQ32" s="18">
        <v>6770</v>
      </c>
      <c r="DR32" s="18">
        <v>7719</v>
      </c>
      <c r="DS32" s="18">
        <v>7127</v>
      </c>
      <c r="DT32" s="18">
        <v>6136</v>
      </c>
      <c r="DU32" s="18">
        <v>8375</v>
      </c>
      <c r="DV32" s="18">
        <v>6303</v>
      </c>
      <c r="DW32" s="18">
        <v>6073</v>
      </c>
      <c r="DX32" s="19">
        <v>7261</v>
      </c>
      <c r="DY32" s="100">
        <v>5482</v>
      </c>
      <c r="DZ32" s="18">
        <v>8206</v>
      </c>
      <c r="EA32" s="18">
        <v>6412</v>
      </c>
      <c r="EB32" s="18">
        <v>6002</v>
      </c>
      <c r="EC32" s="18">
        <v>7963</v>
      </c>
      <c r="ED32" s="18">
        <v>5644</v>
      </c>
      <c r="EE32" s="18">
        <v>6014</v>
      </c>
      <c r="EF32" s="18">
        <v>7691</v>
      </c>
      <c r="EG32" s="18">
        <v>4883</v>
      </c>
      <c r="EH32" s="18">
        <v>3082</v>
      </c>
      <c r="EI32" s="18">
        <v>3318</v>
      </c>
      <c r="EJ32" s="19">
        <v>2652</v>
      </c>
      <c r="EK32" s="18">
        <v>2175</v>
      </c>
      <c r="EL32" s="18">
        <v>3641</v>
      </c>
      <c r="EM32" s="18">
        <v>2860</v>
      </c>
      <c r="EN32" s="103">
        <v>3788</v>
      </c>
      <c r="EO32" s="18">
        <v>3878</v>
      </c>
      <c r="EP32" s="18">
        <v>2194</v>
      </c>
      <c r="EQ32" s="18">
        <v>1790</v>
      </c>
      <c r="ER32" s="18">
        <v>2667</v>
      </c>
      <c r="ES32" s="18">
        <v>3115</v>
      </c>
      <c r="ET32" s="18">
        <v>3144</v>
      </c>
      <c r="EU32" s="18">
        <v>3902</v>
      </c>
      <c r="EV32" s="19">
        <v>3189</v>
      </c>
      <c r="EW32" s="103">
        <v>3878</v>
      </c>
      <c r="EX32" s="18">
        <v>3059</v>
      </c>
      <c r="EY32" s="18">
        <v>3302</v>
      </c>
      <c r="EZ32" s="103">
        <v>4489</v>
      </c>
      <c r="FA32" s="18">
        <v>4343</v>
      </c>
      <c r="FB32" s="143">
        <v>3985</v>
      </c>
      <c r="FC32" s="18">
        <v>4310</v>
      </c>
      <c r="FD32" s="18">
        <v>4117</v>
      </c>
      <c r="FE32" s="143">
        <v>4692</v>
      </c>
      <c r="FF32" s="143">
        <v>5102</v>
      </c>
      <c r="FG32" s="143">
        <v>3808</v>
      </c>
      <c r="FH32" s="143">
        <v>2723</v>
      </c>
      <c r="FI32" s="103">
        <f>'Average Saturday Boardings'!FI32*5</f>
        <v>3725</v>
      </c>
      <c r="FJ32" s="18">
        <f>'Average Saturday Boardings'!FJ32*4</f>
        <v>3215</v>
      </c>
      <c r="FK32" s="18">
        <f>'Average Saturday Boardings'!FK32*5</f>
        <v>4632.5</v>
      </c>
      <c r="FL32" s="103">
        <v>4600</v>
      </c>
      <c r="FM32" s="18">
        <v>4191</v>
      </c>
      <c r="FN32" s="143">
        <v>4487</v>
      </c>
      <c r="FO32" s="18">
        <v>4263</v>
      </c>
      <c r="FP32" s="18">
        <v>4138</v>
      </c>
      <c r="FQ32" s="143">
        <v>4709</v>
      </c>
      <c r="FR32" s="143">
        <v>5234</v>
      </c>
      <c r="FS32" s="143">
        <v>4482</v>
      </c>
      <c r="FT32" s="175">
        <v>4307</v>
      </c>
      <c r="FU32" s="169">
        <v>4739</v>
      </c>
      <c r="FV32" s="169">
        <v>4078</v>
      </c>
      <c r="FW32" s="169">
        <v>5069</v>
      </c>
      <c r="FX32" s="169">
        <v>4589</v>
      </c>
      <c r="FY32" s="169">
        <v>4148</v>
      </c>
      <c r="FZ32" s="169">
        <v>6699</v>
      </c>
      <c r="GA32" s="169">
        <v>4669</v>
      </c>
      <c r="GB32" s="18">
        <v>4473</v>
      </c>
      <c r="GC32" s="18">
        <v>5923</v>
      </c>
      <c r="GD32" s="18">
        <v>4465</v>
      </c>
      <c r="GE32" s="18">
        <v>4719</v>
      </c>
      <c r="GF32" s="52">
        <v>5203</v>
      </c>
      <c r="GG32" s="18">
        <v>4293</v>
      </c>
      <c r="GH32" s="18">
        <v>5538</v>
      </c>
      <c r="GI32" s="184">
        <v>4589</v>
      </c>
      <c r="GJ32" s="184">
        <v>4424</v>
      </c>
      <c r="GK32" s="184">
        <v>5843</v>
      </c>
      <c r="GL32" s="184">
        <v>3942</v>
      </c>
    </row>
    <row r="33" spans="1:194" x14ac:dyDescent="0.3">
      <c r="A33" s="92" t="s">
        <v>71</v>
      </c>
      <c r="B33" s="17"/>
      <c r="C33" s="18"/>
      <c r="D33" s="18"/>
      <c r="E33" s="18"/>
      <c r="F33" s="18"/>
      <c r="G33" s="18"/>
      <c r="H33" s="19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  <c r="U33" s="17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7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9"/>
      <c r="AS33" s="17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9"/>
      <c r="BE33" s="17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9"/>
      <c r="BQ33" s="17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20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21"/>
      <c r="CO33" s="17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9"/>
      <c r="DA33" s="17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9"/>
      <c r="DM33" s="17"/>
      <c r="DN33" s="18"/>
      <c r="DO33" s="18"/>
      <c r="DP33" s="18"/>
      <c r="DQ33" s="18"/>
      <c r="DR33" s="18"/>
      <c r="DS33" s="18"/>
      <c r="DT33" s="18"/>
      <c r="DU33" s="18"/>
      <c r="DV33" s="18">
        <v>295</v>
      </c>
      <c r="DW33" s="18">
        <v>716</v>
      </c>
      <c r="DX33" s="19">
        <v>826</v>
      </c>
      <c r="DY33" s="100">
        <v>696</v>
      </c>
      <c r="DZ33" s="18">
        <v>910</v>
      </c>
      <c r="EA33" s="18">
        <v>860</v>
      </c>
      <c r="EB33" s="18">
        <v>1273</v>
      </c>
      <c r="EC33" s="18">
        <v>1643</v>
      </c>
      <c r="ED33" s="18">
        <v>1819</v>
      </c>
      <c r="EE33" s="18">
        <v>1541</v>
      </c>
      <c r="EF33" s="18">
        <v>1600</v>
      </c>
      <c r="EG33" s="18">
        <v>971</v>
      </c>
      <c r="EH33" s="18">
        <v>792</v>
      </c>
      <c r="EI33" s="18">
        <v>1017</v>
      </c>
      <c r="EJ33" s="19">
        <v>801</v>
      </c>
      <c r="EK33" s="18">
        <v>526</v>
      </c>
      <c r="EL33" s="18">
        <v>879</v>
      </c>
      <c r="EM33" s="18">
        <v>767</v>
      </c>
      <c r="EN33" s="103">
        <v>1064</v>
      </c>
      <c r="EO33" s="18">
        <v>890</v>
      </c>
      <c r="EP33" s="18">
        <v>489</v>
      </c>
      <c r="EQ33" s="18">
        <v>483</v>
      </c>
      <c r="ER33" s="18">
        <v>755</v>
      </c>
      <c r="ES33" s="18">
        <v>556</v>
      </c>
      <c r="ET33" s="18">
        <v>4046</v>
      </c>
      <c r="EU33" s="18">
        <v>941</v>
      </c>
      <c r="EV33" s="19">
        <v>710</v>
      </c>
      <c r="EW33" s="103">
        <v>890</v>
      </c>
      <c r="EX33" s="18">
        <v>566</v>
      </c>
      <c r="EY33" s="18">
        <v>745</v>
      </c>
      <c r="EZ33" s="103">
        <v>898</v>
      </c>
      <c r="FA33" s="18">
        <v>771</v>
      </c>
      <c r="FB33" s="143">
        <v>742</v>
      </c>
      <c r="FC33" s="18">
        <v>918</v>
      </c>
      <c r="FD33" s="18">
        <v>825</v>
      </c>
      <c r="FE33" s="143">
        <v>946</v>
      </c>
      <c r="FF33" s="143">
        <v>1221</v>
      </c>
      <c r="FG33" s="143">
        <v>2918</v>
      </c>
      <c r="FH33" s="143">
        <v>589</v>
      </c>
      <c r="FI33" s="103">
        <f>'Average Saturday Boardings'!FI33*5</f>
        <v>881</v>
      </c>
      <c r="FJ33" s="18">
        <f>'Average Saturday Boardings'!FJ33*4</f>
        <v>699</v>
      </c>
      <c r="FK33" s="18">
        <f>'Average Saturday Boardings'!FK33*5</f>
        <v>990</v>
      </c>
      <c r="FL33" s="103">
        <v>904</v>
      </c>
      <c r="FM33" s="18">
        <v>800</v>
      </c>
      <c r="FN33" s="143">
        <v>907</v>
      </c>
      <c r="FO33" s="18">
        <v>1010</v>
      </c>
      <c r="FP33" s="18">
        <v>1168</v>
      </c>
      <c r="FQ33" s="143">
        <v>937</v>
      </c>
      <c r="FR33" s="143">
        <v>1223</v>
      </c>
      <c r="FS33" s="143">
        <v>976</v>
      </c>
      <c r="FT33" s="175">
        <v>1174</v>
      </c>
      <c r="FU33" s="169">
        <v>1020</v>
      </c>
      <c r="FV33" s="169">
        <v>767</v>
      </c>
      <c r="FW33" s="169">
        <v>1300</v>
      </c>
      <c r="FX33" s="169">
        <v>888</v>
      </c>
      <c r="FY33" s="169">
        <v>863</v>
      </c>
      <c r="FZ33" s="169">
        <v>992</v>
      </c>
      <c r="GA33" s="169">
        <v>941</v>
      </c>
      <c r="GB33" s="18">
        <v>912</v>
      </c>
      <c r="GC33" s="18">
        <v>1137</v>
      </c>
      <c r="GD33" s="18">
        <v>918</v>
      </c>
      <c r="GE33" s="18">
        <v>801</v>
      </c>
      <c r="GF33" s="52">
        <v>971</v>
      </c>
      <c r="GG33" s="18">
        <v>706</v>
      </c>
      <c r="GH33" s="18">
        <v>965</v>
      </c>
      <c r="GI33" s="184">
        <v>835</v>
      </c>
      <c r="GJ33" s="184">
        <v>857</v>
      </c>
      <c r="GK33" s="184">
        <v>1372</v>
      </c>
      <c r="GL33" s="184">
        <v>1002</v>
      </c>
    </row>
    <row r="34" spans="1:194" x14ac:dyDescent="0.3">
      <c r="A34" s="3" t="s">
        <v>16</v>
      </c>
      <c r="B34" s="17"/>
      <c r="C34" s="18">
        <v>7344</v>
      </c>
      <c r="D34" s="18">
        <v>5121</v>
      </c>
      <c r="E34" s="18">
        <v>5684</v>
      </c>
      <c r="F34" s="18">
        <v>5568</v>
      </c>
      <c r="G34" s="18">
        <v>4503</v>
      </c>
      <c r="H34" s="19">
        <v>3752</v>
      </c>
      <c r="I34" s="17">
        <v>3571</v>
      </c>
      <c r="J34" s="18">
        <v>3750</v>
      </c>
      <c r="K34" s="18">
        <v>5065</v>
      </c>
      <c r="L34" s="18">
        <v>5033</v>
      </c>
      <c r="M34" s="18">
        <v>4843</v>
      </c>
      <c r="N34" s="18">
        <v>4821</v>
      </c>
      <c r="O34" s="62">
        <v>5277</v>
      </c>
      <c r="P34" s="62">
        <v>4620</v>
      </c>
      <c r="Q34" s="62">
        <v>5412</v>
      </c>
      <c r="R34" s="62">
        <v>5031</v>
      </c>
      <c r="S34" s="62">
        <v>4385</v>
      </c>
      <c r="T34" s="63">
        <v>6606</v>
      </c>
      <c r="U34" s="64">
        <v>6906</v>
      </c>
      <c r="V34" s="62">
        <v>4272</v>
      </c>
      <c r="W34" s="62">
        <v>5065</v>
      </c>
      <c r="X34" s="62">
        <v>4616</v>
      </c>
      <c r="Y34" s="62">
        <v>5177</v>
      </c>
      <c r="Z34" s="62">
        <v>3615</v>
      </c>
      <c r="AA34" s="18">
        <v>6127</v>
      </c>
      <c r="AB34" s="18">
        <v>4754</v>
      </c>
      <c r="AC34" s="18">
        <v>6239</v>
      </c>
      <c r="AD34" s="18">
        <v>6961</v>
      </c>
      <c r="AE34" s="18">
        <v>5177</v>
      </c>
      <c r="AF34" s="19">
        <v>4458</v>
      </c>
      <c r="AG34" s="17">
        <v>5691</v>
      </c>
      <c r="AH34" s="18">
        <v>5013</v>
      </c>
      <c r="AI34" s="18">
        <v>5354</v>
      </c>
      <c r="AJ34" s="18">
        <v>7107</v>
      </c>
      <c r="AK34" s="18">
        <v>5764</v>
      </c>
      <c r="AL34" s="18">
        <v>6684</v>
      </c>
      <c r="AM34" s="18">
        <v>5611</v>
      </c>
      <c r="AN34" s="18">
        <v>5733</v>
      </c>
      <c r="AO34" s="18">
        <v>7333</v>
      </c>
      <c r="AP34" s="18">
        <v>6505</v>
      </c>
      <c r="AQ34" s="18">
        <v>5243</v>
      </c>
      <c r="AR34" s="19">
        <v>6571</v>
      </c>
      <c r="AS34" s="17">
        <v>5127</v>
      </c>
      <c r="AT34" s="18">
        <v>5223</v>
      </c>
      <c r="AU34" s="18">
        <v>7437</v>
      </c>
      <c r="AV34" s="18">
        <v>6811</v>
      </c>
      <c r="AW34" s="18">
        <v>6171</v>
      </c>
      <c r="AX34" s="18">
        <v>7768</v>
      </c>
      <c r="AY34" s="18">
        <v>5890</v>
      </c>
      <c r="AZ34" s="18">
        <v>5947</v>
      </c>
      <c r="BA34" s="18">
        <v>8305</v>
      </c>
      <c r="BB34" s="18">
        <v>6576</v>
      </c>
      <c r="BC34" s="18">
        <v>5669</v>
      </c>
      <c r="BD34" s="19">
        <v>6083</v>
      </c>
      <c r="BE34" s="17">
        <v>5121</v>
      </c>
      <c r="BF34" s="18">
        <v>6467</v>
      </c>
      <c r="BG34" s="18">
        <v>5929</v>
      </c>
      <c r="BH34" s="18">
        <v>6377</v>
      </c>
      <c r="BI34" s="18">
        <v>7771.3924532290457</v>
      </c>
      <c r="BJ34" s="18">
        <v>7308</v>
      </c>
      <c r="BK34" s="18">
        <v>6349</v>
      </c>
      <c r="BL34" s="18">
        <v>6387</v>
      </c>
      <c r="BM34" s="18">
        <v>8203</v>
      </c>
      <c r="BN34" s="18">
        <v>6360</v>
      </c>
      <c r="BO34" s="18">
        <v>7018</v>
      </c>
      <c r="BP34" s="19">
        <v>5744</v>
      </c>
      <c r="BQ34" s="17">
        <v>4813</v>
      </c>
      <c r="BR34" s="18">
        <v>6524</v>
      </c>
      <c r="BS34" s="18">
        <v>5579</v>
      </c>
      <c r="BT34" s="18">
        <v>7032</v>
      </c>
      <c r="BU34" s="18">
        <v>8954</v>
      </c>
      <c r="BV34" s="18">
        <v>6170</v>
      </c>
      <c r="BW34" s="18">
        <v>10815</v>
      </c>
      <c r="BX34" s="18">
        <v>6168</v>
      </c>
      <c r="BY34" s="18">
        <v>6509</v>
      </c>
      <c r="BZ34" s="18">
        <v>6324</v>
      </c>
      <c r="CA34" s="18">
        <v>7405</v>
      </c>
      <c r="CB34" s="19">
        <v>5016</v>
      </c>
      <c r="CC34" s="20">
        <v>5522</v>
      </c>
      <c r="CD34" s="18">
        <v>5485</v>
      </c>
      <c r="CE34" s="18">
        <v>3417</v>
      </c>
      <c r="CF34" s="18">
        <v>4213</v>
      </c>
      <c r="CG34" s="18">
        <v>3564</v>
      </c>
      <c r="CH34" s="18">
        <v>2813</v>
      </c>
      <c r="CI34" s="18">
        <v>3713</v>
      </c>
      <c r="CJ34" s="18">
        <v>2945</v>
      </c>
      <c r="CK34" s="18">
        <v>2830</v>
      </c>
      <c r="CL34" s="18">
        <v>3858</v>
      </c>
      <c r="CM34" s="18">
        <v>2510</v>
      </c>
      <c r="CN34" s="21">
        <v>2364</v>
      </c>
      <c r="CO34" s="17">
        <v>2908</v>
      </c>
      <c r="CP34" s="18">
        <v>2544</v>
      </c>
      <c r="CQ34" s="18">
        <v>2850</v>
      </c>
      <c r="CR34" s="18">
        <v>3662</v>
      </c>
      <c r="CS34" s="18">
        <v>2497</v>
      </c>
      <c r="CT34" s="18">
        <v>2694</v>
      </c>
      <c r="CU34" s="18">
        <v>2937</v>
      </c>
      <c r="CV34" s="18">
        <v>2730</v>
      </c>
      <c r="CW34" s="18">
        <v>2727</v>
      </c>
      <c r="CX34" s="18">
        <v>4258</v>
      </c>
      <c r="CY34" s="18">
        <v>3113</v>
      </c>
      <c r="CZ34" s="19">
        <v>2326</v>
      </c>
      <c r="DA34" s="17">
        <v>2875</v>
      </c>
      <c r="DB34" s="18">
        <v>2212</v>
      </c>
      <c r="DC34" s="18">
        <v>3240</v>
      </c>
      <c r="DD34" s="18">
        <v>3407</v>
      </c>
      <c r="DE34" s="18">
        <v>3480</v>
      </c>
      <c r="DF34" s="18">
        <v>4201</v>
      </c>
      <c r="DG34" s="18">
        <v>3161</v>
      </c>
      <c r="DH34" s="18">
        <v>3358</v>
      </c>
      <c r="DI34" s="18">
        <v>4299</v>
      </c>
      <c r="DJ34" s="18">
        <v>3718</v>
      </c>
      <c r="DK34" s="18">
        <v>3013</v>
      </c>
      <c r="DL34" s="19">
        <v>3786</v>
      </c>
      <c r="DM34" s="17">
        <v>2779</v>
      </c>
      <c r="DN34" s="18">
        <v>2777</v>
      </c>
      <c r="DO34" s="18">
        <v>3643</v>
      </c>
      <c r="DP34" s="18">
        <v>2797</v>
      </c>
      <c r="DQ34" s="18">
        <v>3118</v>
      </c>
      <c r="DR34" s="18">
        <v>3637</v>
      </c>
      <c r="DS34" s="18">
        <v>2727</v>
      </c>
      <c r="DT34" s="18">
        <v>2852</v>
      </c>
      <c r="DU34" s="18">
        <v>3951</v>
      </c>
      <c r="DV34" s="18">
        <v>969</v>
      </c>
      <c r="DW34" s="18">
        <v>2544</v>
      </c>
      <c r="DX34" s="19">
        <v>3273</v>
      </c>
      <c r="DY34" s="100">
        <v>2458</v>
      </c>
      <c r="DZ34" s="18">
        <v>3209</v>
      </c>
      <c r="EA34" s="18">
        <v>2647</v>
      </c>
      <c r="EB34" s="18">
        <v>3062</v>
      </c>
      <c r="EC34" s="18">
        <v>4299</v>
      </c>
      <c r="ED34" s="18">
        <v>2724</v>
      </c>
      <c r="EE34" s="18">
        <v>2578</v>
      </c>
      <c r="EF34" s="18">
        <v>3747</v>
      </c>
      <c r="EG34" s="18">
        <v>2641</v>
      </c>
      <c r="EH34" s="18">
        <v>1706</v>
      </c>
      <c r="EI34" s="18">
        <v>1891</v>
      </c>
      <c r="EJ34" s="19">
        <v>1409</v>
      </c>
      <c r="EK34" s="18">
        <v>980</v>
      </c>
      <c r="EL34" s="18">
        <v>1746</v>
      </c>
      <c r="EM34" s="18">
        <v>1537</v>
      </c>
      <c r="EN34" s="103">
        <v>2009</v>
      </c>
      <c r="EO34" s="18">
        <v>1832</v>
      </c>
      <c r="EP34" s="18">
        <v>1230</v>
      </c>
      <c r="EQ34" s="18">
        <v>936</v>
      </c>
      <c r="ER34" s="18">
        <v>1528</v>
      </c>
      <c r="ES34" s="18">
        <v>1557</v>
      </c>
      <c r="ET34" s="18">
        <v>1663</v>
      </c>
      <c r="EU34" s="18">
        <v>1852</v>
      </c>
      <c r="EV34" s="19">
        <v>1512</v>
      </c>
      <c r="EW34" s="103">
        <v>1832</v>
      </c>
      <c r="EX34" s="18">
        <v>1492</v>
      </c>
      <c r="EY34" s="18">
        <v>1632</v>
      </c>
      <c r="EZ34" s="103">
        <v>2049</v>
      </c>
      <c r="FA34" s="18">
        <v>2121</v>
      </c>
      <c r="FB34" s="143">
        <v>1968</v>
      </c>
      <c r="FC34" s="18">
        <v>2149</v>
      </c>
      <c r="FD34" s="18">
        <v>1964</v>
      </c>
      <c r="FE34" s="143">
        <v>2052</v>
      </c>
      <c r="FF34" s="143">
        <v>2502</v>
      </c>
      <c r="FG34" s="143">
        <v>1672</v>
      </c>
      <c r="FH34" s="143">
        <v>1226</v>
      </c>
      <c r="FI34" s="103">
        <f>'Average Saturday Boardings'!FI34*5</f>
        <v>1586</v>
      </c>
      <c r="FJ34" s="18">
        <f>'Average Saturday Boardings'!FJ34*4</f>
        <v>1466</v>
      </c>
      <c r="FK34" s="18">
        <f>'Average Saturday Boardings'!FK34*5</f>
        <v>2096.25</v>
      </c>
      <c r="FL34" s="103">
        <v>2292</v>
      </c>
      <c r="FM34" s="18">
        <v>1812</v>
      </c>
      <c r="FN34" s="143">
        <v>2046</v>
      </c>
      <c r="FO34" s="18">
        <v>2056</v>
      </c>
      <c r="FP34" s="18">
        <v>2165</v>
      </c>
      <c r="FQ34" s="143">
        <v>2264</v>
      </c>
      <c r="FR34" s="143">
        <v>2768</v>
      </c>
      <c r="FS34" s="143">
        <v>2311</v>
      </c>
      <c r="FT34" s="175">
        <v>2331</v>
      </c>
      <c r="FU34" s="169">
        <v>2240</v>
      </c>
      <c r="FV34" s="169">
        <v>2179</v>
      </c>
      <c r="FW34" s="169">
        <v>2958</v>
      </c>
      <c r="FX34" s="169">
        <v>2377</v>
      </c>
      <c r="FY34" s="169">
        <v>2561</v>
      </c>
      <c r="FZ34" s="169">
        <v>2679</v>
      </c>
      <c r="GA34" s="169">
        <v>2311</v>
      </c>
      <c r="GB34" s="18">
        <v>2289</v>
      </c>
      <c r="GC34" s="18">
        <v>3057</v>
      </c>
      <c r="GD34" s="18">
        <v>2415</v>
      </c>
      <c r="GE34" s="18">
        <v>2168</v>
      </c>
      <c r="GF34" s="52">
        <v>2223</v>
      </c>
      <c r="GG34" s="18">
        <v>1989</v>
      </c>
      <c r="GH34" s="18">
        <v>2527</v>
      </c>
      <c r="GI34" s="184">
        <v>2022</v>
      </c>
      <c r="GJ34" s="184">
        <v>1978</v>
      </c>
      <c r="GK34" s="184">
        <v>2313</v>
      </c>
      <c r="GL34" s="184">
        <v>1565</v>
      </c>
    </row>
    <row r="35" spans="1:194" x14ac:dyDescent="0.3">
      <c r="A35" s="3" t="s">
        <v>17</v>
      </c>
      <c r="B35" s="17"/>
      <c r="C35" s="18">
        <v>1242</v>
      </c>
      <c r="D35" s="18">
        <v>1095</v>
      </c>
      <c r="E35" s="18">
        <v>1065</v>
      </c>
      <c r="F35" s="18">
        <v>1186</v>
      </c>
      <c r="G35" s="18">
        <v>755</v>
      </c>
      <c r="H35" s="19">
        <v>680</v>
      </c>
      <c r="I35" s="17">
        <v>1469</v>
      </c>
      <c r="J35" s="18">
        <v>714</v>
      </c>
      <c r="K35" s="18">
        <v>1288</v>
      </c>
      <c r="L35" s="18">
        <v>1280</v>
      </c>
      <c r="M35" s="18">
        <v>1212</v>
      </c>
      <c r="N35" s="18">
        <v>963</v>
      </c>
      <c r="O35" s="62">
        <v>1001</v>
      </c>
      <c r="P35" s="62">
        <v>1161</v>
      </c>
      <c r="Q35" s="62">
        <v>1077</v>
      </c>
      <c r="R35" s="62">
        <v>1192</v>
      </c>
      <c r="S35" s="62">
        <v>878</v>
      </c>
      <c r="T35" s="63">
        <v>703</v>
      </c>
      <c r="U35" s="64">
        <v>1037</v>
      </c>
      <c r="V35" s="62">
        <v>925</v>
      </c>
      <c r="W35" s="62">
        <v>1598</v>
      </c>
      <c r="X35" s="62">
        <v>1122</v>
      </c>
      <c r="Y35" s="62">
        <v>973</v>
      </c>
      <c r="Z35" s="62">
        <v>785</v>
      </c>
      <c r="AA35" s="18">
        <v>1015</v>
      </c>
      <c r="AB35" s="18">
        <v>1163</v>
      </c>
      <c r="AC35" s="18">
        <v>1204</v>
      </c>
      <c r="AD35" s="18">
        <v>1499</v>
      </c>
      <c r="AE35" s="18">
        <v>1009</v>
      </c>
      <c r="AF35" s="19">
        <v>728</v>
      </c>
      <c r="AG35" s="17">
        <v>727</v>
      </c>
      <c r="AH35" s="18">
        <v>934</v>
      </c>
      <c r="AI35" s="18">
        <v>1396</v>
      </c>
      <c r="AJ35" s="18">
        <v>2101</v>
      </c>
      <c r="AK35" s="18">
        <v>1363</v>
      </c>
      <c r="AL35" s="18">
        <v>1565</v>
      </c>
      <c r="AM35" s="18">
        <v>1015</v>
      </c>
      <c r="AN35" s="18">
        <v>1247</v>
      </c>
      <c r="AO35" s="18">
        <v>1383</v>
      </c>
      <c r="AP35" s="18">
        <v>1213</v>
      </c>
      <c r="AQ35" s="18">
        <v>886</v>
      </c>
      <c r="AR35" s="19">
        <v>965</v>
      </c>
      <c r="AS35" s="17">
        <v>761</v>
      </c>
      <c r="AT35" s="18">
        <v>937</v>
      </c>
      <c r="AU35" s="18">
        <v>1592</v>
      </c>
      <c r="AV35" s="18">
        <v>1626</v>
      </c>
      <c r="AW35" s="18">
        <v>1136</v>
      </c>
      <c r="AX35" s="18">
        <v>1410</v>
      </c>
      <c r="AY35" s="18">
        <v>1033</v>
      </c>
      <c r="AZ35" s="18">
        <v>1162</v>
      </c>
      <c r="BA35" s="18">
        <v>1471</v>
      </c>
      <c r="BB35" s="18">
        <v>1296</v>
      </c>
      <c r="BC35" s="18">
        <v>938</v>
      </c>
      <c r="BD35" s="19">
        <v>975</v>
      </c>
      <c r="BE35" s="17">
        <v>895</v>
      </c>
      <c r="BF35" s="18">
        <v>1260</v>
      </c>
      <c r="BG35" s="18">
        <v>1467</v>
      </c>
      <c r="BH35" s="18">
        <v>1666</v>
      </c>
      <c r="BI35" s="18">
        <v>1907.0801183807207</v>
      </c>
      <c r="BJ35" s="18">
        <v>1441</v>
      </c>
      <c r="BK35" s="18">
        <v>1193</v>
      </c>
      <c r="BL35" s="18">
        <v>1363</v>
      </c>
      <c r="BM35" s="18">
        <v>1627</v>
      </c>
      <c r="BN35" s="18">
        <v>1337</v>
      </c>
      <c r="BO35" s="18">
        <v>1123</v>
      </c>
      <c r="BP35" s="19">
        <v>899</v>
      </c>
      <c r="BQ35" s="17">
        <v>740</v>
      </c>
      <c r="BR35" s="18">
        <v>1262</v>
      </c>
      <c r="BS35" s="18">
        <v>1208</v>
      </c>
      <c r="BT35" s="18">
        <v>1631</v>
      </c>
      <c r="BU35" s="18">
        <v>2192</v>
      </c>
      <c r="BV35" s="18">
        <v>1053</v>
      </c>
      <c r="BW35" s="18">
        <v>2271</v>
      </c>
      <c r="BX35" s="18">
        <v>1062</v>
      </c>
      <c r="BY35" s="18">
        <v>1246</v>
      </c>
      <c r="BZ35" s="18">
        <v>1206</v>
      </c>
      <c r="CA35" s="18">
        <v>1209</v>
      </c>
      <c r="CB35" s="19">
        <v>775</v>
      </c>
      <c r="CC35" s="20">
        <v>1494</v>
      </c>
      <c r="CD35" s="18">
        <v>1380</v>
      </c>
      <c r="CE35" s="18">
        <v>1717</v>
      </c>
      <c r="CF35" s="18">
        <v>2388</v>
      </c>
      <c r="CG35" s="18">
        <v>1683</v>
      </c>
      <c r="CH35" s="18">
        <v>1120</v>
      </c>
      <c r="CI35" s="18">
        <v>1442</v>
      </c>
      <c r="CJ35" s="18">
        <v>1161</v>
      </c>
      <c r="CK35" s="18">
        <v>1081</v>
      </c>
      <c r="CL35" s="18">
        <v>1578</v>
      </c>
      <c r="CM35" s="18">
        <v>965</v>
      </c>
      <c r="CN35" s="21">
        <v>904</v>
      </c>
      <c r="CO35" s="17">
        <v>959</v>
      </c>
      <c r="CP35" s="18">
        <v>961</v>
      </c>
      <c r="CQ35" s="18">
        <v>1309</v>
      </c>
      <c r="CR35" s="18">
        <v>1604</v>
      </c>
      <c r="CS35" s="18">
        <v>921</v>
      </c>
      <c r="CT35" s="18">
        <v>1009</v>
      </c>
      <c r="CU35" s="18">
        <v>1004</v>
      </c>
      <c r="CV35" s="18">
        <v>911</v>
      </c>
      <c r="CW35" s="18">
        <v>1054</v>
      </c>
      <c r="CX35" s="18">
        <v>1803</v>
      </c>
      <c r="CY35" s="18">
        <v>1049</v>
      </c>
      <c r="CZ35" s="19">
        <v>1008</v>
      </c>
      <c r="DA35" s="17">
        <v>1049</v>
      </c>
      <c r="DB35" s="18">
        <v>911</v>
      </c>
      <c r="DC35" s="18">
        <v>1289</v>
      </c>
      <c r="DD35" s="18">
        <v>1406</v>
      </c>
      <c r="DE35" s="18">
        <v>1226</v>
      </c>
      <c r="DF35" s="18">
        <v>1472</v>
      </c>
      <c r="DG35" s="18">
        <v>880</v>
      </c>
      <c r="DH35" s="18">
        <v>1045</v>
      </c>
      <c r="DI35" s="18">
        <v>1310</v>
      </c>
      <c r="DJ35" s="18">
        <v>901</v>
      </c>
      <c r="DK35" s="18">
        <v>864</v>
      </c>
      <c r="DL35" s="19">
        <v>984</v>
      </c>
      <c r="DM35" s="17">
        <v>726</v>
      </c>
      <c r="DN35" s="18">
        <v>866</v>
      </c>
      <c r="DO35" s="18">
        <v>1260</v>
      </c>
      <c r="DP35" s="18">
        <v>829</v>
      </c>
      <c r="DQ35" s="18">
        <v>1041</v>
      </c>
      <c r="DR35" s="18">
        <v>933</v>
      </c>
      <c r="DS35" s="18">
        <v>756</v>
      </c>
      <c r="DT35" s="18">
        <v>750</v>
      </c>
      <c r="DU35" s="18">
        <v>1138</v>
      </c>
      <c r="DV35" s="18">
        <v>931</v>
      </c>
      <c r="DW35" s="18">
        <v>755</v>
      </c>
      <c r="DX35" s="19">
        <v>855</v>
      </c>
      <c r="DY35" s="100">
        <v>739</v>
      </c>
      <c r="DZ35" s="18">
        <v>820</v>
      </c>
      <c r="EA35" s="18">
        <v>766</v>
      </c>
      <c r="EB35" s="18">
        <v>1034</v>
      </c>
      <c r="EC35" s="18">
        <v>1423</v>
      </c>
      <c r="ED35" s="18">
        <v>852</v>
      </c>
      <c r="EE35" s="18">
        <v>914</v>
      </c>
      <c r="EF35" s="18">
        <v>1188</v>
      </c>
      <c r="EG35" s="18">
        <v>767</v>
      </c>
      <c r="EH35" s="18">
        <v>614</v>
      </c>
      <c r="EI35" s="18">
        <v>783</v>
      </c>
      <c r="EJ35" s="19">
        <v>500</v>
      </c>
      <c r="EK35" s="18">
        <v>384</v>
      </c>
      <c r="EL35" s="18">
        <v>627</v>
      </c>
      <c r="EM35" s="18">
        <v>583</v>
      </c>
      <c r="EN35" s="103">
        <v>700</v>
      </c>
      <c r="EO35" s="18">
        <v>520</v>
      </c>
      <c r="EP35" s="18">
        <v>504</v>
      </c>
      <c r="EQ35" s="18">
        <v>385</v>
      </c>
      <c r="ER35" s="18">
        <v>525</v>
      </c>
      <c r="ES35" s="18">
        <v>565</v>
      </c>
      <c r="ET35" s="18">
        <v>609</v>
      </c>
      <c r="EU35" s="18">
        <v>627</v>
      </c>
      <c r="EV35" s="19">
        <v>425</v>
      </c>
      <c r="EW35" s="103">
        <v>520</v>
      </c>
      <c r="EX35" s="18">
        <v>483</v>
      </c>
      <c r="EY35" s="18">
        <v>610</v>
      </c>
      <c r="EZ35" s="103">
        <v>797</v>
      </c>
      <c r="FA35" s="18">
        <v>712</v>
      </c>
      <c r="FB35" s="143">
        <v>538</v>
      </c>
      <c r="FC35" s="18">
        <v>682</v>
      </c>
      <c r="FD35" s="18">
        <v>700</v>
      </c>
      <c r="FE35" s="143">
        <v>837</v>
      </c>
      <c r="FF35" s="143">
        <v>995</v>
      </c>
      <c r="FG35" s="143">
        <v>658</v>
      </c>
      <c r="FH35" s="143">
        <v>495</v>
      </c>
      <c r="FI35" s="103">
        <f>'Average Saturday Boardings'!FI35*5</f>
        <v>622</v>
      </c>
      <c r="FJ35" s="18">
        <f>'Average Saturday Boardings'!FJ35*4</f>
        <v>594</v>
      </c>
      <c r="FK35" s="18">
        <f>'Average Saturday Boardings'!FK35*5</f>
        <v>1440</v>
      </c>
      <c r="FL35" s="103">
        <v>825</v>
      </c>
      <c r="FM35" s="18">
        <v>729</v>
      </c>
      <c r="FN35" s="143">
        <v>720</v>
      </c>
      <c r="FO35" s="18">
        <v>699</v>
      </c>
      <c r="FP35" s="18">
        <v>1062</v>
      </c>
      <c r="FQ35" s="143">
        <v>772</v>
      </c>
      <c r="FR35" s="143">
        <v>729</v>
      </c>
      <c r="FS35" s="143">
        <v>685</v>
      </c>
      <c r="FT35" s="175">
        <v>694</v>
      </c>
      <c r="FU35" s="169">
        <v>677</v>
      </c>
      <c r="FV35" s="169">
        <v>643</v>
      </c>
      <c r="FW35" s="169">
        <v>879</v>
      </c>
      <c r="FX35" s="169">
        <v>752</v>
      </c>
      <c r="FY35" s="169">
        <v>782</v>
      </c>
      <c r="FZ35" s="169">
        <v>765</v>
      </c>
      <c r="GA35" s="169">
        <v>722</v>
      </c>
      <c r="GB35" s="18">
        <v>751</v>
      </c>
      <c r="GC35" s="18">
        <v>923</v>
      </c>
      <c r="GD35" s="18">
        <v>706</v>
      </c>
      <c r="GE35" s="18">
        <v>668</v>
      </c>
      <c r="GF35" s="52">
        <v>745</v>
      </c>
      <c r="GG35" s="18">
        <v>730</v>
      </c>
      <c r="GH35" s="18">
        <v>910</v>
      </c>
      <c r="GI35" s="184">
        <v>697</v>
      </c>
      <c r="GJ35" s="184">
        <v>691</v>
      </c>
      <c r="GK35" s="184">
        <v>1315</v>
      </c>
      <c r="GL35" s="184">
        <v>546</v>
      </c>
    </row>
    <row r="36" spans="1:194" x14ac:dyDescent="0.3">
      <c r="A36" s="3" t="s">
        <v>18</v>
      </c>
      <c r="B36" s="17"/>
      <c r="C36" s="18">
        <v>10292</v>
      </c>
      <c r="D36" s="18">
        <v>11142</v>
      </c>
      <c r="E36" s="18">
        <v>14262</v>
      </c>
      <c r="F36" s="18">
        <v>12399</v>
      </c>
      <c r="G36" s="18">
        <v>7450</v>
      </c>
      <c r="H36" s="19">
        <v>5435</v>
      </c>
      <c r="I36" s="17">
        <v>9199</v>
      </c>
      <c r="J36" s="18">
        <v>5045</v>
      </c>
      <c r="K36" s="18">
        <v>8227</v>
      </c>
      <c r="L36" s="18">
        <v>12494</v>
      </c>
      <c r="M36" s="18">
        <v>8429</v>
      </c>
      <c r="N36" s="18">
        <v>9651</v>
      </c>
      <c r="O36" s="62">
        <v>8042</v>
      </c>
      <c r="P36" s="62">
        <v>8477</v>
      </c>
      <c r="Q36" s="62">
        <v>14286</v>
      </c>
      <c r="R36" s="62">
        <v>9490</v>
      </c>
      <c r="S36" s="62">
        <v>7406</v>
      </c>
      <c r="T36" s="63">
        <v>5286</v>
      </c>
      <c r="U36" s="64">
        <v>6232</v>
      </c>
      <c r="V36" s="62">
        <v>5412</v>
      </c>
      <c r="W36" s="62">
        <v>8640</v>
      </c>
      <c r="X36" s="62">
        <v>9109</v>
      </c>
      <c r="Y36" s="62">
        <v>8508</v>
      </c>
      <c r="Z36" s="62">
        <v>7798</v>
      </c>
      <c r="AA36" s="18">
        <v>7287</v>
      </c>
      <c r="AB36" s="18">
        <v>7090</v>
      </c>
      <c r="AC36" s="18">
        <v>16898</v>
      </c>
      <c r="AD36" s="18">
        <v>12425</v>
      </c>
      <c r="AE36" s="18">
        <v>6483</v>
      </c>
      <c r="AF36" s="19">
        <v>5653</v>
      </c>
      <c r="AG36" s="17">
        <v>6485</v>
      </c>
      <c r="AH36" s="18">
        <v>5703</v>
      </c>
      <c r="AI36" s="18">
        <v>7864</v>
      </c>
      <c r="AJ36" s="18">
        <v>14929</v>
      </c>
      <c r="AK36" s="18">
        <v>8248</v>
      </c>
      <c r="AL36" s="18">
        <v>11202</v>
      </c>
      <c r="AM36" s="18">
        <v>7683</v>
      </c>
      <c r="AN36" s="18">
        <v>8463</v>
      </c>
      <c r="AO36" s="18">
        <v>15452</v>
      </c>
      <c r="AP36" s="18">
        <v>9344</v>
      </c>
      <c r="AQ36" s="18">
        <v>6987</v>
      </c>
      <c r="AR36" s="19">
        <v>7831</v>
      </c>
      <c r="AS36" s="17">
        <v>5738</v>
      </c>
      <c r="AT36" s="18">
        <v>6059</v>
      </c>
      <c r="AU36" s="18">
        <v>9260</v>
      </c>
      <c r="AV36" s="18">
        <v>13659</v>
      </c>
      <c r="AW36" s="18">
        <v>8144</v>
      </c>
      <c r="AX36" s="18">
        <v>11100</v>
      </c>
      <c r="AY36" s="18">
        <v>7076</v>
      </c>
      <c r="AZ36" s="18">
        <v>6981</v>
      </c>
      <c r="BA36" s="18">
        <v>10674</v>
      </c>
      <c r="BB36" s="18">
        <v>11541</v>
      </c>
      <c r="BC36" s="18">
        <v>6751</v>
      </c>
      <c r="BD36" s="19">
        <v>6994</v>
      </c>
      <c r="BE36" s="17">
        <v>5281</v>
      </c>
      <c r="BF36" s="18">
        <v>7390</v>
      </c>
      <c r="BG36" s="18">
        <v>7649</v>
      </c>
      <c r="BH36" s="18">
        <v>12605</v>
      </c>
      <c r="BI36" s="18">
        <v>9856.4384103160337</v>
      </c>
      <c r="BJ36" s="18">
        <v>10818</v>
      </c>
      <c r="BK36" s="18">
        <v>7535</v>
      </c>
      <c r="BL36" s="18">
        <v>7255</v>
      </c>
      <c r="BM36" s="18">
        <v>13495</v>
      </c>
      <c r="BN36" s="18">
        <v>7835</v>
      </c>
      <c r="BO36" s="18">
        <v>7550</v>
      </c>
      <c r="BP36" s="19">
        <v>5744</v>
      </c>
      <c r="BQ36" s="17">
        <v>5397</v>
      </c>
      <c r="BR36" s="18">
        <v>6918</v>
      </c>
      <c r="BS36" s="18">
        <v>5770</v>
      </c>
      <c r="BT36" s="18">
        <v>11604</v>
      </c>
      <c r="BU36" s="18">
        <v>13188</v>
      </c>
      <c r="BV36" s="18">
        <v>7640</v>
      </c>
      <c r="BW36" s="18">
        <v>11975</v>
      </c>
      <c r="BX36" s="18">
        <v>6989</v>
      </c>
      <c r="BY36" s="18">
        <v>11574</v>
      </c>
      <c r="BZ36" s="18">
        <v>8370</v>
      </c>
      <c r="CA36" s="18">
        <v>7129</v>
      </c>
      <c r="CB36" s="19">
        <v>4623</v>
      </c>
      <c r="CC36" s="20">
        <v>8873</v>
      </c>
      <c r="CD36" s="18">
        <v>6308</v>
      </c>
      <c r="CE36" s="18">
        <v>9627</v>
      </c>
      <c r="CF36" s="18">
        <v>14123</v>
      </c>
      <c r="CG36" s="18">
        <v>9499</v>
      </c>
      <c r="CH36" s="18">
        <v>8050</v>
      </c>
      <c r="CI36" s="18">
        <v>8741</v>
      </c>
      <c r="CJ36" s="18">
        <v>6782</v>
      </c>
      <c r="CK36" s="18">
        <v>8523</v>
      </c>
      <c r="CL36" s="18">
        <v>11999</v>
      </c>
      <c r="CM36" s="18">
        <v>6403</v>
      </c>
      <c r="CN36" s="21">
        <v>5095</v>
      </c>
      <c r="CO36" s="17">
        <v>6552</v>
      </c>
      <c r="CP36" s="18">
        <v>5731</v>
      </c>
      <c r="CQ36" s="18">
        <v>6655</v>
      </c>
      <c r="CR36" s="18">
        <v>10633</v>
      </c>
      <c r="CS36" s="18">
        <v>6254</v>
      </c>
      <c r="CT36" s="18">
        <v>8418</v>
      </c>
      <c r="CU36" s="18">
        <v>6081</v>
      </c>
      <c r="CV36" s="18">
        <v>6157</v>
      </c>
      <c r="CW36" s="18">
        <v>8795</v>
      </c>
      <c r="CX36" s="18">
        <v>11734</v>
      </c>
      <c r="CY36" s="18">
        <v>5560</v>
      </c>
      <c r="CZ36" s="19">
        <v>4509</v>
      </c>
      <c r="DA36" s="17">
        <v>5657</v>
      </c>
      <c r="DB36" s="18">
        <v>5292</v>
      </c>
      <c r="DC36" s="18">
        <v>6642</v>
      </c>
      <c r="DD36" s="18">
        <v>9262</v>
      </c>
      <c r="DE36" s="18">
        <v>5791</v>
      </c>
      <c r="DF36" s="18">
        <v>7869</v>
      </c>
      <c r="DG36" s="18">
        <v>4812</v>
      </c>
      <c r="DH36" s="18">
        <v>5314</v>
      </c>
      <c r="DI36" s="18">
        <v>10948</v>
      </c>
      <c r="DJ36" s="18">
        <v>5215</v>
      </c>
      <c r="DK36" s="18">
        <v>4346</v>
      </c>
      <c r="DL36" s="19">
        <v>5189</v>
      </c>
      <c r="DM36" s="17">
        <v>3646</v>
      </c>
      <c r="DN36" s="18">
        <v>3549</v>
      </c>
      <c r="DO36" s="18">
        <v>5872</v>
      </c>
      <c r="DP36" s="18">
        <v>5264</v>
      </c>
      <c r="DQ36" s="18">
        <v>5386</v>
      </c>
      <c r="DR36" s="18">
        <v>7278</v>
      </c>
      <c r="DS36" s="18">
        <v>4597</v>
      </c>
      <c r="DT36" s="18">
        <v>4431</v>
      </c>
      <c r="DU36" s="18">
        <v>10081</v>
      </c>
      <c r="DV36" s="18">
        <v>5005</v>
      </c>
      <c r="DW36" s="18">
        <v>4017</v>
      </c>
      <c r="DX36" s="19">
        <v>4337</v>
      </c>
      <c r="DY36" s="100">
        <v>3133</v>
      </c>
      <c r="DZ36" s="18">
        <v>4382</v>
      </c>
      <c r="EA36" s="18">
        <v>4165</v>
      </c>
      <c r="EB36" s="18">
        <v>6633</v>
      </c>
      <c r="EC36" s="18">
        <v>7198</v>
      </c>
      <c r="ED36" s="18">
        <v>5948</v>
      </c>
      <c r="EE36" s="18">
        <v>4238</v>
      </c>
      <c r="EF36" s="18">
        <v>6460</v>
      </c>
      <c r="EG36" s="18">
        <v>3016</v>
      </c>
      <c r="EH36" s="18">
        <v>1632</v>
      </c>
      <c r="EI36" s="18">
        <v>2092</v>
      </c>
      <c r="EJ36" s="19">
        <v>1721</v>
      </c>
      <c r="EK36" s="18">
        <v>1016</v>
      </c>
      <c r="EL36" s="18">
        <v>1764</v>
      </c>
      <c r="EM36" s="18">
        <v>1734</v>
      </c>
      <c r="EN36" s="103">
        <v>2434</v>
      </c>
      <c r="EO36" s="18">
        <v>2300</v>
      </c>
      <c r="EP36" s="18">
        <v>1223</v>
      </c>
      <c r="EQ36" s="18">
        <v>1055</v>
      </c>
      <c r="ER36" s="18">
        <v>1763</v>
      </c>
      <c r="ES36" s="18">
        <v>2200</v>
      </c>
      <c r="ET36" s="18">
        <v>2205</v>
      </c>
      <c r="EU36" s="18">
        <v>2440</v>
      </c>
      <c r="EV36" s="19">
        <v>1847</v>
      </c>
      <c r="EW36" s="103">
        <v>2300</v>
      </c>
      <c r="EX36" s="18">
        <v>1777</v>
      </c>
      <c r="EY36" s="18">
        <v>2420</v>
      </c>
      <c r="EZ36" s="103">
        <v>3143</v>
      </c>
      <c r="FA36" s="18">
        <v>3029</v>
      </c>
      <c r="FB36" s="143">
        <v>3280</v>
      </c>
      <c r="FC36" s="18">
        <v>2809</v>
      </c>
      <c r="FD36" s="18">
        <v>3862</v>
      </c>
      <c r="FE36" s="143">
        <v>4790</v>
      </c>
      <c r="FF36" s="143">
        <v>3922</v>
      </c>
      <c r="FG36" s="143">
        <v>2192</v>
      </c>
      <c r="FH36" s="143">
        <v>2027</v>
      </c>
      <c r="FI36" s="103">
        <f>'Average Saturday Boardings'!FI36*5</f>
        <v>2407</v>
      </c>
      <c r="FJ36" s="18">
        <f>'Average Saturday Boardings'!FJ36*4</f>
        <v>2120</v>
      </c>
      <c r="FK36" s="18">
        <f>'Average Saturday Boardings'!FK36*5</f>
        <v>4101.25</v>
      </c>
      <c r="FL36" s="103">
        <v>4081</v>
      </c>
      <c r="FM36" s="18">
        <v>3082</v>
      </c>
      <c r="FN36" s="143">
        <v>3493</v>
      </c>
      <c r="FO36" s="18">
        <v>2753</v>
      </c>
      <c r="FP36" s="18">
        <v>4737</v>
      </c>
      <c r="FQ36" s="143">
        <v>4401</v>
      </c>
      <c r="FR36" s="143">
        <v>4954</v>
      </c>
      <c r="FS36" s="143">
        <v>2756</v>
      </c>
      <c r="FT36" s="175">
        <v>2454</v>
      </c>
      <c r="FU36" s="169">
        <v>2533</v>
      </c>
      <c r="FV36" s="169">
        <v>2190</v>
      </c>
      <c r="FW36" s="169">
        <v>4123</v>
      </c>
      <c r="FX36" s="169">
        <v>4065</v>
      </c>
      <c r="FY36" s="169">
        <v>3091</v>
      </c>
      <c r="FZ36" s="169">
        <v>4469</v>
      </c>
      <c r="GA36" s="169">
        <v>3028</v>
      </c>
      <c r="GB36" s="18">
        <v>2929</v>
      </c>
      <c r="GC36" s="18">
        <v>6505</v>
      </c>
      <c r="GD36" s="18">
        <v>3012</v>
      </c>
      <c r="GE36" s="18">
        <v>2592</v>
      </c>
      <c r="GF36" s="52">
        <v>2595</v>
      </c>
      <c r="GG36" s="18">
        <v>2051</v>
      </c>
      <c r="GH36" s="18">
        <v>2884</v>
      </c>
      <c r="GI36" s="184">
        <v>2953</v>
      </c>
      <c r="GJ36" s="184">
        <v>3135</v>
      </c>
      <c r="GK36" s="184">
        <v>3321</v>
      </c>
      <c r="GL36" s="184">
        <v>3369</v>
      </c>
    </row>
    <row r="37" spans="1:194" x14ac:dyDescent="0.3">
      <c r="A37" s="3" t="s">
        <v>19</v>
      </c>
      <c r="B37" s="17"/>
      <c r="C37" s="18">
        <v>6132</v>
      </c>
      <c r="D37" s="18">
        <v>4378</v>
      </c>
      <c r="E37" s="18">
        <v>4131</v>
      </c>
      <c r="F37" s="18">
        <v>5256</v>
      </c>
      <c r="G37" s="18">
        <v>3123</v>
      </c>
      <c r="H37" s="19">
        <v>2393</v>
      </c>
      <c r="I37" s="17">
        <v>2655</v>
      </c>
      <c r="J37" s="18">
        <v>2852</v>
      </c>
      <c r="K37" s="18">
        <v>8691</v>
      </c>
      <c r="L37" s="18">
        <v>8948</v>
      </c>
      <c r="M37" s="18">
        <v>9705</v>
      </c>
      <c r="N37" s="18">
        <v>4107</v>
      </c>
      <c r="O37" s="62">
        <v>4147</v>
      </c>
      <c r="P37" s="62">
        <v>4336</v>
      </c>
      <c r="Q37" s="62">
        <v>4391</v>
      </c>
      <c r="R37" s="62">
        <v>6203</v>
      </c>
      <c r="S37" s="62">
        <v>3249</v>
      </c>
      <c r="T37" s="63">
        <v>2649</v>
      </c>
      <c r="U37" s="64">
        <v>3643</v>
      </c>
      <c r="V37" s="62">
        <v>3480</v>
      </c>
      <c r="W37" s="62">
        <v>13843</v>
      </c>
      <c r="X37" s="62">
        <v>3925</v>
      </c>
      <c r="Y37" s="62">
        <v>6332</v>
      </c>
      <c r="Z37" s="62">
        <v>3028</v>
      </c>
      <c r="AA37" s="18">
        <v>4544</v>
      </c>
      <c r="AB37" s="18">
        <v>4257</v>
      </c>
      <c r="AC37" s="18">
        <v>4622</v>
      </c>
      <c r="AD37" s="18">
        <v>8088</v>
      </c>
      <c r="AE37" s="18">
        <v>3828</v>
      </c>
      <c r="AF37" s="19">
        <v>3268</v>
      </c>
      <c r="AG37" s="17">
        <v>3838</v>
      </c>
      <c r="AH37" s="18">
        <v>4261</v>
      </c>
      <c r="AI37" s="18">
        <v>8295</v>
      </c>
      <c r="AJ37" s="18">
        <v>13272</v>
      </c>
      <c r="AK37" s="18">
        <v>9895</v>
      </c>
      <c r="AL37" s="18">
        <v>5525</v>
      </c>
      <c r="AM37" s="18">
        <v>4731</v>
      </c>
      <c r="AN37" s="18">
        <v>4806</v>
      </c>
      <c r="AO37" s="18">
        <v>5353</v>
      </c>
      <c r="AP37" s="18">
        <v>7990</v>
      </c>
      <c r="AQ37" s="18">
        <v>3744</v>
      </c>
      <c r="AR37" s="19">
        <v>4518</v>
      </c>
      <c r="AS37" s="17">
        <v>3413</v>
      </c>
      <c r="AT37" s="18">
        <v>4211</v>
      </c>
      <c r="AU37" s="18">
        <v>12745</v>
      </c>
      <c r="AV37" s="18">
        <v>9015</v>
      </c>
      <c r="AW37" s="18">
        <v>7656</v>
      </c>
      <c r="AX37" s="18">
        <v>8526</v>
      </c>
      <c r="AY37" s="18">
        <v>4823</v>
      </c>
      <c r="AZ37" s="18">
        <v>5208</v>
      </c>
      <c r="BA37" s="18">
        <v>5873</v>
      </c>
      <c r="BB37" s="18">
        <v>8256</v>
      </c>
      <c r="BC37" s="18">
        <v>4487</v>
      </c>
      <c r="BD37" s="19">
        <v>4525</v>
      </c>
      <c r="BE37" s="17">
        <v>3654</v>
      </c>
      <c r="BF37" s="18">
        <v>4798</v>
      </c>
      <c r="BG37" s="18">
        <v>14687</v>
      </c>
      <c r="BH37" s="18">
        <v>12467</v>
      </c>
      <c r="BI37" s="18">
        <v>16850.000465067118</v>
      </c>
      <c r="BJ37" s="18">
        <v>17171</v>
      </c>
      <c r="BK37" s="18">
        <v>5138</v>
      </c>
      <c r="BL37" s="18">
        <v>5206</v>
      </c>
      <c r="BM37" s="18">
        <v>6516</v>
      </c>
      <c r="BN37" s="18">
        <v>8423</v>
      </c>
      <c r="BO37" s="18">
        <v>5190</v>
      </c>
      <c r="BP37" s="19">
        <v>4429</v>
      </c>
      <c r="BQ37" s="17">
        <v>3767</v>
      </c>
      <c r="BR37" s="18">
        <v>6236</v>
      </c>
      <c r="BS37" s="18">
        <v>4746</v>
      </c>
      <c r="BT37" s="18">
        <v>11018</v>
      </c>
      <c r="BU37" s="18">
        <v>21147</v>
      </c>
      <c r="BV37" s="18">
        <v>4559</v>
      </c>
      <c r="BW37" s="18">
        <v>7623</v>
      </c>
      <c r="BX37" s="18">
        <v>5269</v>
      </c>
      <c r="BY37" s="18">
        <v>4741</v>
      </c>
      <c r="BZ37" s="18">
        <v>7854</v>
      </c>
      <c r="CA37" s="18">
        <v>5108</v>
      </c>
      <c r="CB37" s="19">
        <v>3616</v>
      </c>
      <c r="CC37" s="20">
        <v>3792</v>
      </c>
      <c r="CD37" s="18">
        <v>5580</v>
      </c>
      <c r="CE37" s="18">
        <v>14671</v>
      </c>
      <c r="CF37" s="18">
        <v>11041</v>
      </c>
      <c r="CG37" s="18">
        <v>15842</v>
      </c>
      <c r="CH37" s="18">
        <v>4816</v>
      </c>
      <c r="CI37" s="18">
        <v>6192</v>
      </c>
      <c r="CJ37" s="18">
        <v>5136</v>
      </c>
      <c r="CK37" s="18">
        <v>4715</v>
      </c>
      <c r="CL37" s="18">
        <v>9154</v>
      </c>
      <c r="CM37" s="18">
        <v>4136</v>
      </c>
      <c r="CN37" s="21">
        <v>3786</v>
      </c>
      <c r="CO37" s="17">
        <v>4580</v>
      </c>
      <c r="CP37" s="18">
        <v>4758</v>
      </c>
      <c r="CQ37" s="18">
        <v>15431</v>
      </c>
      <c r="CR37" s="18">
        <v>14365</v>
      </c>
      <c r="CS37" s="18">
        <v>4422</v>
      </c>
      <c r="CT37" s="18">
        <v>4412</v>
      </c>
      <c r="CU37" s="18">
        <v>4513</v>
      </c>
      <c r="CV37" s="18">
        <v>4667</v>
      </c>
      <c r="CW37" s="18">
        <v>4580</v>
      </c>
      <c r="CX37" s="18">
        <v>10627</v>
      </c>
      <c r="CY37" s="18">
        <v>3980</v>
      </c>
      <c r="CZ37" s="19">
        <v>3818</v>
      </c>
      <c r="DA37" s="17">
        <v>4714</v>
      </c>
      <c r="DB37" s="18">
        <v>4550</v>
      </c>
      <c r="DC37" s="18">
        <v>11737</v>
      </c>
      <c r="DD37" s="18">
        <v>11776</v>
      </c>
      <c r="DE37" s="18">
        <v>11293</v>
      </c>
      <c r="DF37" s="18">
        <v>4835</v>
      </c>
      <c r="DG37" s="18">
        <v>4738</v>
      </c>
      <c r="DH37" s="18">
        <v>4739</v>
      </c>
      <c r="DI37" s="18">
        <v>5125</v>
      </c>
      <c r="DJ37" s="18">
        <v>7801</v>
      </c>
      <c r="DK37" s="18">
        <v>3560</v>
      </c>
      <c r="DL37" s="19">
        <v>4197</v>
      </c>
      <c r="DM37" s="17">
        <v>3374</v>
      </c>
      <c r="DN37" s="18">
        <v>3639</v>
      </c>
      <c r="DO37" s="18">
        <v>14505</v>
      </c>
      <c r="DP37" s="18">
        <v>3895</v>
      </c>
      <c r="DQ37" s="18">
        <v>10021</v>
      </c>
      <c r="DR37" s="18">
        <v>5447</v>
      </c>
      <c r="DS37" s="18">
        <v>4458</v>
      </c>
      <c r="DT37" s="18">
        <v>4587</v>
      </c>
      <c r="DU37" s="18">
        <v>5277</v>
      </c>
      <c r="DV37" s="18">
        <v>4794</v>
      </c>
      <c r="DW37" s="18">
        <v>3545</v>
      </c>
      <c r="DX37" s="19">
        <v>4277</v>
      </c>
      <c r="DY37" s="100">
        <v>3003</v>
      </c>
      <c r="DZ37" s="18">
        <v>4760</v>
      </c>
      <c r="EA37" s="18">
        <v>6938</v>
      </c>
      <c r="EB37" s="18">
        <v>6922</v>
      </c>
      <c r="EC37" s="18">
        <v>15193</v>
      </c>
      <c r="ED37" s="18">
        <v>4630</v>
      </c>
      <c r="EE37" s="18">
        <v>5112</v>
      </c>
      <c r="EF37" s="18">
        <v>5382</v>
      </c>
      <c r="EG37" s="18">
        <v>3296</v>
      </c>
      <c r="EH37" s="18">
        <v>2160</v>
      </c>
      <c r="EI37" s="18">
        <v>2604</v>
      </c>
      <c r="EJ37" s="19">
        <v>2232</v>
      </c>
      <c r="EK37" s="18">
        <v>1584</v>
      </c>
      <c r="EL37" s="18">
        <v>2579</v>
      </c>
      <c r="EM37" s="18">
        <v>2440</v>
      </c>
      <c r="EN37" s="103">
        <v>3085</v>
      </c>
      <c r="EO37" s="18">
        <v>2033</v>
      </c>
      <c r="EP37" s="18">
        <v>1560</v>
      </c>
      <c r="EQ37" s="18">
        <v>1383</v>
      </c>
      <c r="ER37" s="18">
        <v>2069</v>
      </c>
      <c r="ES37" s="18">
        <v>2100</v>
      </c>
      <c r="ET37" s="18">
        <v>2280</v>
      </c>
      <c r="EU37" s="18">
        <v>2270</v>
      </c>
      <c r="EV37" s="19">
        <v>1645</v>
      </c>
      <c r="EW37" s="103">
        <v>2033</v>
      </c>
      <c r="EX37" s="18">
        <v>1858</v>
      </c>
      <c r="EY37" s="18">
        <v>5979</v>
      </c>
      <c r="EZ37" s="103">
        <v>4524</v>
      </c>
      <c r="FA37" s="18">
        <v>6378</v>
      </c>
      <c r="FB37" s="143">
        <v>2172</v>
      </c>
      <c r="FC37" s="18">
        <v>2308</v>
      </c>
      <c r="FD37" s="18">
        <v>2551</v>
      </c>
      <c r="FE37" s="143">
        <v>2917</v>
      </c>
      <c r="FF37" s="143">
        <v>5010</v>
      </c>
      <c r="FG37" s="143">
        <v>2287</v>
      </c>
      <c r="FH37" s="143">
        <v>1724</v>
      </c>
      <c r="FI37" s="103">
        <f>'Average Saturday Boardings'!FI37*5</f>
        <v>2156</v>
      </c>
      <c r="FJ37" s="18">
        <f>'Average Saturday Boardings'!FJ37*4</f>
        <v>2090</v>
      </c>
      <c r="FK37" s="18">
        <f>'Average Saturday Boardings'!FK37*5</f>
        <v>6687.5</v>
      </c>
      <c r="FL37" s="103">
        <v>3991</v>
      </c>
      <c r="FM37" s="18">
        <v>5715</v>
      </c>
      <c r="FN37" s="143">
        <v>2771</v>
      </c>
      <c r="FO37" s="18">
        <v>2519</v>
      </c>
      <c r="FP37" s="18">
        <v>2977</v>
      </c>
      <c r="FQ37" s="143">
        <v>2707</v>
      </c>
      <c r="FR37" s="143">
        <v>5496</v>
      </c>
      <c r="FS37" s="143">
        <v>2398</v>
      </c>
      <c r="FT37" s="175">
        <v>2246</v>
      </c>
      <c r="FU37" s="169">
        <v>2540</v>
      </c>
      <c r="FV37" s="169">
        <v>2304</v>
      </c>
      <c r="FW37" s="169">
        <v>9003</v>
      </c>
      <c r="FX37" s="169">
        <v>6839</v>
      </c>
      <c r="FY37" s="169">
        <v>7472</v>
      </c>
      <c r="FZ37" s="169">
        <v>3145</v>
      </c>
      <c r="GA37" s="169">
        <v>2975</v>
      </c>
      <c r="GB37" s="18">
        <v>6619</v>
      </c>
      <c r="GC37" s="18">
        <v>3919</v>
      </c>
      <c r="GD37" s="18">
        <v>4840</v>
      </c>
      <c r="GE37" s="18">
        <v>2880</v>
      </c>
      <c r="GF37" s="52">
        <v>5468</v>
      </c>
      <c r="GG37" s="18">
        <v>2025</v>
      </c>
      <c r="GH37" s="18">
        <v>4931</v>
      </c>
      <c r="GI37" s="184">
        <v>4697</v>
      </c>
      <c r="GJ37" s="184">
        <v>4531</v>
      </c>
      <c r="GK37" s="184">
        <v>7813</v>
      </c>
      <c r="GL37" s="184">
        <v>2439</v>
      </c>
    </row>
    <row r="38" spans="1:194" x14ac:dyDescent="0.3">
      <c r="A38" s="3" t="s">
        <v>20</v>
      </c>
      <c r="B38" s="17"/>
      <c r="C38" s="18">
        <v>2612</v>
      </c>
      <c r="D38" s="18">
        <v>3989</v>
      </c>
      <c r="E38" s="18">
        <v>3336</v>
      </c>
      <c r="F38" s="18">
        <v>4136</v>
      </c>
      <c r="G38" s="18">
        <v>2746</v>
      </c>
      <c r="H38" s="19">
        <v>2381</v>
      </c>
      <c r="I38" s="17">
        <v>2005</v>
      </c>
      <c r="J38" s="18">
        <v>2354</v>
      </c>
      <c r="K38" s="18">
        <v>4365</v>
      </c>
      <c r="L38" s="18">
        <v>4309</v>
      </c>
      <c r="M38" s="18">
        <v>4157</v>
      </c>
      <c r="N38" s="18">
        <v>3281</v>
      </c>
      <c r="O38" s="62">
        <v>3586</v>
      </c>
      <c r="P38" s="62">
        <v>3999</v>
      </c>
      <c r="Q38" s="62">
        <v>3883</v>
      </c>
      <c r="R38" s="62">
        <v>4645</v>
      </c>
      <c r="S38" s="62">
        <v>3321</v>
      </c>
      <c r="T38" s="63">
        <v>2737</v>
      </c>
      <c r="U38" s="64">
        <v>3139</v>
      </c>
      <c r="V38" s="62">
        <v>3359</v>
      </c>
      <c r="W38" s="62">
        <v>5667</v>
      </c>
      <c r="X38" s="62">
        <v>4632</v>
      </c>
      <c r="Y38" s="62">
        <v>4023</v>
      </c>
      <c r="Z38" s="62">
        <v>3062</v>
      </c>
      <c r="AA38" s="18">
        <v>4012</v>
      </c>
      <c r="AB38" s="18">
        <v>4554</v>
      </c>
      <c r="AC38" s="18">
        <v>4507</v>
      </c>
      <c r="AD38" s="18">
        <v>6547</v>
      </c>
      <c r="AE38" s="18">
        <v>3323</v>
      </c>
      <c r="AF38" s="19">
        <v>3392</v>
      </c>
      <c r="AG38" s="17">
        <v>3642</v>
      </c>
      <c r="AH38" s="18">
        <v>4108</v>
      </c>
      <c r="AI38" s="18">
        <v>5312</v>
      </c>
      <c r="AJ38" s="18">
        <v>7828</v>
      </c>
      <c r="AK38" s="18">
        <v>5010</v>
      </c>
      <c r="AL38" s="18">
        <v>4600</v>
      </c>
      <c r="AM38" s="18">
        <v>4889</v>
      </c>
      <c r="AN38" s="18">
        <v>4621</v>
      </c>
      <c r="AO38" s="18">
        <v>5356</v>
      </c>
      <c r="AP38" s="18">
        <v>5391</v>
      </c>
      <c r="AQ38" s="18">
        <v>3153</v>
      </c>
      <c r="AR38" s="19">
        <v>3935</v>
      </c>
      <c r="AS38" s="17">
        <v>3070</v>
      </c>
      <c r="AT38" s="18">
        <v>3603</v>
      </c>
      <c r="AU38" s="18">
        <v>6905</v>
      </c>
      <c r="AV38" s="18">
        <v>5768</v>
      </c>
      <c r="AW38" s="18">
        <v>4991</v>
      </c>
      <c r="AX38" s="18">
        <v>5228</v>
      </c>
      <c r="AY38" s="18">
        <v>4541</v>
      </c>
      <c r="AZ38" s="18">
        <v>4973</v>
      </c>
      <c r="BA38" s="18">
        <v>6233</v>
      </c>
      <c r="BB38" s="18">
        <v>5921</v>
      </c>
      <c r="BC38" s="18">
        <v>3878</v>
      </c>
      <c r="BD38" s="19">
        <v>4000</v>
      </c>
      <c r="BE38" s="17">
        <v>2856</v>
      </c>
      <c r="BF38" s="18">
        <v>4805</v>
      </c>
      <c r="BG38" s="18">
        <v>6016</v>
      </c>
      <c r="BH38" s="18">
        <v>6229</v>
      </c>
      <c r="BI38" s="18">
        <v>7129.0382412007184</v>
      </c>
      <c r="BJ38" s="18">
        <v>5923</v>
      </c>
      <c r="BK38" s="18">
        <v>5290</v>
      </c>
      <c r="BL38" s="18">
        <v>5672</v>
      </c>
      <c r="BM38" s="18">
        <v>6189</v>
      </c>
      <c r="BN38" s="18">
        <v>5623</v>
      </c>
      <c r="BO38" s="18">
        <v>4923</v>
      </c>
      <c r="BP38" s="19">
        <v>3805</v>
      </c>
      <c r="BQ38" s="17">
        <v>3088</v>
      </c>
      <c r="BR38" s="18">
        <v>5155</v>
      </c>
      <c r="BS38" s="18">
        <v>4792</v>
      </c>
      <c r="BT38" s="18">
        <v>5997</v>
      </c>
      <c r="BU38" s="18">
        <v>8108</v>
      </c>
      <c r="BV38" s="18">
        <v>4003</v>
      </c>
      <c r="BW38" s="18">
        <v>6988</v>
      </c>
      <c r="BX38" s="18">
        <v>5047</v>
      </c>
      <c r="BY38" s="18">
        <v>4895</v>
      </c>
      <c r="BZ38" s="18">
        <v>4949</v>
      </c>
      <c r="CA38" s="18">
        <v>4510</v>
      </c>
      <c r="CB38" s="19">
        <v>3194</v>
      </c>
      <c r="CC38" s="20">
        <v>3286</v>
      </c>
      <c r="CD38" s="18">
        <v>4643</v>
      </c>
      <c r="CE38" s="18">
        <v>6349</v>
      </c>
      <c r="CF38" s="18">
        <v>6914</v>
      </c>
      <c r="CG38" s="18">
        <v>6090</v>
      </c>
      <c r="CH38" s="18">
        <v>3704</v>
      </c>
      <c r="CI38" s="18">
        <v>5545</v>
      </c>
      <c r="CJ38" s="18">
        <v>4780</v>
      </c>
      <c r="CK38" s="18">
        <v>4455</v>
      </c>
      <c r="CL38" s="18">
        <v>6559</v>
      </c>
      <c r="CM38" s="18">
        <v>3679</v>
      </c>
      <c r="CN38" s="21">
        <v>3389</v>
      </c>
      <c r="CO38" s="17">
        <v>4039</v>
      </c>
      <c r="CP38" s="18">
        <v>3923</v>
      </c>
      <c r="CQ38" s="18">
        <v>5123</v>
      </c>
      <c r="CR38" s="18">
        <v>6003</v>
      </c>
      <c r="CS38" s="18">
        <v>3844</v>
      </c>
      <c r="CT38" s="18">
        <v>3661</v>
      </c>
      <c r="CU38" s="18">
        <v>3938</v>
      </c>
      <c r="CV38" s="18">
        <v>4664</v>
      </c>
      <c r="CW38" s="18">
        <v>3905</v>
      </c>
      <c r="CX38" s="18">
        <v>6866</v>
      </c>
      <c r="CY38" s="18">
        <v>3490</v>
      </c>
      <c r="CZ38" s="19">
        <v>3433</v>
      </c>
      <c r="DA38" s="17">
        <v>3613</v>
      </c>
      <c r="DB38" s="18">
        <v>3983</v>
      </c>
      <c r="DC38" s="18">
        <v>5511</v>
      </c>
      <c r="DD38" s="18">
        <v>5133</v>
      </c>
      <c r="DE38" s="18">
        <v>4340</v>
      </c>
      <c r="DF38" s="18">
        <v>4314</v>
      </c>
      <c r="DG38" s="18">
        <v>3741</v>
      </c>
      <c r="DH38" s="18">
        <v>4279</v>
      </c>
      <c r="DI38" s="18">
        <v>5105</v>
      </c>
      <c r="DJ38" s="18">
        <v>4369</v>
      </c>
      <c r="DK38" s="18">
        <v>3072</v>
      </c>
      <c r="DL38" s="19">
        <v>3711</v>
      </c>
      <c r="DM38" s="17">
        <v>2912</v>
      </c>
      <c r="DN38" s="18">
        <v>3665</v>
      </c>
      <c r="DO38" s="18">
        <v>5359</v>
      </c>
      <c r="DP38" s="18">
        <v>3759</v>
      </c>
      <c r="DQ38" s="18">
        <v>4320</v>
      </c>
      <c r="DR38" s="18">
        <v>4263</v>
      </c>
      <c r="DS38" s="18">
        <v>3730</v>
      </c>
      <c r="DT38" s="18">
        <v>3751</v>
      </c>
      <c r="DU38" s="18">
        <v>4876</v>
      </c>
      <c r="DV38" s="18">
        <v>3974</v>
      </c>
      <c r="DW38" s="18">
        <v>3282</v>
      </c>
      <c r="DX38" s="19">
        <v>3683</v>
      </c>
      <c r="DY38" s="100">
        <v>2458</v>
      </c>
      <c r="DZ38" s="18">
        <v>3553</v>
      </c>
      <c r="EA38" s="18">
        <v>3710</v>
      </c>
      <c r="EB38" s="18">
        <v>3903</v>
      </c>
      <c r="EC38" s="18">
        <v>5922</v>
      </c>
      <c r="ED38" s="18">
        <v>3205</v>
      </c>
      <c r="EE38" s="18">
        <v>3423</v>
      </c>
      <c r="EF38" s="18">
        <v>4881</v>
      </c>
      <c r="EG38" s="18">
        <v>2512</v>
      </c>
      <c r="EH38" s="18">
        <v>1392</v>
      </c>
      <c r="EI38" s="18">
        <v>1579</v>
      </c>
      <c r="EJ38" s="19">
        <v>1223</v>
      </c>
      <c r="EK38" s="18">
        <v>877</v>
      </c>
      <c r="EL38" s="18">
        <v>1781</v>
      </c>
      <c r="EM38" s="18">
        <v>1609</v>
      </c>
      <c r="EN38" s="103">
        <v>2115</v>
      </c>
      <c r="EO38" s="18">
        <v>1973</v>
      </c>
      <c r="EP38" s="18">
        <v>1284</v>
      </c>
      <c r="EQ38" s="18">
        <v>1019</v>
      </c>
      <c r="ER38" s="18">
        <v>1458</v>
      </c>
      <c r="ES38" s="18">
        <v>1583</v>
      </c>
      <c r="ET38" s="18">
        <v>1710</v>
      </c>
      <c r="EU38" s="18">
        <v>2247</v>
      </c>
      <c r="EV38" s="19">
        <v>1584</v>
      </c>
      <c r="EW38" s="103">
        <v>1973</v>
      </c>
      <c r="EX38" s="18">
        <v>2005</v>
      </c>
      <c r="EY38" s="18">
        <v>2627</v>
      </c>
      <c r="EZ38" s="103">
        <v>3368</v>
      </c>
      <c r="FA38" s="18">
        <v>3196</v>
      </c>
      <c r="FB38" s="143">
        <v>2102</v>
      </c>
      <c r="FC38" s="18">
        <v>2704</v>
      </c>
      <c r="FD38" s="18">
        <v>2983</v>
      </c>
      <c r="FE38" s="143">
        <v>3176</v>
      </c>
      <c r="FF38" s="143">
        <v>4032</v>
      </c>
      <c r="FG38" s="143">
        <v>2660</v>
      </c>
      <c r="FH38" s="143">
        <v>1961</v>
      </c>
      <c r="FI38" s="103">
        <f>'Average Saturday Boardings'!FI38*5</f>
        <v>2369</v>
      </c>
      <c r="FJ38" s="18">
        <f>'Average Saturday Boardings'!FJ38*4</f>
        <v>1339</v>
      </c>
      <c r="FK38" s="18">
        <f>'Average Saturday Boardings'!FK38*5</f>
        <v>2242.5</v>
      </c>
      <c r="FL38" s="103">
        <v>2027</v>
      </c>
      <c r="FM38" s="18">
        <v>1958</v>
      </c>
      <c r="FN38" s="143">
        <v>1562</v>
      </c>
      <c r="FO38" s="18">
        <v>1714</v>
      </c>
      <c r="FP38" s="18">
        <v>3409</v>
      </c>
      <c r="FQ38" s="143">
        <v>1822</v>
      </c>
      <c r="FR38" s="143">
        <v>2294</v>
      </c>
      <c r="FS38" s="143">
        <v>1641</v>
      </c>
      <c r="FT38" s="175">
        <v>1394</v>
      </c>
      <c r="FU38" s="169">
        <v>1664</v>
      </c>
      <c r="FV38" s="169">
        <v>1791</v>
      </c>
      <c r="FW38" s="169">
        <v>3045</v>
      </c>
      <c r="FX38" s="169">
        <v>2305</v>
      </c>
      <c r="FY38" s="169">
        <v>2434</v>
      </c>
      <c r="FZ38" s="169">
        <v>1899</v>
      </c>
      <c r="GA38" s="169">
        <v>1763</v>
      </c>
      <c r="GB38" s="18">
        <v>1931</v>
      </c>
      <c r="GC38" s="18">
        <v>2351</v>
      </c>
      <c r="GD38" s="18">
        <v>1895</v>
      </c>
      <c r="GE38" s="18">
        <v>1634</v>
      </c>
      <c r="GF38" s="52">
        <v>1317</v>
      </c>
      <c r="GG38" s="18">
        <v>1296</v>
      </c>
      <c r="GH38" s="18">
        <v>2282</v>
      </c>
      <c r="GI38" s="184">
        <v>2002</v>
      </c>
      <c r="GJ38" s="184">
        <v>1860</v>
      </c>
      <c r="GK38" s="184">
        <v>2522</v>
      </c>
      <c r="GL38" s="184">
        <v>1396</v>
      </c>
    </row>
    <row r="39" spans="1:194" x14ac:dyDescent="0.3">
      <c r="A39" s="3" t="s">
        <v>21</v>
      </c>
      <c r="B39" s="17"/>
      <c r="C39" s="18">
        <v>2721</v>
      </c>
      <c r="D39" s="18">
        <v>2567</v>
      </c>
      <c r="E39" s="18">
        <v>2464</v>
      </c>
      <c r="F39" s="18">
        <v>2758</v>
      </c>
      <c r="G39" s="18">
        <v>2063</v>
      </c>
      <c r="H39" s="19">
        <v>1796</v>
      </c>
      <c r="I39" s="17">
        <v>1850</v>
      </c>
      <c r="J39" s="18">
        <v>1587</v>
      </c>
      <c r="K39" s="18">
        <v>2772</v>
      </c>
      <c r="L39" s="18">
        <v>2939</v>
      </c>
      <c r="M39" s="18">
        <v>2629</v>
      </c>
      <c r="N39" s="18">
        <v>2218</v>
      </c>
      <c r="O39" s="62">
        <v>2455</v>
      </c>
      <c r="P39" s="62">
        <v>2488</v>
      </c>
      <c r="Q39" s="62">
        <v>2853</v>
      </c>
      <c r="R39" s="62">
        <v>2864</v>
      </c>
      <c r="S39" s="62">
        <v>2145</v>
      </c>
      <c r="T39" s="63">
        <v>1709</v>
      </c>
      <c r="U39" s="64">
        <v>2174</v>
      </c>
      <c r="V39" s="62">
        <v>8389</v>
      </c>
      <c r="W39" s="62">
        <v>3497</v>
      </c>
      <c r="X39" s="62">
        <v>2482</v>
      </c>
      <c r="Y39" s="62">
        <v>2504</v>
      </c>
      <c r="Z39" s="62">
        <v>1625</v>
      </c>
      <c r="AA39" s="18">
        <v>2347</v>
      </c>
      <c r="AB39" s="18">
        <v>2406</v>
      </c>
      <c r="AC39" s="18">
        <v>2863</v>
      </c>
      <c r="AD39" s="18">
        <v>3606</v>
      </c>
      <c r="AE39" s="18">
        <v>2279</v>
      </c>
      <c r="AF39" s="19">
        <v>1903</v>
      </c>
      <c r="AG39" s="17">
        <v>2142</v>
      </c>
      <c r="AH39" s="18">
        <v>2426</v>
      </c>
      <c r="AI39" s="18">
        <v>3019</v>
      </c>
      <c r="AJ39" s="18">
        <v>4453</v>
      </c>
      <c r="AK39" s="18">
        <v>2846</v>
      </c>
      <c r="AL39" s="18">
        <v>3338</v>
      </c>
      <c r="AM39" s="18">
        <v>2609</v>
      </c>
      <c r="AN39" s="18">
        <v>2619</v>
      </c>
      <c r="AO39" s="18">
        <v>3654</v>
      </c>
      <c r="AP39" s="18">
        <v>3009</v>
      </c>
      <c r="AQ39" s="18">
        <v>2640</v>
      </c>
      <c r="AR39" s="19">
        <v>2942</v>
      </c>
      <c r="AS39" s="17">
        <v>2262</v>
      </c>
      <c r="AT39" s="18">
        <v>2395</v>
      </c>
      <c r="AU39" s="18">
        <v>4355</v>
      </c>
      <c r="AV39" s="18">
        <v>3779</v>
      </c>
      <c r="AW39" s="18">
        <v>3095</v>
      </c>
      <c r="AX39" s="18">
        <v>3678</v>
      </c>
      <c r="AY39" s="18">
        <v>2743</v>
      </c>
      <c r="AZ39" s="18">
        <v>2832</v>
      </c>
      <c r="BA39" s="18">
        <v>3670</v>
      </c>
      <c r="BB39" s="18">
        <v>3242</v>
      </c>
      <c r="BC39" s="18">
        <v>2740</v>
      </c>
      <c r="BD39" s="19">
        <v>2922</v>
      </c>
      <c r="BE39" s="17">
        <v>2320</v>
      </c>
      <c r="BF39" s="18">
        <v>3267</v>
      </c>
      <c r="BG39" s="18">
        <v>4213</v>
      </c>
      <c r="BH39" s="18">
        <v>4107</v>
      </c>
      <c r="BI39" s="18">
        <v>5066.784885318677</v>
      </c>
      <c r="BJ39" s="18">
        <v>4163</v>
      </c>
      <c r="BK39" s="18">
        <v>3291</v>
      </c>
      <c r="BL39" s="18">
        <v>3125</v>
      </c>
      <c r="BM39" s="18">
        <v>4094</v>
      </c>
      <c r="BN39" s="18">
        <v>3139</v>
      </c>
      <c r="BO39" s="18">
        <v>3469</v>
      </c>
      <c r="BP39" s="19">
        <v>2867</v>
      </c>
      <c r="BQ39" s="17">
        <v>2190</v>
      </c>
      <c r="BR39" s="18">
        <v>3414</v>
      </c>
      <c r="BS39" s="18">
        <v>3001</v>
      </c>
      <c r="BT39" s="18">
        <v>4118</v>
      </c>
      <c r="BU39" s="18">
        <v>5860</v>
      </c>
      <c r="BV39" s="18">
        <v>2667</v>
      </c>
      <c r="BW39" s="18">
        <v>4941</v>
      </c>
      <c r="BX39" s="18">
        <v>3030</v>
      </c>
      <c r="BY39" s="18">
        <v>3237</v>
      </c>
      <c r="BZ39" s="18">
        <v>3222</v>
      </c>
      <c r="CA39" s="18">
        <v>3451</v>
      </c>
      <c r="CB39" s="19">
        <v>2234</v>
      </c>
      <c r="CC39" s="20">
        <v>2521</v>
      </c>
      <c r="CD39" s="18">
        <v>2932</v>
      </c>
      <c r="CE39" s="18">
        <v>3908</v>
      </c>
      <c r="CF39" s="18">
        <v>4670</v>
      </c>
      <c r="CG39" s="18">
        <v>3798</v>
      </c>
      <c r="CH39" s="18">
        <v>2318</v>
      </c>
      <c r="CI39" s="18">
        <v>3526</v>
      </c>
      <c r="CJ39" s="18">
        <v>2854</v>
      </c>
      <c r="CK39" s="18">
        <v>2714</v>
      </c>
      <c r="CL39" s="18">
        <v>3663</v>
      </c>
      <c r="CM39" s="18">
        <v>2539</v>
      </c>
      <c r="CN39" s="21">
        <v>2431</v>
      </c>
      <c r="CO39" s="17">
        <v>2940</v>
      </c>
      <c r="CP39" s="18">
        <v>2557</v>
      </c>
      <c r="CQ39" s="18">
        <v>3662</v>
      </c>
      <c r="CR39" s="18">
        <v>4237</v>
      </c>
      <c r="CS39" s="18">
        <v>2392</v>
      </c>
      <c r="CT39" s="18">
        <v>2497</v>
      </c>
      <c r="CU39" s="18">
        <v>2536</v>
      </c>
      <c r="CV39" s="18">
        <v>2446</v>
      </c>
      <c r="CW39" s="18">
        <v>2484</v>
      </c>
      <c r="CX39" s="18">
        <v>3898</v>
      </c>
      <c r="CY39" s="18">
        <v>2478</v>
      </c>
      <c r="CZ39" s="19">
        <v>2253</v>
      </c>
      <c r="DA39" s="17">
        <v>2638</v>
      </c>
      <c r="DB39" s="18">
        <v>2519</v>
      </c>
      <c r="DC39" s="18">
        <v>3746</v>
      </c>
      <c r="DD39" s="18">
        <v>3520</v>
      </c>
      <c r="DE39" s="18">
        <v>3022</v>
      </c>
      <c r="DF39" s="18">
        <v>2984</v>
      </c>
      <c r="DG39" s="18">
        <v>2305</v>
      </c>
      <c r="DH39" s="18">
        <v>2603</v>
      </c>
      <c r="DI39" s="18">
        <v>3423</v>
      </c>
      <c r="DJ39" s="18">
        <v>2610</v>
      </c>
      <c r="DK39" s="18">
        <v>2211</v>
      </c>
      <c r="DL39" s="19">
        <v>2626</v>
      </c>
      <c r="DM39" s="17">
        <v>1927</v>
      </c>
      <c r="DN39" s="18">
        <v>2131</v>
      </c>
      <c r="DO39" s="18">
        <v>3900</v>
      </c>
      <c r="DP39" s="18">
        <v>2334</v>
      </c>
      <c r="DQ39" s="18">
        <v>2962</v>
      </c>
      <c r="DR39" s="18">
        <v>2846</v>
      </c>
      <c r="DS39" s="18">
        <v>2432</v>
      </c>
      <c r="DT39" s="18">
        <v>2272</v>
      </c>
      <c r="DU39" s="18">
        <v>3209</v>
      </c>
      <c r="DV39" s="18">
        <v>2529</v>
      </c>
      <c r="DW39" s="18">
        <v>2275</v>
      </c>
      <c r="DX39" s="19">
        <v>2547</v>
      </c>
      <c r="DY39" s="100">
        <v>1603</v>
      </c>
      <c r="DZ39" s="18">
        <v>2512</v>
      </c>
      <c r="EA39" s="18">
        <v>2600</v>
      </c>
      <c r="EB39" s="18">
        <v>2727</v>
      </c>
      <c r="EC39" s="18">
        <v>3966</v>
      </c>
      <c r="ED39" s="18">
        <v>2261</v>
      </c>
      <c r="EE39" s="18">
        <v>2229</v>
      </c>
      <c r="EF39" s="18">
        <v>3162</v>
      </c>
      <c r="EG39" s="18">
        <v>1862</v>
      </c>
      <c r="EH39" s="18">
        <v>1334</v>
      </c>
      <c r="EI39" s="18">
        <v>1851</v>
      </c>
      <c r="EJ39" s="19">
        <v>1459</v>
      </c>
      <c r="EK39" s="18">
        <v>845</v>
      </c>
      <c r="EL39" s="18">
        <v>1450</v>
      </c>
      <c r="EM39" s="18">
        <v>1301</v>
      </c>
      <c r="EN39" s="103">
        <v>1710</v>
      </c>
      <c r="EO39" s="18">
        <v>1336</v>
      </c>
      <c r="EP39" s="18">
        <v>992</v>
      </c>
      <c r="EQ39" s="18">
        <v>783</v>
      </c>
      <c r="ER39" s="18">
        <v>1184</v>
      </c>
      <c r="ES39" s="18">
        <v>1274</v>
      </c>
      <c r="ET39" s="18">
        <v>1207</v>
      </c>
      <c r="EU39" s="18">
        <v>1404</v>
      </c>
      <c r="EV39" s="19">
        <v>1050</v>
      </c>
      <c r="EW39" s="103">
        <v>1336</v>
      </c>
      <c r="EX39" s="18">
        <v>1165</v>
      </c>
      <c r="EY39" s="18">
        <v>1900</v>
      </c>
      <c r="EZ39" s="103">
        <v>1981</v>
      </c>
      <c r="FA39" s="18">
        <v>1905</v>
      </c>
      <c r="FB39" s="143">
        <v>1214</v>
      </c>
      <c r="FC39" s="18">
        <v>1376</v>
      </c>
      <c r="FD39" s="18">
        <v>1335</v>
      </c>
      <c r="FE39" s="143">
        <v>1617</v>
      </c>
      <c r="FF39" s="143">
        <v>1907</v>
      </c>
      <c r="FG39" s="143">
        <v>542</v>
      </c>
      <c r="FH39" s="143">
        <v>995</v>
      </c>
      <c r="FI39" s="103">
        <f>'Average Saturday Boardings'!FI39*5</f>
        <v>1345</v>
      </c>
      <c r="FJ39" s="18">
        <f>'Average Saturday Boardings'!FJ39*4</f>
        <v>2488</v>
      </c>
      <c r="FK39" s="18">
        <f>'Average Saturday Boardings'!FK39*5</f>
        <v>3920</v>
      </c>
      <c r="FL39" s="103">
        <v>3777</v>
      </c>
      <c r="FM39" s="18">
        <v>3108</v>
      </c>
      <c r="FN39" s="143">
        <v>2779</v>
      </c>
      <c r="FO39" s="18">
        <v>3308</v>
      </c>
      <c r="FP39" s="18">
        <v>2008</v>
      </c>
      <c r="FQ39" s="143">
        <v>3689</v>
      </c>
      <c r="FR39" s="143">
        <v>4298</v>
      </c>
      <c r="FS39" s="143">
        <v>2991</v>
      </c>
      <c r="FT39" s="175">
        <v>2673</v>
      </c>
      <c r="FU39" s="169">
        <v>3053</v>
      </c>
      <c r="FV39" s="169">
        <v>3135</v>
      </c>
      <c r="FW39" s="169">
        <v>4900</v>
      </c>
      <c r="FX39" s="169">
        <v>4183</v>
      </c>
      <c r="FY39" s="169">
        <v>3832</v>
      </c>
      <c r="FZ39" s="169">
        <v>3858</v>
      </c>
      <c r="GA39" s="169">
        <v>3446</v>
      </c>
      <c r="GB39" s="18">
        <v>4198</v>
      </c>
      <c r="GC39" s="18">
        <v>4850</v>
      </c>
      <c r="GD39" s="18">
        <v>3616</v>
      </c>
      <c r="GE39" s="18">
        <v>2964</v>
      </c>
      <c r="GF39" s="52">
        <v>2881</v>
      </c>
      <c r="GG39" s="18">
        <v>2307</v>
      </c>
      <c r="GH39" s="18">
        <v>3941</v>
      </c>
      <c r="GI39" s="184">
        <v>3455</v>
      </c>
      <c r="GJ39" s="184">
        <v>3519</v>
      </c>
      <c r="GK39" s="184">
        <v>4189</v>
      </c>
      <c r="GL39" s="184">
        <v>2759</v>
      </c>
    </row>
    <row r="40" spans="1:194" x14ac:dyDescent="0.3">
      <c r="A40" s="3" t="s">
        <v>22</v>
      </c>
      <c r="B40" s="17"/>
      <c r="C40" s="18">
        <v>4035</v>
      </c>
      <c r="D40" s="18">
        <v>3801</v>
      </c>
      <c r="E40" s="18">
        <v>3201</v>
      </c>
      <c r="F40" s="18">
        <v>3860</v>
      </c>
      <c r="G40" s="18">
        <v>2806</v>
      </c>
      <c r="H40" s="19">
        <v>2534</v>
      </c>
      <c r="I40" s="17">
        <v>2404</v>
      </c>
      <c r="J40" s="18">
        <v>2252</v>
      </c>
      <c r="K40" s="18">
        <v>3798</v>
      </c>
      <c r="L40" s="18">
        <v>4206</v>
      </c>
      <c r="M40" s="18">
        <v>3523</v>
      </c>
      <c r="N40" s="18">
        <v>3475</v>
      </c>
      <c r="O40" s="62">
        <v>3076</v>
      </c>
      <c r="P40" s="62">
        <v>3000</v>
      </c>
      <c r="Q40" s="62">
        <v>3563</v>
      </c>
      <c r="R40" s="62">
        <v>4186</v>
      </c>
      <c r="S40" s="62">
        <v>3245</v>
      </c>
      <c r="T40" s="63">
        <v>2573</v>
      </c>
      <c r="U40" s="64">
        <v>3224</v>
      </c>
      <c r="V40" s="62">
        <v>3045</v>
      </c>
      <c r="W40" s="62">
        <v>6011</v>
      </c>
      <c r="X40" s="62">
        <v>3555</v>
      </c>
      <c r="Y40" s="62">
        <v>3847</v>
      </c>
      <c r="Z40" s="62">
        <v>2653</v>
      </c>
      <c r="AA40" s="18">
        <v>3516</v>
      </c>
      <c r="AB40" s="18">
        <v>3889</v>
      </c>
      <c r="AC40" s="18">
        <v>4611</v>
      </c>
      <c r="AD40" s="18">
        <v>6014</v>
      </c>
      <c r="AE40" s="18">
        <v>3710</v>
      </c>
      <c r="AF40" s="19">
        <v>3101</v>
      </c>
      <c r="AG40" s="17">
        <v>3777</v>
      </c>
      <c r="AH40" s="18">
        <v>3710</v>
      </c>
      <c r="AI40" s="18">
        <v>5065</v>
      </c>
      <c r="AJ40" s="18">
        <v>7489</v>
      </c>
      <c r="AK40" s="18">
        <v>4737</v>
      </c>
      <c r="AL40" s="18">
        <v>5249</v>
      </c>
      <c r="AM40" s="18">
        <v>4350</v>
      </c>
      <c r="AN40" s="18">
        <v>4364</v>
      </c>
      <c r="AO40" s="18">
        <v>5861</v>
      </c>
      <c r="AP40" s="18">
        <v>5016</v>
      </c>
      <c r="AQ40" s="18">
        <v>4024</v>
      </c>
      <c r="AR40" s="19">
        <v>4673</v>
      </c>
      <c r="AS40" s="17">
        <v>3664</v>
      </c>
      <c r="AT40" s="18">
        <v>3548</v>
      </c>
      <c r="AU40" s="18">
        <v>6879</v>
      </c>
      <c r="AV40" s="18">
        <v>5997</v>
      </c>
      <c r="AW40" s="18">
        <v>4585</v>
      </c>
      <c r="AX40" s="18">
        <v>5594</v>
      </c>
      <c r="AY40" s="18">
        <v>4326</v>
      </c>
      <c r="AZ40" s="18">
        <v>4351</v>
      </c>
      <c r="BA40" s="18">
        <v>5587</v>
      </c>
      <c r="BB40" s="18">
        <v>5496</v>
      </c>
      <c r="BC40" s="18">
        <v>8304</v>
      </c>
      <c r="BD40" s="19">
        <v>4390</v>
      </c>
      <c r="BE40" s="17">
        <v>3329</v>
      </c>
      <c r="BF40" s="18">
        <v>4328</v>
      </c>
      <c r="BG40" s="18">
        <v>6000</v>
      </c>
      <c r="BH40" s="18">
        <v>5986</v>
      </c>
      <c r="BI40" s="18">
        <v>7515.7535778458932</v>
      </c>
      <c r="BJ40" s="18">
        <v>5907</v>
      </c>
      <c r="BK40" s="18">
        <v>4506</v>
      </c>
      <c r="BL40" s="18">
        <v>4732</v>
      </c>
      <c r="BM40" s="18">
        <v>5900</v>
      </c>
      <c r="BN40" s="18">
        <v>5169</v>
      </c>
      <c r="BO40" s="18">
        <v>4946</v>
      </c>
      <c r="BP40" s="19">
        <v>7208</v>
      </c>
      <c r="BQ40" s="17">
        <v>3102</v>
      </c>
      <c r="BR40" s="18">
        <v>5231</v>
      </c>
      <c r="BS40" s="18">
        <v>4071</v>
      </c>
      <c r="BT40" s="18">
        <v>6136</v>
      </c>
      <c r="BU40" s="18">
        <v>8278</v>
      </c>
      <c r="BV40" s="18">
        <v>4056</v>
      </c>
      <c r="BW40" s="18">
        <v>7618</v>
      </c>
      <c r="BX40" s="18">
        <v>4908</v>
      </c>
      <c r="BY40" s="18">
        <v>4835</v>
      </c>
      <c r="BZ40" s="18">
        <v>4839</v>
      </c>
      <c r="CA40" s="18">
        <v>5358</v>
      </c>
      <c r="CB40" s="19">
        <v>3226</v>
      </c>
      <c r="CC40" s="20">
        <v>3976</v>
      </c>
      <c r="CD40" s="18">
        <v>4857</v>
      </c>
      <c r="CE40" s="18">
        <v>6632</v>
      </c>
      <c r="CF40" s="18">
        <v>7607</v>
      </c>
      <c r="CG40" s="18">
        <v>6531</v>
      </c>
      <c r="CH40" s="18">
        <v>4069</v>
      </c>
      <c r="CI40" s="18">
        <v>5700</v>
      </c>
      <c r="CJ40" s="18">
        <v>4655</v>
      </c>
      <c r="CK40" s="18">
        <v>4653</v>
      </c>
      <c r="CL40" s="18">
        <v>6203</v>
      </c>
      <c r="CM40" s="18">
        <v>4277</v>
      </c>
      <c r="CN40" s="21">
        <v>3750</v>
      </c>
      <c r="CO40" s="17">
        <v>4590</v>
      </c>
      <c r="CP40" s="18">
        <v>3851</v>
      </c>
      <c r="CQ40" s="18">
        <v>5958</v>
      </c>
      <c r="CR40" s="18">
        <v>6751</v>
      </c>
      <c r="CS40" s="18">
        <v>4135</v>
      </c>
      <c r="CT40" s="18">
        <v>4406</v>
      </c>
      <c r="CU40" s="18">
        <v>4207</v>
      </c>
      <c r="CV40" s="18">
        <v>4251</v>
      </c>
      <c r="CW40" s="18">
        <v>4477</v>
      </c>
      <c r="CX40" s="18">
        <v>6892</v>
      </c>
      <c r="CY40" s="18">
        <v>4280</v>
      </c>
      <c r="CZ40" s="19">
        <v>3651</v>
      </c>
      <c r="DA40" s="17">
        <v>4246</v>
      </c>
      <c r="DB40" s="18">
        <v>3723</v>
      </c>
      <c r="DC40" s="18">
        <v>5917</v>
      </c>
      <c r="DD40" s="18">
        <v>5524</v>
      </c>
      <c r="DE40" s="18">
        <v>4899</v>
      </c>
      <c r="DF40" s="18">
        <v>4690</v>
      </c>
      <c r="DG40" s="18">
        <v>3763</v>
      </c>
      <c r="DH40" s="18">
        <v>4074</v>
      </c>
      <c r="DI40" s="18">
        <v>5331</v>
      </c>
      <c r="DJ40" s="18">
        <v>4423</v>
      </c>
      <c r="DK40" s="18">
        <v>3691</v>
      </c>
      <c r="DL40" s="19">
        <v>4202</v>
      </c>
      <c r="DM40" s="17">
        <v>3015</v>
      </c>
      <c r="DN40" s="18">
        <v>3332</v>
      </c>
      <c r="DO40" s="18">
        <v>5512</v>
      </c>
      <c r="DP40" s="18">
        <v>3633</v>
      </c>
      <c r="DQ40" s="18">
        <v>4451</v>
      </c>
      <c r="DR40" s="18">
        <v>4397</v>
      </c>
      <c r="DS40" s="18">
        <v>3624</v>
      </c>
      <c r="DT40" s="18">
        <v>3602</v>
      </c>
      <c r="DU40" s="18">
        <v>4927</v>
      </c>
      <c r="DV40" s="18">
        <v>4408</v>
      </c>
      <c r="DW40" s="18">
        <v>3616</v>
      </c>
      <c r="DX40" s="19">
        <v>3831</v>
      </c>
      <c r="DY40" s="100">
        <v>2889</v>
      </c>
      <c r="DZ40" s="18">
        <v>4143</v>
      </c>
      <c r="EA40" s="18">
        <v>4113</v>
      </c>
      <c r="EB40" s="18">
        <v>4088</v>
      </c>
      <c r="EC40" s="18">
        <v>6382</v>
      </c>
      <c r="ED40" s="18">
        <v>3483</v>
      </c>
      <c r="EE40" s="18">
        <v>3413</v>
      </c>
      <c r="EF40" s="18">
        <v>4927</v>
      </c>
      <c r="EG40" s="18">
        <v>2858</v>
      </c>
      <c r="EH40" s="18">
        <v>1629</v>
      </c>
      <c r="EI40" s="18">
        <v>2122</v>
      </c>
      <c r="EJ40" s="19">
        <v>1721</v>
      </c>
      <c r="EK40" s="18">
        <v>1189</v>
      </c>
      <c r="EL40" s="18">
        <v>1991</v>
      </c>
      <c r="EM40" s="18">
        <v>1862</v>
      </c>
      <c r="EN40" s="103">
        <v>2501</v>
      </c>
      <c r="EO40" s="18">
        <v>2034</v>
      </c>
      <c r="EP40" s="18">
        <v>1416</v>
      </c>
      <c r="EQ40" s="18">
        <v>1123</v>
      </c>
      <c r="ER40" s="18">
        <v>1688</v>
      </c>
      <c r="ES40" s="18">
        <v>1679</v>
      </c>
      <c r="ET40" s="18">
        <v>1967</v>
      </c>
      <c r="EU40" s="18">
        <v>2041</v>
      </c>
      <c r="EV40" s="19">
        <v>1643</v>
      </c>
      <c r="EW40" s="103">
        <v>2034</v>
      </c>
      <c r="EX40" s="18">
        <v>1726</v>
      </c>
      <c r="EY40" s="18">
        <v>2570</v>
      </c>
      <c r="EZ40" s="103">
        <v>2979</v>
      </c>
      <c r="FA40" s="18">
        <v>2783</v>
      </c>
      <c r="FB40" s="143">
        <v>1966</v>
      </c>
      <c r="FC40" s="18">
        <v>2334</v>
      </c>
      <c r="FD40" s="18">
        <v>2655</v>
      </c>
      <c r="FE40" s="143">
        <v>2710</v>
      </c>
      <c r="FF40" s="143">
        <v>3539</v>
      </c>
      <c r="FG40" s="143">
        <v>2536</v>
      </c>
      <c r="FH40" s="143">
        <v>1999</v>
      </c>
      <c r="FI40" s="103">
        <f>'Average Saturday Boardings'!FI40*5</f>
        <v>2550</v>
      </c>
      <c r="FJ40" s="18">
        <f>'Average Saturday Boardings'!FJ40*4</f>
        <v>2313</v>
      </c>
      <c r="FK40" s="18">
        <f>'Average Saturday Boardings'!FK40*5</f>
        <v>3862.5</v>
      </c>
      <c r="FL40" s="103">
        <v>3550</v>
      </c>
      <c r="FM40" s="18">
        <v>3252</v>
      </c>
      <c r="FN40" s="143">
        <v>3035</v>
      </c>
      <c r="FO40" s="18">
        <v>3001</v>
      </c>
      <c r="FP40" s="18">
        <v>3442</v>
      </c>
      <c r="FQ40" s="143">
        <v>3312</v>
      </c>
      <c r="FR40" s="143">
        <v>3764</v>
      </c>
      <c r="FS40" s="143">
        <v>2850</v>
      </c>
      <c r="FT40" s="175">
        <v>2632</v>
      </c>
      <c r="FU40" s="169">
        <v>2668</v>
      </c>
      <c r="FV40" s="169">
        <v>2613</v>
      </c>
      <c r="FW40" s="169">
        <v>4190</v>
      </c>
      <c r="FX40" s="169">
        <v>3629</v>
      </c>
      <c r="FY40" s="169">
        <v>3340</v>
      </c>
      <c r="FZ40" s="169">
        <v>3096</v>
      </c>
      <c r="GA40" s="169">
        <v>2948</v>
      </c>
      <c r="GB40" s="18">
        <v>3397</v>
      </c>
      <c r="GC40" s="18">
        <v>4244</v>
      </c>
      <c r="GD40" s="18">
        <v>3126</v>
      </c>
      <c r="GE40" s="18">
        <v>2789</v>
      </c>
      <c r="GF40" s="52">
        <v>2512</v>
      </c>
      <c r="GG40" s="18">
        <v>2041</v>
      </c>
      <c r="GH40" s="18">
        <v>3571</v>
      </c>
      <c r="GI40" s="184">
        <v>3167</v>
      </c>
      <c r="GJ40" s="184">
        <v>3090</v>
      </c>
      <c r="GK40" s="184">
        <v>3876</v>
      </c>
      <c r="GL40" s="184">
        <v>2329</v>
      </c>
    </row>
    <row r="41" spans="1:194" x14ac:dyDescent="0.3">
      <c r="A41" s="3" t="s">
        <v>23</v>
      </c>
      <c r="B41" s="17"/>
      <c r="C41" s="18">
        <v>1044</v>
      </c>
      <c r="D41" s="18">
        <v>947</v>
      </c>
      <c r="E41" s="18">
        <v>905</v>
      </c>
      <c r="F41" s="18">
        <v>1081</v>
      </c>
      <c r="G41" s="18">
        <v>892</v>
      </c>
      <c r="H41" s="19">
        <v>751</v>
      </c>
      <c r="I41" s="17">
        <v>932</v>
      </c>
      <c r="J41" s="18">
        <v>882</v>
      </c>
      <c r="K41" s="18">
        <v>1244</v>
      </c>
      <c r="L41" s="18">
        <v>1287</v>
      </c>
      <c r="M41" s="18">
        <v>1248</v>
      </c>
      <c r="N41" s="18">
        <v>1339</v>
      </c>
      <c r="O41" s="62">
        <v>1280</v>
      </c>
      <c r="P41" s="62">
        <v>1175</v>
      </c>
      <c r="Q41" s="62">
        <v>1255</v>
      </c>
      <c r="R41" s="62">
        <v>1296</v>
      </c>
      <c r="S41" s="62">
        <v>1206</v>
      </c>
      <c r="T41" s="63">
        <v>965</v>
      </c>
      <c r="U41" s="64">
        <v>1313</v>
      </c>
      <c r="V41" s="62">
        <v>1157</v>
      </c>
      <c r="W41" s="62">
        <v>1655</v>
      </c>
      <c r="X41" s="62">
        <v>1184</v>
      </c>
      <c r="Y41" s="62">
        <v>1275</v>
      </c>
      <c r="Z41" s="62">
        <v>888</v>
      </c>
      <c r="AA41" s="18">
        <v>1450</v>
      </c>
      <c r="AB41" s="18">
        <v>1222</v>
      </c>
      <c r="AC41" s="18">
        <v>1564</v>
      </c>
      <c r="AD41" s="18">
        <v>1748</v>
      </c>
      <c r="AE41" s="18">
        <v>1267</v>
      </c>
      <c r="AF41" s="19">
        <v>1165</v>
      </c>
      <c r="AG41" s="17">
        <v>1376</v>
      </c>
      <c r="AH41" s="18">
        <v>1404</v>
      </c>
      <c r="AI41" s="18">
        <v>1717</v>
      </c>
      <c r="AJ41" s="18">
        <v>2391</v>
      </c>
      <c r="AK41" s="18">
        <v>1705</v>
      </c>
      <c r="AL41" s="18">
        <v>2267</v>
      </c>
      <c r="AM41" s="18">
        <v>1612</v>
      </c>
      <c r="AN41" s="18">
        <v>1601</v>
      </c>
      <c r="AO41" s="18">
        <v>1999</v>
      </c>
      <c r="AP41" s="18">
        <v>1850</v>
      </c>
      <c r="AQ41" s="18">
        <v>1562</v>
      </c>
      <c r="AR41" s="19">
        <v>1728</v>
      </c>
      <c r="AS41" s="17">
        <v>1468</v>
      </c>
      <c r="AT41" s="18">
        <v>1484</v>
      </c>
      <c r="AU41" s="18">
        <v>2250</v>
      </c>
      <c r="AV41" s="18">
        <v>1918</v>
      </c>
      <c r="AW41" s="18">
        <v>1791</v>
      </c>
      <c r="AX41" s="18">
        <v>2302</v>
      </c>
      <c r="AY41" s="18">
        <v>1734</v>
      </c>
      <c r="AZ41" s="18">
        <v>1829</v>
      </c>
      <c r="BA41" s="18">
        <v>2114</v>
      </c>
      <c r="BB41" s="18">
        <v>1883</v>
      </c>
      <c r="BC41" s="18">
        <v>1537</v>
      </c>
      <c r="BD41" s="19">
        <v>1746</v>
      </c>
      <c r="BE41" s="17">
        <v>1385</v>
      </c>
      <c r="BF41" s="18">
        <v>2047</v>
      </c>
      <c r="BG41" s="18">
        <v>2091</v>
      </c>
      <c r="BH41" s="18">
        <v>2242</v>
      </c>
      <c r="BI41" s="18">
        <v>2637.4652362329562</v>
      </c>
      <c r="BJ41" s="18">
        <v>2454</v>
      </c>
      <c r="BK41" s="18">
        <v>1914</v>
      </c>
      <c r="BL41" s="18">
        <v>1926</v>
      </c>
      <c r="BM41" s="18">
        <v>2287</v>
      </c>
      <c r="BN41" s="18">
        <v>2254</v>
      </c>
      <c r="BO41" s="18">
        <v>2144</v>
      </c>
      <c r="BP41" s="19">
        <v>2036</v>
      </c>
      <c r="BQ41" s="17">
        <v>1391</v>
      </c>
      <c r="BR41" s="18">
        <v>2110</v>
      </c>
      <c r="BS41" s="18">
        <v>1787</v>
      </c>
      <c r="BT41" s="18">
        <v>2159</v>
      </c>
      <c r="BU41" s="18">
        <v>2892</v>
      </c>
      <c r="BV41" s="18">
        <v>1908</v>
      </c>
      <c r="BW41" s="18">
        <v>2843</v>
      </c>
      <c r="BX41" s="18">
        <v>1795</v>
      </c>
      <c r="BY41" s="18">
        <v>1999</v>
      </c>
      <c r="BZ41" s="18">
        <v>2004</v>
      </c>
      <c r="CA41" s="18">
        <v>2241</v>
      </c>
      <c r="CB41" s="19">
        <v>1516</v>
      </c>
      <c r="CC41" s="20">
        <v>1662</v>
      </c>
      <c r="CD41" s="18">
        <v>2026</v>
      </c>
      <c r="CE41" s="18">
        <v>2183</v>
      </c>
      <c r="CF41" s="18">
        <v>2577</v>
      </c>
      <c r="CG41" s="18">
        <v>1959</v>
      </c>
      <c r="CH41" s="18">
        <v>1553</v>
      </c>
      <c r="CI41" s="18">
        <v>2028</v>
      </c>
      <c r="CJ41" s="18">
        <v>1689</v>
      </c>
      <c r="CK41" s="18">
        <v>1627</v>
      </c>
      <c r="CL41" s="18">
        <v>2137</v>
      </c>
      <c r="CM41" s="18">
        <v>1568</v>
      </c>
      <c r="CN41" s="21">
        <v>1372</v>
      </c>
      <c r="CO41" s="17">
        <v>1812</v>
      </c>
      <c r="CP41" s="18">
        <v>1479</v>
      </c>
      <c r="CQ41" s="18">
        <v>1839</v>
      </c>
      <c r="CR41" s="18">
        <v>2077</v>
      </c>
      <c r="CS41" s="18">
        <v>1529</v>
      </c>
      <c r="CT41" s="18">
        <v>1705</v>
      </c>
      <c r="CU41" s="18">
        <v>1479</v>
      </c>
      <c r="CV41" s="18">
        <v>1548</v>
      </c>
      <c r="CW41" s="18">
        <v>1404</v>
      </c>
      <c r="CX41" s="18">
        <v>1872</v>
      </c>
      <c r="CY41" s="18">
        <v>1370</v>
      </c>
      <c r="CZ41" s="19">
        <v>1508</v>
      </c>
      <c r="DA41" s="17">
        <v>1813</v>
      </c>
      <c r="DB41" s="18">
        <v>1616</v>
      </c>
      <c r="DC41" s="18">
        <v>2199</v>
      </c>
      <c r="DD41" s="18">
        <v>1789</v>
      </c>
      <c r="DE41" s="18">
        <v>1699</v>
      </c>
      <c r="DF41" s="18">
        <v>1866</v>
      </c>
      <c r="DG41" s="18">
        <v>1560</v>
      </c>
      <c r="DH41" s="18">
        <v>1666</v>
      </c>
      <c r="DI41" s="18">
        <v>1928</v>
      </c>
      <c r="DJ41" s="18">
        <v>1562</v>
      </c>
      <c r="DK41" s="18">
        <v>1316</v>
      </c>
      <c r="DL41" s="19">
        <v>1692</v>
      </c>
      <c r="DM41" s="17">
        <v>1270</v>
      </c>
      <c r="DN41" s="18">
        <v>1406</v>
      </c>
      <c r="DO41" s="18">
        <v>1846</v>
      </c>
      <c r="DP41" s="18">
        <v>1309</v>
      </c>
      <c r="DQ41" s="18">
        <v>1493</v>
      </c>
      <c r="DR41" s="18">
        <v>1630</v>
      </c>
      <c r="DS41" s="18">
        <v>1455</v>
      </c>
      <c r="DT41" s="18">
        <v>1212</v>
      </c>
      <c r="DU41" s="18">
        <v>1752</v>
      </c>
      <c r="DV41" s="18">
        <v>346</v>
      </c>
      <c r="DW41" s="18">
        <v>1494</v>
      </c>
      <c r="DX41" s="19">
        <v>1625</v>
      </c>
      <c r="DY41" s="100">
        <v>1085</v>
      </c>
      <c r="DZ41" s="18">
        <v>1635</v>
      </c>
      <c r="EA41" s="18">
        <v>1624</v>
      </c>
      <c r="EB41" s="18">
        <v>1602</v>
      </c>
      <c r="EC41" s="18">
        <v>2127</v>
      </c>
      <c r="ED41" s="18">
        <v>1445</v>
      </c>
      <c r="EE41" s="18">
        <v>1250</v>
      </c>
      <c r="EF41" s="18">
        <v>1772</v>
      </c>
      <c r="EG41" s="18">
        <v>1117</v>
      </c>
      <c r="EH41" s="18">
        <v>1094</v>
      </c>
      <c r="EI41" s="18">
        <v>1577</v>
      </c>
      <c r="EJ41" s="19">
        <v>907</v>
      </c>
      <c r="EK41" s="18">
        <v>682</v>
      </c>
      <c r="EL41" s="18">
        <v>1207</v>
      </c>
      <c r="EM41" s="18">
        <v>1045</v>
      </c>
      <c r="EN41" s="103">
        <v>1427</v>
      </c>
      <c r="EO41" s="18">
        <v>792</v>
      </c>
      <c r="EP41" s="18">
        <v>765</v>
      </c>
      <c r="EQ41" s="18">
        <v>559</v>
      </c>
      <c r="ER41" s="18">
        <v>780</v>
      </c>
      <c r="ES41" s="18">
        <v>798</v>
      </c>
      <c r="ET41" s="18">
        <v>881</v>
      </c>
      <c r="EU41" s="18">
        <v>884</v>
      </c>
      <c r="EV41" s="19">
        <v>771</v>
      </c>
      <c r="EW41" s="103">
        <v>792</v>
      </c>
      <c r="EX41" s="18">
        <v>701</v>
      </c>
      <c r="EY41" s="18">
        <v>748</v>
      </c>
      <c r="EZ41" s="103">
        <v>1053</v>
      </c>
      <c r="FA41" s="18">
        <v>911</v>
      </c>
      <c r="FB41" s="143">
        <v>827</v>
      </c>
      <c r="FC41" s="18">
        <v>932</v>
      </c>
      <c r="FD41" s="18">
        <v>973</v>
      </c>
      <c r="FE41" s="143">
        <v>962</v>
      </c>
      <c r="FF41" s="143">
        <v>1413</v>
      </c>
      <c r="FG41" s="143">
        <v>996</v>
      </c>
      <c r="FH41" s="143">
        <v>738</v>
      </c>
      <c r="FI41" s="103">
        <f>'Average Saturday Boardings'!FI41*5</f>
        <v>995</v>
      </c>
      <c r="FJ41" s="18">
        <f>'Average Saturday Boardings'!FJ41*4</f>
        <v>942</v>
      </c>
      <c r="FK41" s="18">
        <f>'Average Saturday Boardings'!FK41*5</f>
        <v>1281.25</v>
      </c>
      <c r="FL41" s="103">
        <v>1148</v>
      </c>
      <c r="FM41" s="18">
        <v>928</v>
      </c>
      <c r="FN41" s="143">
        <v>1104</v>
      </c>
      <c r="FO41" s="18">
        <v>1023</v>
      </c>
      <c r="FP41" s="18">
        <v>1055</v>
      </c>
      <c r="FQ41" s="143">
        <v>1077</v>
      </c>
      <c r="FR41" s="143">
        <v>1261</v>
      </c>
      <c r="FS41" s="143">
        <v>1012</v>
      </c>
      <c r="FT41" s="175">
        <v>918</v>
      </c>
      <c r="FU41" s="169">
        <v>1067</v>
      </c>
      <c r="FV41" s="169">
        <v>845</v>
      </c>
      <c r="FW41" s="169">
        <v>1134</v>
      </c>
      <c r="FX41" s="169">
        <v>1022</v>
      </c>
      <c r="FY41" s="169">
        <v>969</v>
      </c>
      <c r="FZ41" s="169">
        <v>1186</v>
      </c>
      <c r="GA41" s="169">
        <v>1011</v>
      </c>
      <c r="GB41" s="18">
        <v>1184</v>
      </c>
      <c r="GC41" s="18">
        <v>1351</v>
      </c>
      <c r="GD41" s="18">
        <v>1176</v>
      </c>
      <c r="GE41" s="18">
        <v>955</v>
      </c>
      <c r="GF41" s="52">
        <v>1101</v>
      </c>
      <c r="GG41" s="18">
        <v>870</v>
      </c>
      <c r="GH41" s="18">
        <v>1459</v>
      </c>
      <c r="GI41" s="184">
        <v>1290</v>
      </c>
      <c r="GJ41" s="184">
        <v>1069</v>
      </c>
      <c r="GK41" s="184">
        <v>1532</v>
      </c>
      <c r="GL41" s="184">
        <v>1024</v>
      </c>
    </row>
    <row r="42" spans="1:194" x14ac:dyDescent="0.3">
      <c r="A42" s="3" t="s">
        <v>24</v>
      </c>
      <c r="B42" s="17"/>
      <c r="C42" s="18">
        <v>3108</v>
      </c>
      <c r="D42" s="18">
        <v>3456</v>
      </c>
      <c r="E42" s="18">
        <v>3079</v>
      </c>
      <c r="F42" s="18">
        <v>4098</v>
      </c>
      <c r="G42" s="18">
        <v>2406</v>
      </c>
      <c r="H42" s="19">
        <v>2296</v>
      </c>
      <c r="I42" s="17">
        <v>2668</v>
      </c>
      <c r="J42" s="18">
        <v>1893</v>
      </c>
      <c r="K42" s="18">
        <v>4274</v>
      </c>
      <c r="L42" s="18">
        <v>4267</v>
      </c>
      <c r="M42" s="18">
        <v>4058</v>
      </c>
      <c r="N42" s="18">
        <v>3188</v>
      </c>
      <c r="O42" s="62">
        <v>3276</v>
      </c>
      <c r="P42" s="62">
        <v>2663</v>
      </c>
      <c r="Q42" s="62">
        <v>3490</v>
      </c>
      <c r="R42" s="62">
        <v>4018</v>
      </c>
      <c r="S42" s="62">
        <v>2870</v>
      </c>
      <c r="T42" s="63">
        <v>2367</v>
      </c>
      <c r="U42" s="64">
        <v>2935</v>
      </c>
      <c r="V42" s="62">
        <v>2536</v>
      </c>
      <c r="W42" s="62">
        <v>5176</v>
      </c>
      <c r="X42" s="62">
        <v>3416</v>
      </c>
      <c r="Y42" s="62">
        <v>4197</v>
      </c>
      <c r="Z42" s="62">
        <v>2385</v>
      </c>
      <c r="AA42" s="18">
        <v>3233</v>
      </c>
      <c r="AB42" s="18">
        <v>2875</v>
      </c>
      <c r="AC42" s="18">
        <v>4304</v>
      </c>
      <c r="AD42" s="18">
        <v>5362</v>
      </c>
      <c r="AE42" s="18">
        <v>2945</v>
      </c>
      <c r="AF42" s="19">
        <v>2475</v>
      </c>
      <c r="AG42" s="17">
        <v>2988</v>
      </c>
      <c r="AH42" s="18">
        <v>3239</v>
      </c>
      <c r="AI42" s="18">
        <v>4172</v>
      </c>
      <c r="AJ42" s="18">
        <v>6270</v>
      </c>
      <c r="AK42" s="18">
        <v>3970</v>
      </c>
      <c r="AL42" s="18">
        <v>4944</v>
      </c>
      <c r="AM42" s="18">
        <v>3413</v>
      </c>
      <c r="AN42" s="18">
        <v>3670</v>
      </c>
      <c r="AO42" s="18">
        <v>4590</v>
      </c>
      <c r="AP42" s="18">
        <v>5056</v>
      </c>
      <c r="AQ42" s="18">
        <v>3553</v>
      </c>
      <c r="AR42" s="19">
        <v>3868</v>
      </c>
      <c r="AS42" s="17">
        <v>3031</v>
      </c>
      <c r="AT42" s="18">
        <v>2765</v>
      </c>
      <c r="AU42" s="18">
        <v>5572</v>
      </c>
      <c r="AV42" s="18">
        <v>5099</v>
      </c>
      <c r="AW42" s="18">
        <v>3870</v>
      </c>
      <c r="AX42" s="18">
        <v>4598</v>
      </c>
      <c r="AY42" s="18">
        <v>3298</v>
      </c>
      <c r="AZ42" s="18">
        <v>3354</v>
      </c>
      <c r="BA42" s="18">
        <v>4288</v>
      </c>
      <c r="BB42" s="18">
        <v>5398</v>
      </c>
      <c r="BC42" s="18">
        <v>3266</v>
      </c>
      <c r="BD42" s="19">
        <v>2983</v>
      </c>
      <c r="BE42" s="17">
        <v>2504</v>
      </c>
      <c r="BF42" s="18">
        <v>3358</v>
      </c>
      <c r="BG42" s="18">
        <v>5621</v>
      </c>
      <c r="BH42" s="18">
        <v>5279</v>
      </c>
      <c r="BI42" s="18">
        <v>6915.2891660501009</v>
      </c>
      <c r="BJ42" s="18">
        <v>6514</v>
      </c>
      <c r="BK42" s="18">
        <v>3680</v>
      </c>
      <c r="BL42" s="18">
        <v>3265</v>
      </c>
      <c r="BM42" s="18">
        <v>4583</v>
      </c>
      <c r="BN42" s="18">
        <v>4570</v>
      </c>
      <c r="BO42" s="18">
        <v>3292</v>
      </c>
      <c r="BP42" s="19">
        <v>3160</v>
      </c>
      <c r="BQ42" s="17">
        <v>2416</v>
      </c>
      <c r="BR42" s="18">
        <v>3618</v>
      </c>
      <c r="BS42" s="18">
        <v>2533</v>
      </c>
      <c r="BT42" s="18">
        <v>4961</v>
      </c>
      <c r="BU42" s="18">
        <v>8286</v>
      </c>
      <c r="BV42" s="18">
        <v>3205</v>
      </c>
      <c r="BW42" s="18">
        <v>11694</v>
      </c>
      <c r="BX42" s="18">
        <v>3276</v>
      </c>
      <c r="BY42" s="18">
        <v>3925</v>
      </c>
      <c r="BZ42" s="18">
        <v>4675</v>
      </c>
      <c r="CA42" s="18">
        <v>4327</v>
      </c>
      <c r="CB42" s="19">
        <v>2398</v>
      </c>
      <c r="CC42" s="20">
        <v>3694</v>
      </c>
      <c r="CD42" s="18">
        <v>3261</v>
      </c>
      <c r="CE42" s="18">
        <v>5354</v>
      </c>
      <c r="CF42" s="18">
        <v>6457</v>
      </c>
      <c r="CG42" s="18">
        <v>6068</v>
      </c>
      <c r="CH42" s="18">
        <v>3250</v>
      </c>
      <c r="CI42" s="18">
        <v>4779</v>
      </c>
      <c r="CJ42" s="18">
        <v>3353</v>
      </c>
      <c r="CK42" s="18">
        <v>3333</v>
      </c>
      <c r="CL42" s="18">
        <v>5704</v>
      </c>
      <c r="CM42" s="18">
        <v>3414</v>
      </c>
      <c r="CN42" s="21">
        <v>3121</v>
      </c>
      <c r="CO42" s="17">
        <v>2960</v>
      </c>
      <c r="CP42" s="18">
        <v>2836</v>
      </c>
      <c r="CQ42" s="18">
        <v>5376</v>
      </c>
      <c r="CR42" s="18">
        <v>5851</v>
      </c>
      <c r="CS42" s="18">
        <v>2855</v>
      </c>
      <c r="CT42" s="18">
        <v>3130</v>
      </c>
      <c r="CU42" s="18">
        <v>3146</v>
      </c>
      <c r="CV42" s="18">
        <v>2969</v>
      </c>
      <c r="CW42" s="18">
        <v>3218</v>
      </c>
      <c r="CX42" s="18">
        <v>6494</v>
      </c>
      <c r="CY42" s="18">
        <v>3297</v>
      </c>
      <c r="CZ42" s="19">
        <v>2694</v>
      </c>
      <c r="DA42" s="17">
        <v>3321</v>
      </c>
      <c r="DB42" s="18">
        <v>2774</v>
      </c>
      <c r="DC42" s="18">
        <v>4973</v>
      </c>
      <c r="DD42" s="18">
        <v>4951</v>
      </c>
      <c r="DE42" s="18">
        <v>4493</v>
      </c>
      <c r="DF42" s="18">
        <v>3510</v>
      </c>
      <c r="DG42" s="18">
        <v>2846</v>
      </c>
      <c r="DH42" s="18">
        <v>2960</v>
      </c>
      <c r="DI42" s="18">
        <v>4334</v>
      </c>
      <c r="DJ42" s="18">
        <v>3788</v>
      </c>
      <c r="DK42" s="18">
        <v>2753</v>
      </c>
      <c r="DL42" s="19">
        <v>3113</v>
      </c>
      <c r="DM42" s="17">
        <v>2127</v>
      </c>
      <c r="DN42" s="18">
        <v>2340</v>
      </c>
      <c r="DO42" s="18">
        <v>5267</v>
      </c>
      <c r="DP42" s="18">
        <v>2505</v>
      </c>
      <c r="DQ42" s="18">
        <v>4141</v>
      </c>
      <c r="DR42" s="18">
        <v>3610</v>
      </c>
      <c r="DS42" s="18">
        <v>2694</v>
      </c>
      <c r="DT42" s="18">
        <v>2270</v>
      </c>
      <c r="DU42" s="18">
        <v>3941</v>
      </c>
      <c r="DV42" s="18">
        <v>3882</v>
      </c>
      <c r="DW42" s="18">
        <v>2798</v>
      </c>
      <c r="DX42" s="19">
        <v>2560</v>
      </c>
      <c r="DY42" s="100">
        <v>1836</v>
      </c>
      <c r="DZ42" s="18">
        <v>2731</v>
      </c>
      <c r="EA42" s="18">
        <v>3045</v>
      </c>
      <c r="EB42" s="18">
        <v>3254</v>
      </c>
      <c r="EC42" s="18">
        <v>5493</v>
      </c>
      <c r="ED42" s="18">
        <v>2637</v>
      </c>
      <c r="EE42" s="18">
        <v>2220</v>
      </c>
      <c r="EF42" s="18">
        <v>2841</v>
      </c>
      <c r="EG42" s="18">
        <v>1786</v>
      </c>
      <c r="EH42" s="18">
        <v>1248</v>
      </c>
      <c r="EI42" s="18">
        <v>1422</v>
      </c>
      <c r="EJ42" s="19">
        <v>1056</v>
      </c>
      <c r="EK42" s="18">
        <v>904</v>
      </c>
      <c r="EL42" s="18">
        <v>1436</v>
      </c>
      <c r="EM42" s="18">
        <v>1197</v>
      </c>
      <c r="EN42" s="104">
        <v>1828</v>
      </c>
      <c r="EO42" s="18">
        <v>1401</v>
      </c>
      <c r="EP42" s="18">
        <v>983</v>
      </c>
      <c r="EQ42" s="18">
        <v>745</v>
      </c>
      <c r="ER42" s="18">
        <v>1139</v>
      </c>
      <c r="ES42" s="18">
        <v>1152</v>
      </c>
      <c r="ET42" s="18">
        <v>1212</v>
      </c>
      <c r="EU42" s="18">
        <v>1475</v>
      </c>
      <c r="EV42" s="19">
        <v>1181</v>
      </c>
      <c r="EW42" s="103">
        <v>1401</v>
      </c>
      <c r="EX42" s="18">
        <v>1066</v>
      </c>
      <c r="EY42" s="18">
        <v>2060</v>
      </c>
      <c r="EZ42" s="104">
        <v>2261</v>
      </c>
      <c r="FA42" s="18">
        <v>2498</v>
      </c>
      <c r="FB42" s="143">
        <v>1517</v>
      </c>
      <c r="FC42" s="18">
        <v>1348</v>
      </c>
      <c r="FD42" s="18">
        <v>1570</v>
      </c>
      <c r="FE42" s="143">
        <v>1891</v>
      </c>
      <c r="FF42" s="143">
        <v>2625</v>
      </c>
      <c r="FG42" s="143">
        <v>1758</v>
      </c>
      <c r="FH42" s="143">
        <v>988</v>
      </c>
      <c r="FI42" s="103">
        <f>'Average Saturday Boardings'!FI42*5</f>
        <v>1279</v>
      </c>
      <c r="FJ42" s="18">
        <f>'Average Saturday Boardings'!FJ42*4</f>
        <v>1298</v>
      </c>
      <c r="FK42" s="18">
        <f>'Average Saturday Boardings'!FK42*5</f>
        <v>2773.75</v>
      </c>
      <c r="FL42" s="104">
        <v>2112</v>
      </c>
      <c r="FM42" s="18">
        <v>2334</v>
      </c>
      <c r="FN42" s="143">
        <v>1693</v>
      </c>
      <c r="FO42" s="18">
        <v>1433</v>
      </c>
      <c r="FP42" s="18">
        <v>2778</v>
      </c>
      <c r="FQ42" s="143">
        <v>1872</v>
      </c>
      <c r="FR42" s="143">
        <v>2763</v>
      </c>
      <c r="FS42" s="143">
        <v>1713</v>
      </c>
      <c r="FT42" s="175">
        <v>1713</v>
      </c>
      <c r="FU42" s="169">
        <v>1606</v>
      </c>
      <c r="FV42" s="169">
        <v>1480</v>
      </c>
      <c r="FW42" s="169">
        <v>3109</v>
      </c>
      <c r="FX42" s="169">
        <v>2719</v>
      </c>
      <c r="FY42" s="169">
        <v>2996</v>
      </c>
      <c r="FZ42" s="169">
        <v>2245</v>
      </c>
      <c r="GA42" s="169">
        <v>1871</v>
      </c>
      <c r="GB42" s="18">
        <v>2020</v>
      </c>
      <c r="GC42" s="18">
        <v>2770</v>
      </c>
      <c r="GD42" s="18">
        <v>2520</v>
      </c>
      <c r="GE42" s="18">
        <v>1963</v>
      </c>
      <c r="GF42" s="52">
        <v>1805</v>
      </c>
      <c r="GG42" s="18">
        <v>1505</v>
      </c>
      <c r="GH42" s="18">
        <v>2629</v>
      </c>
      <c r="GI42" s="184">
        <v>2271</v>
      </c>
      <c r="GJ42" s="184">
        <v>2227</v>
      </c>
      <c r="GK42" s="184">
        <v>3505</v>
      </c>
      <c r="GL42" s="184">
        <v>1754</v>
      </c>
    </row>
    <row r="43" spans="1:194" ht="15" thickBot="1" x14ac:dyDescent="0.35">
      <c r="A43" s="9" t="s">
        <v>25</v>
      </c>
      <c r="B43" s="22"/>
      <c r="C43" s="23">
        <v>25105</v>
      </c>
      <c r="D43" s="23">
        <v>16535</v>
      </c>
      <c r="E43" s="23">
        <v>14765</v>
      </c>
      <c r="F43" s="23">
        <v>16951</v>
      </c>
      <c r="G43" s="23">
        <v>12458</v>
      </c>
      <c r="H43" s="24">
        <v>9568</v>
      </c>
      <c r="I43" s="22">
        <v>9341</v>
      </c>
      <c r="J43" s="23">
        <v>7940</v>
      </c>
      <c r="K43" s="23">
        <v>12580</v>
      </c>
      <c r="L43" s="23">
        <v>12855</v>
      </c>
      <c r="M43" s="23">
        <v>12705</v>
      </c>
      <c r="N43" s="23">
        <v>12114</v>
      </c>
      <c r="O43" s="65">
        <v>14136</v>
      </c>
      <c r="P43" s="65">
        <v>12464</v>
      </c>
      <c r="Q43" s="65">
        <v>14365</v>
      </c>
      <c r="R43" s="65">
        <v>13525</v>
      </c>
      <c r="S43" s="65">
        <v>11673</v>
      </c>
      <c r="T43" s="66">
        <v>10183</v>
      </c>
      <c r="U43" s="67">
        <v>13020</v>
      </c>
      <c r="V43" s="65">
        <v>11324</v>
      </c>
      <c r="W43" s="65">
        <v>15073</v>
      </c>
      <c r="X43" s="65">
        <v>12129</v>
      </c>
      <c r="Y43" s="65">
        <v>12225</v>
      </c>
      <c r="Z43" s="65">
        <v>9340</v>
      </c>
      <c r="AA43" s="23">
        <v>12970</v>
      </c>
      <c r="AB43" s="23">
        <v>12044</v>
      </c>
      <c r="AC43" s="23">
        <v>15179</v>
      </c>
      <c r="AD43" s="23">
        <v>18323</v>
      </c>
      <c r="AE43" s="23">
        <v>12383</v>
      </c>
      <c r="AF43" s="24">
        <v>11879</v>
      </c>
      <c r="AG43" s="22">
        <v>14277</v>
      </c>
      <c r="AH43" s="23">
        <v>12562</v>
      </c>
      <c r="AI43" s="23">
        <v>13997</v>
      </c>
      <c r="AJ43" s="23">
        <v>19305</v>
      </c>
      <c r="AK43" s="23">
        <v>13061</v>
      </c>
      <c r="AL43" s="23">
        <v>15862</v>
      </c>
      <c r="AM43" s="23">
        <v>14372</v>
      </c>
      <c r="AN43" s="23">
        <v>14756</v>
      </c>
      <c r="AO43" s="23">
        <v>17835</v>
      </c>
      <c r="AP43" s="23">
        <v>15463</v>
      </c>
      <c r="AQ43" s="23">
        <v>12744</v>
      </c>
      <c r="AR43" s="24">
        <v>15292</v>
      </c>
      <c r="AS43" s="22">
        <v>11718</v>
      </c>
      <c r="AT43" s="23">
        <v>12077</v>
      </c>
      <c r="AU43" s="23">
        <v>17088</v>
      </c>
      <c r="AV43" s="23">
        <v>14934</v>
      </c>
      <c r="AW43" s="23">
        <v>13428</v>
      </c>
      <c r="AX43" s="23">
        <v>18020</v>
      </c>
      <c r="AY43" s="23">
        <v>13198</v>
      </c>
      <c r="AZ43" s="23">
        <v>14483</v>
      </c>
      <c r="BA43" s="23">
        <v>18261</v>
      </c>
      <c r="BB43" s="23">
        <v>16820</v>
      </c>
      <c r="BC43" s="23">
        <v>13120</v>
      </c>
      <c r="BD43" s="24">
        <v>13862</v>
      </c>
      <c r="BE43" s="22">
        <v>11543</v>
      </c>
      <c r="BF43" s="23">
        <v>14320</v>
      </c>
      <c r="BG43" s="23">
        <v>14773</v>
      </c>
      <c r="BH43" s="23">
        <v>15093</v>
      </c>
      <c r="BI43" s="23">
        <v>18065.994757425218</v>
      </c>
      <c r="BJ43" s="23">
        <v>18385</v>
      </c>
      <c r="BK43" s="23">
        <v>15120</v>
      </c>
      <c r="BL43" s="23">
        <v>14364</v>
      </c>
      <c r="BM43" s="23">
        <v>18768</v>
      </c>
      <c r="BN43" s="23">
        <v>14801</v>
      </c>
      <c r="BO43" s="23">
        <v>14275</v>
      </c>
      <c r="BP43" s="24">
        <v>12102</v>
      </c>
      <c r="BQ43" s="22">
        <v>10423</v>
      </c>
      <c r="BR43" s="23">
        <v>14414</v>
      </c>
      <c r="BS43" s="23">
        <v>10688</v>
      </c>
      <c r="BT43" s="23">
        <v>14493</v>
      </c>
      <c r="BU43" s="23">
        <v>20013</v>
      </c>
      <c r="BV43" s="23">
        <v>12745</v>
      </c>
      <c r="BW43" s="23">
        <v>20594</v>
      </c>
      <c r="BX43" s="23">
        <v>13463</v>
      </c>
      <c r="BY43" s="23">
        <v>13770</v>
      </c>
      <c r="BZ43" s="23">
        <v>14456</v>
      </c>
      <c r="CA43" s="23">
        <v>16094</v>
      </c>
      <c r="CB43" s="24">
        <v>11199</v>
      </c>
      <c r="CC43" s="25">
        <v>13338</v>
      </c>
      <c r="CD43" s="23">
        <v>13762</v>
      </c>
      <c r="CE43" s="23">
        <v>6738</v>
      </c>
      <c r="CF43" s="23">
        <v>8742</v>
      </c>
      <c r="CG43" s="23">
        <v>6497</v>
      </c>
      <c r="CH43" s="23">
        <v>5210</v>
      </c>
      <c r="CI43" s="23">
        <v>6955</v>
      </c>
      <c r="CJ43" s="23">
        <v>5658</v>
      </c>
      <c r="CK43" s="23">
        <v>5257</v>
      </c>
      <c r="CL43" s="23">
        <v>7753</v>
      </c>
      <c r="CM43" s="23">
        <v>5219</v>
      </c>
      <c r="CN43" s="26">
        <v>4948</v>
      </c>
      <c r="CO43" s="22">
        <v>5638</v>
      </c>
      <c r="CP43" s="23">
        <v>4838</v>
      </c>
      <c r="CQ43" s="23">
        <v>5646</v>
      </c>
      <c r="CR43" s="23">
        <v>6969</v>
      </c>
      <c r="CS43" s="23">
        <v>4659</v>
      </c>
      <c r="CT43" s="23">
        <v>5289</v>
      </c>
      <c r="CU43" s="23">
        <v>4997</v>
      </c>
      <c r="CV43" s="23">
        <v>4732</v>
      </c>
      <c r="CW43" s="23">
        <v>4851</v>
      </c>
      <c r="CX43" s="23">
        <v>7246</v>
      </c>
      <c r="CY43" s="23">
        <v>5081</v>
      </c>
      <c r="CZ43" s="24">
        <v>4457</v>
      </c>
      <c r="DA43" s="22">
        <v>5436</v>
      </c>
      <c r="DB43" s="23">
        <v>4394</v>
      </c>
      <c r="DC43" s="23">
        <v>6097</v>
      </c>
      <c r="DD43" s="23">
        <v>5063</v>
      </c>
      <c r="DE43" s="23">
        <v>4999</v>
      </c>
      <c r="DF43" s="23">
        <v>5651</v>
      </c>
      <c r="DG43" s="23">
        <v>4666</v>
      </c>
      <c r="DH43" s="23">
        <v>4911</v>
      </c>
      <c r="DI43" s="23">
        <v>6311</v>
      </c>
      <c r="DJ43" s="23">
        <v>5065</v>
      </c>
      <c r="DK43" s="23">
        <v>4274</v>
      </c>
      <c r="DL43" s="24">
        <v>5153</v>
      </c>
      <c r="DM43" s="22">
        <v>3749</v>
      </c>
      <c r="DN43" s="23">
        <v>4095</v>
      </c>
      <c r="DO43" s="23">
        <v>5964</v>
      </c>
      <c r="DP43" s="23">
        <v>4532</v>
      </c>
      <c r="DQ43" s="23">
        <v>4763</v>
      </c>
      <c r="DR43" s="23">
        <v>5694</v>
      </c>
      <c r="DS43" s="23">
        <v>4295</v>
      </c>
      <c r="DT43" s="23">
        <v>4855</v>
      </c>
      <c r="DU43" s="23">
        <v>5927</v>
      </c>
      <c r="DV43" s="23">
        <v>4925</v>
      </c>
      <c r="DW43" s="23">
        <v>4466</v>
      </c>
      <c r="DX43" s="24">
        <v>4582</v>
      </c>
      <c r="DY43" s="100">
        <v>3470</v>
      </c>
      <c r="DZ43" s="23">
        <v>4942</v>
      </c>
      <c r="EA43" s="23">
        <v>4145</v>
      </c>
      <c r="EB43" s="23">
        <v>4261</v>
      </c>
      <c r="EC43" s="23">
        <v>5712</v>
      </c>
      <c r="ED43" s="23">
        <v>3645</v>
      </c>
      <c r="EE43" s="23">
        <v>3926</v>
      </c>
      <c r="EF43" s="23">
        <v>5290</v>
      </c>
      <c r="EG43" s="23">
        <v>3405</v>
      </c>
      <c r="EH43" s="23">
        <v>2419</v>
      </c>
      <c r="EI43" s="23">
        <v>2669</v>
      </c>
      <c r="EJ43" s="24">
        <v>2025</v>
      </c>
      <c r="EK43" s="23">
        <v>1469</v>
      </c>
      <c r="EL43" s="23">
        <v>2415</v>
      </c>
      <c r="EM43" s="23">
        <v>2123</v>
      </c>
      <c r="EN43" s="105">
        <v>2817</v>
      </c>
      <c r="EO43" s="23">
        <v>2431</v>
      </c>
      <c r="EP43" s="23">
        <v>1700</v>
      </c>
      <c r="EQ43" s="23">
        <v>1203</v>
      </c>
      <c r="ER43" s="23">
        <v>1965</v>
      </c>
      <c r="ES43" s="23">
        <v>2222</v>
      </c>
      <c r="ET43" s="23">
        <v>2238</v>
      </c>
      <c r="EU43" s="23">
        <v>2497</v>
      </c>
      <c r="EV43" s="24">
        <v>2067</v>
      </c>
      <c r="EW43" s="103">
        <v>2431</v>
      </c>
      <c r="EX43" s="23">
        <v>2146</v>
      </c>
      <c r="EY43" s="23">
        <v>2584</v>
      </c>
      <c r="EZ43" s="105">
        <v>3281</v>
      </c>
      <c r="FA43" s="23">
        <v>2970</v>
      </c>
      <c r="FB43" s="23">
        <v>2543</v>
      </c>
      <c r="FC43" s="23">
        <v>2803</v>
      </c>
      <c r="FD43" s="23">
        <v>3223</v>
      </c>
      <c r="FE43" s="23">
        <v>3298</v>
      </c>
      <c r="FF43" s="23">
        <v>4193</v>
      </c>
      <c r="FG43" s="23">
        <v>2896</v>
      </c>
      <c r="FH43" s="23">
        <v>2262</v>
      </c>
      <c r="FI43" s="103">
        <f>'Average Saturday Boardings'!FI43*5</f>
        <v>2947</v>
      </c>
      <c r="FJ43" s="23">
        <f>'Average Saturday Boardings'!FJ43*4</f>
        <v>2646</v>
      </c>
      <c r="FK43" s="23">
        <f>'Average Saturday Boardings'!FK43*5</f>
        <v>3570</v>
      </c>
      <c r="FL43" s="105">
        <v>3474</v>
      </c>
      <c r="FM43" s="23">
        <v>2787</v>
      </c>
      <c r="FN43" s="23">
        <v>2992</v>
      </c>
      <c r="FO43" s="23">
        <v>2970</v>
      </c>
      <c r="FP43" s="23">
        <v>3088</v>
      </c>
      <c r="FQ43" s="23">
        <v>3179</v>
      </c>
      <c r="FR43" s="23">
        <v>3892</v>
      </c>
      <c r="FS43" s="23">
        <v>3017</v>
      </c>
      <c r="FT43" s="26">
        <v>2929</v>
      </c>
      <c r="FU43" s="169">
        <v>3321</v>
      </c>
      <c r="FV43" s="169">
        <v>2741</v>
      </c>
      <c r="FW43" s="169">
        <v>3570</v>
      </c>
      <c r="FX43" s="169">
        <v>3156</v>
      </c>
      <c r="FY43" s="169">
        <v>3048</v>
      </c>
      <c r="FZ43" s="169">
        <v>3636</v>
      </c>
      <c r="GA43" s="169">
        <v>3290</v>
      </c>
      <c r="GB43" s="18">
        <v>3431</v>
      </c>
      <c r="GC43" s="18">
        <v>4294</v>
      </c>
      <c r="GD43" s="18">
        <v>3125</v>
      </c>
      <c r="GE43" s="18">
        <v>3115</v>
      </c>
      <c r="GF43" s="52">
        <v>3483</v>
      </c>
      <c r="GG43" s="18">
        <v>2644</v>
      </c>
      <c r="GH43" s="18">
        <v>3759</v>
      </c>
      <c r="GI43" s="184">
        <v>3042</v>
      </c>
      <c r="GJ43" s="184">
        <v>3011</v>
      </c>
      <c r="GK43" s="184">
        <v>3826</v>
      </c>
      <c r="GL43" s="184">
        <v>2652</v>
      </c>
    </row>
    <row r="44" spans="1:194" x14ac:dyDescent="0.3">
      <c r="A44" s="10" t="s">
        <v>26</v>
      </c>
      <c r="B44" s="12"/>
      <c r="C44" s="13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4"/>
      <c r="AG44" s="12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2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4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4"/>
      <c r="BQ44" s="12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4"/>
      <c r="CC44" s="15"/>
      <c r="CD44" s="13">
        <v>2259</v>
      </c>
      <c r="CE44" s="13">
        <v>3047</v>
      </c>
      <c r="CF44" s="13">
        <v>4313</v>
      </c>
      <c r="CG44" s="13">
        <v>3599</v>
      </c>
      <c r="CH44" s="13">
        <v>3431</v>
      </c>
      <c r="CI44" s="13">
        <v>4718</v>
      </c>
      <c r="CJ44" s="13">
        <v>3689</v>
      </c>
      <c r="CK44" s="13">
        <v>3842</v>
      </c>
      <c r="CL44" s="13">
        <v>4763</v>
      </c>
      <c r="CM44" s="13">
        <v>3629</v>
      </c>
      <c r="CN44" s="16">
        <v>3540</v>
      </c>
      <c r="CO44" s="12">
        <v>4371</v>
      </c>
      <c r="CP44" s="13">
        <v>3926</v>
      </c>
      <c r="CQ44" s="13">
        <v>3738</v>
      </c>
      <c r="CR44" s="13">
        <v>5248</v>
      </c>
      <c r="CS44" s="13">
        <v>3701</v>
      </c>
      <c r="CT44" s="13">
        <v>4078</v>
      </c>
      <c r="CU44" s="13">
        <v>3785</v>
      </c>
      <c r="CV44" s="13">
        <v>3862</v>
      </c>
      <c r="CW44" s="13">
        <v>3813</v>
      </c>
      <c r="CX44" s="13">
        <v>4841</v>
      </c>
      <c r="CY44" s="13">
        <v>3745</v>
      </c>
      <c r="CZ44" s="14">
        <v>3824</v>
      </c>
      <c r="DA44" s="12">
        <v>4839</v>
      </c>
      <c r="DB44" s="13">
        <v>3830</v>
      </c>
      <c r="DC44" s="13">
        <v>4855</v>
      </c>
      <c r="DD44" s="13">
        <v>3870</v>
      </c>
      <c r="DE44" s="13">
        <v>3791</v>
      </c>
      <c r="DF44" s="13">
        <v>4898</v>
      </c>
      <c r="DG44" s="13">
        <v>3934</v>
      </c>
      <c r="DH44" s="13">
        <v>4217</v>
      </c>
      <c r="DI44" s="13">
        <v>5009</v>
      </c>
      <c r="DJ44" s="13">
        <v>3901</v>
      </c>
      <c r="DK44" s="13">
        <v>3651</v>
      </c>
      <c r="DL44" s="14">
        <v>4663</v>
      </c>
      <c r="DM44" s="12">
        <v>3738</v>
      </c>
      <c r="DN44" s="13">
        <v>3890</v>
      </c>
      <c r="DO44" s="13">
        <v>4620</v>
      </c>
      <c r="DP44" s="13">
        <v>3871</v>
      </c>
      <c r="DQ44" s="13">
        <v>4030</v>
      </c>
      <c r="DR44" s="13">
        <v>4944</v>
      </c>
      <c r="DS44" s="13">
        <v>3692</v>
      </c>
      <c r="DT44" s="13">
        <v>3899</v>
      </c>
      <c r="DU44" s="13">
        <v>4696</v>
      </c>
      <c r="DV44" s="13">
        <v>3829</v>
      </c>
      <c r="DW44" s="13">
        <v>3755</v>
      </c>
      <c r="DX44" s="14">
        <v>4429</v>
      </c>
      <c r="DY44" s="13">
        <v>3162</v>
      </c>
      <c r="DZ44" s="13">
        <v>4383</v>
      </c>
      <c r="EA44" s="13">
        <v>3737</v>
      </c>
      <c r="EB44" s="13">
        <v>3888</v>
      </c>
      <c r="EC44" s="13">
        <v>4979</v>
      </c>
      <c r="ED44" s="13">
        <v>3801</v>
      </c>
      <c r="EE44" s="13">
        <v>3597</v>
      </c>
      <c r="EF44" s="13">
        <v>4774</v>
      </c>
      <c r="EG44" s="13">
        <v>3429</v>
      </c>
      <c r="EH44" s="13">
        <v>2742</v>
      </c>
      <c r="EI44" s="13">
        <v>3066</v>
      </c>
      <c r="EJ44" s="14">
        <v>2551</v>
      </c>
      <c r="EK44" s="13">
        <v>1756</v>
      </c>
      <c r="EL44" s="13">
        <v>2899</v>
      </c>
      <c r="EM44" s="13">
        <v>2307</v>
      </c>
      <c r="EN44" s="106">
        <v>2941</v>
      </c>
      <c r="EO44" s="13">
        <v>2343</v>
      </c>
      <c r="EP44" s="13">
        <v>1725</v>
      </c>
      <c r="EQ44" s="13">
        <v>1249</v>
      </c>
      <c r="ER44" s="13">
        <v>1994</v>
      </c>
      <c r="ES44" s="13">
        <v>1891</v>
      </c>
      <c r="ET44" s="13">
        <v>2039</v>
      </c>
      <c r="EU44" s="13">
        <v>2356</v>
      </c>
      <c r="EV44" s="14">
        <v>2037</v>
      </c>
      <c r="EW44" s="13">
        <v>2343</v>
      </c>
      <c r="EX44" s="13">
        <v>2015</v>
      </c>
      <c r="EY44" s="13">
        <v>2116</v>
      </c>
      <c r="EZ44" s="106">
        <v>2866</v>
      </c>
      <c r="FA44" s="13">
        <v>2524</v>
      </c>
      <c r="FB44" s="13">
        <v>2314</v>
      </c>
      <c r="FC44" s="13">
        <v>2970</v>
      </c>
      <c r="FD44" s="13">
        <v>2736</v>
      </c>
      <c r="FE44" s="13">
        <v>3097</v>
      </c>
      <c r="FF44" s="13">
        <v>3971</v>
      </c>
      <c r="FG44" s="13">
        <v>2979</v>
      </c>
      <c r="FH44" s="13">
        <v>2630</v>
      </c>
      <c r="FI44" s="13">
        <f>'Average Saturday Boardings'!FI44*5</f>
        <v>3390</v>
      </c>
      <c r="FJ44" s="13">
        <f>'Average Saturday Boardings'!FJ44*4</f>
        <v>2803</v>
      </c>
      <c r="FK44" s="13">
        <f>'Average Saturday Boardings'!FK44*5</f>
        <v>3435</v>
      </c>
      <c r="FL44" s="106">
        <v>3276</v>
      </c>
      <c r="FM44" s="13">
        <v>2707</v>
      </c>
      <c r="FN44" s="13">
        <v>2737</v>
      </c>
      <c r="FO44" s="13">
        <v>2427</v>
      </c>
      <c r="FP44" s="13">
        <v>2376</v>
      </c>
      <c r="FQ44" s="13">
        <v>2578</v>
      </c>
      <c r="FR44" s="13">
        <v>3165</v>
      </c>
      <c r="FS44" s="13">
        <v>2681</v>
      </c>
      <c r="FT44" s="16">
        <v>2505</v>
      </c>
      <c r="FU44" s="169">
        <v>3028</v>
      </c>
      <c r="FV44" s="169">
        <v>2443</v>
      </c>
      <c r="FW44" s="169">
        <v>3051</v>
      </c>
      <c r="FX44" s="169">
        <v>2591</v>
      </c>
      <c r="FY44" s="169">
        <v>2707</v>
      </c>
      <c r="FZ44" s="169">
        <v>3368</v>
      </c>
      <c r="GA44" s="169">
        <v>2730</v>
      </c>
      <c r="GB44" s="18">
        <v>2953</v>
      </c>
      <c r="GC44" s="18">
        <v>3683</v>
      </c>
      <c r="GD44" s="18">
        <v>2601</v>
      </c>
      <c r="GE44" s="18">
        <v>2709</v>
      </c>
      <c r="GF44" s="52">
        <v>3196</v>
      </c>
      <c r="GG44" s="18">
        <v>2656</v>
      </c>
      <c r="GH44" s="18">
        <v>3291</v>
      </c>
      <c r="GI44" s="184">
        <v>2679</v>
      </c>
      <c r="GJ44" s="184">
        <v>2663</v>
      </c>
      <c r="GK44" s="184">
        <v>3150</v>
      </c>
      <c r="GL44" s="184">
        <v>2281</v>
      </c>
    </row>
    <row r="45" spans="1:194" x14ac:dyDescent="0.3">
      <c r="A45" s="4" t="s">
        <v>27</v>
      </c>
      <c r="B45" s="17"/>
      <c r="C45" s="18"/>
      <c r="D45" s="18"/>
      <c r="E45" s="18"/>
      <c r="F45" s="18"/>
      <c r="G45" s="18"/>
      <c r="H45" s="19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9"/>
      <c r="U45" s="17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9"/>
      <c r="AG45" s="17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9"/>
      <c r="AS45" s="17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9"/>
      <c r="BE45" s="17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9"/>
      <c r="BQ45" s="17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9"/>
      <c r="CC45" s="20"/>
      <c r="CD45" s="18">
        <v>2464</v>
      </c>
      <c r="CE45" s="18">
        <v>3305</v>
      </c>
      <c r="CF45" s="18">
        <v>4452</v>
      </c>
      <c r="CG45" s="18">
        <v>3671</v>
      </c>
      <c r="CH45" s="18">
        <v>3717</v>
      </c>
      <c r="CI45" s="18">
        <v>4682</v>
      </c>
      <c r="CJ45" s="18">
        <v>3816</v>
      </c>
      <c r="CK45" s="18">
        <v>3684</v>
      </c>
      <c r="CL45" s="18">
        <v>4755</v>
      </c>
      <c r="CM45" s="18">
        <v>3504</v>
      </c>
      <c r="CN45" s="21">
        <v>3285</v>
      </c>
      <c r="CO45" s="17">
        <v>4154</v>
      </c>
      <c r="CP45" s="18">
        <v>3627</v>
      </c>
      <c r="CQ45" s="18">
        <v>3597</v>
      </c>
      <c r="CR45" s="18">
        <v>4701</v>
      </c>
      <c r="CS45" s="18">
        <v>3903</v>
      </c>
      <c r="CT45" s="18">
        <v>3959</v>
      </c>
      <c r="CU45" s="18">
        <v>3885</v>
      </c>
      <c r="CV45" s="18">
        <v>3871</v>
      </c>
      <c r="CW45" s="18">
        <v>4088</v>
      </c>
      <c r="CX45" s="18">
        <v>5369</v>
      </c>
      <c r="CY45" s="18">
        <v>3928</v>
      </c>
      <c r="CZ45" s="19">
        <v>3693</v>
      </c>
      <c r="DA45" s="17">
        <v>4497</v>
      </c>
      <c r="DB45" s="18">
        <v>3671</v>
      </c>
      <c r="DC45" s="18">
        <v>4879</v>
      </c>
      <c r="DD45" s="18">
        <v>3996</v>
      </c>
      <c r="DE45" s="18">
        <v>3901</v>
      </c>
      <c r="DF45" s="18">
        <v>4726</v>
      </c>
      <c r="DG45" s="18">
        <v>3946</v>
      </c>
      <c r="DH45" s="18">
        <v>4125</v>
      </c>
      <c r="DI45" s="18">
        <v>4884</v>
      </c>
      <c r="DJ45" s="18">
        <v>3816</v>
      </c>
      <c r="DK45" s="18">
        <v>3745</v>
      </c>
      <c r="DL45" s="19">
        <v>4520</v>
      </c>
      <c r="DM45" s="17">
        <v>3694</v>
      </c>
      <c r="DN45" s="18">
        <v>3639</v>
      </c>
      <c r="DO45" s="18">
        <v>4639</v>
      </c>
      <c r="DP45" s="18">
        <v>3925</v>
      </c>
      <c r="DQ45" s="18">
        <v>4079</v>
      </c>
      <c r="DR45" s="18">
        <v>4971</v>
      </c>
      <c r="DS45" s="18">
        <v>3728</v>
      </c>
      <c r="DT45" s="18">
        <v>3846</v>
      </c>
      <c r="DU45" s="18">
        <v>4834</v>
      </c>
      <c r="DV45" s="18">
        <v>3713</v>
      </c>
      <c r="DW45" s="18">
        <v>3802</v>
      </c>
      <c r="DX45" s="19">
        <v>4731</v>
      </c>
      <c r="DY45" s="100">
        <v>3325</v>
      </c>
      <c r="DZ45" s="18">
        <v>4384</v>
      </c>
      <c r="EA45" s="18">
        <v>3879</v>
      </c>
      <c r="EB45" s="18">
        <v>3941</v>
      </c>
      <c r="EC45" s="18">
        <v>4990</v>
      </c>
      <c r="ED45" s="18">
        <v>3626</v>
      </c>
      <c r="EE45" s="18">
        <v>3613</v>
      </c>
      <c r="EF45" s="18">
        <v>4886</v>
      </c>
      <c r="EG45" s="18">
        <v>3417</v>
      </c>
      <c r="EH45" s="18">
        <v>2482</v>
      </c>
      <c r="EI45" s="18">
        <v>3043</v>
      </c>
      <c r="EJ45" s="19">
        <v>2258</v>
      </c>
      <c r="EK45" s="18">
        <v>1447</v>
      </c>
      <c r="EL45" s="18">
        <v>2459</v>
      </c>
      <c r="EM45" s="18">
        <v>2025</v>
      </c>
      <c r="EN45" s="103">
        <v>2689</v>
      </c>
      <c r="EO45" s="18">
        <v>2128</v>
      </c>
      <c r="EP45" s="18">
        <v>1557</v>
      </c>
      <c r="EQ45" s="18">
        <v>1131</v>
      </c>
      <c r="ER45" s="18">
        <v>1677</v>
      </c>
      <c r="ES45" s="18">
        <v>1919</v>
      </c>
      <c r="ET45" s="18">
        <v>1877</v>
      </c>
      <c r="EU45" s="18">
        <v>2383</v>
      </c>
      <c r="EV45" s="19">
        <v>1826</v>
      </c>
      <c r="EW45" s="103">
        <v>2128</v>
      </c>
      <c r="EX45" s="18">
        <v>1764</v>
      </c>
      <c r="EY45" s="18">
        <v>1979</v>
      </c>
      <c r="EZ45" s="103">
        <v>2678</v>
      </c>
      <c r="FA45" s="18">
        <v>2207</v>
      </c>
      <c r="FB45" s="143">
        <v>2038</v>
      </c>
      <c r="FC45" s="18">
        <v>2385</v>
      </c>
      <c r="FD45" s="18">
        <v>2247</v>
      </c>
      <c r="FE45" s="143">
        <v>2816</v>
      </c>
      <c r="FF45" s="143">
        <v>3377</v>
      </c>
      <c r="FG45" s="143">
        <v>2509</v>
      </c>
      <c r="FH45" s="143">
        <v>2129</v>
      </c>
      <c r="FI45" s="103">
        <f>'Average Saturday Boardings'!FI45*5</f>
        <v>2732</v>
      </c>
      <c r="FJ45" s="18">
        <f>'Average Saturday Boardings'!FJ45*4</f>
        <v>2172</v>
      </c>
      <c r="FK45" s="18">
        <f>'Average Saturday Boardings'!FK45*5</f>
        <v>2697.5</v>
      </c>
      <c r="FL45" s="103">
        <v>2845</v>
      </c>
      <c r="FM45" s="18">
        <v>2141</v>
      </c>
      <c r="FN45" s="143">
        <v>2601</v>
      </c>
      <c r="FO45" s="18">
        <v>2152</v>
      </c>
      <c r="FP45" s="18">
        <v>2357</v>
      </c>
      <c r="FQ45" s="143">
        <v>2489</v>
      </c>
      <c r="FR45" s="143">
        <v>3053</v>
      </c>
      <c r="FS45" s="143">
        <v>2460</v>
      </c>
      <c r="FT45" s="175">
        <v>2346</v>
      </c>
      <c r="FU45" s="169">
        <v>2762</v>
      </c>
      <c r="FV45" s="169">
        <v>2192</v>
      </c>
      <c r="FW45" s="169">
        <v>2854</v>
      </c>
      <c r="FX45" s="169">
        <v>2392</v>
      </c>
      <c r="FY45" s="169">
        <v>2461</v>
      </c>
      <c r="FZ45" s="169">
        <v>2920</v>
      </c>
      <c r="GA45" s="169">
        <v>2556</v>
      </c>
      <c r="GB45" s="18">
        <v>2705</v>
      </c>
      <c r="GC45" s="18">
        <v>3411</v>
      </c>
      <c r="GD45" s="18">
        <v>2327</v>
      </c>
      <c r="GE45" s="18">
        <v>2400</v>
      </c>
      <c r="GF45" s="52">
        <v>2764</v>
      </c>
      <c r="GG45" s="18">
        <v>2261</v>
      </c>
      <c r="GH45" s="18">
        <v>2889</v>
      </c>
      <c r="GI45" s="184">
        <v>2391</v>
      </c>
      <c r="GJ45" s="184">
        <v>2268</v>
      </c>
      <c r="GK45" s="184">
        <v>2733</v>
      </c>
      <c r="GL45" s="184">
        <v>2241</v>
      </c>
    </row>
    <row r="46" spans="1:194" x14ac:dyDescent="0.3">
      <c r="A46" s="4" t="s">
        <v>28</v>
      </c>
      <c r="B46" s="17"/>
      <c r="C46" s="18"/>
      <c r="D46" s="18"/>
      <c r="E46" s="18"/>
      <c r="F46" s="18"/>
      <c r="G46" s="18"/>
      <c r="H46" s="19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  <c r="U46" s="17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9"/>
      <c r="AG46" s="17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9"/>
      <c r="AS46" s="17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9"/>
      <c r="BE46" s="17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9"/>
      <c r="BQ46" s="17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9"/>
      <c r="CC46" s="20"/>
      <c r="CD46" s="18">
        <v>2941</v>
      </c>
      <c r="CE46" s="18">
        <v>1361</v>
      </c>
      <c r="CF46" s="18">
        <v>2053</v>
      </c>
      <c r="CG46" s="18">
        <v>1979</v>
      </c>
      <c r="CH46" s="18">
        <v>2225</v>
      </c>
      <c r="CI46" s="18">
        <v>2033</v>
      </c>
      <c r="CJ46" s="18">
        <v>1548</v>
      </c>
      <c r="CK46" s="18">
        <v>1721</v>
      </c>
      <c r="CL46" s="18">
        <v>2014</v>
      </c>
      <c r="CM46" s="18">
        <v>1464</v>
      </c>
      <c r="CN46" s="21">
        <v>1226</v>
      </c>
      <c r="CO46" s="17">
        <v>1589</v>
      </c>
      <c r="CP46" s="18">
        <v>1491</v>
      </c>
      <c r="CQ46" s="18">
        <v>1459</v>
      </c>
      <c r="CR46" s="18">
        <v>1997</v>
      </c>
      <c r="CS46" s="18">
        <v>1736</v>
      </c>
      <c r="CT46" s="18">
        <v>2208</v>
      </c>
      <c r="CU46" s="18">
        <v>1504</v>
      </c>
      <c r="CV46" s="18">
        <v>1434</v>
      </c>
      <c r="CW46" s="18">
        <v>1671</v>
      </c>
      <c r="CX46" s="18">
        <v>2038</v>
      </c>
      <c r="CY46" s="18">
        <v>1549</v>
      </c>
      <c r="CZ46" s="19">
        <v>1488</v>
      </c>
      <c r="DA46" s="17">
        <v>1847</v>
      </c>
      <c r="DB46" s="18">
        <v>1703</v>
      </c>
      <c r="DC46" s="18">
        <v>2064</v>
      </c>
      <c r="DD46" s="18">
        <v>2041</v>
      </c>
      <c r="DE46" s="18">
        <v>2040</v>
      </c>
      <c r="DF46" s="18">
        <v>2775</v>
      </c>
      <c r="DG46" s="18">
        <v>1591</v>
      </c>
      <c r="DH46" s="18">
        <v>1927</v>
      </c>
      <c r="DI46" s="18">
        <v>2242</v>
      </c>
      <c r="DJ46" s="18">
        <v>1586</v>
      </c>
      <c r="DK46" s="18">
        <v>1417</v>
      </c>
      <c r="DL46" s="19">
        <v>1821</v>
      </c>
      <c r="DM46" s="17">
        <v>1427</v>
      </c>
      <c r="DN46" s="18">
        <v>1396</v>
      </c>
      <c r="DO46" s="18">
        <v>2060</v>
      </c>
      <c r="DP46" s="18">
        <v>1657</v>
      </c>
      <c r="DQ46" s="18">
        <v>1687</v>
      </c>
      <c r="DR46" s="18">
        <v>2462</v>
      </c>
      <c r="DS46" s="18">
        <v>1453</v>
      </c>
      <c r="DT46" s="18">
        <v>1695</v>
      </c>
      <c r="DU46" s="18">
        <v>2042</v>
      </c>
      <c r="DV46" s="18">
        <v>1530</v>
      </c>
      <c r="DW46" s="18">
        <v>1588</v>
      </c>
      <c r="DX46" s="19">
        <v>1810</v>
      </c>
      <c r="DY46" s="100">
        <v>1351</v>
      </c>
      <c r="DZ46" s="18">
        <v>1844</v>
      </c>
      <c r="EA46" s="18">
        <v>1727</v>
      </c>
      <c r="EB46" s="18">
        <v>2000</v>
      </c>
      <c r="EC46" s="18">
        <v>2477</v>
      </c>
      <c r="ED46" s="18">
        <v>2181</v>
      </c>
      <c r="EE46" s="18">
        <v>1522</v>
      </c>
      <c r="EF46" s="18">
        <v>2185</v>
      </c>
      <c r="EG46" s="18">
        <v>1923</v>
      </c>
      <c r="EH46" s="18">
        <v>1049</v>
      </c>
      <c r="EI46" s="18">
        <v>1119</v>
      </c>
      <c r="EJ46" s="19">
        <v>789</v>
      </c>
      <c r="EK46" s="18">
        <v>605</v>
      </c>
      <c r="EL46" s="18">
        <v>1009</v>
      </c>
      <c r="EM46" s="18">
        <v>761</v>
      </c>
      <c r="EN46" s="104">
        <v>1175</v>
      </c>
      <c r="EO46" s="18">
        <v>860</v>
      </c>
      <c r="EP46" s="18">
        <v>694</v>
      </c>
      <c r="EQ46" s="18">
        <v>484</v>
      </c>
      <c r="ER46" s="18">
        <v>724</v>
      </c>
      <c r="ES46" s="18">
        <v>774</v>
      </c>
      <c r="ET46" s="18">
        <v>934</v>
      </c>
      <c r="EU46" s="18">
        <v>952</v>
      </c>
      <c r="EV46" s="19">
        <v>834</v>
      </c>
      <c r="EW46" s="103">
        <v>860</v>
      </c>
      <c r="EX46" s="18">
        <v>805</v>
      </c>
      <c r="EY46" s="18">
        <v>847</v>
      </c>
      <c r="EZ46" s="104">
        <v>1395</v>
      </c>
      <c r="FA46" s="18">
        <v>1042</v>
      </c>
      <c r="FB46" s="143">
        <v>1186</v>
      </c>
      <c r="FC46" s="18">
        <v>1074</v>
      </c>
      <c r="FD46" s="18">
        <v>1046</v>
      </c>
      <c r="FE46" s="143">
        <v>1217</v>
      </c>
      <c r="FF46" s="143">
        <v>1443</v>
      </c>
      <c r="FG46" s="143">
        <v>1118</v>
      </c>
      <c r="FH46" s="143">
        <v>901</v>
      </c>
      <c r="FI46" s="103">
        <f>'Average Saturday Boardings'!FI46*5</f>
        <v>1188</v>
      </c>
      <c r="FJ46" s="18">
        <f>'Average Saturday Boardings'!FJ46*4</f>
        <v>1016</v>
      </c>
      <c r="FK46" s="18">
        <f>'Average Saturday Boardings'!FK46*5</f>
        <v>1240</v>
      </c>
      <c r="FL46" s="104">
        <v>1726</v>
      </c>
      <c r="FM46" s="18">
        <v>1255</v>
      </c>
      <c r="FN46" s="143">
        <v>1368</v>
      </c>
      <c r="FO46" s="18">
        <v>1159</v>
      </c>
      <c r="FP46" s="18">
        <v>1245</v>
      </c>
      <c r="FQ46" s="143">
        <v>1260</v>
      </c>
      <c r="FR46" s="143">
        <v>1733</v>
      </c>
      <c r="FS46" s="143">
        <v>1171</v>
      </c>
      <c r="FT46" s="175">
        <v>1144</v>
      </c>
      <c r="FU46" s="169">
        <v>1332</v>
      </c>
      <c r="FV46" s="169">
        <v>1103</v>
      </c>
      <c r="FW46" s="169">
        <v>1442</v>
      </c>
      <c r="FX46" s="169">
        <v>1404</v>
      </c>
      <c r="FY46" s="169">
        <v>1406</v>
      </c>
      <c r="FZ46" s="169">
        <v>1805</v>
      </c>
      <c r="GA46" s="169">
        <v>1335</v>
      </c>
      <c r="GB46" s="18">
        <v>1481</v>
      </c>
      <c r="GC46" s="18">
        <v>1694</v>
      </c>
      <c r="GD46" s="18">
        <v>1218</v>
      </c>
      <c r="GE46" s="18">
        <v>1235</v>
      </c>
      <c r="GF46" s="52">
        <v>1446</v>
      </c>
      <c r="GG46" s="18">
        <v>1111</v>
      </c>
      <c r="GH46" s="18">
        <v>1694</v>
      </c>
      <c r="GI46" s="184">
        <v>1315</v>
      </c>
      <c r="GJ46" s="184">
        <v>1523</v>
      </c>
      <c r="GK46" s="184">
        <v>1612</v>
      </c>
      <c r="GL46" s="184">
        <v>1528</v>
      </c>
    </row>
    <row r="47" spans="1:194" ht="15" thickBot="1" x14ac:dyDescent="0.35">
      <c r="A47" s="11" t="s">
        <v>29</v>
      </c>
      <c r="B47" s="27"/>
      <c r="C47" s="28"/>
      <c r="D47" s="28"/>
      <c r="E47" s="28"/>
      <c r="F47" s="28"/>
      <c r="G47" s="28"/>
      <c r="H47" s="29"/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9"/>
      <c r="U47" s="27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9"/>
      <c r="AG47" s="27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9"/>
      <c r="AS47" s="27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9"/>
      <c r="BE47" s="27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9"/>
      <c r="BQ47" s="27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9"/>
      <c r="CC47" s="30"/>
      <c r="CD47" s="28">
        <v>5775</v>
      </c>
      <c r="CE47" s="28">
        <v>8791</v>
      </c>
      <c r="CF47" s="28">
        <v>11399</v>
      </c>
      <c r="CG47" s="28">
        <v>10004</v>
      </c>
      <c r="CH47" s="28">
        <v>9172</v>
      </c>
      <c r="CI47" s="28">
        <v>10881</v>
      </c>
      <c r="CJ47" s="28">
        <v>8222</v>
      </c>
      <c r="CK47" s="28">
        <v>8491</v>
      </c>
      <c r="CL47" s="28">
        <v>12364</v>
      </c>
      <c r="CM47" s="28">
        <v>7674</v>
      </c>
      <c r="CN47" s="31">
        <v>7531</v>
      </c>
      <c r="CO47" s="27">
        <v>9596</v>
      </c>
      <c r="CP47" s="28">
        <v>7729</v>
      </c>
      <c r="CQ47" s="28">
        <v>9330</v>
      </c>
      <c r="CR47" s="28">
        <v>11543</v>
      </c>
      <c r="CS47" s="28">
        <v>7247</v>
      </c>
      <c r="CT47" s="28">
        <v>11344</v>
      </c>
      <c r="CU47" s="28">
        <v>8023</v>
      </c>
      <c r="CV47" s="28">
        <v>8542</v>
      </c>
      <c r="CW47" s="28">
        <v>8867</v>
      </c>
      <c r="CX47" s="28">
        <v>13204</v>
      </c>
      <c r="CY47" s="28">
        <v>8669</v>
      </c>
      <c r="CZ47" s="29">
        <v>7680</v>
      </c>
      <c r="DA47" s="27">
        <v>10033</v>
      </c>
      <c r="DB47" s="28">
        <v>8688</v>
      </c>
      <c r="DC47" s="28">
        <v>11521</v>
      </c>
      <c r="DD47" s="28">
        <v>9629</v>
      </c>
      <c r="DE47" s="28">
        <v>9384</v>
      </c>
      <c r="DF47" s="28">
        <v>14439</v>
      </c>
      <c r="DG47" s="28">
        <v>7698</v>
      </c>
      <c r="DH47" s="28">
        <v>8678</v>
      </c>
      <c r="DI47" s="28">
        <v>11776</v>
      </c>
      <c r="DJ47" s="28">
        <v>9315</v>
      </c>
      <c r="DK47" s="28">
        <v>7841</v>
      </c>
      <c r="DL47" s="29">
        <v>9630</v>
      </c>
      <c r="DM47" s="27">
        <v>7828</v>
      </c>
      <c r="DN47" s="28">
        <v>8239</v>
      </c>
      <c r="DO47" s="28">
        <v>11613</v>
      </c>
      <c r="DP47" s="28">
        <v>7377</v>
      </c>
      <c r="DQ47" s="28">
        <v>9428</v>
      </c>
      <c r="DR47" s="28">
        <v>16269</v>
      </c>
      <c r="DS47" s="28">
        <v>8525</v>
      </c>
      <c r="DT47" s="28">
        <v>8919</v>
      </c>
      <c r="DU47" s="28">
        <v>12134</v>
      </c>
      <c r="DV47" s="28">
        <v>9761</v>
      </c>
      <c r="DW47" s="28">
        <v>6741</v>
      </c>
      <c r="DX47" s="29">
        <v>3316</v>
      </c>
      <c r="DY47" s="100">
        <v>2441</v>
      </c>
      <c r="DZ47" s="28">
        <v>3391</v>
      </c>
      <c r="EA47" s="28">
        <v>3098</v>
      </c>
      <c r="EB47" s="28">
        <v>3163</v>
      </c>
      <c r="EC47" s="28">
        <v>4352</v>
      </c>
      <c r="ED47" s="28">
        <v>7988</v>
      </c>
      <c r="EE47" s="28">
        <v>2545</v>
      </c>
      <c r="EF47" s="28">
        <v>3485</v>
      </c>
      <c r="EG47" s="28">
        <v>2459</v>
      </c>
      <c r="EH47" s="28">
        <v>1686</v>
      </c>
      <c r="EI47" s="28">
        <v>1815</v>
      </c>
      <c r="EJ47" s="29">
        <v>1378</v>
      </c>
      <c r="EK47" s="28">
        <v>948</v>
      </c>
      <c r="EL47" s="28">
        <v>1767</v>
      </c>
      <c r="EM47" s="28">
        <v>1313</v>
      </c>
      <c r="EN47" s="105">
        <v>1824</v>
      </c>
      <c r="EO47" s="28">
        <v>1554</v>
      </c>
      <c r="EP47" s="28">
        <v>1025</v>
      </c>
      <c r="EQ47" s="28">
        <v>766</v>
      </c>
      <c r="ER47" s="28">
        <v>1210</v>
      </c>
      <c r="ES47" s="28">
        <v>1265</v>
      </c>
      <c r="ET47" s="28">
        <v>1362</v>
      </c>
      <c r="EU47" s="28">
        <v>1495</v>
      </c>
      <c r="EV47" s="29">
        <v>1285</v>
      </c>
      <c r="EW47" s="103">
        <v>1554</v>
      </c>
      <c r="EX47" s="28">
        <v>1331</v>
      </c>
      <c r="EY47" s="28">
        <v>1490</v>
      </c>
      <c r="EZ47" s="105">
        <v>2392</v>
      </c>
      <c r="FA47" s="28">
        <v>1979</v>
      </c>
      <c r="FB47" s="28">
        <v>3590</v>
      </c>
      <c r="FC47" s="28">
        <v>1716</v>
      </c>
      <c r="FD47" s="28">
        <v>1736</v>
      </c>
      <c r="FE47" s="28">
        <v>1972</v>
      </c>
      <c r="FF47" s="28">
        <v>2742</v>
      </c>
      <c r="FG47" s="28">
        <v>2083</v>
      </c>
      <c r="FH47" s="28">
        <v>1482</v>
      </c>
      <c r="FI47" s="103">
        <f>'Average Saturday Boardings'!FI47*5</f>
        <v>2023</v>
      </c>
      <c r="FJ47" s="28">
        <f>'Average Saturday Boardings'!FJ47*4</f>
        <v>1781</v>
      </c>
      <c r="FK47" s="28">
        <f>'Average Saturday Boardings'!FK47*5</f>
        <v>2533.75</v>
      </c>
      <c r="FL47" s="105">
        <v>2611</v>
      </c>
      <c r="FM47" s="28">
        <v>2308</v>
      </c>
      <c r="FN47" s="28">
        <v>6836</v>
      </c>
      <c r="FO47" s="28">
        <v>2082</v>
      </c>
      <c r="FP47" s="28">
        <v>2187</v>
      </c>
      <c r="FQ47" s="28">
        <v>2078</v>
      </c>
      <c r="FR47" s="28">
        <v>2819</v>
      </c>
      <c r="FS47" s="28">
        <v>1787</v>
      </c>
      <c r="FT47" s="31">
        <v>1744</v>
      </c>
      <c r="FU47" s="169">
        <v>2248</v>
      </c>
      <c r="FV47" s="169">
        <v>1918</v>
      </c>
      <c r="FW47" s="169">
        <v>2529</v>
      </c>
      <c r="FX47" s="169">
        <v>2023</v>
      </c>
      <c r="FY47" s="169">
        <v>2145</v>
      </c>
      <c r="FZ47" s="169">
        <v>4766</v>
      </c>
      <c r="GA47" s="169">
        <v>1804</v>
      </c>
      <c r="GB47" s="18">
        <v>1827</v>
      </c>
      <c r="GC47" s="18">
        <v>3580</v>
      </c>
      <c r="GD47" s="18">
        <v>1955</v>
      </c>
      <c r="GE47" s="18">
        <v>1999</v>
      </c>
      <c r="GF47" s="52">
        <v>2100</v>
      </c>
      <c r="GG47" s="18">
        <v>1784</v>
      </c>
      <c r="GH47" s="18">
        <v>2281</v>
      </c>
      <c r="GI47" s="184">
        <v>1863</v>
      </c>
      <c r="GJ47" s="184">
        <v>1682</v>
      </c>
      <c r="GK47" s="184">
        <v>2916</v>
      </c>
      <c r="GL47" s="184">
        <v>4955</v>
      </c>
    </row>
    <row r="48" spans="1:194" x14ac:dyDescent="0.3">
      <c r="A48" s="93" t="s">
        <v>69</v>
      </c>
      <c r="B48" s="12"/>
      <c r="C48" s="13"/>
      <c r="D48" s="13"/>
      <c r="E48" s="13"/>
      <c r="F48" s="13"/>
      <c r="G48" s="13"/>
      <c r="H48" s="14"/>
      <c r="I48" s="1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6"/>
      <c r="U48" s="12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4"/>
      <c r="AS48" s="15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6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4"/>
      <c r="BQ48" s="15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6"/>
      <c r="CC48" s="12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4"/>
      <c r="CO48" s="15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4"/>
      <c r="DA48" s="12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4"/>
      <c r="DM48" s="12"/>
      <c r="DN48" s="13"/>
      <c r="DO48" s="13"/>
      <c r="DP48" s="13"/>
      <c r="DQ48" s="13"/>
      <c r="DR48" s="13"/>
      <c r="DS48" s="13"/>
      <c r="DT48" s="13"/>
      <c r="DU48" s="13"/>
      <c r="DV48" s="13"/>
      <c r="DW48" s="13">
        <v>645</v>
      </c>
      <c r="DX48" s="14">
        <v>1594</v>
      </c>
      <c r="DY48" s="13">
        <v>1460</v>
      </c>
      <c r="DZ48" s="13">
        <v>1930</v>
      </c>
      <c r="EA48" s="13">
        <v>1731</v>
      </c>
      <c r="EB48" s="13">
        <v>1862</v>
      </c>
      <c r="EC48" s="13">
        <v>2470</v>
      </c>
      <c r="ED48" s="13">
        <v>1806</v>
      </c>
      <c r="EE48" s="13">
        <v>1839</v>
      </c>
      <c r="EF48" s="13">
        <v>2314</v>
      </c>
      <c r="EG48" s="13">
        <v>1672</v>
      </c>
      <c r="EH48" s="13">
        <v>1369</v>
      </c>
      <c r="EI48" s="13">
        <v>1422</v>
      </c>
      <c r="EJ48" s="14">
        <v>1074</v>
      </c>
      <c r="EK48" s="13">
        <v>810</v>
      </c>
      <c r="EL48" s="13">
        <v>1492</v>
      </c>
      <c r="EM48" s="13">
        <v>1132</v>
      </c>
      <c r="EN48" s="107">
        <v>1463</v>
      </c>
      <c r="EO48" s="13">
        <v>1139</v>
      </c>
      <c r="EP48" s="13">
        <v>989</v>
      </c>
      <c r="EQ48" s="13">
        <v>710</v>
      </c>
      <c r="ER48" s="13">
        <v>1058</v>
      </c>
      <c r="ES48" s="13">
        <v>555</v>
      </c>
      <c r="ET48" s="13">
        <v>1028</v>
      </c>
      <c r="EU48" s="13">
        <v>1263</v>
      </c>
      <c r="EV48" s="14">
        <v>1000</v>
      </c>
      <c r="EW48" s="13">
        <v>1139</v>
      </c>
      <c r="EX48" s="13">
        <v>1027</v>
      </c>
      <c r="EY48" s="13">
        <v>1163</v>
      </c>
      <c r="EZ48" s="107">
        <v>1581</v>
      </c>
      <c r="FA48" s="13">
        <v>1334</v>
      </c>
      <c r="FB48" s="13">
        <v>1246</v>
      </c>
      <c r="FC48" s="13">
        <v>1455</v>
      </c>
      <c r="FD48" s="13">
        <v>1554</v>
      </c>
      <c r="FE48" s="13">
        <v>1755</v>
      </c>
      <c r="FF48" s="13">
        <v>2112</v>
      </c>
      <c r="FG48" s="13">
        <v>1436</v>
      </c>
      <c r="FH48" s="13">
        <v>1164</v>
      </c>
      <c r="FI48" s="13">
        <f>'Average Saturday Boardings'!FI48*5</f>
        <v>1577</v>
      </c>
      <c r="FJ48" s="13">
        <f>'Average Saturday Boardings'!FJ48*4</f>
        <v>1417</v>
      </c>
      <c r="FK48" s="13">
        <f>'Average Saturday Boardings'!FK48*5</f>
        <v>1673.75</v>
      </c>
      <c r="FL48" s="107">
        <v>1728</v>
      </c>
      <c r="FM48" s="13">
        <v>1444</v>
      </c>
      <c r="FN48" s="13">
        <v>1818</v>
      </c>
      <c r="FO48" s="13">
        <v>1501</v>
      </c>
      <c r="FP48" s="13">
        <v>1468</v>
      </c>
      <c r="FQ48" s="13">
        <v>1669</v>
      </c>
      <c r="FR48" s="13">
        <v>1925</v>
      </c>
      <c r="FS48" s="13">
        <v>1499</v>
      </c>
      <c r="FT48" s="16">
        <v>1446</v>
      </c>
      <c r="FU48" s="169">
        <v>2012</v>
      </c>
      <c r="FV48" s="169">
        <v>1723</v>
      </c>
      <c r="FW48" s="169">
        <v>1968</v>
      </c>
      <c r="FX48" s="169">
        <v>1525</v>
      </c>
      <c r="FY48" s="169">
        <v>1470</v>
      </c>
      <c r="FZ48" s="169">
        <v>1826</v>
      </c>
      <c r="GA48" s="169">
        <v>1495</v>
      </c>
      <c r="GB48" s="18">
        <v>1525</v>
      </c>
      <c r="GC48" s="18">
        <v>1900</v>
      </c>
      <c r="GD48" s="18">
        <v>1284</v>
      </c>
      <c r="GE48" s="18">
        <v>1498</v>
      </c>
      <c r="GF48" s="52">
        <v>1890</v>
      </c>
      <c r="GG48" s="18">
        <v>1624</v>
      </c>
      <c r="GH48" s="18">
        <v>2229</v>
      </c>
      <c r="GI48" s="184">
        <v>1796</v>
      </c>
      <c r="GJ48" s="184">
        <v>1695</v>
      </c>
      <c r="GK48" s="184">
        <v>1831</v>
      </c>
      <c r="GL48" s="184">
        <v>1261</v>
      </c>
    </row>
    <row r="49" spans="1:194" ht="15" thickBot="1" x14ac:dyDescent="0.35">
      <c r="A49" s="94" t="s">
        <v>70</v>
      </c>
      <c r="B49" s="27"/>
      <c r="C49" s="28"/>
      <c r="D49" s="28"/>
      <c r="E49" s="28"/>
      <c r="F49" s="28"/>
      <c r="G49" s="28"/>
      <c r="H49" s="29"/>
      <c r="I49" s="30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27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9"/>
      <c r="AS49" s="30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31"/>
      <c r="BE49" s="27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9"/>
      <c r="BQ49" s="30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31"/>
      <c r="CC49" s="27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9"/>
      <c r="CO49" s="30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9"/>
      <c r="DA49" s="27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9"/>
      <c r="DM49" s="27"/>
      <c r="DN49" s="28"/>
      <c r="DO49" s="28"/>
      <c r="DP49" s="28"/>
      <c r="DQ49" s="28"/>
      <c r="DR49" s="28"/>
      <c r="DS49" s="28"/>
      <c r="DT49" s="28"/>
      <c r="DU49" s="28"/>
      <c r="DV49" s="28"/>
      <c r="DW49" s="28">
        <v>3702</v>
      </c>
      <c r="DX49" s="29">
        <v>8265</v>
      </c>
      <c r="DY49" s="100">
        <v>7130</v>
      </c>
      <c r="DZ49" s="28">
        <v>8648</v>
      </c>
      <c r="EA49" s="28">
        <v>7474</v>
      </c>
      <c r="EB49" s="28">
        <v>7463</v>
      </c>
      <c r="EC49" s="28">
        <v>10628</v>
      </c>
      <c r="ED49" s="28">
        <v>7357</v>
      </c>
      <c r="EE49" s="28">
        <v>7072</v>
      </c>
      <c r="EF49" s="28">
        <v>9783</v>
      </c>
      <c r="EG49" s="28">
        <v>3673</v>
      </c>
      <c r="EH49" s="28">
        <v>2255</v>
      </c>
      <c r="EI49" s="28">
        <v>2932</v>
      </c>
      <c r="EJ49" s="29">
        <v>2592</v>
      </c>
      <c r="EK49" s="28">
        <v>1727</v>
      </c>
      <c r="EL49" s="28">
        <v>2474</v>
      </c>
      <c r="EM49" s="28">
        <v>2443</v>
      </c>
      <c r="EN49" s="105">
        <v>2945</v>
      </c>
      <c r="EO49" s="28">
        <v>5096</v>
      </c>
      <c r="EP49" s="28">
        <v>1178</v>
      </c>
      <c r="EQ49" s="28">
        <v>1438</v>
      </c>
      <c r="ER49" s="28">
        <v>2191</v>
      </c>
      <c r="ES49" s="28">
        <v>1753</v>
      </c>
      <c r="ET49" s="28">
        <v>3630</v>
      </c>
      <c r="EU49" s="28">
        <v>4522</v>
      </c>
      <c r="EV49" s="29">
        <v>4165</v>
      </c>
      <c r="EW49" s="108">
        <v>5096</v>
      </c>
      <c r="EX49" s="28">
        <v>2837</v>
      </c>
      <c r="EY49" s="28">
        <v>4648</v>
      </c>
      <c r="EZ49" s="105">
        <v>5952</v>
      </c>
      <c r="FA49" s="28">
        <v>4942</v>
      </c>
      <c r="FB49" s="28">
        <v>5286</v>
      </c>
      <c r="FC49" s="28">
        <v>5816</v>
      </c>
      <c r="FD49" s="28">
        <v>5518</v>
      </c>
      <c r="FE49" s="28">
        <v>5947</v>
      </c>
      <c r="FF49" s="28">
        <v>7097</v>
      </c>
      <c r="FG49" s="28">
        <v>5390</v>
      </c>
      <c r="FH49" s="28">
        <v>4735</v>
      </c>
      <c r="FI49" s="108">
        <f>'Average Saturday Boardings'!FI49*5</f>
        <v>5916</v>
      </c>
      <c r="FJ49" s="28">
        <f>'Average Saturday Boardings'!FJ49*4</f>
        <v>4572</v>
      </c>
      <c r="FK49" s="28">
        <f>'Average Saturday Boardings'!FK49*5</f>
        <v>7058.75</v>
      </c>
      <c r="FL49" s="105">
        <v>5911</v>
      </c>
      <c r="FM49" s="28">
        <v>5320</v>
      </c>
      <c r="FN49" s="28">
        <v>6106</v>
      </c>
      <c r="FO49" s="28">
        <v>5069</v>
      </c>
      <c r="FP49" s="28">
        <v>2399</v>
      </c>
      <c r="FQ49" s="28">
        <v>6054</v>
      </c>
      <c r="FR49" s="28">
        <v>7283</v>
      </c>
      <c r="FS49" s="28">
        <v>5341</v>
      </c>
      <c r="FT49" s="31">
        <v>5441</v>
      </c>
      <c r="FU49" s="169">
        <v>6986</v>
      </c>
      <c r="FV49" s="169">
        <v>5501</v>
      </c>
      <c r="FW49" s="169">
        <v>7254</v>
      </c>
      <c r="FX49" s="169">
        <v>6012</v>
      </c>
      <c r="FY49" s="169">
        <v>6127</v>
      </c>
      <c r="FZ49" s="169">
        <v>7316</v>
      </c>
      <c r="GA49" s="169">
        <v>5981</v>
      </c>
      <c r="GB49" s="18">
        <v>6673</v>
      </c>
      <c r="GC49" s="18">
        <v>7622</v>
      </c>
      <c r="GD49" s="18">
        <v>6199</v>
      </c>
      <c r="GE49" s="89">
        <v>7011</v>
      </c>
      <c r="GF49" s="52">
        <v>7168</v>
      </c>
      <c r="GG49" s="18">
        <v>6876</v>
      </c>
      <c r="GH49" s="18">
        <v>9059</v>
      </c>
      <c r="GI49" s="184">
        <v>6739</v>
      </c>
      <c r="GJ49" s="184">
        <v>7962</v>
      </c>
      <c r="GK49" s="184">
        <v>9136</v>
      </c>
      <c r="GL49" s="184">
        <v>6061</v>
      </c>
    </row>
    <row r="50" spans="1:194" s="5" customFormat="1" x14ac:dyDescent="0.3">
      <c r="A50" s="45" t="s">
        <v>53</v>
      </c>
      <c r="B50" s="47"/>
      <c r="C50" s="48">
        <f t="shared" ref="C50:AH50" si="0">SUM(C10:C43)</f>
        <v>161648</v>
      </c>
      <c r="D50" s="48">
        <f t="shared" si="0"/>
        <v>150730</v>
      </c>
      <c r="E50" s="48">
        <f t="shared" si="0"/>
        <v>127119</v>
      </c>
      <c r="F50" s="48">
        <f t="shared" si="0"/>
        <v>147401</v>
      </c>
      <c r="G50" s="48">
        <f t="shared" si="0"/>
        <v>109437</v>
      </c>
      <c r="H50" s="49">
        <f t="shared" si="0"/>
        <v>92202</v>
      </c>
      <c r="I50" s="47">
        <f t="shared" si="0"/>
        <v>88183</v>
      </c>
      <c r="J50" s="48">
        <f t="shared" si="0"/>
        <v>84858</v>
      </c>
      <c r="K50" s="48">
        <f t="shared" si="0"/>
        <v>123006</v>
      </c>
      <c r="L50" s="48">
        <f t="shared" si="0"/>
        <v>127464</v>
      </c>
      <c r="M50" s="48">
        <f t="shared" si="0"/>
        <v>119034</v>
      </c>
      <c r="N50" s="48">
        <f t="shared" si="0"/>
        <v>117902</v>
      </c>
      <c r="O50" s="48">
        <f t="shared" si="0"/>
        <v>128587</v>
      </c>
      <c r="P50" s="48">
        <f t="shared" si="0"/>
        <v>121444</v>
      </c>
      <c r="Q50" s="48">
        <f t="shared" si="0"/>
        <v>132216</v>
      </c>
      <c r="R50" s="48">
        <f t="shared" si="0"/>
        <v>135939</v>
      </c>
      <c r="S50" s="48">
        <f t="shared" si="0"/>
        <v>112213</v>
      </c>
      <c r="T50" s="49">
        <f t="shared" si="0"/>
        <v>99321</v>
      </c>
      <c r="U50" s="47">
        <f t="shared" si="0"/>
        <v>121606</v>
      </c>
      <c r="V50" s="48">
        <f t="shared" si="0"/>
        <v>110117</v>
      </c>
      <c r="W50" s="48">
        <f t="shared" si="0"/>
        <v>141301</v>
      </c>
      <c r="X50" s="48">
        <f t="shared" si="0"/>
        <v>115551</v>
      </c>
      <c r="Y50" s="48">
        <f t="shared" si="0"/>
        <v>120224</v>
      </c>
      <c r="Z50" s="48">
        <f t="shared" si="0"/>
        <v>89777</v>
      </c>
      <c r="AA50" s="48">
        <f t="shared" si="0"/>
        <v>122589</v>
      </c>
      <c r="AB50" s="48">
        <f t="shared" si="0"/>
        <v>116023</v>
      </c>
      <c r="AC50" s="48">
        <f t="shared" si="0"/>
        <v>142767</v>
      </c>
      <c r="AD50" s="48">
        <f t="shared" si="0"/>
        <v>175234</v>
      </c>
      <c r="AE50" s="48">
        <f t="shared" si="0"/>
        <v>114453</v>
      </c>
      <c r="AF50" s="49">
        <f t="shared" si="0"/>
        <v>105183</v>
      </c>
      <c r="AG50" s="47">
        <f t="shared" si="0"/>
        <v>127791</v>
      </c>
      <c r="AH50" s="48">
        <f t="shared" si="0"/>
        <v>115386</v>
      </c>
      <c r="AI50" s="48">
        <f t="shared" ref="AI50:BN50" si="1">SUM(AI10:AI43)</f>
        <v>138079</v>
      </c>
      <c r="AJ50" s="48">
        <f t="shared" si="1"/>
        <v>183627</v>
      </c>
      <c r="AK50" s="48">
        <f t="shared" si="1"/>
        <v>122686</v>
      </c>
      <c r="AL50" s="48">
        <f t="shared" si="1"/>
        <v>152365</v>
      </c>
      <c r="AM50" s="48">
        <f t="shared" si="1"/>
        <v>129280</v>
      </c>
      <c r="AN50" s="48">
        <f t="shared" si="1"/>
        <v>137427</v>
      </c>
      <c r="AO50" s="48">
        <f t="shared" si="1"/>
        <v>166998</v>
      </c>
      <c r="AP50" s="48">
        <f t="shared" si="1"/>
        <v>153007</v>
      </c>
      <c r="AQ50" s="48">
        <f t="shared" si="1"/>
        <v>125791</v>
      </c>
      <c r="AR50" s="49">
        <f t="shared" si="1"/>
        <v>145078</v>
      </c>
      <c r="AS50" s="47">
        <f t="shared" si="1"/>
        <v>111738</v>
      </c>
      <c r="AT50" s="48">
        <f t="shared" si="1"/>
        <v>114368</v>
      </c>
      <c r="AU50" s="48">
        <f t="shared" si="1"/>
        <v>172259</v>
      </c>
      <c r="AV50" s="48">
        <f t="shared" si="1"/>
        <v>153377</v>
      </c>
      <c r="AW50" s="48">
        <f t="shared" si="1"/>
        <v>135227</v>
      </c>
      <c r="AX50" s="48">
        <f t="shared" si="1"/>
        <v>169819</v>
      </c>
      <c r="AY50" s="48">
        <f t="shared" si="1"/>
        <v>125289</v>
      </c>
      <c r="AZ50" s="48">
        <f t="shared" si="1"/>
        <v>136484</v>
      </c>
      <c r="BA50" s="48">
        <f t="shared" si="1"/>
        <v>174906</v>
      </c>
      <c r="BB50" s="48">
        <f t="shared" si="1"/>
        <v>167769</v>
      </c>
      <c r="BC50" s="48">
        <f t="shared" si="1"/>
        <v>137760</v>
      </c>
      <c r="BD50" s="49">
        <f t="shared" si="1"/>
        <v>136189</v>
      </c>
      <c r="BE50" s="47">
        <f t="shared" si="1"/>
        <v>113527</v>
      </c>
      <c r="BF50" s="48">
        <f t="shared" si="1"/>
        <v>145128</v>
      </c>
      <c r="BG50" s="48">
        <f t="shared" si="1"/>
        <v>151051</v>
      </c>
      <c r="BH50" s="48">
        <f t="shared" si="1"/>
        <v>154853</v>
      </c>
      <c r="BI50" s="48">
        <f t="shared" si="1"/>
        <v>185042</v>
      </c>
      <c r="BJ50" s="48">
        <f t="shared" si="1"/>
        <v>165950</v>
      </c>
      <c r="BK50" s="48">
        <f t="shared" si="1"/>
        <v>141912</v>
      </c>
      <c r="BL50" s="48">
        <f t="shared" si="1"/>
        <v>144229</v>
      </c>
      <c r="BM50" s="48">
        <f t="shared" si="1"/>
        <v>179859</v>
      </c>
      <c r="BN50" s="48">
        <f t="shared" si="1"/>
        <v>154988</v>
      </c>
      <c r="BO50" s="48">
        <f t="shared" ref="BO50:CC50" si="2">SUM(BO10:BO43)</f>
        <v>149135</v>
      </c>
      <c r="BP50" s="49">
        <f t="shared" si="2"/>
        <v>133402</v>
      </c>
      <c r="BQ50" s="47">
        <f t="shared" si="2"/>
        <v>104356</v>
      </c>
      <c r="BR50" s="48">
        <f t="shared" si="2"/>
        <v>148949</v>
      </c>
      <c r="BS50" s="48">
        <f t="shared" si="2"/>
        <v>117368</v>
      </c>
      <c r="BT50" s="48">
        <f t="shared" si="2"/>
        <v>158544</v>
      </c>
      <c r="BU50" s="48">
        <f t="shared" si="2"/>
        <v>200940</v>
      </c>
      <c r="BV50" s="48">
        <f t="shared" si="2"/>
        <v>130930</v>
      </c>
      <c r="BW50" s="48">
        <f t="shared" si="2"/>
        <v>267681</v>
      </c>
      <c r="BX50" s="48">
        <f t="shared" si="2"/>
        <v>137543</v>
      </c>
      <c r="BY50" s="48">
        <f t="shared" si="2"/>
        <v>143672</v>
      </c>
      <c r="BZ50" s="48">
        <f t="shared" si="2"/>
        <v>151472</v>
      </c>
      <c r="CA50" s="48">
        <f t="shared" si="2"/>
        <v>173281</v>
      </c>
      <c r="CB50" s="49">
        <f t="shared" si="2"/>
        <v>113030</v>
      </c>
      <c r="CC50" s="50">
        <f t="shared" si="2"/>
        <v>136450</v>
      </c>
      <c r="CD50" s="48">
        <f t="shared" ref="CD50:CJ50" si="3">SUM(CD10:CD47)</f>
        <v>159237</v>
      </c>
      <c r="CE50" s="48">
        <f t="shared" si="3"/>
        <v>166707</v>
      </c>
      <c r="CF50" s="48">
        <f t="shared" si="3"/>
        <v>215729</v>
      </c>
      <c r="CG50" s="48">
        <f t="shared" si="3"/>
        <v>170129</v>
      </c>
      <c r="CH50" s="48">
        <f t="shared" si="3"/>
        <v>139046</v>
      </c>
      <c r="CI50" s="48">
        <f t="shared" si="3"/>
        <v>187758</v>
      </c>
      <c r="CJ50" s="48">
        <f t="shared" si="3"/>
        <v>152407</v>
      </c>
      <c r="CK50" s="48">
        <f t="shared" ref="CK50:DV50" si="4">SUM(CK7:CK47)</f>
        <v>156520</v>
      </c>
      <c r="CL50" s="48">
        <f t="shared" si="4"/>
        <v>229932</v>
      </c>
      <c r="CM50" s="48">
        <f t="shared" si="4"/>
        <v>155437</v>
      </c>
      <c r="CN50" s="51">
        <f t="shared" si="4"/>
        <v>150260</v>
      </c>
      <c r="CO50" s="47">
        <f t="shared" si="4"/>
        <v>173184</v>
      </c>
      <c r="CP50" s="48">
        <f t="shared" si="4"/>
        <v>148055</v>
      </c>
      <c r="CQ50" s="48">
        <f t="shared" si="4"/>
        <v>176979</v>
      </c>
      <c r="CR50" s="48">
        <f t="shared" si="4"/>
        <v>214751</v>
      </c>
      <c r="CS50" s="48">
        <f t="shared" si="4"/>
        <v>145111</v>
      </c>
      <c r="CT50" s="48">
        <f t="shared" si="4"/>
        <v>162149</v>
      </c>
      <c r="CU50" s="48">
        <f t="shared" si="4"/>
        <v>152050</v>
      </c>
      <c r="CV50" s="48">
        <f t="shared" si="4"/>
        <v>154584</v>
      </c>
      <c r="CW50" s="48">
        <f t="shared" si="4"/>
        <v>160579</v>
      </c>
      <c r="CX50" s="48">
        <f t="shared" si="4"/>
        <v>249493</v>
      </c>
      <c r="CY50" s="48">
        <f t="shared" si="4"/>
        <v>159044</v>
      </c>
      <c r="CZ50" s="49">
        <f t="shared" si="4"/>
        <v>138513</v>
      </c>
      <c r="DA50" s="47">
        <f t="shared" si="4"/>
        <v>168477</v>
      </c>
      <c r="DB50" s="48">
        <f t="shared" si="4"/>
        <v>144669</v>
      </c>
      <c r="DC50" s="48">
        <f t="shared" si="4"/>
        <v>193691</v>
      </c>
      <c r="DD50" s="48">
        <f t="shared" si="4"/>
        <v>178462</v>
      </c>
      <c r="DE50" s="48">
        <f t="shared" si="4"/>
        <v>162330</v>
      </c>
      <c r="DF50" s="48">
        <f t="shared" si="4"/>
        <v>188206</v>
      </c>
      <c r="DG50" s="48">
        <f t="shared" si="4"/>
        <v>140098</v>
      </c>
      <c r="DH50" s="48">
        <f t="shared" si="4"/>
        <v>152978</v>
      </c>
      <c r="DI50" s="48">
        <f t="shared" si="4"/>
        <v>200974</v>
      </c>
      <c r="DJ50" s="48">
        <f t="shared" si="4"/>
        <v>158871</v>
      </c>
      <c r="DK50" s="48">
        <f t="shared" si="4"/>
        <v>140943</v>
      </c>
      <c r="DL50" s="49">
        <f t="shared" si="4"/>
        <v>174717</v>
      </c>
      <c r="DM50" s="47">
        <f t="shared" si="4"/>
        <v>124794</v>
      </c>
      <c r="DN50" s="48">
        <f t="shared" si="4"/>
        <v>132355</v>
      </c>
      <c r="DO50" s="48">
        <f t="shared" si="4"/>
        <v>192491</v>
      </c>
      <c r="DP50" s="48">
        <f t="shared" si="4"/>
        <v>134071</v>
      </c>
      <c r="DQ50" s="48">
        <f t="shared" si="4"/>
        <v>153995</v>
      </c>
      <c r="DR50" s="48">
        <f t="shared" si="4"/>
        <v>184191</v>
      </c>
      <c r="DS50" s="48">
        <f t="shared" si="4"/>
        <v>137504</v>
      </c>
      <c r="DT50" s="48">
        <f t="shared" si="4"/>
        <v>139386</v>
      </c>
      <c r="DU50" s="48">
        <f t="shared" si="4"/>
        <v>192633</v>
      </c>
      <c r="DV50" s="48">
        <f t="shared" si="4"/>
        <v>146281</v>
      </c>
      <c r="DW50" s="48">
        <f t="shared" ref="DW50:EC50" si="5">SUM(DW7:DW49)</f>
        <v>141416</v>
      </c>
      <c r="DX50" s="49">
        <f t="shared" si="5"/>
        <v>157861</v>
      </c>
      <c r="DY50" s="47">
        <f t="shared" si="5"/>
        <v>115234</v>
      </c>
      <c r="DZ50" s="48">
        <f t="shared" si="5"/>
        <v>166525</v>
      </c>
      <c r="EA50" s="48">
        <f t="shared" si="5"/>
        <v>142438</v>
      </c>
      <c r="EB50" s="48">
        <f t="shared" si="5"/>
        <v>147119</v>
      </c>
      <c r="EC50" s="48">
        <f t="shared" si="5"/>
        <v>202828</v>
      </c>
      <c r="ED50" s="48">
        <f>SUM(ED7:ED47)</f>
        <v>133822</v>
      </c>
      <c r="EE50" s="48">
        <f>SUM(EE7:EE47)</f>
        <v>122160</v>
      </c>
      <c r="EF50" s="48">
        <v>178512</v>
      </c>
      <c r="EG50" s="48">
        <v>109529</v>
      </c>
      <c r="EH50" s="48">
        <v>72472</v>
      </c>
      <c r="EI50" s="48">
        <v>86148</v>
      </c>
      <c r="EJ50" s="49">
        <v>66581</v>
      </c>
      <c r="EK50" s="48">
        <v>45929</v>
      </c>
      <c r="EL50" s="48">
        <v>81028</v>
      </c>
      <c r="EM50" s="48">
        <v>68161</v>
      </c>
      <c r="EN50" s="48">
        <v>87196</v>
      </c>
      <c r="EO50" s="48">
        <v>82779</v>
      </c>
      <c r="EP50" s="48">
        <v>50868</v>
      </c>
      <c r="EQ50" s="48">
        <v>39640</v>
      </c>
      <c r="ER50" s="48">
        <v>61805</v>
      </c>
      <c r="ES50" s="48">
        <v>63213</v>
      </c>
      <c r="ET50" s="48">
        <v>74295</v>
      </c>
      <c r="EU50" s="48">
        <v>82779</v>
      </c>
      <c r="EV50" s="49">
        <v>66360</v>
      </c>
      <c r="EW50" s="48">
        <v>82779</v>
      </c>
      <c r="EX50" s="48">
        <v>63112</v>
      </c>
      <c r="EY50" s="48">
        <v>81312</v>
      </c>
      <c r="EZ50" s="102">
        <v>100902</v>
      </c>
      <c r="FA50" s="48">
        <v>93068</v>
      </c>
      <c r="FB50" s="48">
        <v>83765</v>
      </c>
      <c r="FC50" s="48">
        <v>89555</v>
      </c>
      <c r="FD50" s="48">
        <v>92808</v>
      </c>
      <c r="FE50" s="48">
        <v>103209</v>
      </c>
      <c r="FF50" s="48">
        <v>103209</v>
      </c>
      <c r="FG50" s="48">
        <v>93404</v>
      </c>
      <c r="FH50" s="48">
        <v>71355</v>
      </c>
      <c r="FI50" s="48">
        <v>89655</v>
      </c>
      <c r="FJ50" s="48">
        <v>79876</v>
      </c>
      <c r="FK50" s="48">
        <v>120058.75</v>
      </c>
      <c r="FL50" s="102">
        <v>111482</v>
      </c>
      <c r="FM50" s="48">
        <v>101786</v>
      </c>
      <c r="FN50" s="48">
        <v>104435</v>
      </c>
      <c r="FO50" s="48">
        <v>92478</v>
      </c>
      <c r="FP50" s="48">
        <v>121206</v>
      </c>
      <c r="FQ50" s="48">
        <v>109297</v>
      </c>
      <c r="FR50" s="48">
        <v>128858</v>
      </c>
      <c r="FS50" s="48">
        <v>98848</v>
      </c>
      <c r="FT50" s="51">
        <v>98568</v>
      </c>
      <c r="FU50" s="179">
        <f>SUM(FU7:FU49)</f>
        <v>110282</v>
      </c>
      <c r="FV50" s="179">
        <f t="shared" ref="FV50:FZ50" si="6">SUM(FV7:FV49)</f>
        <v>94652</v>
      </c>
      <c r="FW50" s="179">
        <f t="shared" si="6"/>
        <v>130765</v>
      </c>
      <c r="FX50" s="179">
        <f t="shared" si="6"/>
        <v>112756</v>
      </c>
      <c r="FY50" s="179">
        <f t="shared" si="6"/>
        <v>107058</v>
      </c>
      <c r="FZ50" s="179">
        <f t="shared" si="6"/>
        <v>124184</v>
      </c>
      <c r="GA50" s="179">
        <f t="shared" ref="GA50:GF50" si="7">SUM(GA4:GA49)</f>
        <v>104688</v>
      </c>
      <c r="GB50" s="180">
        <f t="shared" si="7"/>
        <v>113847</v>
      </c>
      <c r="GC50" s="180">
        <f t="shared" si="7"/>
        <v>145692</v>
      </c>
      <c r="GD50" s="180">
        <f t="shared" si="7"/>
        <v>111112</v>
      </c>
      <c r="GE50" s="180">
        <f t="shared" si="7"/>
        <v>109413</v>
      </c>
      <c r="GF50" s="176">
        <f t="shared" si="7"/>
        <v>115751</v>
      </c>
      <c r="GG50" s="180">
        <f t="shared" ref="GG50:GL50" si="8">SUM(GG4:GG49)</f>
        <v>97684</v>
      </c>
      <c r="GH50" s="180">
        <f t="shared" si="8"/>
        <v>131764</v>
      </c>
      <c r="GI50" s="176">
        <f t="shared" si="8"/>
        <v>108230</v>
      </c>
      <c r="GJ50" s="185">
        <f t="shared" si="8"/>
        <v>105126</v>
      </c>
      <c r="GK50" s="185">
        <f t="shared" si="8"/>
        <v>131354</v>
      </c>
      <c r="GL50" s="185">
        <f t="shared" si="8"/>
        <v>95553</v>
      </c>
    </row>
    <row r="51" spans="1:194" s="5" customFormat="1" x14ac:dyDescent="0.3">
      <c r="A51" s="45" t="s">
        <v>56</v>
      </c>
      <c r="B51" s="198">
        <f>AVERAGE(C50:H50)</f>
        <v>131422.83333333334</v>
      </c>
      <c r="C51" s="199"/>
      <c r="D51" s="199"/>
      <c r="E51" s="199"/>
      <c r="F51" s="199"/>
      <c r="G51" s="199"/>
      <c r="H51" s="200"/>
      <c r="I51" s="198">
        <f t="shared" ref="I51" si="9">AVERAGE(I50:T50)</f>
        <v>115847.25</v>
      </c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200"/>
      <c r="U51" s="198">
        <f>AVERAGE(U50:AF50)</f>
        <v>122902.08333333333</v>
      </c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200"/>
      <c r="AG51" s="198">
        <f>AVERAGE(AG50:AR50)</f>
        <v>141459.58333333334</v>
      </c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200"/>
      <c r="AS51" s="198">
        <f>AVERAGE(AS50:BD50)</f>
        <v>144598.75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200"/>
      <c r="BE51" s="198">
        <f>AVERAGE(BE50:BP50)</f>
        <v>151589.66666666666</v>
      </c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200"/>
      <c r="BQ51" s="198">
        <f>AVERAGE(BQ50:CB50)</f>
        <v>153980.5</v>
      </c>
      <c r="BR51" s="199"/>
      <c r="BS51" s="199"/>
      <c r="BT51" s="199"/>
      <c r="BU51" s="199"/>
      <c r="BV51" s="199"/>
      <c r="BW51" s="199"/>
      <c r="BX51" s="199"/>
      <c r="BY51" s="199"/>
      <c r="BZ51" s="199"/>
      <c r="CA51" s="199"/>
      <c r="CB51" s="200"/>
      <c r="CC51" s="198">
        <f>AVERAGE(CC50:CN50)</f>
        <v>168301</v>
      </c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200"/>
      <c r="CO51" s="198">
        <f>AVERAGE(CO50:CZ50)</f>
        <v>169541</v>
      </c>
      <c r="CP51" s="199"/>
      <c r="CQ51" s="199"/>
      <c r="CR51" s="199"/>
      <c r="CS51" s="199"/>
      <c r="CT51" s="199"/>
      <c r="CU51" s="199"/>
      <c r="CV51" s="199"/>
      <c r="CW51" s="199"/>
      <c r="CX51" s="199"/>
      <c r="CY51" s="199"/>
      <c r="CZ51" s="200"/>
      <c r="DA51" s="198">
        <f>AVERAGE(DA50:DL50)</f>
        <v>167034.66666666666</v>
      </c>
      <c r="DB51" s="199"/>
      <c r="DC51" s="199"/>
      <c r="DD51" s="199"/>
      <c r="DE51" s="199"/>
      <c r="DF51" s="199"/>
      <c r="DG51" s="199"/>
      <c r="DH51" s="199"/>
      <c r="DI51" s="199"/>
      <c r="DJ51" s="199"/>
      <c r="DK51" s="199"/>
      <c r="DL51" s="200"/>
      <c r="DM51" s="198">
        <f>AVERAGE(DM50:DX50)</f>
        <v>153081.5</v>
      </c>
      <c r="DN51" s="199"/>
      <c r="DO51" s="199"/>
      <c r="DP51" s="199"/>
      <c r="DQ51" s="199"/>
      <c r="DR51" s="199"/>
      <c r="DS51" s="199"/>
      <c r="DT51" s="199"/>
      <c r="DU51" s="199"/>
      <c r="DV51" s="199"/>
      <c r="DW51" s="199"/>
      <c r="DX51" s="200"/>
      <c r="DY51" s="198">
        <f>AVERAGE(DY50:EJ50)</f>
        <v>128614</v>
      </c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200"/>
      <c r="EK51" s="198">
        <f>AVERAGE(EK50:EV50)</f>
        <v>67004.416666666672</v>
      </c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200"/>
      <c r="EW51" s="198">
        <f>AVERAGE(EW50:FH50)</f>
        <v>88206.5</v>
      </c>
      <c r="EX51" s="199"/>
      <c r="EY51" s="199"/>
      <c r="EZ51" s="199"/>
      <c r="FA51" s="199"/>
      <c r="FB51" s="199"/>
      <c r="FC51" s="199"/>
      <c r="FD51" s="199"/>
      <c r="FE51" s="199"/>
      <c r="FF51" s="199"/>
      <c r="FG51" s="199"/>
      <c r="FH51" s="200"/>
      <c r="FI51" s="198">
        <f>AVERAGE(FI50:FT50)</f>
        <v>104712.3125</v>
      </c>
      <c r="FJ51" s="199"/>
      <c r="FK51" s="199"/>
      <c r="FL51" s="199"/>
      <c r="FM51" s="199"/>
      <c r="FN51" s="199"/>
      <c r="FO51" s="199"/>
      <c r="FP51" s="199"/>
      <c r="FQ51" s="199"/>
      <c r="FR51" s="199"/>
      <c r="FS51" s="199"/>
      <c r="FT51" s="199"/>
      <c r="FU51" s="207">
        <f>AVERAGE(FU50:GA50)</f>
        <v>112055</v>
      </c>
      <c r="FV51" s="207"/>
      <c r="FW51" s="207"/>
      <c r="FX51" s="207"/>
      <c r="FY51" s="207"/>
      <c r="FZ51" s="207"/>
      <c r="GA51" s="207"/>
      <c r="GB51" s="207"/>
      <c r="GC51" s="207"/>
      <c r="GD51" s="207"/>
      <c r="GE51" s="207"/>
      <c r="GF51" s="207"/>
      <c r="GJ51" s="187"/>
    </row>
    <row r="52" spans="1:194" x14ac:dyDescent="0.3">
      <c r="DY52" s="135"/>
      <c r="DZ52" s="135"/>
      <c r="EA52" s="135"/>
      <c r="EB52" s="135"/>
      <c r="EC52" s="135"/>
      <c r="ED52" s="135"/>
      <c r="EE52" s="135"/>
      <c r="EF52" s="135"/>
      <c r="EG52" s="135"/>
      <c r="EH52" s="135"/>
      <c r="EI52" s="135"/>
      <c r="EJ52" s="135"/>
      <c r="EK52" s="135"/>
    </row>
    <row r="54" spans="1:194" x14ac:dyDescent="0.3">
      <c r="DA54" s="89"/>
      <c r="FG54" s="206"/>
      <c r="FH54" s="206"/>
      <c r="FI54" s="206"/>
      <c r="FJ54" s="206"/>
      <c r="FK54" s="206"/>
      <c r="FL54" s="206"/>
      <c r="FM54" s="206"/>
      <c r="FN54" s="206"/>
      <c r="FO54" s="206"/>
      <c r="FP54" s="206"/>
      <c r="FQ54" s="206"/>
      <c r="FR54" s="206"/>
      <c r="FS54" s="206"/>
      <c r="FT54" s="206"/>
    </row>
    <row r="55" spans="1:194" ht="15" thickBot="1" x14ac:dyDescent="0.35">
      <c r="DA55" s="90"/>
      <c r="FG55" s="152"/>
      <c r="FH55" s="152"/>
      <c r="FI55" s="152"/>
      <c r="FJ55" s="152"/>
      <c r="FK55" s="152"/>
      <c r="FL55" s="152"/>
      <c r="FM55" s="152"/>
      <c r="FN55" s="152"/>
      <c r="FO55" s="172">
        <v>44949</v>
      </c>
      <c r="FP55" s="172">
        <v>44980</v>
      </c>
      <c r="FQ55" s="172">
        <v>45008</v>
      </c>
      <c r="FR55" s="172">
        <v>45039</v>
      </c>
      <c r="FS55" s="172">
        <v>45069</v>
      </c>
      <c r="FT55" s="172">
        <v>45100</v>
      </c>
      <c r="FU55" s="173">
        <v>45130</v>
      </c>
      <c r="FV55" s="173">
        <v>45161</v>
      </c>
      <c r="FW55" s="173">
        <v>45192</v>
      </c>
      <c r="FX55" s="173">
        <v>45222</v>
      </c>
      <c r="FY55" s="173">
        <v>45253</v>
      </c>
      <c r="FZ55" s="173">
        <v>45283</v>
      </c>
      <c r="GA55" s="173">
        <v>45315</v>
      </c>
      <c r="GB55" s="173">
        <v>45345</v>
      </c>
      <c r="GC55" s="173">
        <v>45374</v>
      </c>
      <c r="GD55" s="173">
        <v>45405</v>
      </c>
      <c r="GE55" s="173">
        <v>45435</v>
      </c>
      <c r="GF55" s="173">
        <v>45466</v>
      </c>
      <c r="GG55" s="173">
        <v>45496</v>
      </c>
      <c r="GH55" s="173">
        <v>45527</v>
      </c>
      <c r="GI55" s="173">
        <v>45559</v>
      </c>
      <c r="GJ55" s="188">
        <v>45590</v>
      </c>
      <c r="GK55" s="188">
        <v>45622</v>
      </c>
      <c r="GL55" s="188">
        <v>45653</v>
      </c>
    </row>
    <row r="56" spans="1:194" x14ac:dyDescent="0.3">
      <c r="A56" s="156" t="s">
        <v>80</v>
      </c>
      <c r="FO56" s="174">
        <v>335</v>
      </c>
      <c r="FP56" s="174">
        <v>464</v>
      </c>
      <c r="FQ56" s="145">
        <v>722</v>
      </c>
      <c r="FR56" s="169">
        <v>650</v>
      </c>
      <c r="FS56" s="169">
        <v>670</v>
      </c>
      <c r="FT56" s="169">
        <v>461</v>
      </c>
      <c r="FU56" s="52">
        <v>634</v>
      </c>
      <c r="FV56" s="52">
        <v>579</v>
      </c>
      <c r="FW56" s="52">
        <v>1072</v>
      </c>
      <c r="FX56" s="52">
        <v>879</v>
      </c>
      <c r="FY56" s="52">
        <v>560</v>
      </c>
      <c r="FZ56" s="52">
        <v>487</v>
      </c>
      <c r="GA56" s="52">
        <v>362</v>
      </c>
      <c r="GB56" s="169">
        <v>555</v>
      </c>
      <c r="GC56" s="171">
        <v>440.81664098613254</v>
      </c>
      <c r="GD56" s="171">
        <v>592</v>
      </c>
      <c r="GE56" s="169">
        <v>572</v>
      </c>
      <c r="GF56" s="52">
        <v>642</v>
      </c>
      <c r="GG56" s="169">
        <v>622</v>
      </c>
      <c r="GH56" s="169">
        <v>678</v>
      </c>
      <c r="GI56" s="169">
        <v>685</v>
      </c>
      <c r="GJ56" s="184">
        <v>799</v>
      </c>
      <c r="GK56" s="52">
        <v>707</v>
      </c>
      <c r="GL56" s="52">
        <v>417</v>
      </c>
    </row>
    <row r="57" spans="1:194" x14ac:dyDescent="0.3">
      <c r="A57" s="157" t="s">
        <v>81</v>
      </c>
      <c r="DA57" s="89"/>
      <c r="FO57" s="174">
        <v>168</v>
      </c>
      <c r="FP57" s="174">
        <v>262</v>
      </c>
      <c r="FQ57" s="145">
        <v>377</v>
      </c>
      <c r="FR57" s="169">
        <v>287</v>
      </c>
      <c r="FS57" s="169">
        <v>363</v>
      </c>
      <c r="FT57" s="169">
        <v>380</v>
      </c>
      <c r="FU57" s="52">
        <v>441</v>
      </c>
      <c r="FV57" s="52">
        <v>379</v>
      </c>
      <c r="FW57" s="52">
        <v>420</v>
      </c>
      <c r="FX57" s="52">
        <v>171</v>
      </c>
      <c r="FY57" s="52">
        <v>111</v>
      </c>
      <c r="FZ57" s="52">
        <v>147</v>
      </c>
      <c r="GA57" s="52">
        <v>111</v>
      </c>
      <c r="GB57" s="169">
        <v>150</v>
      </c>
      <c r="GC57" s="171">
        <v>125.94761171032359</v>
      </c>
      <c r="GD57" s="171">
        <v>134</v>
      </c>
      <c r="GE57" s="169">
        <v>147</v>
      </c>
      <c r="GF57" s="52">
        <v>157</v>
      </c>
      <c r="GG57" s="169">
        <v>139</v>
      </c>
      <c r="GH57" s="169">
        <v>154</v>
      </c>
      <c r="GI57" s="169">
        <v>189</v>
      </c>
      <c r="GJ57" s="184">
        <v>156</v>
      </c>
      <c r="GK57" s="52">
        <v>126</v>
      </c>
      <c r="GL57" s="52">
        <v>119</v>
      </c>
    </row>
    <row r="58" spans="1:194" x14ac:dyDescent="0.3">
      <c r="A58" s="157" t="s">
        <v>82</v>
      </c>
      <c r="DA58" s="89"/>
      <c r="DD58" s="89"/>
      <c r="FO58" s="174">
        <v>64</v>
      </c>
      <c r="FP58" s="174">
        <v>173</v>
      </c>
      <c r="FQ58" s="145">
        <v>247</v>
      </c>
      <c r="FR58" s="169">
        <v>160</v>
      </c>
      <c r="FS58" s="169">
        <v>118</v>
      </c>
      <c r="FT58" s="169">
        <v>164</v>
      </c>
      <c r="FU58" s="52">
        <v>165</v>
      </c>
      <c r="FV58" s="52">
        <v>166</v>
      </c>
      <c r="FW58" s="52">
        <v>206</v>
      </c>
      <c r="FX58" s="52">
        <v>190</v>
      </c>
      <c r="FY58" s="52">
        <v>89</v>
      </c>
      <c r="FZ58" s="52">
        <v>160</v>
      </c>
      <c r="GA58" s="52">
        <v>111</v>
      </c>
      <c r="GB58" s="169">
        <v>124</v>
      </c>
      <c r="GC58" s="171">
        <v>229.18335901386752</v>
      </c>
      <c r="GD58" s="171">
        <v>122</v>
      </c>
      <c r="GE58" s="169">
        <v>194</v>
      </c>
      <c r="GF58" s="52">
        <v>67</v>
      </c>
      <c r="GG58" s="169">
        <v>122</v>
      </c>
      <c r="GH58" s="169">
        <v>161</v>
      </c>
      <c r="GI58" s="169">
        <v>216</v>
      </c>
      <c r="GJ58" s="184">
        <v>213</v>
      </c>
      <c r="GK58" s="52">
        <v>58</v>
      </c>
      <c r="GL58" s="52">
        <v>137</v>
      </c>
    </row>
    <row r="59" spans="1:194" x14ac:dyDescent="0.3">
      <c r="A59" s="157" t="s">
        <v>83</v>
      </c>
      <c r="FO59" s="174">
        <v>64</v>
      </c>
      <c r="FP59" s="174">
        <v>70</v>
      </c>
      <c r="FQ59" s="145">
        <v>166</v>
      </c>
      <c r="FR59" s="169">
        <v>114</v>
      </c>
      <c r="FS59" s="169">
        <v>125</v>
      </c>
      <c r="FT59" s="169">
        <v>119</v>
      </c>
      <c r="FU59" s="52">
        <v>133</v>
      </c>
      <c r="FV59" s="52">
        <v>141</v>
      </c>
      <c r="FW59" s="52">
        <v>170</v>
      </c>
      <c r="FX59" s="52">
        <v>100</v>
      </c>
      <c r="FY59" s="52">
        <v>77</v>
      </c>
      <c r="FZ59" s="52">
        <v>88</v>
      </c>
      <c r="GA59" s="52">
        <v>68</v>
      </c>
      <c r="GB59" s="169">
        <v>308</v>
      </c>
      <c r="GC59" s="171">
        <v>114.59167950693376</v>
      </c>
      <c r="GD59" s="171">
        <v>82</v>
      </c>
      <c r="GE59" s="169">
        <v>32</v>
      </c>
      <c r="GF59" s="52">
        <v>226</v>
      </c>
      <c r="GG59" s="169">
        <v>686</v>
      </c>
      <c r="GH59" s="169">
        <v>832</v>
      </c>
      <c r="GI59" s="169">
        <v>516</v>
      </c>
      <c r="GJ59" s="184">
        <v>160</v>
      </c>
      <c r="GK59" s="52">
        <v>205</v>
      </c>
      <c r="GL59" s="52">
        <v>104</v>
      </c>
    </row>
    <row r="60" spans="1:194" x14ac:dyDescent="0.3">
      <c r="A60" s="157" t="s">
        <v>84</v>
      </c>
      <c r="DA60" s="91"/>
      <c r="FO60" s="174">
        <v>116</v>
      </c>
      <c r="FP60" s="174">
        <v>155</v>
      </c>
      <c r="FQ60" s="145">
        <v>188</v>
      </c>
      <c r="FR60" s="169">
        <v>192</v>
      </c>
      <c r="FS60" s="169">
        <v>173</v>
      </c>
      <c r="FT60" s="169">
        <v>173</v>
      </c>
      <c r="FU60" s="52">
        <v>240</v>
      </c>
      <c r="FV60" s="52">
        <v>255</v>
      </c>
      <c r="FW60" s="52">
        <v>377</v>
      </c>
      <c r="FX60" s="52">
        <v>201</v>
      </c>
      <c r="FY60" s="52">
        <v>132</v>
      </c>
      <c r="FZ60" s="52">
        <v>151</v>
      </c>
      <c r="GA60" s="52">
        <v>127</v>
      </c>
      <c r="GB60" s="169">
        <v>201</v>
      </c>
      <c r="GC60" s="171">
        <v>180.66255778120185</v>
      </c>
      <c r="GD60" s="171">
        <v>199</v>
      </c>
      <c r="GE60" s="169">
        <v>166</v>
      </c>
      <c r="GF60" s="52">
        <v>139</v>
      </c>
      <c r="GG60" s="169">
        <v>118</v>
      </c>
      <c r="GH60" s="169">
        <v>198</v>
      </c>
      <c r="GI60" s="169">
        <v>250</v>
      </c>
      <c r="GJ60" s="184">
        <v>235</v>
      </c>
      <c r="GK60" s="52">
        <v>168</v>
      </c>
      <c r="GL60" s="52">
        <v>99</v>
      </c>
    </row>
    <row r="61" spans="1:194" x14ac:dyDescent="0.3">
      <c r="A61" s="157" t="s">
        <v>85</v>
      </c>
      <c r="FO61" s="174">
        <v>121</v>
      </c>
      <c r="FP61" s="174">
        <v>240</v>
      </c>
      <c r="FQ61" s="145">
        <v>250</v>
      </c>
      <c r="FR61" s="169">
        <v>309</v>
      </c>
      <c r="FS61" s="169">
        <v>248</v>
      </c>
      <c r="FT61" s="169">
        <v>203</v>
      </c>
      <c r="FU61" s="52">
        <v>243</v>
      </c>
      <c r="FV61" s="52">
        <v>239</v>
      </c>
      <c r="FW61" s="52">
        <v>459</v>
      </c>
      <c r="FX61" s="52">
        <v>277</v>
      </c>
      <c r="FY61" s="52">
        <v>220</v>
      </c>
      <c r="FZ61" s="52">
        <v>150</v>
      </c>
      <c r="GA61" s="52">
        <v>220</v>
      </c>
      <c r="GB61" s="169">
        <v>241</v>
      </c>
      <c r="GC61" s="171">
        <v>631.8027734976888</v>
      </c>
      <c r="GD61" s="171">
        <v>256</v>
      </c>
      <c r="GE61" s="169">
        <v>177</v>
      </c>
      <c r="GF61" s="52">
        <v>177</v>
      </c>
      <c r="GG61" s="169">
        <v>132</v>
      </c>
      <c r="GH61" s="169">
        <v>219</v>
      </c>
      <c r="GI61" s="169">
        <v>281</v>
      </c>
      <c r="GJ61" s="184">
        <v>303</v>
      </c>
      <c r="GK61" s="52">
        <v>207</v>
      </c>
      <c r="GL61" s="52">
        <v>140</v>
      </c>
    </row>
    <row r="62" spans="1:194" x14ac:dyDescent="0.3">
      <c r="A62" s="157" t="s">
        <v>86</v>
      </c>
      <c r="FO62" s="174">
        <v>713</v>
      </c>
      <c r="FP62" s="174">
        <v>687</v>
      </c>
      <c r="FQ62" s="145">
        <v>990</v>
      </c>
      <c r="FR62" s="169">
        <v>1422</v>
      </c>
      <c r="FS62" s="169">
        <v>612</v>
      </c>
      <c r="FT62" s="169">
        <v>658</v>
      </c>
      <c r="FU62" s="52">
        <v>719</v>
      </c>
      <c r="FV62" s="52">
        <v>862</v>
      </c>
      <c r="FW62" s="52">
        <v>1526</v>
      </c>
      <c r="FX62" s="52">
        <v>1069</v>
      </c>
      <c r="FY62" s="52">
        <v>1094</v>
      </c>
      <c r="FZ62" s="52">
        <v>892</v>
      </c>
      <c r="GA62" s="52">
        <v>1072</v>
      </c>
      <c r="GB62" s="169">
        <v>886</v>
      </c>
      <c r="GC62" s="171">
        <v>944.60708782742688</v>
      </c>
      <c r="GD62" s="171">
        <v>1021</v>
      </c>
      <c r="GE62" s="169">
        <v>555</v>
      </c>
      <c r="GF62" s="52">
        <v>501</v>
      </c>
      <c r="GG62" s="169">
        <v>423</v>
      </c>
      <c r="GH62" s="169">
        <v>1024</v>
      </c>
      <c r="GI62" s="169">
        <v>1022</v>
      </c>
      <c r="GJ62" s="184">
        <v>1138</v>
      </c>
      <c r="GK62" s="52">
        <v>1348</v>
      </c>
      <c r="GL62" s="52">
        <v>844</v>
      </c>
    </row>
    <row r="63" spans="1:194" x14ac:dyDescent="0.3">
      <c r="A63" s="157" t="s">
        <v>87</v>
      </c>
      <c r="FO63" s="174">
        <v>347</v>
      </c>
      <c r="FP63" s="174">
        <v>331</v>
      </c>
      <c r="FQ63" s="145">
        <v>503</v>
      </c>
      <c r="FR63" s="169">
        <v>802</v>
      </c>
      <c r="FS63" s="169">
        <v>338</v>
      </c>
      <c r="FT63" s="169">
        <v>348</v>
      </c>
      <c r="FU63" s="52">
        <v>349</v>
      </c>
      <c r="FV63" s="52">
        <v>458</v>
      </c>
      <c r="FW63" s="52">
        <v>844</v>
      </c>
      <c r="FX63" s="52">
        <v>472</v>
      </c>
      <c r="FY63" s="52">
        <v>385</v>
      </c>
      <c r="FZ63" s="52">
        <v>290</v>
      </c>
      <c r="GA63" s="52">
        <v>456</v>
      </c>
      <c r="GB63" s="169">
        <v>431</v>
      </c>
      <c r="GC63" s="171">
        <v>599.79969183359015</v>
      </c>
      <c r="GD63" s="171">
        <v>533</v>
      </c>
      <c r="GE63" s="169">
        <v>221</v>
      </c>
      <c r="GF63" s="52">
        <v>210</v>
      </c>
      <c r="GG63" s="169">
        <v>193</v>
      </c>
      <c r="GH63" s="169">
        <v>375</v>
      </c>
      <c r="GI63" s="169">
        <v>442</v>
      </c>
      <c r="GJ63" s="184">
        <v>508</v>
      </c>
      <c r="GK63" s="52">
        <v>624</v>
      </c>
      <c r="GL63" s="52">
        <v>366</v>
      </c>
    </row>
    <row r="64" spans="1:194" x14ac:dyDescent="0.3">
      <c r="A64" s="157" t="s">
        <v>88</v>
      </c>
      <c r="FO64" s="174">
        <v>423</v>
      </c>
      <c r="FP64" s="174">
        <v>534</v>
      </c>
      <c r="FQ64" s="145">
        <v>699</v>
      </c>
      <c r="FR64" s="169">
        <v>920</v>
      </c>
      <c r="FS64" s="169">
        <v>356</v>
      </c>
      <c r="FT64" s="169">
        <v>342</v>
      </c>
      <c r="FU64" s="52">
        <v>415</v>
      </c>
      <c r="FV64" s="52">
        <v>617</v>
      </c>
      <c r="FW64" s="52">
        <v>886</v>
      </c>
      <c r="FX64" s="52">
        <v>645</v>
      </c>
      <c r="FY64" s="52">
        <v>420</v>
      </c>
      <c r="FZ64" s="52">
        <v>397</v>
      </c>
      <c r="GA64" s="52">
        <v>482</v>
      </c>
      <c r="GB64" s="169">
        <v>534</v>
      </c>
      <c r="GC64" s="171">
        <v>579.15254237288138</v>
      </c>
      <c r="GD64" s="171">
        <v>633</v>
      </c>
      <c r="GE64" s="169">
        <v>261</v>
      </c>
      <c r="GF64" s="52">
        <v>289</v>
      </c>
      <c r="GG64" s="169">
        <v>286</v>
      </c>
      <c r="GH64" s="169">
        <v>566</v>
      </c>
      <c r="GI64" s="169">
        <v>471</v>
      </c>
      <c r="GJ64" s="184">
        <v>568</v>
      </c>
      <c r="GK64" s="52">
        <v>696</v>
      </c>
      <c r="GL64" s="52">
        <v>290</v>
      </c>
    </row>
    <row r="65" spans="1:194" x14ac:dyDescent="0.3">
      <c r="A65" s="157" t="s">
        <v>89</v>
      </c>
      <c r="FO65" s="174">
        <v>759</v>
      </c>
      <c r="FP65" s="174">
        <v>852</v>
      </c>
      <c r="FQ65" s="145">
        <v>1170</v>
      </c>
      <c r="FR65" s="169">
        <v>1859</v>
      </c>
      <c r="FS65" s="169">
        <v>436</v>
      </c>
      <c r="FT65" s="169">
        <v>559</v>
      </c>
      <c r="FU65" s="52">
        <v>479</v>
      </c>
      <c r="FV65" s="52">
        <v>946</v>
      </c>
      <c r="FW65" s="52">
        <v>1942</v>
      </c>
      <c r="FX65" s="52">
        <v>1136</v>
      </c>
      <c r="FY65" s="52">
        <v>962</v>
      </c>
      <c r="FZ65" s="52">
        <v>605</v>
      </c>
      <c r="GA65" s="52">
        <v>951</v>
      </c>
      <c r="GB65" s="169">
        <v>1190</v>
      </c>
      <c r="GC65" s="171">
        <v>1193.4052388289676</v>
      </c>
      <c r="GD65" s="171">
        <v>1330</v>
      </c>
      <c r="GE65" s="169">
        <v>378</v>
      </c>
      <c r="GF65" s="52">
        <v>285</v>
      </c>
      <c r="GG65" s="169">
        <v>231</v>
      </c>
      <c r="GH65" s="169">
        <v>1016</v>
      </c>
      <c r="GI65" s="169">
        <v>1168</v>
      </c>
      <c r="GJ65" s="184">
        <v>1230</v>
      </c>
      <c r="GK65" s="52">
        <v>1237</v>
      </c>
      <c r="GL65" s="52">
        <v>548</v>
      </c>
    </row>
    <row r="66" spans="1:194" x14ac:dyDescent="0.3">
      <c r="A66" s="157" t="s">
        <v>90</v>
      </c>
      <c r="FO66" s="174">
        <v>1095</v>
      </c>
      <c r="FP66" s="174">
        <v>1264</v>
      </c>
      <c r="FQ66" s="145">
        <v>1617</v>
      </c>
      <c r="FR66" s="169">
        <v>1906</v>
      </c>
      <c r="FS66" s="169">
        <v>1158</v>
      </c>
      <c r="FT66" s="169">
        <v>908</v>
      </c>
      <c r="FU66" s="52">
        <v>1221</v>
      </c>
      <c r="FV66" s="52">
        <v>1493</v>
      </c>
      <c r="FW66" s="52">
        <v>3125</v>
      </c>
      <c r="FX66" s="52">
        <v>1615</v>
      </c>
      <c r="FY66" s="52">
        <v>1245</v>
      </c>
      <c r="FZ66" s="52">
        <v>1035</v>
      </c>
      <c r="GA66" s="52">
        <v>1255</v>
      </c>
      <c r="GB66" s="169">
        <v>1520</v>
      </c>
      <c r="GC66" s="171">
        <v>1637.3189522342066</v>
      </c>
      <c r="GD66" s="171">
        <v>1638</v>
      </c>
      <c r="GE66" s="169">
        <v>999</v>
      </c>
      <c r="GF66" s="52">
        <v>817</v>
      </c>
      <c r="GG66" s="169">
        <v>591</v>
      </c>
      <c r="GH66" s="169">
        <v>1233</v>
      </c>
      <c r="GI66" s="169">
        <v>1486</v>
      </c>
      <c r="GJ66" s="184">
        <v>1396</v>
      </c>
      <c r="GK66" s="52">
        <v>1741</v>
      </c>
      <c r="GL66" s="52">
        <v>782</v>
      </c>
    </row>
    <row r="67" spans="1:194" x14ac:dyDescent="0.3">
      <c r="A67" s="157" t="s">
        <v>91</v>
      </c>
      <c r="FO67" s="174">
        <v>826</v>
      </c>
      <c r="FP67" s="174">
        <v>789</v>
      </c>
      <c r="FQ67" s="145">
        <v>1286</v>
      </c>
      <c r="FR67" s="169">
        <v>1533</v>
      </c>
      <c r="FS67" s="169">
        <v>837</v>
      </c>
      <c r="FT67" s="169">
        <v>747</v>
      </c>
      <c r="FU67" s="52">
        <v>895</v>
      </c>
      <c r="FV67" s="52">
        <v>1330</v>
      </c>
      <c r="FW67" s="52">
        <v>1875</v>
      </c>
      <c r="FX67" s="52">
        <v>1271</v>
      </c>
      <c r="FY67" s="52">
        <v>1279</v>
      </c>
      <c r="FZ67" s="52">
        <v>1100</v>
      </c>
      <c r="GA67" s="52">
        <v>1075</v>
      </c>
      <c r="GB67" s="169">
        <v>1142</v>
      </c>
      <c r="GC67" s="171">
        <v>1252.2496147919878</v>
      </c>
      <c r="GD67" s="171">
        <v>1156</v>
      </c>
      <c r="GE67" s="169">
        <v>869</v>
      </c>
      <c r="GF67" s="52">
        <v>831</v>
      </c>
      <c r="GG67" s="169">
        <v>722</v>
      </c>
      <c r="GH67" s="169">
        <v>1429</v>
      </c>
      <c r="GI67" s="169">
        <v>1315</v>
      </c>
      <c r="GJ67" s="184">
        <v>1295</v>
      </c>
      <c r="GK67" s="52">
        <v>1433</v>
      </c>
      <c r="GL67" s="52">
        <v>1112</v>
      </c>
    </row>
    <row r="68" spans="1:194" x14ac:dyDescent="0.3">
      <c r="A68" s="157" t="s">
        <v>92</v>
      </c>
      <c r="FO68" s="174">
        <v>89</v>
      </c>
      <c r="FP68" s="174">
        <v>121</v>
      </c>
      <c r="FQ68" s="145">
        <v>148</v>
      </c>
      <c r="FR68" s="169">
        <v>159</v>
      </c>
      <c r="FS68" s="169">
        <v>148</v>
      </c>
      <c r="FT68" s="169">
        <v>176</v>
      </c>
      <c r="FU68" s="52">
        <v>169</v>
      </c>
      <c r="FV68" s="52">
        <v>238</v>
      </c>
      <c r="FW68" s="52">
        <v>244</v>
      </c>
      <c r="FX68" s="52">
        <v>125</v>
      </c>
      <c r="FY68" s="52">
        <v>101</v>
      </c>
      <c r="FZ68" s="52">
        <v>121</v>
      </c>
      <c r="GA68" s="52">
        <v>88</v>
      </c>
      <c r="GB68" s="169">
        <v>120</v>
      </c>
      <c r="GC68" s="171">
        <v>104.26810477657936</v>
      </c>
      <c r="GD68" s="171">
        <v>98</v>
      </c>
      <c r="GE68" s="169">
        <v>88</v>
      </c>
      <c r="GF68" s="52">
        <v>94</v>
      </c>
      <c r="GG68" s="169">
        <v>99</v>
      </c>
      <c r="GH68" s="169">
        <v>128</v>
      </c>
      <c r="GI68" s="169">
        <v>128</v>
      </c>
      <c r="GJ68" s="184">
        <v>136</v>
      </c>
      <c r="GK68" s="52">
        <v>150</v>
      </c>
      <c r="GL68" s="52">
        <v>78</v>
      </c>
    </row>
    <row r="69" spans="1:194" x14ac:dyDescent="0.3">
      <c r="A69" s="157" t="s">
        <v>93</v>
      </c>
      <c r="FO69" s="174">
        <v>73</v>
      </c>
      <c r="FP69" s="174">
        <v>144</v>
      </c>
      <c r="FQ69" s="145">
        <v>156</v>
      </c>
      <c r="FR69" s="169">
        <v>114</v>
      </c>
      <c r="FS69" s="169">
        <v>116</v>
      </c>
      <c r="FT69" s="169">
        <v>131</v>
      </c>
      <c r="FU69" s="52">
        <v>176</v>
      </c>
      <c r="FV69" s="52">
        <v>154</v>
      </c>
      <c r="FW69" s="52">
        <v>144</v>
      </c>
      <c r="FX69" s="52">
        <v>136</v>
      </c>
      <c r="FY69" s="52">
        <v>121</v>
      </c>
      <c r="FZ69" s="52">
        <v>91</v>
      </c>
      <c r="GA69" s="52">
        <v>86</v>
      </c>
      <c r="GB69" s="169">
        <v>116</v>
      </c>
      <c r="GC69" s="171">
        <v>86.7180277349769</v>
      </c>
      <c r="GD69" s="171">
        <v>87</v>
      </c>
      <c r="GE69" s="169">
        <v>97</v>
      </c>
      <c r="GF69" s="52">
        <v>116</v>
      </c>
      <c r="GG69" s="169">
        <v>87</v>
      </c>
      <c r="GH69" s="169">
        <v>98</v>
      </c>
      <c r="GI69" s="169">
        <v>114</v>
      </c>
      <c r="GJ69" s="184">
        <v>115</v>
      </c>
      <c r="GK69" s="52">
        <v>125</v>
      </c>
      <c r="GL69" s="52">
        <v>59</v>
      </c>
    </row>
    <row r="70" spans="1:194" ht="15" thickBot="1" x14ac:dyDescent="0.35">
      <c r="A70" s="158" t="s">
        <v>95</v>
      </c>
      <c r="FO70" s="145">
        <f t="shared" ref="FO70:GB70" si="10">SUM(FO56:FO69)</f>
        <v>5193</v>
      </c>
      <c r="FP70" s="145">
        <f t="shared" si="10"/>
        <v>6086</v>
      </c>
      <c r="FQ70" s="145">
        <f t="shared" si="10"/>
        <v>8519</v>
      </c>
      <c r="FR70" s="145">
        <f t="shared" si="10"/>
        <v>10427</v>
      </c>
      <c r="FS70" s="145">
        <f t="shared" si="10"/>
        <v>5698</v>
      </c>
      <c r="FT70" s="145">
        <f t="shared" si="10"/>
        <v>5369</v>
      </c>
      <c r="FU70" s="145">
        <f t="shared" si="10"/>
        <v>6279</v>
      </c>
      <c r="FV70" s="145">
        <f t="shared" si="10"/>
        <v>7857</v>
      </c>
      <c r="FW70" s="145">
        <f t="shared" si="10"/>
        <v>13290</v>
      </c>
      <c r="FX70" s="145">
        <f t="shared" si="10"/>
        <v>8287</v>
      </c>
      <c r="FY70" s="145">
        <f t="shared" si="10"/>
        <v>6796</v>
      </c>
      <c r="FZ70" s="145">
        <f t="shared" si="10"/>
        <v>5714</v>
      </c>
      <c r="GA70" s="145">
        <f t="shared" si="10"/>
        <v>6464</v>
      </c>
      <c r="GB70" s="145">
        <f t="shared" si="10"/>
        <v>7518</v>
      </c>
      <c r="GC70" s="145">
        <f t="shared" ref="GC70:GH70" si="11">SUM(GC56:GC69)</f>
        <v>8120.5238828967649</v>
      </c>
      <c r="GD70" s="145">
        <f t="shared" si="11"/>
        <v>7881</v>
      </c>
      <c r="GE70" s="145">
        <f t="shared" si="11"/>
        <v>4756</v>
      </c>
      <c r="GF70" s="145">
        <f t="shared" si="11"/>
        <v>4551</v>
      </c>
      <c r="GG70" s="145">
        <f t="shared" si="11"/>
        <v>4451</v>
      </c>
      <c r="GH70" s="145">
        <f t="shared" si="11"/>
        <v>8111</v>
      </c>
      <c r="GI70" s="169">
        <f>SUM(GI56:GI69)</f>
        <v>8283</v>
      </c>
      <c r="GJ70" s="190">
        <f>SUM(GJ56:GJ69)</f>
        <v>8252</v>
      </c>
      <c r="GK70" s="171">
        <f>SUM(GK56:GK69)</f>
        <v>8825</v>
      </c>
      <c r="GL70" s="171">
        <f>SUM(GL56:GL69)</f>
        <v>5095</v>
      </c>
    </row>
    <row r="71" spans="1:194" x14ac:dyDescent="0.3">
      <c r="A71" s="153"/>
    </row>
  </sheetData>
  <mergeCells count="35">
    <mergeCell ref="AS2:BD2"/>
    <mergeCell ref="BE51:BP51"/>
    <mergeCell ref="BQ51:CB51"/>
    <mergeCell ref="CC51:CN51"/>
    <mergeCell ref="A2:A3"/>
    <mergeCell ref="B2:H2"/>
    <mergeCell ref="I2:T2"/>
    <mergeCell ref="U2:AF2"/>
    <mergeCell ref="AG2:AR2"/>
    <mergeCell ref="B51:H51"/>
    <mergeCell ref="I51:T51"/>
    <mergeCell ref="U51:AF51"/>
    <mergeCell ref="AG51:AR51"/>
    <mergeCell ref="AS51:BD51"/>
    <mergeCell ref="BE2:BP2"/>
    <mergeCell ref="BQ2:CB2"/>
    <mergeCell ref="CC2:CN2"/>
    <mergeCell ref="EW2:FH2"/>
    <mergeCell ref="EW51:FH51"/>
    <mergeCell ref="CO51:CZ51"/>
    <mergeCell ref="DM2:DX2"/>
    <mergeCell ref="DM51:DX51"/>
    <mergeCell ref="EK2:EV2"/>
    <mergeCell ref="EK51:EV51"/>
    <mergeCell ref="DY2:EJ2"/>
    <mergeCell ref="DY51:EJ51"/>
    <mergeCell ref="CO2:CZ2"/>
    <mergeCell ref="DA2:DL2"/>
    <mergeCell ref="DA51:DL51"/>
    <mergeCell ref="FI2:FT2"/>
    <mergeCell ref="FI51:FT51"/>
    <mergeCell ref="FG54:FH54"/>
    <mergeCell ref="FI54:FT54"/>
    <mergeCell ref="FU51:GF51"/>
    <mergeCell ref="FU2:GF2"/>
  </mergeCells>
  <pageMargins left="0.7" right="0.7" top="0.75" bottom="0.75" header="0.3" footer="0.3"/>
  <pageSetup orientation="portrait" r:id="rId1"/>
  <ignoredErrors>
    <ignoredError sqref="EW51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GL71"/>
  <sheetViews>
    <sheetView tabSelected="1" zoomScale="85" zoomScaleNormal="85" workbookViewId="0">
      <pane xSplit="1" ySplit="3" topLeftCell="FV4" activePane="bottomRight" state="frozen"/>
      <selection pane="topRight" activeCell="B1" sqref="B1"/>
      <selection pane="bottomLeft" activeCell="A4" sqref="A4"/>
      <selection pane="bottomRight" activeCell="GO15" sqref="GO15"/>
    </sheetView>
  </sheetViews>
  <sheetFormatPr defaultRowHeight="14.4" x14ac:dyDescent="0.3"/>
  <cols>
    <col min="1" max="1" width="40.33203125" bestFit="1" customWidth="1"/>
    <col min="2" max="164" width="9.109375" customWidth="1"/>
    <col min="165" max="165" width="11.5546875" bestFit="1" customWidth="1"/>
    <col min="166" max="170" width="10.5546875" bestFit="1" customWidth="1"/>
    <col min="171" max="171" width="11.5546875" bestFit="1" customWidth="1"/>
    <col min="172" max="173" width="10.5546875" bestFit="1" customWidth="1"/>
    <col min="174" max="175" width="11.5546875" bestFit="1" customWidth="1"/>
    <col min="176" max="182" width="10.5546875" bestFit="1" customWidth="1"/>
    <col min="183" max="183" width="10.5546875" customWidth="1"/>
    <col min="191" max="191" width="8.88671875" style="189"/>
  </cols>
  <sheetData>
    <row r="1" spans="1:194" s="5" customFormat="1" x14ac:dyDescent="0.3">
      <c r="A1" s="117" t="s">
        <v>68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  <c r="DE1" s="118"/>
      <c r="DF1" s="118"/>
      <c r="DG1" s="118"/>
      <c r="DH1" s="118"/>
      <c r="DI1" s="118"/>
      <c r="DJ1" s="118"/>
      <c r="DK1" s="118"/>
      <c r="DL1" s="118"/>
      <c r="GI1" s="187"/>
    </row>
    <row r="2" spans="1:194" s="5" customFormat="1" x14ac:dyDescent="0.3">
      <c r="A2" s="193"/>
      <c r="B2" s="195" t="s">
        <v>49</v>
      </c>
      <c r="C2" s="196"/>
      <c r="D2" s="196"/>
      <c r="E2" s="196"/>
      <c r="F2" s="196"/>
      <c r="G2" s="196"/>
      <c r="H2" s="197"/>
      <c r="I2" s="195" t="s">
        <v>48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95" t="s">
        <v>47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7"/>
      <c r="AG2" s="192" t="s">
        <v>46</v>
      </c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 t="s">
        <v>45</v>
      </c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 t="s">
        <v>44</v>
      </c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 t="s">
        <v>2</v>
      </c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 t="s">
        <v>1</v>
      </c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 t="s">
        <v>0</v>
      </c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 t="s">
        <v>50</v>
      </c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 t="s">
        <v>72</v>
      </c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 t="s">
        <v>75</v>
      </c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 t="s">
        <v>76</v>
      </c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 t="s">
        <v>77</v>
      </c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 t="s">
        <v>79</v>
      </c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5"/>
      <c r="FU2" s="201" t="s">
        <v>99</v>
      </c>
      <c r="FV2" s="196"/>
      <c r="FW2" s="196"/>
      <c r="FX2" s="196"/>
      <c r="FY2" s="196"/>
      <c r="FZ2" s="196"/>
      <c r="GA2" s="196"/>
      <c r="GB2" s="196"/>
      <c r="GC2" s="196"/>
      <c r="GD2" s="196"/>
      <c r="GE2" s="196"/>
      <c r="GF2" s="202"/>
      <c r="GI2" s="187"/>
    </row>
    <row r="3" spans="1:194" s="1" customFormat="1" ht="15" thickBot="1" x14ac:dyDescent="0.35">
      <c r="A3" s="194"/>
      <c r="B3" s="46">
        <v>39783</v>
      </c>
      <c r="C3" s="38">
        <v>39814</v>
      </c>
      <c r="D3" s="38">
        <v>39845</v>
      </c>
      <c r="E3" s="37">
        <v>39873</v>
      </c>
      <c r="F3" s="38">
        <v>39904</v>
      </c>
      <c r="G3" s="38">
        <v>39934</v>
      </c>
      <c r="H3" s="41">
        <v>39965</v>
      </c>
      <c r="I3" s="40">
        <v>39995</v>
      </c>
      <c r="J3" s="38">
        <v>40026</v>
      </c>
      <c r="K3" s="38">
        <v>40057</v>
      </c>
      <c r="L3" s="38">
        <v>40087</v>
      </c>
      <c r="M3" s="37">
        <v>40118</v>
      </c>
      <c r="N3" s="38">
        <v>40148</v>
      </c>
      <c r="O3" s="38">
        <v>40179</v>
      </c>
      <c r="P3" s="38">
        <v>40210</v>
      </c>
      <c r="Q3" s="37">
        <v>40238</v>
      </c>
      <c r="R3" s="38">
        <v>40269</v>
      </c>
      <c r="S3" s="38">
        <v>40299</v>
      </c>
      <c r="T3" s="41">
        <v>40330</v>
      </c>
      <c r="U3" s="40">
        <v>40360</v>
      </c>
      <c r="V3" s="38">
        <v>40391</v>
      </c>
      <c r="W3" s="38">
        <v>40422</v>
      </c>
      <c r="X3" s="38">
        <v>40452</v>
      </c>
      <c r="Y3" s="37">
        <v>40483</v>
      </c>
      <c r="Z3" s="38">
        <v>40513</v>
      </c>
      <c r="AA3" s="38">
        <v>40544</v>
      </c>
      <c r="AB3" s="38">
        <v>40575</v>
      </c>
      <c r="AC3" s="37">
        <v>40603</v>
      </c>
      <c r="AD3" s="38">
        <v>40634</v>
      </c>
      <c r="AE3" s="38">
        <v>40664</v>
      </c>
      <c r="AF3" s="41">
        <v>40695</v>
      </c>
      <c r="AG3" s="40">
        <v>40725</v>
      </c>
      <c r="AH3" s="38">
        <v>40756</v>
      </c>
      <c r="AI3" s="38">
        <v>40787</v>
      </c>
      <c r="AJ3" s="38">
        <v>40817</v>
      </c>
      <c r="AK3" s="37">
        <v>40848</v>
      </c>
      <c r="AL3" s="38">
        <v>40878</v>
      </c>
      <c r="AM3" s="38">
        <v>40909</v>
      </c>
      <c r="AN3" s="38">
        <v>40940</v>
      </c>
      <c r="AO3" s="37">
        <v>40969</v>
      </c>
      <c r="AP3" s="38">
        <v>41000</v>
      </c>
      <c r="AQ3" s="38">
        <v>41030</v>
      </c>
      <c r="AR3" s="41">
        <v>41061</v>
      </c>
      <c r="AS3" s="40">
        <v>41091</v>
      </c>
      <c r="AT3" s="38">
        <v>41122</v>
      </c>
      <c r="AU3" s="38">
        <v>41153</v>
      </c>
      <c r="AV3" s="38">
        <v>41183</v>
      </c>
      <c r="AW3" s="37">
        <v>41214</v>
      </c>
      <c r="AX3" s="38">
        <v>41244</v>
      </c>
      <c r="AY3" s="38">
        <v>41275</v>
      </c>
      <c r="AZ3" s="38">
        <v>41306</v>
      </c>
      <c r="BA3" s="37">
        <v>41334</v>
      </c>
      <c r="BB3" s="38">
        <v>41365</v>
      </c>
      <c r="BC3" s="38">
        <v>41395</v>
      </c>
      <c r="BD3" s="41">
        <v>41426</v>
      </c>
      <c r="BE3" s="40">
        <v>41456</v>
      </c>
      <c r="BF3" s="38">
        <v>41487</v>
      </c>
      <c r="BG3" s="38">
        <v>41518</v>
      </c>
      <c r="BH3" s="38">
        <v>41548</v>
      </c>
      <c r="BI3" s="37">
        <v>41579</v>
      </c>
      <c r="BJ3" s="38">
        <v>41609</v>
      </c>
      <c r="BK3" s="38">
        <v>41640</v>
      </c>
      <c r="BL3" s="38">
        <v>41671</v>
      </c>
      <c r="BM3" s="37">
        <v>41699</v>
      </c>
      <c r="BN3" s="38">
        <v>41730</v>
      </c>
      <c r="BO3" s="38">
        <v>41760</v>
      </c>
      <c r="BP3" s="41">
        <v>41791</v>
      </c>
      <c r="BQ3" s="40">
        <v>41821</v>
      </c>
      <c r="BR3" s="38">
        <v>41852</v>
      </c>
      <c r="BS3" s="38">
        <v>41883</v>
      </c>
      <c r="BT3" s="38">
        <v>41913</v>
      </c>
      <c r="BU3" s="37">
        <v>41944</v>
      </c>
      <c r="BV3" s="38">
        <v>41974</v>
      </c>
      <c r="BW3" s="38">
        <v>42005</v>
      </c>
      <c r="BX3" s="38">
        <v>42036</v>
      </c>
      <c r="BY3" s="37">
        <v>42064</v>
      </c>
      <c r="BZ3" s="38">
        <v>42095</v>
      </c>
      <c r="CA3" s="38">
        <v>42125</v>
      </c>
      <c r="CB3" s="41">
        <v>42156</v>
      </c>
      <c r="CC3" s="42">
        <v>42186</v>
      </c>
      <c r="CD3" s="38">
        <v>42217</v>
      </c>
      <c r="CE3" s="38">
        <v>42248</v>
      </c>
      <c r="CF3" s="38">
        <v>42278</v>
      </c>
      <c r="CG3" s="37">
        <v>42309</v>
      </c>
      <c r="CH3" s="38">
        <v>42339</v>
      </c>
      <c r="CI3" s="38">
        <v>42370</v>
      </c>
      <c r="CJ3" s="38">
        <v>42401</v>
      </c>
      <c r="CK3" s="37">
        <v>42430</v>
      </c>
      <c r="CL3" s="38">
        <v>42461</v>
      </c>
      <c r="CM3" s="38">
        <v>42491</v>
      </c>
      <c r="CN3" s="39">
        <v>42522</v>
      </c>
      <c r="CO3" s="40">
        <v>42552</v>
      </c>
      <c r="CP3" s="38">
        <v>42583</v>
      </c>
      <c r="CQ3" s="38">
        <v>42614</v>
      </c>
      <c r="CR3" s="38">
        <v>42644</v>
      </c>
      <c r="CS3" s="37">
        <v>42675</v>
      </c>
      <c r="CT3" s="38">
        <v>42705</v>
      </c>
      <c r="CU3" s="38">
        <v>42736</v>
      </c>
      <c r="CV3" s="38">
        <v>42767</v>
      </c>
      <c r="CW3" s="37">
        <v>42795</v>
      </c>
      <c r="CX3" s="38">
        <v>42826</v>
      </c>
      <c r="CY3" s="38">
        <v>42856</v>
      </c>
      <c r="CZ3" s="41">
        <v>42887</v>
      </c>
      <c r="DA3" s="40">
        <v>42917</v>
      </c>
      <c r="DB3" s="38">
        <v>42948</v>
      </c>
      <c r="DC3" s="38">
        <v>42979</v>
      </c>
      <c r="DD3" s="38">
        <v>43009</v>
      </c>
      <c r="DE3" s="37">
        <v>43040</v>
      </c>
      <c r="DF3" s="38">
        <v>43070</v>
      </c>
      <c r="DG3" s="38">
        <v>43101</v>
      </c>
      <c r="DH3" s="38">
        <v>43132</v>
      </c>
      <c r="DI3" s="37">
        <v>43160</v>
      </c>
      <c r="DJ3" s="38">
        <v>43191</v>
      </c>
      <c r="DK3" s="38">
        <v>43221</v>
      </c>
      <c r="DL3" s="41">
        <v>43252</v>
      </c>
      <c r="DM3" s="40">
        <v>43282</v>
      </c>
      <c r="DN3" s="38">
        <v>43313</v>
      </c>
      <c r="DO3" s="38">
        <v>43344</v>
      </c>
      <c r="DP3" s="38">
        <v>43374</v>
      </c>
      <c r="DQ3" s="37">
        <v>43405</v>
      </c>
      <c r="DR3" s="38">
        <v>43435</v>
      </c>
      <c r="DS3" s="38">
        <v>43466</v>
      </c>
      <c r="DT3" s="38">
        <v>43497</v>
      </c>
      <c r="DU3" s="37">
        <v>43525</v>
      </c>
      <c r="DV3" s="38">
        <v>43556</v>
      </c>
      <c r="DW3" s="38">
        <v>43586</v>
      </c>
      <c r="DX3" s="41">
        <v>43617</v>
      </c>
      <c r="DY3" s="40">
        <v>43647</v>
      </c>
      <c r="DZ3" s="38">
        <v>43678</v>
      </c>
      <c r="EA3" s="38">
        <v>43709</v>
      </c>
      <c r="EB3" s="38">
        <v>43739</v>
      </c>
      <c r="EC3" s="37">
        <v>43770</v>
      </c>
      <c r="ED3" s="38">
        <v>43800</v>
      </c>
      <c r="EE3" s="38">
        <v>43831</v>
      </c>
      <c r="EF3" s="38">
        <v>43862</v>
      </c>
      <c r="EG3" s="37">
        <v>43891</v>
      </c>
      <c r="EH3" s="38">
        <v>43922</v>
      </c>
      <c r="EI3" s="38">
        <v>43952</v>
      </c>
      <c r="EJ3" s="41">
        <v>43983</v>
      </c>
      <c r="EK3" s="40">
        <v>44013</v>
      </c>
      <c r="EL3" s="38">
        <v>44044</v>
      </c>
      <c r="EM3" s="38">
        <v>44075</v>
      </c>
      <c r="EN3" s="38">
        <v>44105</v>
      </c>
      <c r="EO3" s="37">
        <v>44136</v>
      </c>
      <c r="EP3" s="38">
        <v>44166</v>
      </c>
      <c r="EQ3" s="38">
        <v>44197</v>
      </c>
      <c r="ER3" s="38">
        <v>44228</v>
      </c>
      <c r="ES3" s="37">
        <v>44256</v>
      </c>
      <c r="ET3" s="38">
        <v>44287</v>
      </c>
      <c r="EU3" s="38">
        <v>44317</v>
      </c>
      <c r="EV3" s="41">
        <v>44348</v>
      </c>
      <c r="EW3" s="40">
        <v>44378</v>
      </c>
      <c r="EX3" s="38">
        <v>44409</v>
      </c>
      <c r="EY3" s="38">
        <v>44440</v>
      </c>
      <c r="EZ3" s="38">
        <v>44470</v>
      </c>
      <c r="FA3" s="37">
        <v>44501</v>
      </c>
      <c r="FB3" s="38">
        <v>44531</v>
      </c>
      <c r="FC3" s="38">
        <v>44562</v>
      </c>
      <c r="FD3" s="38">
        <v>44593</v>
      </c>
      <c r="FE3" s="37">
        <v>44621</v>
      </c>
      <c r="FF3" s="38">
        <v>44652</v>
      </c>
      <c r="FG3" s="38">
        <v>44682</v>
      </c>
      <c r="FH3" s="41">
        <v>44713</v>
      </c>
      <c r="FI3" s="40">
        <v>44764</v>
      </c>
      <c r="FJ3" s="38">
        <v>44795</v>
      </c>
      <c r="FK3" s="38">
        <v>44826</v>
      </c>
      <c r="FL3" s="38">
        <v>44856</v>
      </c>
      <c r="FM3" s="37">
        <v>44887</v>
      </c>
      <c r="FN3" s="38">
        <v>44917</v>
      </c>
      <c r="FO3" s="38">
        <v>44949</v>
      </c>
      <c r="FP3" s="38">
        <v>44980</v>
      </c>
      <c r="FQ3" s="37">
        <v>45008</v>
      </c>
      <c r="FR3" s="38">
        <v>45039</v>
      </c>
      <c r="FS3" s="38">
        <v>45069</v>
      </c>
      <c r="FT3" s="39">
        <v>45100</v>
      </c>
      <c r="FU3" s="173">
        <v>45130</v>
      </c>
      <c r="FV3" s="173">
        <v>45161</v>
      </c>
      <c r="FW3" s="173">
        <v>45192</v>
      </c>
      <c r="FX3" s="173">
        <v>45222</v>
      </c>
      <c r="FY3" s="173">
        <v>45253</v>
      </c>
      <c r="FZ3" s="173">
        <v>45283</v>
      </c>
      <c r="GA3" s="173">
        <v>45315</v>
      </c>
      <c r="GB3" s="173">
        <v>45345</v>
      </c>
      <c r="GC3" s="173">
        <v>45374</v>
      </c>
      <c r="GD3" s="173">
        <v>45405</v>
      </c>
      <c r="GE3" s="173">
        <v>45435</v>
      </c>
      <c r="GF3" s="173">
        <v>45466</v>
      </c>
      <c r="GG3" s="173">
        <v>45496</v>
      </c>
      <c r="GH3" s="173">
        <v>45527</v>
      </c>
      <c r="GI3" s="188">
        <v>45559</v>
      </c>
      <c r="GJ3" s="188">
        <v>45590</v>
      </c>
      <c r="GK3" s="188">
        <v>45622</v>
      </c>
      <c r="GL3" s="188">
        <v>45653</v>
      </c>
    </row>
    <row r="4" spans="1:194" s="1" customFormat="1" x14ac:dyDescent="0.3">
      <c r="A4" s="168" t="s">
        <v>96</v>
      </c>
      <c r="B4" s="160"/>
      <c r="C4" s="161"/>
      <c r="D4" s="161"/>
      <c r="E4" s="162"/>
      <c r="F4" s="161"/>
      <c r="G4" s="161"/>
      <c r="H4" s="163"/>
      <c r="I4" s="164"/>
      <c r="J4" s="161"/>
      <c r="K4" s="161"/>
      <c r="L4" s="161"/>
      <c r="M4" s="162"/>
      <c r="N4" s="161"/>
      <c r="O4" s="161"/>
      <c r="P4" s="161"/>
      <c r="Q4" s="162"/>
      <c r="R4" s="161"/>
      <c r="S4" s="161"/>
      <c r="T4" s="163"/>
      <c r="U4" s="164"/>
      <c r="V4" s="161"/>
      <c r="W4" s="161"/>
      <c r="X4" s="161"/>
      <c r="Y4" s="162"/>
      <c r="Z4" s="161"/>
      <c r="AA4" s="161"/>
      <c r="AB4" s="161"/>
      <c r="AC4" s="162"/>
      <c r="AD4" s="161"/>
      <c r="AE4" s="161"/>
      <c r="AF4" s="163"/>
      <c r="AG4" s="164"/>
      <c r="AH4" s="161"/>
      <c r="AI4" s="161"/>
      <c r="AJ4" s="161"/>
      <c r="AK4" s="162"/>
      <c r="AL4" s="161"/>
      <c r="AM4" s="161"/>
      <c r="AN4" s="161"/>
      <c r="AO4" s="162"/>
      <c r="AP4" s="161"/>
      <c r="AQ4" s="161"/>
      <c r="AR4" s="163"/>
      <c r="AS4" s="164"/>
      <c r="AT4" s="161"/>
      <c r="AU4" s="161"/>
      <c r="AV4" s="161"/>
      <c r="AW4" s="162"/>
      <c r="AX4" s="161"/>
      <c r="AY4" s="161"/>
      <c r="AZ4" s="161"/>
      <c r="BA4" s="162"/>
      <c r="BB4" s="161"/>
      <c r="BC4" s="161"/>
      <c r="BD4" s="163"/>
      <c r="BE4" s="164"/>
      <c r="BF4" s="161"/>
      <c r="BG4" s="161"/>
      <c r="BH4" s="161"/>
      <c r="BI4" s="162"/>
      <c r="BJ4" s="161"/>
      <c r="BK4" s="161"/>
      <c r="BL4" s="161"/>
      <c r="BM4" s="162"/>
      <c r="BN4" s="161"/>
      <c r="BO4" s="161"/>
      <c r="BP4" s="163"/>
      <c r="BQ4" s="164"/>
      <c r="BR4" s="161"/>
      <c r="BS4" s="161"/>
      <c r="BT4" s="161"/>
      <c r="BU4" s="162"/>
      <c r="BV4" s="161"/>
      <c r="BW4" s="161"/>
      <c r="BX4" s="161"/>
      <c r="BY4" s="162"/>
      <c r="BZ4" s="161"/>
      <c r="CA4" s="161"/>
      <c r="CB4" s="163"/>
      <c r="CC4" s="165"/>
      <c r="CD4" s="161"/>
      <c r="CE4" s="161"/>
      <c r="CF4" s="161"/>
      <c r="CG4" s="162"/>
      <c r="CH4" s="161"/>
      <c r="CI4" s="161"/>
      <c r="CJ4" s="161"/>
      <c r="CK4" s="162"/>
      <c r="CL4" s="161"/>
      <c r="CM4" s="161"/>
      <c r="CN4" s="166"/>
      <c r="CO4" s="164"/>
      <c r="CP4" s="161"/>
      <c r="CQ4" s="161"/>
      <c r="CR4" s="161"/>
      <c r="CS4" s="162"/>
      <c r="CT4" s="161"/>
      <c r="CU4" s="161"/>
      <c r="CV4" s="161"/>
      <c r="CW4" s="162"/>
      <c r="CX4" s="161"/>
      <c r="CY4" s="161"/>
      <c r="CZ4" s="163"/>
      <c r="DA4" s="164"/>
      <c r="DB4" s="161"/>
      <c r="DC4" s="161"/>
      <c r="DD4" s="161"/>
      <c r="DE4" s="162"/>
      <c r="DF4" s="161"/>
      <c r="DG4" s="161"/>
      <c r="DH4" s="161"/>
      <c r="DI4" s="162"/>
      <c r="DJ4" s="161"/>
      <c r="DK4" s="161"/>
      <c r="DL4" s="163"/>
      <c r="DM4" s="164"/>
      <c r="DN4" s="161"/>
      <c r="DO4" s="161"/>
      <c r="DP4" s="161"/>
      <c r="DQ4" s="162"/>
      <c r="DR4" s="161"/>
      <c r="DS4" s="161"/>
      <c r="DT4" s="161"/>
      <c r="DU4" s="162"/>
      <c r="DV4" s="161"/>
      <c r="DW4" s="161"/>
      <c r="DX4" s="163"/>
      <c r="DY4" s="159"/>
      <c r="DZ4" s="161"/>
      <c r="EA4" s="161"/>
      <c r="EB4" s="167"/>
      <c r="EC4" s="162"/>
      <c r="ED4" s="161"/>
      <c r="EE4" s="161"/>
      <c r="EF4" s="161"/>
      <c r="EG4" s="162"/>
      <c r="EH4" s="161"/>
      <c r="EI4" s="161"/>
      <c r="EJ4" s="163"/>
      <c r="EK4" s="159"/>
      <c r="EL4" s="161"/>
      <c r="EM4" s="161"/>
      <c r="EN4" s="167"/>
      <c r="EO4" s="162"/>
      <c r="EP4" s="161"/>
      <c r="EQ4" s="161"/>
      <c r="ER4" s="161"/>
      <c r="ES4" s="162"/>
      <c r="ET4" s="161"/>
      <c r="EU4" s="161"/>
      <c r="EV4" s="163"/>
      <c r="EW4" s="159"/>
      <c r="EX4" s="167"/>
      <c r="EY4" s="161"/>
      <c r="EZ4" s="167"/>
      <c r="FA4" s="162"/>
      <c r="FB4" s="167"/>
      <c r="FC4" s="161"/>
      <c r="FD4" s="161"/>
      <c r="FE4" s="159"/>
      <c r="FF4" s="167"/>
      <c r="FG4" s="167"/>
      <c r="FH4" s="167"/>
      <c r="FI4" s="159"/>
      <c r="FJ4" s="167"/>
      <c r="FK4" s="161"/>
      <c r="FL4" s="167"/>
      <c r="FM4" s="162"/>
      <c r="FN4" s="167"/>
      <c r="FO4" s="161"/>
      <c r="FP4" s="161"/>
      <c r="FQ4" s="159"/>
      <c r="FR4" s="167"/>
      <c r="FS4" s="167"/>
      <c r="FT4" s="167"/>
      <c r="FU4" s="178"/>
      <c r="FV4" s="178"/>
      <c r="FW4" s="178"/>
      <c r="FX4" s="178"/>
      <c r="FY4" s="178"/>
      <c r="FZ4" s="178"/>
      <c r="GA4" s="178">
        <v>1488</v>
      </c>
      <c r="GB4" s="18">
        <v>5404</v>
      </c>
      <c r="GC4" s="18">
        <v>6115</v>
      </c>
      <c r="GD4" s="18">
        <v>5176</v>
      </c>
      <c r="GE4" s="18">
        <v>6450</v>
      </c>
      <c r="GF4" s="177">
        <v>5560</v>
      </c>
      <c r="GG4" s="18">
        <v>6476</v>
      </c>
      <c r="GH4" s="18">
        <v>5356</v>
      </c>
      <c r="GI4" s="184">
        <v>1384</v>
      </c>
      <c r="GJ4" s="184">
        <v>5279</v>
      </c>
      <c r="GK4" s="184">
        <v>4700</v>
      </c>
      <c r="GL4" s="184">
        <v>7243</v>
      </c>
    </row>
    <row r="5" spans="1:194" s="1" customFormat="1" x14ac:dyDescent="0.3">
      <c r="A5" s="168" t="s">
        <v>97</v>
      </c>
      <c r="B5" s="160"/>
      <c r="C5" s="161"/>
      <c r="D5" s="161"/>
      <c r="E5" s="162"/>
      <c r="F5" s="161"/>
      <c r="G5" s="161"/>
      <c r="H5" s="163"/>
      <c r="I5" s="164"/>
      <c r="J5" s="161"/>
      <c r="K5" s="161"/>
      <c r="L5" s="161"/>
      <c r="M5" s="162"/>
      <c r="N5" s="161"/>
      <c r="O5" s="161"/>
      <c r="P5" s="161"/>
      <c r="Q5" s="162"/>
      <c r="R5" s="161"/>
      <c r="S5" s="161"/>
      <c r="T5" s="163"/>
      <c r="U5" s="164"/>
      <c r="V5" s="161"/>
      <c r="W5" s="161"/>
      <c r="X5" s="161"/>
      <c r="Y5" s="162"/>
      <c r="Z5" s="161"/>
      <c r="AA5" s="161"/>
      <c r="AB5" s="161"/>
      <c r="AC5" s="162"/>
      <c r="AD5" s="161"/>
      <c r="AE5" s="161"/>
      <c r="AF5" s="163"/>
      <c r="AG5" s="164"/>
      <c r="AH5" s="161"/>
      <c r="AI5" s="161"/>
      <c r="AJ5" s="161"/>
      <c r="AK5" s="162"/>
      <c r="AL5" s="161"/>
      <c r="AM5" s="161"/>
      <c r="AN5" s="161"/>
      <c r="AO5" s="162"/>
      <c r="AP5" s="161"/>
      <c r="AQ5" s="161"/>
      <c r="AR5" s="163"/>
      <c r="AS5" s="164"/>
      <c r="AT5" s="161"/>
      <c r="AU5" s="161"/>
      <c r="AV5" s="161"/>
      <c r="AW5" s="162"/>
      <c r="AX5" s="161"/>
      <c r="AY5" s="161"/>
      <c r="AZ5" s="161"/>
      <c r="BA5" s="162"/>
      <c r="BB5" s="161"/>
      <c r="BC5" s="161"/>
      <c r="BD5" s="163"/>
      <c r="BE5" s="164"/>
      <c r="BF5" s="161"/>
      <c r="BG5" s="161"/>
      <c r="BH5" s="161"/>
      <c r="BI5" s="162"/>
      <c r="BJ5" s="161"/>
      <c r="BK5" s="161"/>
      <c r="BL5" s="161"/>
      <c r="BM5" s="162"/>
      <c r="BN5" s="161"/>
      <c r="BO5" s="161"/>
      <c r="BP5" s="163"/>
      <c r="BQ5" s="164"/>
      <c r="BR5" s="161"/>
      <c r="BS5" s="161"/>
      <c r="BT5" s="161"/>
      <c r="BU5" s="162"/>
      <c r="BV5" s="161"/>
      <c r="BW5" s="161"/>
      <c r="BX5" s="161"/>
      <c r="BY5" s="162"/>
      <c r="BZ5" s="161"/>
      <c r="CA5" s="161"/>
      <c r="CB5" s="163"/>
      <c r="CC5" s="165"/>
      <c r="CD5" s="161"/>
      <c r="CE5" s="161"/>
      <c r="CF5" s="161"/>
      <c r="CG5" s="162"/>
      <c r="CH5" s="161"/>
      <c r="CI5" s="161"/>
      <c r="CJ5" s="161"/>
      <c r="CK5" s="162"/>
      <c r="CL5" s="161"/>
      <c r="CM5" s="161"/>
      <c r="CN5" s="166"/>
      <c r="CO5" s="164"/>
      <c r="CP5" s="161"/>
      <c r="CQ5" s="161"/>
      <c r="CR5" s="161"/>
      <c r="CS5" s="162"/>
      <c r="CT5" s="161"/>
      <c r="CU5" s="161"/>
      <c r="CV5" s="161"/>
      <c r="CW5" s="162"/>
      <c r="CX5" s="161"/>
      <c r="CY5" s="161"/>
      <c r="CZ5" s="163"/>
      <c r="DA5" s="164"/>
      <c r="DB5" s="161"/>
      <c r="DC5" s="161"/>
      <c r="DD5" s="161"/>
      <c r="DE5" s="162"/>
      <c r="DF5" s="161"/>
      <c r="DG5" s="161"/>
      <c r="DH5" s="161"/>
      <c r="DI5" s="162"/>
      <c r="DJ5" s="161"/>
      <c r="DK5" s="161"/>
      <c r="DL5" s="163"/>
      <c r="DM5" s="164"/>
      <c r="DN5" s="161"/>
      <c r="DO5" s="161"/>
      <c r="DP5" s="161"/>
      <c r="DQ5" s="162"/>
      <c r="DR5" s="161"/>
      <c r="DS5" s="161"/>
      <c r="DT5" s="161"/>
      <c r="DU5" s="162"/>
      <c r="DV5" s="161"/>
      <c r="DW5" s="161"/>
      <c r="DX5" s="163"/>
      <c r="DY5" s="159"/>
      <c r="DZ5" s="161"/>
      <c r="EA5" s="161"/>
      <c r="EB5" s="167"/>
      <c r="EC5" s="162"/>
      <c r="ED5" s="161"/>
      <c r="EE5" s="161"/>
      <c r="EF5" s="161"/>
      <c r="EG5" s="162"/>
      <c r="EH5" s="161"/>
      <c r="EI5" s="161"/>
      <c r="EJ5" s="163"/>
      <c r="EK5" s="159"/>
      <c r="EL5" s="161"/>
      <c r="EM5" s="161"/>
      <c r="EN5" s="167"/>
      <c r="EO5" s="162"/>
      <c r="EP5" s="161"/>
      <c r="EQ5" s="161"/>
      <c r="ER5" s="161"/>
      <c r="ES5" s="162"/>
      <c r="ET5" s="161"/>
      <c r="EU5" s="161"/>
      <c r="EV5" s="163"/>
      <c r="EW5" s="159"/>
      <c r="EX5" s="167"/>
      <c r="EY5" s="161"/>
      <c r="EZ5" s="167"/>
      <c r="FA5" s="162"/>
      <c r="FB5" s="167"/>
      <c r="FC5" s="161"/>
      <c r="FD5" s="161"/>
      <c r="FE5" s="159"/>
      <c r="FF5" s="167"/>
      <c r="FG5" s="167"/>
      <c r="FH5" s="167"/>
      <c r="FI5" s="159"/>
      <c r="FJ5" s="167"/>
      <c r="FK5" s="161"/>
      <c r="FL5" s="167"/>
      <c r="FM5" s="162"/>
      <c r="FN5" s="167"/>
      <c r="FO5" s="161"/>
      <c r="FP5" s="161"/>
      <c r="FQ5" s="159"/>
      <c r="FR5" s="167"/>
      <c r="FS5" s="167"/>
      <c r="FT5" s="167"/>
      <c r="FU5" s="178"/>
      <c r="FV5" s="178"/>
      <c r="FW5" s="178"/>
      <c r="FX5" s="178"/>
      <c r="FY5" s="178"/>
      <c r="FZ5" s="178"/>
      <c r="GA5" s="178">
        <v>118</v>
      </c>
      <c r="GB5" s="18">
        <v>377</v>
      </c>
      <c r="GC5" s="18">
        <v>419</v>
      </c>
      <c r="GD5" s="18">
        <v>405</v>
      </c>
      <c r="GE5" s="18">
        <v>478</v>
      </c>
      <c r="GF5" s="177">
        <v>474</v>
      </c>
      <c r="GG5" s="18">
        <v>468</v>
      </c>
      <c r="GH5" s="18">
        <v>436</v>
      </c>
      <c r="GI5" s="184">
        <v>105</v>
      </c>
      <c r="GJ5" s="184">
        <v>496</v>
      </c>
      <c r="GK5" s="184">
        <v>566</v>
      </c>
      <c r="GL5" s="184">
        <v>618</v>
      </c>
    </row>
    <row r="6" spans="1:194" s="1" customFormat="1" ht="15" thickBot="1" x14ac:dyDescent="0.35">
      <c r="A6" s="168" t="s">
        <v>98</v>
      </c>
      <c r="B6" s="160"/>
      <c r="C6" s="161"/>
      <c r="D6" s="161"/>
      <c r="E6" s="162"/>
      <c r="F6" s="161"/>
      <c r="G6" s="161"/>
      <c r="H6" s="163"/>
      <c r="I6" s="164"/>
      <c r="J6" s="161"/>
      <c r="K6" s="161"/>
      <c r="L6" s="161"/>
      <c r="M6" s="162"/>
      <c r="N6" s="161"/>
      <c r="O6" s="161"/>
      <c r="P6" s="161"/>
      <c r="Q6" s="162"/>
      <c r="R6" s="161"/>
      <c r="S6" s="161"/>
      <c r="T6" s="163"/>
      <c r="U6" s="164"/>
      <c r="V6" s="161"/>
      <c r="W6" s="161"/>
      <c r="X6" s="161"/>
      <c r="Y6" s="162"/>
      <c r="Z6" s="161"/>
      <c r="AA6" s="161"/>
      <c r="AB6" s="161"/>
      <c r="AC6" s="162"/>
      <c r="AD6" s="161"/>
      <c r="AE6" s="161"/>
      <c r="AF6" s="163"/>
      <c r="AG6" s="164"/>
      <c r="AH6" s="161"/>
      <c r="AI6" s="161"/>
      <c r="AJ6" s="161"/>
      <c r="AK6" s="162"/>
      <c r="AL6" s="161"/>
      <c r="AM6" s="161"/>
      <c r="AN6" s="161"/>
      <c r="AO6" s="162"/>
      <c r="AP6" s="161"/>
      <c r="AQ6" s="161"/>
      <c r="AR6" s="163"/>
      <c r="AS6" s="164"/>
      <c r="AT6" s="161"/>
      <c r="AU6" s="161"/>
      <c r="AV6" s="161"/>
      <c r="AW6" s="162"/>
      <c r="AX6" s="161"/>
      <c r="AY6" s="161"/>
      <c r="AZ6" s="161"/>
      <c r="BA6" s="162"/>
      <c r="BB6" s="161"/>
      <c r="BC6" s="161"/>
      <c r="BD6" s="163"/>
      <c r="BE6" s="164"/>
      <c r="BF6" s="161"/>
      <c r="BG6" s="161"/>
      <c r="BH6" s="161"/>
      <c r="BI6" s="162"/>
      <c r="BJ6" s="161"/>
      <c r="BK6" s="161"/>
      <c r="BL6" s="161"/>
      <c r="BM6" s="162"/>
      <c r="BN6" s="161"/>
      <c r="BO6" s="161"/>
      <c r="BP6" s="163"/>
      <c r="BQ6" s="164"/>
      <c r="BR6" s="161"/>
      <c r="BS6" s="161"/>
      <c r="BT6" s="161"/>
      <c r="BU6" s="162"/>
      <c r="BV6" s="161"/>
      <c r="BW6" s="161"/>
      <c r="BX6" s="161"/>
      <c r="BY6" s="162"/>
      <c r="BZ6" s="161"/>
      <c r="CA6" s="161"/>
      <c r="CB6" s="163"/>
      <c r="CC6" s="165"/>
      <c r="CD6" s="161"/>
      <c r="CE6" s="161"/>
      <c r="CF6" s="161"/>
      <c r="CG6" s="162"/>
      <c r="CH6" s="161"/>
      <c r="CI6" s="161"/>
      <c r="CJ6" s="161"/>
      <c r="CK6" s="162"/>
      <c r="CL6" s="161"/>
      <c r="CM6" s="161"/>
      <c r="CN6" s="166"/>
      <c r="CO6" s="164"/>
      <c r="CP6" s="161"/>
      <c r="CQ6" s="161"/>
      <c r="CR6" s="161"/>
      <c r="CS6" s="162"/>
      <c r="CT6" s="161"/>
      <c r="CU6" s="161"/>
      <c r="CV6" s="161"/>
      <c r="CW6" s="162"/>
      <c r="CX6" s="161"/>
      <c r="CY6" s="161"/>
      <c r="CZ6" s="163"/>
      <c r="DA6" s="164"/>
      <c r="DB6" s="161"/>
      <c r="DC6" s="161"/>
      <c r="DD6" s="161"/>
      <c r="DE6" s="162"/>
      <c r="DF6" s="161"/>
      <c r="DG6" s="161"/>
      <c r="DH6" s="161"/>
      <c r="DI6" s="162"/>
      <c r="DJ6" s="161"/>
      <c r="DK6" s="161"/>
      <c r="DL6" s="163"/>
      <c r="DM6" s="164"/>
      <c r="DN6" s="161"/>
      <c r="DO6" s="161"/>
      <c r="DP6" s="161"/>
      <c r="DQ6" s="162"/>
      <c r="DR6" s="161"/>
      <c r="DS6" s="161"/>
      <c r="DT6" s="161"/>
      <c r="DU6" s="162"/>
      <c r="DV6" s="161"/>
      <c r="DW6" s="161"/>
      <c r="DX6" s="163"/>
      <c r="DY6" s="159"/>
      <c r="DZ6" s="161"/>
      <c r="EA6" s="161"/>
      <c r="EB6" s="167"/>
      <c r="EC6" s="162"/>
      <c r="ED6" s="161"/>
      <c r="EE6" s="161"/>
      <c r="EF6" s="161"/>
      <c r="EG6" s="162"/>
      <c r="EH6" s="161"/>
      <c r="EI6" s="161"/>
      <c r="EJ6" s="163"/>
      <c r="EK6" s="159"/>
      <c r="EL6" s="161"/>
      <c r="EM6" s="161"/>
      <c r="EN6" s="167"/>
      <c r="EO6" s="162"/>
      <c r="EP6" s="161"/>
      <c r="EQ6" s="161"/>
      <c r="ER6" s="161"/>
      <c r="ES6" s="162"/>
      <c r="ET6" s="161"/>
      <c r="EU6" s="161"/>
      <c r="EV6" s="163"/>
      <c r="EW6" s="159"/>
      <c r="EX6" s="167"/>
      <c r="EY6" s="161"/>
      <c r="EZ6" s="167"/>
      <c r="FA6" s="162"/>
      <c r="FB6" s="167"/>
      <c r="FC6" s="161"/>
      <c r="FD6" s="161"/>
      <c r="FE6" s="159"/>
      <c r="FF6" s="167"/>
      <c r="FG6" s="167"/>
      <c r="FH6" s="167"/>
      <c r="FI6" s="159"/>
      <c r="FJ6" s="167"/>
      <c r="FK6" s="161"/>
      <c r="FL6" s="167"/>
      <c r="FM6" s="162"/>
      <c r="FN6" s="167"/>
      <c r="FO6" s="161"/>
      <c r="FP6" s="161"/>
      <c r="FQ6" s="159"/>
      <c r="FR6" s="167"/>
      <c r="FS6" s="167"/>
      <c r="FT6" s="167"/>
      <c r="FU6" s="178"/>
      <c r="FV6" s="178"/>
      <c r="FW6" s="178"/>
      <c r="FX6" s="178"/>
      <c r="FY6" s="178"/>
      <c r="FZ6" s="178"/>
      <c r="GA6" s="178">
        <v>126</v>
      </c>
      <c r="GB6" s="18">
        <v>562</v>
      </c>
      <c r="GC6" s="18">
        <v>600</v>
      </c>
      <c r="GD6" s="18">
        <v>421</v>
      </c>
      <c r="GE6" s="18">
        <v>572</v>
      </c>
      <c r="GF6" s="177">
        <v>678</v>
      </c>
      <c r="GG6" s="18">
        <v>588</v>
      </c>
      <c r="GH6" s="18">
        <v>490</v>
      </c>
      <c r="GI6" s="184">
        <v>130</v>
      </c>
      <c r="GJ6" s="184">
        <v>710</v>
      </c>
      <c r="GK6" s="184">
        <v>627</v>
      </c>
      <c r="GL6" s="184">
        <v>733</v>
      </c>
    </row>
    <row r="7" spans="1:194" x14ac:dyDescent="0.3">
      <c r="A7" s="6" t="s">
        <v>32</v>
      </c>
      <c r="B7" s="12"/>
      <c r="C7" s="13"/>
      <c r="D7" s="13"/>
      <c r="E7" s="13"/>
      <c r="F7" s="13"/>
      <c r="G7" s="13"/>
      <c r="H7" s="14"/>
      <c r="I7" s="12" t="s">
        <v>33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  <c r="U7" s="12" t="s">
        <v>33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2" t="s">
        <v>33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2" t="s">
        <v>33</v>
      </c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4"/>
      <c r="BE7" s="12" t="s">
        <v>33</v>
      </c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4"/>
      <c r="BQ7" s="12" t="s">
        <v>33</v>
      </c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4"/>
      <c r="CC7" s="15"/>
      <c r="CD7" s="13"/>
      <c r="CE7" s="13"/>
      <c r="CF7" s="13"/>
      <c r="CG7" s="13"/>
      <c r="CH7" s="13"/>
      <c r="CI7" s="13"/>
      <c r="CJ7" s="13"/>
      <c r="CK7" s="13">
        <v>2962</v>
      </c>
      <c r="CL7" s="13">
        <v>6740</v>
      </c>
      <c r="CM7" s="13">
        <v>9882</v>
      </c>
      <c r="CN7" s="16">
        <v>7250</v>
      </c>
      <c r="CO7" s="12">
        <v>11109</v>
      </c>
      <c r="CP7" s="13">
        <v>6936</v>
      </c>
      <c r="CQ7" s="13">
        <v>7820</v>
      </c>
      <c r="CR7" s="13">
        <v>7814</v>
      </c>
      <c r="CS7" s="13">
        <v>14528</v>
      </c>
      <c r="CT7" s="13">
        <v>13179</v>
      </c>
      <c r="CU7" s="13">
        <v>12429</v>
      </c>
      <c r="CV7" s="13">
        <v>9201</v>
      </c>
      <c r="CW7" s="13">
        <v>7278</v>
      </c>
      <c r="CX7" s="13">
        <v>11389</v>
      </c>
      <c r="CY7" s="13">
        <v>9921</v>
      </c>
      <c r="CZ7" s="14">
        <v>7225</v>
      </c>
      <c r="DA7" s="12">
        <v>12445</v>
      </c>
      <c r="DB7" s="13">
        <v>8331</v>
      </c>
      <c r="DC7" s="13">
        <v>9720</v>
      </c>
      <c r="DD7" s="13">
        <v>10555</v>
      </c>
      <c r="DE7" s="13">
        <v>13965</v>
      </c>
      <c r="DF7" s="13">
        <v>11516</v>
      </c>
      <c r="DG7" s="13">
        <v>12606</v>
      </c>
      <c r="DH7" s="13">
        <v>10835</v>
      </c>
      <c r="DI7" s="13">
        <v>7952</v>
      </c>
      <c r="DJ7" s="13">
        <v>9417</v>
      </c>
      <c r="DK7" s="13">
        <v>10146</v>
      </c>
      <c r="DL7" s="14">
        <v>7670</v>
      </c>
      <c r="DM7" s="12">
        <v>12877</v>
      </c>
      <c r="DN7" s="13">
        <v>8605</v>
      </c>
      <c r="DO7" s="123">
        <v>12418</v>
      </c>
      <c r="DP7" s="123">
        <v>7701</v>
      </c>
      <c r="DQ7" s="123">
        <v>9177</v>
      </c>
      <c r="DR7" s="123">
        <v>10941</v>
      </c>
      <c r="DS7" s="123">
        <v>9746</v>
      </c>
      <c r="DT7" s="123">
        <v>7526</v>
      </c>
      <c r="DU7" s="123">
        <v>9687</v>
      </c>
      <c r="DV7" s="123">
        <v>7889</v>
      </c>
      <c r="DW7" s="123">
        <v>10464</v>
      </c>
      <c r="DX7" s="124">
        <v>10515</v>
      </c>
      <c r="DY7" s="119">
        <v>11011</v>
      </c>
      <c r="DZ7" s="123">
        <v>8254</v>
      </c>
      <c r="EA7" s="123">
        <v>12363</v>
      </c>
      <c r="EB7" s="119">
        <v>8206</v>
      </c>
      <c r="EC7" s="123">
        <v>9923</v>
      </c>
      <c r="ED7" s="123">
        <v>11972</v>
      </c>
      <c r="EE7" s="123">
        <v>10976</v>
      </c>
      <c r="EF7" s="123">
        <v>9185</v>
      </c>
      <c r="EG7" s="123">
        <v>9582</v>
      </c>
      <c r="EH7" s="123">
        <v>6539</v>
      </c>
      <c r="EI7" s="123">
        <v>8828</v>
      </c>
      <c r="EJ7" s="124">
        <v>5451</v>
      </c>
      <c r="EK7" s="119">
        <v>7052</v>
      </c>
      <c r="EL7" s="123">
        <v>7044</v>
      </c>
      <c r="EM7" s="123">
        <v>6868</v>
      </c>
      <c r="EN7" s="119">
        <v>5485</v>
      </c>
      <c r="EO7" s="123">
        <v>5065</v>
      </c>
      <c r="EP7" s="123">
        <v>4814</v>
      </c>
      <c r="EQ7" s="123">
        <v>2922</v>
      </c>
      <c r="ER7" s="123">
        <v>4919</v>
      </c>
      <c r="ES7" s="123">
        <v>5280</v>
      </c>
      <c r="ET7" s="123">
        <v>4624</v>
      </c>
      <c r="EU7" s="123">
        <v>5633</v>
      </c>
      <c r="EV7" s="124">
        <v>4971</v>
      </c>
      <c r="EW7" s="119">
        <v>6400</v>
      </c>
      <c r="EX7" s="109">
        <v>7600</v>
      </c>
      <c r="EY7" s="123">
        <v>6247</v>
      </c>
      <c r="EZ7" s="119">
        <v>5897</v>
      </c>
      <c r="FA7" s="13">
        <v>6040</v>
      </c>
      <c r="FB7" s="149">
        <v>8260</v>
      </c>
      <c r="FC7" s="13">
        <v>6258</v>
      </c>
      <c r="FD7" s="13">
        <v>5804</v>
      </c>
      <c r="FE7" s="149">
        <v>6151</v>
      </c>
      <c r="FF7" s="149">
        <v>5586</v>
      </c>
      <c r="FG7" s="149">
        <v>8148</v>
      </c>
      <c r="FH7" s="149">
        <v>5055</v>
      </c>
      <c r="FI7" s="119">
        <f>'Average Sunday-Holiday Boarding'!FI7*6</f>
        <v>8765</v>
      </c>
      <c r="FJ7" s="109">
        <f>'Average Sunday-Holiday Boarding'!FJ7*4</f>
        <v>5723</v>
      </c>
      <c r="FK7" s="123">
        <f>'Average Sunday-Holiday Boarding'!FK7*5</f>
        <v>8102</v>
      </c>
      <c r="FL7" s="119">
        <v>7415</v>
      </c>
      <c r="FM7" s="13">
        <v>6670</v>
      </c>
      <c r="FN7" s="149">
        <v>6795</v>
      </c>
      <c r="FO7" s="13">
        <v>8206</v>
      </c>
      <c r="FP7" s="13">
        <v>3128</v>
      </c>
      <c r="FQ7" s="149">
        <v>6008</v>
      </c>
      <c r="FR7" s="149">
        <v>7109</v>
      </c>
      <c r="FS7" s="149">
        <v>7370</v>
      </c>
      <c r="FT7" s="155">
        <v>5798</v>
      </c>
      <c r="FU7" s="169">
        <v>9842</v>
      </c>
      <c r="FV7" s="169">
        <v>8495</v>
      </c>
      <c r="FW7" s="169">
        <v>8023</v>
      </c>
      <c r="FX7" s="169">
        <v>8071</v>
      </c>
      <c r="FY7" s="169">
        <v>8019</v>
      </c>
      <c r="FZ7" s="169">
        <v>9644</v>
      </c>
      <c r="GA7" s="169">
        <v>8538</v>
      </c>
      <c r="GB7" s="18">
        <v>2986</v>
      </c>
      <c r="GC7" s="18">
        <v>3585</v>
      </c>
      <c r="GD7" s="18">
        <v>2583</v>
      </c>
      <c r="GE7" s="18">
        <v>3068</v>
      </c>
      <c r="GF7" s="52">
        <v>3117</v>
      </c>
      <c r="GG7" s="18">
        <v>3021</v>
      </c>
      <c r="GH7" s="18">
        <v>2417</v>
      </c>
      <c r="GI7" s="184">
        <v>11151</v>
      </c>
      <c r="GJ7" s="184">
        <v>2339</v>
      </c>
      <c r="GK7" s="184">
        <v>4117</v>
      </c>
      <c r="GL7" s="184">
        <v>3061</v>
      </c>
    </row>
    <row r="8" spans="1:194" x14ac:dyDescent="0.3">
      <c r="A8" s="2" t="s">
        <v>30</v>
      </c>
      <c r="B8" s="17"/>
      <c r="C8" s="18"/>
      <c r="D8" s="18"/>
      <c r="E8" s="18"/>
      <c r="F8" s="18"/>
      <c r="G8" s="18"/>
      <c r="H8" s="19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7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7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  <c r="AS8" s="1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9"/>
      <c r="BE8" s="17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9"/>
      <c r="BQ8" s="17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9"/>
      <c r="CC8" s="20"/>
      <c r="CD8" s="18"/>
      <c r="CE8" s="18"/>
      <c r="CF8" s="18"/>
      <c r="CG8" s="18"/>
      <c r="CH8" s="18"/>
      <c r="CI8" s="18"/>
      <c r="CJ8" s="18"/>
      <c r="CK8" s="18">
        <v>1143</v>
      </c>
      <c r="CL8" s="18">
        <v>2454</v>
      </c>
      <c r="CM8" s="18">
        <v>4084</v>
      </c>
      <c r="CN8" s="21">
        <v>2714</v>
      </c>
      <c r="CO8" s="17">
        <v>4228</v>
      </c>
      <c r="CP8" s="18">
        <v>2882</v>
      </c>
      <c r="CQ8" s="18">
        <v>3482</v>
      </c>
      <c r="CR8" s="18">
        <v>3509</v>
      </c>
      <c r="CS8" s="18">
        <v>6617</v>
      </c>
      <c r="CT8" s="18">
        <v>6009</v>
      </c>
      <c r="CU8" s="18">
        <v>5719</v>
      </c>
      <c r="CV8" s="18">
        <v>4117</v>
      </c>
      <c r="CW8" s="18">
        <v>3176</v>
      </c>
      <c r="CX8" s="18">
        <v>4131</v>
      </c>
      <c r="CY8" s="18">
        <v>3915</v>
      </c>
      <c r="CZ8" s="19">
        <v>2918</v>
      </c>
      <c r="DA8" s="17">
        <v>4744</v>
      </c>
      <c r="DB8" s="18">
        <v>3348</v>
      </c>
      <c r="DC8" s="18">
        <v>4170</v>
      </c>
      <c r="DD8" s="18">
        <v>4090</v>
      </c>
      <c r="DE8" s="18">
        <v>5829</v>
      </c>
      <c r="DF8" s="18">
        <v>4571</v>
      </c>
      <c r="DG8" s="18">
        <v>5011</v>
      </c>
      <c r="DH8" s="18">
        <v>4370</v>
      </c>
      <c r="DI8" s="18">
        <v>3344</v>
      </c>
      <c r="DJ8" s="18">
        <v>3894</v>
      </c>
      <c r="DK8" s="18">
        <v>4046</v>
      </c>
      <c r="DL8" s="19">
        <v>3080</v>
      </c>
      <c r="DM8" s="17">
        <v>5047</v>
      </c>
      <c r="DN8" s="18">
        <v>3460</v>
      </c>
      <c r="DO8" s="127">
        <v>5117</v>
      </c>
      <c r="DP8" s="127">
        <v>3567</v>
      </c>
      <c r="DQ8" s="127">
        <v>4235</v>
      </c>
      <c r="DR8" s="127">
        <v>4718</v>
      </c>
      <c r="DS8" s="127">
        <v>4069</v>
      </c>
      <c r="DT8" s="127">
        <v>3307</v>
      </c>
      <c r="DU8" s="127">
        <v>3950</v>
      </c>
      <c r="DV8" s="127">
        <v>3007</v>
      </c>
      <c r="DW8" s="127">
        <v>3788</v>
      </c>
      <c r="DX8" s="128">
        <v>3680</v>
      </c>
      <c r="DY8" s="119">
        <v>3561</v>
      </c>
      <c r="DZ8" s="127">
        <v>3510</v>
      </c>
      <c r="EA8" s="127">
        <v>4096</v>
      </c>
      <c r="EB8" s="119">
        <v>3127</v>
      </c>
      <c r="EC8" s="127">
        <v>3923</v>
      </c>
      <c r="ED8" s="127">
        <v>4407</v>
      </c>
      <c r="EE8" s="127">
        <v>3874</v>
      </c>
      <c r="EF8" s="127">
        <v>3410</v>
      </c>
      <c r="EG8" s="127">
        <v>3466</v>
      </c>
      <c r="EH8" s="127">
        <v>1961</v>
      </c>
      <c r="EI8" s="127">
        <v>2882</v>
      </c>
      <c r="EJ8" s="128">
        <v>1672</v>
      </c>
      <c r="EK8" s="119">
        <v>1971</v>
      </c>
      <c r="EL8" s="127">
        <v>2071</v>
      </c>
      <c r="EM8" s="127">
        <v>2130</v>
      </c>
      <c r="EN8" s="121">
        <v>1635</v>
      </c>
      <c r="EO8" s="127">
        <v>1534</v>
      </c>
      <c r="EP8" s="127">
        <v>1421</v>
      </c>
      <c r="EQ8" s="127">
        <v>1007</v>
      </c>
      <c r="ER8" s="127">
        <v>1469</v>
      </c>
      <c r="ES8" s="127">
        <v>1553</v>
      </c>
      <c r="ET8" s="127">
        <v>1581</v>
      </c>
      <c r="EU8" s="127">
        <v>1902</v>
      </c>
      <c r="EV8" s="128">
        <v>1521</v>
      </c>
      <c r="EW8" s="119">
        <v>1903</v>
      </c>
      <c r="EX8" s="109">
        <v>2450</v>
      </c>
      <c r="EY8" s="127">
        <v>1833</v>
      </c>
      <c r="EZ8" s="121">
        <v>1986</v>
      </c>
      <c r="FA8" s="18">
        <v>2033</v>
      </c>
      <c r="FB8" s="149">
        <v>2795</v>
      </c>
      <c r="FC8" s="18">
        <v>2102</v>
      </c>
      <c r="FD8" s="18">
        <v>2082</v>
      </c>
      <c r="FE8" s="149">
        <v>2206</v>
      </c>
      <c r="FF8" s="149">
        <v>2093</v>
      </c>
      <c r="FG8" s="149">
        <v>3100</v>
      </c>
      <c r="FH8" s="149">
        <v>1704</v>
      </c>
      <c r="FI8" s="119">
        <f>'Average Sunday-Holiday Boarding'!FI8*6</f>
        <v>2872</v>
      </c>
      <c r="FJ8" s="109">
        <f>'Average Sunday-Holiday Boarding'!FJ8*4</f>
        <v>1704</v>
      </c>
      <c r="FK8" s="127">
        <f>'Average Sunday-Holiday Boarding'!FK8*5</f>
        <v>2550</v>
      </c>
      <c r="FL8" s="121">
        <v>2415</v>
      </c>
      <c r="FM8" s="18">
        <v>2212</v>
      </c>
      <c r="FN8" s="149">
        <v>2399</v>
      </c>
      <c r="FO8" s="18">
        <v>2872</v>
      </c>
      <c r="FP8" s="18">
        <v>2058</v>
      </c>
      <c r="FQ8" s="149">
        <v>2350</v>
      </c>
      <c r="FR8" s="149">
        <v>2789</v>
      </c>
      <c r="FS8" s="149">
        <v>2885</v>
      </c>
      <c r="FT8" s="155">
        <v>2230</v>
      </c>
      <c r="FU8" s="169">
        <v>3454</v>
      </c>
      <c r="FV8" s="169">
        <v>3331</v>
      </c>
      <c r="FW8" s="169">
        <v>3118</v>
      </c>
      <c r="FX8" s="169">
        <v>2830</v>
      </c>
      <c r="FY8" s="169">
        <v>2633</v>
      </c>
      <c r="FZ8" s="169">
        <v>3144</v>
      </c>
      <c r="GA8" s="169">
        <v>2763</v>
      </c>
      <c r="GB8" s="18">
        <v>2297</v>
      </c>
      <c r="GC8" s="18">
        <v>2714</v>
      </c>
      <c r="GD8" s="18">
        <v>1996</v>
      </c>
      <c r="GE8" s="18">
        <v>2481</v>
      </c>
      <c r="GF8" s="52">
        <v>2524</v>
      </c>
      <c r="GG8" s="18">
        <v>2307</v>
      </c>
      <c r="GH8" s="18">
        <v>2072</v>
      </c>
      <c r="GI8" s="184">
        <v>3015</v>
      </c>
      <c r="GJ8" s="184">
        <v>2085</v>
      </c>
      <c r="GK8" s="184">
        <v>2470</v>
      </c>
      <c r="GL8" s="184">
        <v>3079</v>
      </c>
    </row>
    <row r="9" spans="1:194" ht="15" thickBot="1" x14ac:dyDescent="0.35">
      <c r="A9" s="7" t="s">
        <v>31</v>
      </c>
      <c r="B9" s="22"/>
      <c r="C9" s="23"/>
      <c r="D9" s="23"/>
      <c r="E9" s="23"/>
      <c r="F9" s="23"/>
      <c r="G9" s="23"/>
      <c r="H9" s="24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2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22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4"/>
      <c r="AS9" s="22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4"/>
      <c r="BE9" s="22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4"/>
      <c r="BQ9" s="22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4"/>
      <c r="CC9" s="25"/>
      <c r="CD9" s="23"/>
      <c r="CE9" s="23"/>
      <c r="CF9" s="23"/>
      <c r="CG9" s="23"/>
      <c r="CH9" s="23"/>
      <c r="CI9" s="23"/>
      <c r="CJ9" s="23"/>
      <c r="CK9" s="23">
        <v>1367</v>
      </c>
      <c r="CL9" s="23">
        <v>3137</v>
      </c>
      <c r="CM9" s="23">
        <v>5344</v>
      </c>
      <c r="CN9" s="26">
        <v>3561</v>
      </c>
      <c r="CO9" s="22">
        <v>5784</v>
      </c>
      <c r="CP9" s="23">
        <v>3901</v>
      </c>
      <c r="CQ9" s="23">
        <v>4720</v>
      </c>
      <c r="CR9" s="23">
        <v>4853</v>
      </c>
      <c r="CS9" s="23">
        <v>8571</v>
      </c>
      <c r="CT9" s="23">
        <v>7372</v>
      </c>
      <c r="CU9" s="23">
        <v>6888</v>
      </c>
      <c r="CV9" s="23">
        <v>5301</v>
      </c>
      <c r="CW9" s="23">
        <v>3921</v>
      </c>
      <c r="CX9" s="23">
        <v>4904</v>
      </c>
      <c r="CY9" s="23">
        <v>4721</v>
      </c>
      <c r="CZ9" s="24">
        <v>3566</v>
      </c>
      <c r="DA9" s="22">
        <v>5599</v>
      </c>
      <c r="DB9" s="23">
        <v>3978</v>
      </c>
      <c r="DC9" s="23">
        <v>4781</v>
      </c>
      <c r="DD9" s="23">
        <v>5412</v>
      </c>
      <c r="DE9" s="23">
        <v>7513</v>
      </c>
      <c r="DF9" s="23">
        <v>5999</v>
      </c>
      <c r="DG9" s="23">
        <v>6310</v>
      </c>
      <c r="DH9" s="23">
        <v>5718</v>
      </c>
      <c r="DI9" s="23">
        <v>4216</v>
      </c>
      <c r="DJ9" s="23">
        <v>5041</v>
      </c>
      <c r="DK9" s="23">
        <v>5031</v>
      </c>
      <c r="DL9" s="24">
        <v>4139</v>
      </c>
      <c r="DM9" s="22">
        <v>6074</v>
      </c>
      <c r="DN9" s="23">
        <v>3872</v>
      </c>
      <c r="DO9" s="130">
        <v>5767</v>
      </c>
      <c r="DP9" s="130">
        <v>4134</v>
      </c>
      <c r="DQ9" s="130">
        <v>5162</v>
      </c>
      <c r="DR9" s="130">
        <v>5834</v>
      </c>
      <c r="DS9" s="130">
        <v>4589</v>
      </c>
      <c r="DT9" s="130">
        <v>3746</v>
      </c>
      <c r="DU9" s="130">
        <v>4730</v>
      </c>
      <c r="DV9" s="130">
        <v>3451</v>
      </c>
      <c r="DW9" s="130">
        <v>4439</v>
      </c>
      <c r="DX9" s="131">
        <v>4433</v>
      </c>
      <c r="DY9" s="130">
        <v>4165</v>
      </c>
      <c r="DZ9" s="130">
        <v>3247</v>
      </c>
      <c r="EA9" s="130">
        <v>5270</v>
      </c>
      <c r="EB9" s="119">
        <v>3887</v>
      </c>
      <c r="EC9" s="130">
        <v>4727</v>
      </c>
      <c r="ED9" s="130">
        <v>5227</v>
      </c>
      <c r="EE9" s="130">
        <v>4491</v>
      </c>
      <c r="EF9" s="130">
        <v>3956</v>
      </c>
      <c r="EG9" s="130">
        <v>4483</v>
      </c>
      <c r="EH9" s="130">
        <v>2590</v>
      </c>
      <c r="EI9" s="130">
        <v>3443</v>
      </c>
      <c r="EJ9" s="131">
        <v>2079</v>
      </c>
      <c r="EK9" s="130">
        <v>2582</v>
      </c>
      <c r="EL9" s="130">
        <v>2520</v>
      </c>
      <c r="EM9" s="130">
        <v>2729</v>
      </c>
      <c r="EN9" s="122">
        <v>2218</v>
      </c>
      <c r="EO9" s="130">
        <v>1964</v>
      </c>
      <c r="EP9" s="130">
        <v>1979</v>
      </c>
      <c r="EQ9" s="130">
        <v>1309</v>
      </c>
      <c r="ER9" s="130">
        <v>2024</v>
      </c>
      <c r="ES9" s="130">
        <v>2068</v>
      </c>
      <c r="ET9" s="130">
        <v>1969</v>
      </c>
      <c r="EU9" s="130">
        <v>2464</v>
      </c>
      <c r="EV9" s="131">
        <v>1831</v>
      </c>
      <c r="EW9" s="130">
        <v>2467</v>
      </c>
      <c r="EX9" s="110">
        <v>3118</v>
      </c>
      <c r="EY9" s="130">
        <v>2447</v>
      </c>
      <c r="EZ9" s="122">
        <v>2531</v>
      </c>
      <c r="FA9" s="23">
        <v>2705</v>
      </c>
      <c r="FB9" s="23">
        <v>3634</v>
      </c>
      <c r="FC9" s="23">
        <v>2764</v>
      </c>
      <c r="FD9" s="23">
        <v>2593</v>
      </c>
      <c r="FE9" s="23">
        <v>2567</v>
      </c>
      <c r="FF9" s="23">
        <v>2517</v>
      </c>
      <c r="FG9" s="23">
        <v>3853</v>
      </c>
      <c r="FH9" s="23">
        <v>2341</v>
      </c>
      <c r="FI9" s="130">
        <f>'Average Sunday-Holiday Boarding'!FI9*6</f>
        <v>3442</v>
      </c>
      <c r="FJ9" s="110">
        <f>'Average Sunday-Holiday Boarding'!FJ9*4</f>
        <v>2525</v>
      </c>
      <c r="FK9" s="130">
        <f>'Average Sunday-Holiday Boarding'!FK9*5</f>
        <v>3821</v>
      </c>
      <c r="FL9" s="122">
        <v>3476</v>
      </c>
      <c r="FM9" s="23">
        <v>3191</v>
      </c>
      <c r="FN9" s="23">
        <v>3574</v>
      </c>
      <c r="FO9" s="23">
        <v>4014</v>
      </c>
      <c r="FP9" s="23">
        <v>2905</v>
      </c>
      <c r="FQ9" s="23">
        <v>2992</v>
      </c>
      <c r="FR9" s="23">
        <v>3917</v>
      </c>
      <c r="FS9" s="23">
        <v>3839</v>
      </c>
      <c r="FT9" s="26">
        <v>2805</v>
      </c>
      <c r="FU9" s="169">
        <v>4609</v>
      </c>
      <c r="FV9" s="169">
        <v>4058</v>
      </c>
      <c r="FW9" s="169">
        <v>3972</v>
      </c>
      <c r="FX9" s="169">
        <v>3678</v>
      </c>
      <c r="FY9" s="169">
        <v>3368</v>
      </c>
      <c r="FZ9" s="169">
        <v>4087</v>
      </c>
      <c r="GA9" s="169">
        <v>3889</v>
      </c>
      <c r="GB9" s="18">
        <v>2785</v>
      </c>
      <c r="GC9" s="18">
        <v>3596</v>
      </c>
      <c r="GD9" s="18">
        <v>2671</v>
      </c>
      <c r="GE9" s="18">
        <v>3283</v>
      </c>
      <c r="GF9" s="52">
        <v>3530</v>
      </c>
      <c r="GG9" s="18">
        <v>3077</v>
      </c>
      <c r="GH9" s="18">
        <v>2423</v>
      </c>
      <c r="GI9" s="184">
        <v>3487</v>
      </c>
      <c r="GJ9" s="184">
        <v>2439</v>
      </c>
      <c r="GK9" s="184">
        <v>2908</v>
      </c>
      <c r="GL9" s="184">
        <v>3364</v>
      </c>
    </row>
    <row r="10" spans="1:194" x14ac:dyDescent="0.3">
      <c r="A10" s="8" t="s">
        <v>3</v>
      </c>
      <c r="B10" s="12"/>
      <c r="C10" s="13">
        <v>17927</v>
      </c>
      <c r="D10" s="13">
        <v>13262</v>
      </c>
      <c r="E10" s="13">
        <v>14956</v>
      </c>
      <c r="F10" s="13">
        <v>11356</v>
      </c>
      <c r="G10" s="13">
        <v>15399</v>
      </c>
      <c r="H10" s="14">
        <v>7646</v>
      </c>
      <c r="I10" s="12">
        <v>12234</v>
      </c>
      <c r="J10" s="13">
        <v>8835</v>
      </c>
      <c r="K10" s="13">
        <v>10330</v>
      </c>
      <c r="L10" s="13">
        <v>8192</v>
      </c>
      <c r="M10" s="13">
        <v>19104</v>
      </c>
      <c r="N10" s="13">
        <v>8880</v>
      </c>
      <c r="O10" s="123">
        <v>13483</v>
      </c>
      <c r="P10" s="123">
        <v>11707</v>
      </c>
      <c r="Q10" s="123">
        <v>11871</v>
      </c>
      <c r="R10" s="123">
        <v>8836</v>
      </c>
      <c r="S10" s="123">
        <v>13333</v>
      </c>
      <c r="T10" s="124">
        <v>7883</v>
      </c>
      <c r="U10" s="125">
        <v>10441</v>
      </c>
      <c r="V10" s="123">
        <v>9942</v>
      </c>
      <c r="W10" s="123">
        <v>11116</v>
      </c>
      <c r="X10" s="123">
        <v>10981</v>
      </c>
      <c r="Y10" s="123">
        <v>17348</v>
      </c>
      <c r="Z10" s="123">
        <v>10131</v>
      </c>
      <c r="AA10" s="13">
        <v>12433</v>
      </c>
      <c r="AB10" s="13">
        <v>11853</v>
      </c>
      <c r="AC10" s="13">
        <v>11150</v>
      </c>
      <c r="AD10" s="13">
        <v>9110</v>
      </c>
      <c r="AE10" s="13">
        <v>13596</v>
      </c>
      <c r="AF10" s="14">
        <v>8796</v>
      </c>
      <c r="AG10" s="12">
        <v>16186</v>
      </c>
      <c r="AH10" s="13">
        <v>8778</v>
      </c>
      <c r="AI10" s="13">
        <v>10760</v>
      </c>
      <c r="AJ10" s="13">
        <v>10569</v>
      </c>
      <c r="AK10" s="13">
        <v>15342</v>
      </c>
      <c r="AL10" s="13">
        <v>10489</v>
      </c>
      <c r="AM10" s="13">
        <v>16084</v>
      </c>
      <c r="AN10" s="13">
        <v>12227</v>
      </c>
      <c r="AO10" s="13">
        <v>8961</v>
      </c>
      <c r="AP10" s="13">
        <v>11504</v>
      </c>
      <c r="AQ10" s="13">
        <v>11619</v>
      </c>
      <c r="AR10" s="14">
        <v>8723</v>
      </c>
      <c r="AS10" s="12">
        <v>16153</v>
      </c>
      <c r="AT10" s="13">
        <v>9482</v>
      </c>
      <c r="AU10" s="13">
        <v>13788</v>
      </c>
      <c r="AV10" s="13">
        <v>10146</v>
      </c>
      <c r="AW10" s="13">
        <v>15135</v>
      </c>
      <c r="AX10" s="13">
        <v>14036</v>
      </c>
      <c r="AY10" s="13">
        <v>14842</v>
      </c>
      <c r="AZ10" s="13">
        <v>14083</v>
      </c>
      <c r="BA10" s="13">
        <v>13941</v>
      </c>
      <c r="BB10" s="13">
        <v>11325</v>
      </c>
      <c r="BC10" s="13">
        <v>14021</v>
      </c>
      <c r="BD10" s="14">
        <v>12442</v>
      </c>
      <c r="BE10" s="12">
        <v>13616</v>
      </c>
      <c r="BF10" s="13">
        <v>9723</v>
      </c>
      <c r="BG10" s="13">
        <v>14670</v>
      </c>
      <c r="BH10" s="13">
        <v>9451</v>
      </c>
      <c r="BI10" s="13">
        <v>14573.062794047048</v>
      </c>
      <c r="BJ10" s="13">
        <v>16352</v>
      </c>
      <c r="BK10" s="13">
        <v>15622</v>
      </c>
      <c r="BL10" s="13">
        <v>13546</v>
      </c>
      <c r="BM10" s="13">
        <v>13681</v>
      </c>
      <c r="BN10" s="13">
        <v>10328</v>
      </c>
      <c r="BO10" s="13">
        <v>11695</v>
      </c>
      <c r="BP10" s="14">
        <v>11304</v>
      </c>
      <c r="BQ10" s="12">
        <v>12568</v>
      </c>
      <c r="BR10" s="13">
        <v>12242</v>
      </c>
      <c r="BS10" s="13">
        <v>11920</v>
      </c>
      <c r="BT10" s="13">
        <v>9310</v>
      </c>
      <c r="BU10" s="13">
        <v>19307</v>
      </c>
      <c r="BV10" s="13">
        <v>13814</v>
      </c>
      <c r="BW10" s="13">
        <v>16457</v>
      </c>
      <c r="BX10" s="13">
        <v>15390</v>
      </c>
      <c r="BY10" s="13">
        <v>12123</v>
      </c>
      <c r="BZ10" s="13">
        <v>9795</v>
      </c>
      <c r="CA10" s="13">
        <v>15352</v>
      </c>
      <c r="CB10" s="14">
        <v>10311</v>
      </c>
      <c r="CC10" s="15">
        <v>12754</v>
      </c>
      <c r="CD10" s="13">
        <v>12199</v>
      </c>
      <c r="CE10" s="13">
        <v>12735</v>
      </c>
      <c r="CF10" s="13">
        <v>10203</v>
      </c>
      <c r="CG10" s="13">
        <v>19321</v>
      </c>
      <c r="CH10" s="13">
        <v>14090</v>
      </c>
      <c r="CI10" s="13">
        <v>17407</v>
      </c>
      <c r="CJ10" s="13">
        <v>12918</v>
      </c>
      <c r="CK10" s="13">
        <v>8434</v>
      </c>
      <c r="CL10" s="13">
        <v>6514</v>
      </c>
      <c r="CM10" s="13">
        <v>9491</v>
      </c>
      <c r="CN10" s="16">
        <v>6151</v>
      </c>
      <c r="CO10" s="12">
        <v>9901</v>
      </c>
      <c r="CP10" s="13">
        <v>6588</v>
      </c>
      <c r="CQ10" s="13">
        <v>7756</v>
      </c>
      <c r="CR10" s="13">
        <v>7510</v>
      </c>
      <c r="CS10" s="13">
        <v>14303</v>
      </c>
      <c r="CT10" s="13">
        <v>12815</v>
      </c>
      <c r="CU10" s="13">
        <v>11576</v>
      </c>
      <c r="CV10" s="13">
        <v>8288</v>
      </c>
      <c r="CW10" s="13">
        <v>6624</v>
      </c>
      <c r="CX10" s="13">
        <v>9485</v>
      </c>
      <c r="CY10" s="13">
        <v>7108</v>
      </c>
      <c r="CZ10" s="14">
        <v>5329</v>
      </c>
      <c r="DA10" s="12">
        <v>8691</v>
      </c>
      <c r="DB10" s="13">
        <v>5817</v>
      </c>
      <c r="DC10" s="13">
        <v>7498</v>
      </c>
      <c r="DD10" s="13">
        <v>7451</v>
      </c>
      <c r="DE10" s="13">
        <v>11163</v>
      </c>
      <c r="DF10" s="13">
        <v>8457</v>
      </c>
      <c r="DG10" s="13">
        <v>9152</v>
      </c>
      <c r="DH10" s="13">
        <v>8036</v>
      </c>
      <c r="DI10" s="13">
        <v>6098</v>
      </c>
      <c r="DJ10" s="13">
        <v>6999</v>
      </c>
      <c r="DK10" s="13">
        <v>7048</v>
      </c>
      <c r="DL10" s="14">
        <v>5186</v>
      </c>
      <c r="DM10" s="12">
        <v>8713</v>
      </c>
      <c r="DN10" s="13">
        <v>5420</v>
      </c>
      <c r="DO10" s="123">
        <v>8446</v>
      </c>
      <c r="DP10" s="123">
        <v>5781</v>
      </c>
      <c r="DQ10" s="123">
        <v>6767</v>
      </c>
      <c r="DR10" s="123">
        <v>8040</v>
      </c>
      <c r="DS10" s="123">
        <v>6538</v>
      </c>
      <c r="DT10" s="123">
        <v>5503</v>
      </c>
      <c r="DU10" s="123">
        <v>7246</v>
      </c>
      <c r="DV10" s="123">
        <v>5083</v>
      </c>
      <c r="DW10" s="123">
        <v>6341</v>
      </c>
      <c r="DX10" s="124">
        <v>6174</v>
      </c>
      <c r="DY10" s="123">
        <v>5896</v>
      </c>
      <c r="DZ10" s="123">
        <v>5686</v>
      </c>
      <c r="EA10" s="123">
        <v>7450</v>
      </c>
      <c r="EB10" s="119">
        <v>5208</v>
      </c>
      <c r="EC10" s="123">
        <v>6424</v>
      </c>
      <c r="ED10" s="123">
        <v>7392</v>
      </c>
      <c r="EE10" s="123">
        <v>6058</v>
      </c>
      <c r="EF10" s="123">
        <v>5421</v>
      </c>
      <c r="EG10" s="123">
        <v>5759</v>
      </c>
      <c r="EH10" s="123">
        <v>3053</v>
      </c>
      <c r="EI10" s="123">
        <v>4460</v>
      </c>
      <c r="EJ10" s="124">
        <v>2747</v>
      </c>
      <c r="EK10" s="123">
        <v>3182</v>
      </c>
      <c r="EL10" s="123">
        <v>3155</v>
      </c>
      <c r="EM10" s="123">
        <v>3294</v>
      </c>
      <c r="EN10" s="126">
        <v>2660</v>
      </c>
      <c r="EO10" s="123">
        <v>2471</v>
      </c>
      <c r="EP10" s="123">
        <v>2388</v>
      </c>
      <c r="EQ10" s="123">
        <v>1541</v>
      </c>
      <c r="ER10" s="123">
        <v>2397</v>
      </c>
      <c r="ES10" s="123">
        <v>2481</v>
      </c>
      <c r="ET10" s="123">
        <v>2735</v>
      </c>
      <c r="EU10" s="123">
        <v>3339</v>
      </c>
      <c r="EV10" s="124">
        <v>2501</v>
      </c>
      <c r="EW10" s="123">
        <v>3143</v>
      </c>
      <c r="EX10" s="111">
        <v>3986</v>
      </c>
      <c r="EY10" s="123">
        <v>3300</v>
      </c>
      <c r="EZ10" s="126">
        <v>3301</v>
      </c>
      <c r="FA10" s="13">
        <v>3286</v>
      </c>
      <c r="FB10" s="13">
        <v>5006</v>
      </c>
      <c r="FC10" s="13">
        <v>3587</v>
      </c>
      <c r="FD10" s="13">
        <v>3365</v>
      </c>
      <c r="FE10" s="13">
        <v>3656</v>
      </c>
      <c r="FF10" s="13">
        <v>3619</v>
      </c>
      <c r="FG10" s="13">
        <v>5580</v>
      </c>
      <c r="FH10" s="13">
        <v>3186</v>
      </c>
      <c r="FI10" s="123">
        <f>'Average Sunday-Holiday Boarding'!FI10*6</f>
        <v>4989</v>
      </c>
      <c r="FJ10" s="111">
        <f>'Average Sunday-Holiday Boarding'!FJ10*4</f>
        <v>3508</v>
      </c>
      <c r="FK10" s="123">
        <f>'Average Sunday-Holiday Boarding'!FK10*5</f>
        <v>5136</v>
      </c>
      <c r="FL10" s="126">
        <v>4746</v>
      </c>
      <c r="FM10" s="13">
        <v>4250</v>
      </c>
      <c r="FN10" s="13">
        <v>4525</v>
      </c>
      <c r="FO10" s="13">
        <v>5447</v>
      </c>
      <c r="FP10" s="13">
        <v>3831</v>
      </c>
      <c r="FQ10" s="13">
        <v>4161</v>
      </c>
      <c r="FR10" s="13">
        <v>5053</v>
      </c>
      <c r="FS10" s="13">
        <v>5183</v>
      </c>
      <c r="FT10" s="16">
        <v>3928</v>
      </c>
      <c r="FU10" s="169">
        <v>5327</v>
      </c>
      <c r="FV10" s="169">
        <v>4796</v>
      </c>
      <c r="FW10" s="169">
        <v>4454</v>
      </c>
      <c r="FX10" s="169">
        <v>4402</v>
      </c>
      <c r="FY10" s="169">
        <v>3849</v>
      </c>
      <c r="FZ10" s="169">
        <v>4765</v>
      </c>
      <c r="GA10" s="169">
        <v>4205</v>
      </c>
      <c r="GB10" s="18">
        <v>3562</v>
      </c>
      <c r="GC10" s="18">
        <v>4327</v>
      </c>
      <c r="GD10" s="18">
        <v>3415</v>
      </c>
      <c r="GE10" s="18">
        <v>4064</v>
      </c>
      <c r="GF10" s="52">
        <v>4138</v>
      </c>
      <c r="GG10" s="18">
        <v>3513</v>
      </c>
      <c r="GH10" s="18">
        <v>3332</v>
      </c>
      <c r="GI10" s="184">
        <v>4738</v>
      </c>
      <c r="GJ10" s="184">
        <v>3296</v>
      </c>
      <c r="GK10" s="184">
        <v>3756</v>
      </c>
      <c r="GL10" s="184">
        <v>4392</v>
      </c>
    </row>
    <row r="11" spans="1:194" x14ac:dyDescent="0.3">
      <c r="A11" s="3" t="s">
        <v>4</v>
      </c>
      <c r="B11" s="17"/>
      <c r="C11" s="18">
        <v>4233</v>
      </c>
      <c r="D11" s="18">
        <v>2840</v>
      </c>
      <c r="E11" s="18">
        <v>3395</v>
      </c>
      <c r="F11" s="18">
        <v>2818</v>
      </c>
      <c r="G11" s="18">
        <v>4000</v>
      </c>
      <c r="H11" s="19">
        <v>2437</v>
      </c>
      <c r="I11" s="17">
        <v>4294</v>
      </c>
      <c r="J11" s="18">
        <v>3252</v>
      </c>
      <c r="K11" s="18">
        <v>3597</v>
      </c>
      <c r="L11" s="18">
        <v>3047</v>
      </c>
      <c r="M11" s="18">
        <v>7125</v>
      </c>
      <c r="N11" s="18">
        <v>3486</v>
      </c>
      <c r="O11" s="127">
        <v>4777</v>
      </c>
      <c r="P11" s="127">
        <v>4045</v>
      </c>
      <c r="Q11" s="127">
        <v>3827</v>
      </c>
      <c r="R11" s="127">
        <v>3223</v>
      </c>
      <c r="S11" s="127">
        <v>5211</v>
      </c>
      <c r="T11" s="128">
        <v>2970</v>
      </c>
      <c r="U11" s="129">
        <v>3748</v>
      </c>
      <c r="V11" s="127">
        <v>4035</v>
      </c>
      <c r="W11" s="127">
        <v>4433</v>
      </c>
      <c r="X11" s="127">
        <v>4580</v>
      </c>
      <c r="Y11" s="127">
        <v>6952</v>
      </c>
      <c r="Z11" s="127">
        <v>3465</v>
      </c>
      <c r="AA11" s="18">
        <v>4415</v>
      </c>
      <c r="AB11" s="18">
        <v>4312</v>
      </c>
      <c r="AC11" s="18">
        <v>3594</v>
      </c>
      <c r="AD11" s="18">
        <v>3391</v>
      </c>
      <c r="AE11" s="18">
        <v>5192</v>
      </c>
      <c r="AF11" s="19">
        <v>3157</v>
      </c>
      <c r="AG11" s="17">
        <v>5909</v>
      </c>
      <c r="AH11" s="18">
        <v>3511</v>
      </c>
      <c r="AI11" s="18">
        <v>4500</v>
      </c>
      <c r="AJ11" s="18">
        <v>5067</v>
      </c>
      <c r="AK11" s="18">
        <v>7193</v>
      </c>
      <c r="AL11" s="18">
        <v>4553</v>
      </c>
      <c r="AM11" s="18">
        <v>6659</v>
      </c>
      <c r="AN11" s="18">
        <v>4788</v>
      </c>
      <c r="AO11" s="18">
        <v>3833</v>
      </c>
      <c r="AP11" s="18">
        <v>5115</v>
      </c>
      <c r="AQ11" s="18">
        <v>5183</v>
      </c>
      <c r="AR11" s="19">
        <v>3983</v>
      </c>
      <c r="AS11" s="17">
        <v>6792</v>
      </c>
      <c r="AT11" s="18">
        <v>4160</v>
      </c>
      <c r="AU11" s="18">
        <v>6534</v>
      </c>
      <c r="AV11" s="18">
        <v>4693</v>
      </c>
      <c r="AW11" s="18">
        <v>7394</v>
      </c>
      <c r="AX11" s="18">
        <v>6838</v>
      </c>
      <c r="AY11" s="18">
        <v>6997</v>
      </c>
      <c r="AZ11" s="18">
        <v>6476</v>
      </c>
      <c r="BA11" s="18">
        <v>6308</v>
      </c>
      <c r="BB11" s="18">
        <v>4867</v>
      </c>
      <c r="BC11" s="18">
        <v>5988</v>
      </c>
      <c r="BD11" s="19">
        <v>5571</v>
      </c>
      <c r="BE11" s="17">
        <v>6446</v>
      </c>
      <c r="BF11" s="18">
        <v>4548</v>
      </c>
      <c r="BG11" s="18">
        <v>6815</v>
      </c>
      <c r="BH11" s="18">
        <v>4621</v>
      </c>
      <c r="BI11" s="18">
        <v>7026.7805088814212</v>
      </c>
      <c r="BJ11" s="18">
        <v>7707</v>
      </c>
      <c r="BK11" s="18">
        <v>7005</v>
      </c>
      <c r="BL11" s="18">
        <v>6374</v>
      </c>
      <c r="BM11" s="18">
        <v>6514</v>
      </c>
      <c r="BN11" s="18">
        <v>4783</v>
      </c>
      <c r="BO11" s="18">
        <v>5619</v>
      </c>
      <c r="BP11" s="19">
        <v>5444</v>
      </c>
      <c r="BQ11" s="17">
        <v>6018</v>
      </c>
      <c r="BR11" s="18">
        <v>5361</v>
      </c>
      <c r="BS11" s="18">
        <v>5680</v>
      </c>
      <c r="BT11" s="18">
        <v>4574</v>
      </c>
      <c r="BU11" s="18">
        <v>9602</v>
      </c>
      <c r="BV11" s="18">
        <v>6668</v>
      </c>
      <c r="BW11" s="18">
        <v>7029</v>
      </c>
      <c r="BX11" s="18">
        <v>6518</v>
      </c>
      <c r="BY11" s="18">
        <v>5702</v>
      </c>
      <c r="BZ11" s="18">
        <v>4762</v>
      </c>
      <c r="CA11" s="18">
        <v>7320</v>
      </c>
      <c r="CB11" s="19">
        <v>4787</v>
      </c>
      <c r="CC11" s="20">
        <v>6320</v>
      </c>
      <c r="CD11" s="18">
        <v>5588</v>
      </c>
      <c r="CE11" s="18">
        <v>6351</v>
      </c>
      <c r="CF11" s="18">
        <v>5066</v>
      </c>
      <c r="CG11" s="18">
        <v>10733</v>
      </c>
      <c r="CH11" s="18">
        <v>6980</v>
      </c>
      <c r="CI11" s="18">
        <v>8641</v>
      </c>
      <c r="CJ11" s="18">
        <v>6156</v>
      </c>
      <c r="CK11" s="18">
        <v>4958</v>
      </c>
      <c r="CL11" s="18">
        <v>5259</v>
      </c>
      <c r="CM11" s="18">
        <v>8104</v>
      </c>
      <c r="CN11" s="21">
        <v>5426</v>
      </c>
      <c r="CO11" s="17">
        <v>8598</v>
      </c>
      <c r="CP11" s="18">
        <v>5600</v>
      </c>
      <c r="CQ11" s="18">
        <v>6513</v>
      </c>
      <c r="CR11" s="18">
        <v>6315</v>
      </c>
      <c r="CS11" s="18">
        <v>11610</v>
      </c>
      <c r="CT11" s="18">
        <v>10002</v>
      </c>
      <c r="CU11" s="18">
        <v>9966</v>
      </c>
      <c r="CV11" s="18">
        <v>7122</v>
      </c>
      <c r="CW11" s="18">
        <v>5463</v>
      </c>
      <c r="CX11" s="18">
        <v>7840</v>
      </c>
      <c r="CY11" s="18">
        <v>6820</v>
      </c>
      <c r="CZ11" s="19">
        <v>4890</v>
      </c>
      <c r="DA11" s="17">
        <v>8475</v>
      </c>
      <c r="DB11" s="18">
        <v>5528</v>
      </c>
      <c r="DC11" s="18">
        <v>7112</v>
      </c>
      <c r="DD11" s="18">
        <v>7165</v>
      </c>
      <c r="DE11" s="18">
        <v>9682</v>
      </c>
      <c r="DF11" s="18">
        <v>7334</v>
      </c>
      <c r="DG11" s="18">
        <v>8653</v>
      </c>
      <c r="DH11" s="18">
        <v>7276</v>
      </c>
      <c r="DI11" s="18">
        <v>5309</v>
      </c>
      <c r="DJ11" s="18">
        <v>6450</v>
      </c>
      <c r="DK11" s="18">
        <v>6252</v>
      </c>
      <c r="DL11" s="19">
        <v>4676</v>
      </c>
      <c r="DM11" s="17">
        <v>7511</v>
      </c>
      <c r="DN11" s="18">
        <v>4845</v>
      </c>
      <c r="DO11" s="127">
        <v>7163</v>
      </c>
      <c r="DP11" s="127">
        <v>5060</v>
      </c>
      <c r="DQ11" s="127">
        <v>5919</v>
      </c>
      <c r="DR11" s="127">
        <v>7045</v>
      </c>
      <c r="DS11" s="127">
        <v>5979</v>
      </c>
      <c r="DT11" s="127">
        <v>4781</v>
      </c>
      <c r="DU11" s="127">
        <v>6116</v>
      </c>
      <c r="DV11" s="127">
        <v>4404</v>
      </c>
      <c r="DW11" s="127">
        <v>5605</v>
      </c>
      <c r="DX11" s="128">
        <v>5462</v>
      </c>
      <c r="DY11" s="119">
        <v>5656</v>
      </c>
      <c r="DZ11" s="127">
        <v>4289</v>
      </c>
      <c r="EA11" s="127">
        <v>6603</v>
      </c>
      <c r="EB11" s="119">
        <v>4443</v>
      </c>
      <c r="EC11" s="127">
        <v>5513</v>
      </c>
      <c r="ED11" s="127">
        <v>6219</v>
      </c>
      <c r="EE11" s="127">
        <v>5237</v>
      </c>
      <c r="EF11" s="127">
        <v>4729</v>
      </c>
      <c r="EG11" s="127">
        <v>4732</v>
      </c>
      <c r="EH11" s="127">
        <v>2527</v>
      </c>
      <c r="EI11" s="127">
        <v>3819</v>
      </c>
      <c r="EJ11" s="128">
        <v>2218</v>
      </c>
      <c r="EK11" s="119">
        <v>2912</v>
      </c>
      <c r="EL11" s="127">
        <v>2751</v>
      </c>
      <c r="EM11" s="127">
        <v>2982</v>
      </c>
      <c r="EN11" s="119">
        <v>2278</v>
      </c>
      <c r="EO11" s="127">
        <v>2176</v>
      </c>
      <c r="EP11" s="127">
        <v>2004</v>
      </c>
      <c r="EQ11" s="127">
        <v>1260</v>
      </c>
      <c r="ER11" s="127">
        <v>2226</v>
      </c>
      <c r="ES11" s="127">
        <v>2320</v>
      </c>
      <c r="ET11" s="127">
        <v>2193</v>
      </c>
      <c r="EU11" s="127">
        <v>2650</v>
      </c>
      <c r="EV11" s="128">
        <v>2139</v>
      </c>
      <c r="EW11" s="119">
        <v>2760</v>
      </c>
      <c r="EX11" s="109">
        <v>3315</v>
      </c>
      <c r="EY11" s="127">
        <v>2781</v>
      </c>
      <c r="EZ11" s="119">
        <v>2750</v>
      </c>
      <c r="FA11" s="18">
        <v>2732</v>
      </c>
      <c r="FB11" s="149">
        <v>3691</v>
      </c>
      <c r="FC11" s="18">
        <v>2910</v>
      </c>
      <c r="FD11" s="18">
        <v>2839</v>
      </c>
      <c r="FE11" s="149">
        <v>2912</v>
      </c>
      <c r="FF11" s="149">
        <v>2899</v>
      </c>
      <c r="FG11" s="149">
        <v>4147</v>
      </c>
      <c r="FH11" s="149">
        <v>2526</v>
      </c>
      <c r="FI11" s="119">
        <f>'Average Sunday-Holiday Boarding'!FI11*6</f>
        <v>3945</v>
      </c>
      <c r="FJ11" s="109">
        <f>'Average Sunday-Holiday Boarding'!FJ11*4</f>
        <v>2620</v>
      </c>
      <c r="FK11" s="127">
        <f>'Average Sunday-Holiday Boarding'!FK11*5</f>
        <v>3845</v>
      </c>
      <c r="FL11" s="119">
        <v>3782</v>
      </c>
      <c r="FM11" s="18">
        <v>3209</v>
      </c>
      <c r="FN11" s="149">
        <v>3500</v>
      </c>
      <c r="FO11" s="18">
        <v>4488</v>
      </c>
      <c r="FP11" s="18">
        <v>3119</v>
      </c>
      <c r="FQ11" s="149">
        <v>3461</v>
      </c>
      <c r="FR11" s="149">
        <v>4590</v>
      </c>
      <c r="FS11" s="149">
        <v>4784</v>
      </c>
      <c r="FT11" s="155">
        <v>3671</v>
      </c>
      <c r="FU11" s="169">
        <v>5311</v>
      </c>
      <c r="FV11" s="169">
        <v>4508</v>
      </c>
      <c r="FW11" s="169">
        <v>4546</v>
      </c>
      <c r="FX11" s="169">
        <v>4367</v>
      </c>
      <c r="FY11" s="169">
        <v>3777</v>
      </c>
      <c r="FZ11" s="169">
        <v>4522</v>
      </c>
      <c r="GA11" s="169">
        <v>4429</v>
      </c>
      <c r="GB11" s="18">
        <v>3711</v>
      </c>
      <c r="GC11" s="18">
        <v>4090</v>
      </c>
      <c r="GD11" s="18">
        <v>3123</v>
      </c>
      <c r="GE11" s="18">
        <v>3867</v>
      </c>
      <c r="GF11" s="52">
        <v>4060</v>
      </c>
      <c r="GG11" s="18">
        <v>3685</v>
      </c>
      <c r="GH11" s="18">
        <v>3050</v>
      </c>
      <c r="GI11" s="184">
        <v>4632</v>
      </c>
      <c r="GJ11" s="184">
        <v>3279</v>
      </c>
      <c r="GK11" s="184">
        <v>3708</v>
      </c>
      <c r="GL11" s="184">
        <v>4111</v>
      </c>
    </row>
    <row r="12" spans="1:194" x14ac:dyDescent="0.3">
      <c r="A12" s="3" t="s">
        <v>5</v>
      </c>
      <c r="B12" s="17"/>
      <c r="C12" s="18">
        <v>2172</v>
      </c>
      <c r="D12" s="18">
        <v>1630</v>
      </c>
      <c r="E12" s="18">
        <v>2116</v>
      </c>
      <c r="F12" s="18">
        <v>1805</v>
      </c>
      <c r="G12" s="18">
        <v>2322</v>
      </c>
      <c r="H12" s="19">
        <v>1385</v>
      </c>
      <c r="I12" s="17">
        <v>2667</v>
      </c>
      <c r="J12" s="18">
        <v>1982</v>
      </c>
      <c r="K12" s="18">
        <v>2148</v>
      </c>
      <c r="L12" s="18">
        <v>2091</v>
      </c>
      <c r="M12" s="18">
        <v>4335</v>
      </c>
      <c r="N12" s="18">
        <v>1997</v>
      </c>
      <c r="O12" s="127">
        <v>3320</v>
      </c>
      <c r="P12" s="127">
        <v>2508</v>
      </c>
      <c r="Q12" s="127">
        <v>2302</v>
      </c>
      <c r="R12" s="127">
        <v>2214</v>
      </c>
      <c r="S12" s="127">
        <v>3277</v>
      </c>
      <c r="T12" s="128">
        <v>2023</v>
      </c>
      <c r="U12" s="129">
        <v>2530</v>
      </c>
      <c r="V12" s="127">
        <v>2524</v>
      </c>
      <c r="W12" s="127">
        <v>2748</v>
      </c>
      <c r="X12" s="127">
        <v>2841</v>
      </c>
      <c r="Y12" s="127">
        <v>4131</v>
      </c>
      <c r="Z12" s="127">
        <v>2354</v>
      </c>
      <c r="AA12" s="18">
        <v>3085</v>
      </c>
      <c r="AB12" s="18">
        <v>2730</v>
      </c>
      <c r="AC12" s="18">
        <v>2357</v>
      </c>
      <c r="AD12" s="18">
        <v>2459</v>
      </c>
      <c r="AE12" s="18">
        <v>3231</v>
      </c>
      <c r="AF12" s="19">
        <v>1940</v>
      </c>
      <c r="AG12" s="17">
        <v>3819</v>
      </c>
      <c r="AH12" s="18">
        <v>2252</v>
      </c>
      <c r="AI12" s="18">
        <v>2683</v>
      </c>
      <c r="AJ12" s="18">
        <v>3310</v>
      </c>
      <c r="AK12" s="18">
        <v>4119</v>
      </c>
      <c r="AL12" s="18">
        <v>2837</v>
      </c>
      <c r="AM12" s="18">
        <v>4251</v>
      </c>
      <c r="AN12" s="18">
        <v>3280</v>
      </c>
      <c r="AO12" s="18">
        <v>2302</v>
      </c>
      <c r="AP12" s="18">
        <v>3311</v>
      </c>
      <c r="AQ12" s="18">
        <v>3203</v>
      </c>
      <c r="AR12" s="19">
        <v>2469</v>
      </c>
      <c r="AS12" s="17">
        <v>4373</v>
      </c>
      <c r="AT12" s="18">
        <v>2916</v>
      </c>
      <c r="AU12" s="18">
        <v>4258</v>
      </c>
      <c r="AV12" s="18">
        <v>3112</v>
      </c>
      <c r="AW12" s="18">
        <v>4471</v>
      </c>
      <c r="AX12" s="18">
        <v>4201</v>
      </c>
      <c r="AY12" s="18">
        <v>4391</v>
      </c>
      <c r="AZ12" s="18">
        <v>3884</v>
      </c>
      <c r="BA12" s="18">
        <v>3741</v>
      </c>
      <c r="BB12" s="18">
        <v>3234</v>
      </c>
      <c r="BC12" s="18">
        <v>3933</v>
      </c>
      <c r="BD12" s="19">
        <v>3647</v>
      </c>
      <c r="BE12" s="17">
        <v>4061</v>
      </c>
      <c r="BF12" s="18">
        <v>2973</v>
      </c>
      <c r="BG12" s="18">
        <v>4400</v>
      </c>
      <c r="BH12" s="18">
        <v>2963</v>
      </c>
      <c r="BI12" s="18">
        <v>4357.3918386941914</v>
      </c>
      <c r="BJ12" s="18">
        <v>4623</v>
      </c>
      <c r="BK12" s="18">
        <v>4528</v>
      </c>
      <c r="BL12" s="18">
        <v>3976</v>
      </c>
      <c r="BM12" s="18">
        <v>3778</v>
      </c>
      <c r="BN12" s="18">
        <v>3031</v>
      </c>
      <c r="BO12" s="18">
        <v>3446</v>
      </c>
      <c r="BP12" s="19">
        <v>3264</v>
      </c>
      <c r="BQ12" s="17">
        <v>3754</v>
      </c>
      <c r="BR12" s="18">
        <v>3511</v>
      </c>
      <c r="BS12" s="18">
        <v>3711</v>
      </c>
      <c r="BT12" s="18">
        <v>2808</v>
      </c>
      <c r="BU12" s="18">
        <v>5658</v>
      </c>
      <c r="BV12" s="18">
        <v>3899</v>
      </c>
      <c r="BW12" s="18">
        <v>4293</v>
      </c>
      <c r="BX12" s="18">
        <v>3947</v>
      </c>
      <c r="BY12" s="18">
        <v>3514</v>
      </c>
      <c r="BZ12" s="18">
        <v>3077</v>
      </c>
      <c r="CA12" s="18">
        <v>4313</v>
      </c>
      <c r="CB12" s="19">
        <v>2963</v>
      </c>
      <c r="CC12" s="20">
        <v>4062</v>
      </c>
      <c r="CD12" s="18">
        <v>3414</v>
      </c>
      <c r="CE12" s="18">
        <v>3819</v>
      </c>
      <c r="CF12" s="18">
        <v>3223</v>
      </c>
      <c r="CG12" s="18">
        <v>6592</v>
      </c>
      <c r="CH12" s="18">
        <v>4270</v>
      </c>
      <c r="CI12" s="18">
        <v>5443</v>
      </c>
      <c r="CJ12" s="18">
        <v>3801</v>
      </c>
      <c r="CK12" s="18">
        <v>3038</v>
      </c>
      <c r="CL12" s="18">
        <v>3445</v>
      </c>
      <c r="CM12" s="18">
        <v>4803</v>
      </c>
      <c r="CN12" s="21">
        <v>3254</v>
      </c>
      <c r="CO12" s="17">
        <v>5258</v>
      </c>
      <c r="CP12" s="18">
        <v>3382</v>
      </c>
      <c r="CQ12" s="18">
        <v>4213</v>
      </c>
      <c r="CR12" s="18">
        <v>4018</v>
      </c>
      <c r="CS12" s="18">
        <v>7085</v>
      </c>
      <c r="CT12" s="18">
        <v>6324</v>
      </c>
      <c r="CU12" s="18">
        <v>6391</v>
      </c>
      <c r="CV12" s="18">
        <v>4196</v>
      </c>
      <c r="CW12" s="18">
        <v>3102</v>
      </c>
      <c r="CX12" s="18">
        <v>4457</v>
      </c>
      <c r="CY12" s="18">
        <v>3800</v>
      </c>
      <c r="CZ12" s="19">
        <v>2862</v>
      </c>
      <c r="DA12" s="17">
        <v>4439</v>
      </c>
      <c r="DB12" s="18">
        <v>3019</v>
      </c>
      <c r="DC12" s="18">
        <v>3757</v>
      </c>
      <c r="DD12" s="18">
        <v>3888</v>
      </c>
      <c r="DE12" s="18">
        <v>6012</v>
      </c>
      <c r="DF12" s="18">
        <v>4080</v>
      </c>
      <c r="DG12" s="18">
        <v>4565</v>
      </c>
      <c r="DH12" s="18">
        <v>3526</v>
      </c>
      <c r="DI12" s="18">
        <v>2839</v>
      </c>
      <c r="DJ12" s="18">
        <v>3385</v>
      </c>
      <c r="DK12" s="18">
        <v>3428</v>
      </c>
      <c r="DL12" s="19">
        <v>2775</v>
      </c>
      <c r="DM12" s="17">
        <v>4189</v>
      </c>
      <c r="DN12" s="18">
        <v>2717</v>
      </c>
      <c r="DO12" s="127">
        <v>4205</v>
      </c>
      <c r="DP12" s="127">
        <v>2550</v>
      </c>
      <c r="DQ12" s="127">
        <v>3064</v>
      </c>
      <c r="DR12" s="127">
        <v>3633</v>
      </c>
      <c r="DS12" s="127">
        <v>3155</v>
      </c>
      <c r="DT12" s="127">
        <v>2520</v>
      </c>
      <c r="DU12" s="127">
        <v>3267</v>
      </c>
      <c r="DV12" s="127">
        <v>2515</v>
      </c>
      <c r="DW12" s="127">
        <v>3044</v>
      </c>
      <c r="DX12" s="128">
        <v>2984</v>
      </c>
      <c r="DY12" s="119">
        <v>3429</v>
      </c>
      <c r="DZ12" s="127">
        <v>2354</v>
      </c>
      <c r="EA12" s="127">
        <v>3592</v>
      </c>
      <c r="EB12" s="119">
        <v>2370</v>
      </c>
      <c r="EC12" s="127">
        <v>2690</v>
      </c>
      <c r="ED12" s="127">
        <v>2800</v>
      </c>
      <c r="EE12" s="127">
        <v>2904</v>
      </c>
      <c r="EF12" s="127">
        <v>2270</v>
      </c>
      <c r="EG12" s="127">
        <v>2342</v>
      </c>
      <c r="EH12" s="127">
        <v>1331</v>
      </c>
      <c r="EI12" s="127">
        <v>2547</v>
      </c>
      <c r="EJ12" s="128">
        <v>1204</v>
      </c>
      <c r="EK12" s="119">
        <v>1389</v>
      </c>
      <c r="EL12" s="127">
        <v>1326</v>
      </c>
      <c r="EM12" s="127">
        <v>1494</v>
      </c>
      <c r="EN12" s="119">
        <v>1174</v>
      </c>
      <c r="EO12" s="127">
        <v>1165</v>
      </c>
      <c r="EP12" s="127">
        <v>905</v>
      </c>
      <c r="EQ12" s="127">
        <v>593</v>
      </c>
      <c r="ER12" s="127">
        <v>1063</v>
      </c>
      <c r="ES12" s="127">
        <v>1151</v>
      </c>
      <c r="ET12" s="127">
        <v>1204</v>
      </c>
      <c r="EU12" s="127">
        <v>1535</v>
      </c>
      <c r="EV12" s="128">
        <v>1158</v>
      </c>
      <c r="EW12" s="119">
        <v>1526</v>
      </c>
      <c r="EX12" s="109">
        <v>1952</v>
      </c>
      <c r="EY12" s="127">
        <v>1533</v>
      </c>
      <c r="EZ12" s="119">
        <v>1519</v>
      </c>
      <c r="FA12" s="18">
        <v>1600</v>
      </c>
      <c r="FB12" s="149">
        <v>1897</v>
      </c>
      <c r="FC12" s="18">
        <v>1485</v>
      </c>
      <c r="FD12" s="18">
        <v>1531</v>
      </c>
      <c r="FE12" s="149">
        <v>1683</v>
      </c>
      <c r="FF12" s="149">
        <v>1576</v>
      </c>
      <c r="FG12" s="149">
        <v>2369</v>
      </c>
      <c r="FH12" s="149">
        <v>1421</v>
      </c>
      <c r="FI12" s="119">
        <f>'Average Sunday-Holiday Boarding'!FI12*6</f>
        <v>2319</v>
      </c>
      <c r="FJ12" s="109">
        <f>'Average Sunday-Holiday Boarding'!FJ12*4</f>
        <v>1400</v>
      </c>
      <c r="FK12" s="127">
        <f>'Average Sunday-Holiday Boarding'!FK12*5</f>
        <v>2060</v>
      </c>
      <c r="FL12" s="119">
        <v>2011</v>
      </c>
      <c r="FM12" s="18">
        <v>1660</v>
      </c>
      <c r="FN12" s="149">
        <v>1619</v>
      </c>
      <c r="FO12" s="18">
        <v>2017</v>
      </c>
      <c r="FP12" s="18">
        <v>1389</v>
      </c>
      <c r="FQ12" s="149">
        <v>1708</v>
      </c>
      <c r="FR12" s="149">
        <v>2065</v>
      </c>
      <c r="FS12" s="149">
        <v>2320</v>
      </c>
      <c r="FT12" s="155">
        <v>1740</v>
      </c>
      <c r="FU12" s="169">
        <v>2747</v>
      </c>
      <c r="FV12" s="169">
        <v>2262</v>
      </c>
      <c r="FW12" s="169">
        <v>2156</v>
      </c>
      <c r="FX12" s="169">
        <v>2423</v>
      </c>
      <c r="FY12" s="169">
        <v>1980</v>
      </c>
      <c r="FZ12" s="169">
        <v>2143</v>
      </c>
      <c r="GA12" s="169">
        <v>2392</v>
      </c>
      <c r="GB12" s="18">
        <v>2064</v>
      </c>
      <c r="GC12" s="18">
        <v>2321</v>
      </c>
      <c r="GD12" s="18">
        <v>1794</v>
      </c>
      <c r="GE12" s="18">
        <v>2088</v>
      </c>
      <c r="GF12" s="52">
        <v>2152</v>
      </c>
      <c r="GG12" s="18">
        <v>1957</v>
      </c>
      <c r="GH12" s="18">
        <v>1675</v>
      </c>
      <c r="GI12" s="184">
        <v>2419</v>
      </c>
      <c r="GJ12" s="184">
        <v>1640</v>
      </c>
      <c r="GK12" s="184">
        <v>1949</v>
      </c>
      <c r="GL12" s="184">
        <v>2329</v>
      </c>
    </row>
    <row r="13" spans="1:194" x14ac:dyDescent="0.3">
      <c r="A13" s="3" t="s">
        <v>6</v>
      </c>
      <c r="B13" s="17"/>
      <c r="C13" s="18">
        <v>2784</v>
      </c>
      <c r="D13" s="18">
        <v>3565</v>
      </c>
      <c r="E13" s="18">
        <v>4074</v>
      </c>
      <c r="F13" s="18">
        <v>3022</v>
      </c>
      <c r="G13" s="18">
        <v>3785</v>
      </c>
      <c r="H13" s="19">
        <v>2207</v>
      </c>
      <c r="I13" s="17">
        <v>3251</v>
      </c>
      <c r="J13" s="18">
        <v>2517</v>
      </c>
      <c r="K13" s="18">
        <v>2940</v>
      </c>
      <c r="L13" s="18">
        <v>2372</v>
      </c>
      <c r="M13" s="18">
        <v>5980</v>
      </c>
      <c r="N13" s="18">
        <v>2418</v>
      </c>
      <c r="O13" s="127">
        <v>3834</v>
      </c>
      <c r="P13" s="127">
        <v>3076</v>
      </c>
      <c r="Q13" s="127">
        <v>3193</v>
      </c>
      <c r="R13" s="127">
        <v>3017</v>
      </c>
      <c r="S13" s="127">
        <v>3829</v>
      </c>
      <c r="T13" s="128">
        <v>1860</v>
      </c>
      <c r="U13" s="129">
        <v>2272</v>
      </c>
      <c r="V13" s="127">
        <v>2248</v>
      </c>
      <c r="W13" s="127">
        <v>2720</v>
      </c>
      <c r="X13" s="127">
        <v>2735</v>
      </c>
      <c r="Y13" s="127">
        <v>5035</v>
      </c>
      <c r="Z13" s="127">
        <v>2572</v>
      </c>
      <c r="AA13" s="18">
        <v>3193</v>
      </c>
      <c r="AB13" s="18">
        <v>2822</v>
      </c>
      <c r="AC13" s="18">
        <v>2946</v>
      </c>
      <c r="AD13" s="18">
        <v>2353</v>
      </c>
      <c r="AE13" s="18">
        <v>3385</v>
      </c>
      <c r="AF13" s="19">
        <v>2255</v>
      </c>
      <c r="AG13" s="17">
        <v>4221</v>
      </c>
      <c r="AH13" s="18">
        <v>2146</v>
      </c>
      <c r="AI13" s="18">
        <v>2610</v>
      </c>
      <c r="AJ13" s="18">
        <v>3075</v>
      </c>
      <c r="AK13" s="18">
        <v>4820</v>
      </c>
      <c r="AL13" s="18">
        <v>2602</v>
      </c>
      <c r="AM13" s="18">
        <v>4002</v>
      </c>
      <c r="AN13" s="18">
        <v>3012</v>
      </c>
      <c r="AO13" s="18">
        <v>2145</v>
      </c>
      <c r="AP13" s="18">
        <v>3182</v>
      </c>
      <c r="AQ13" s="18">
        <v>3072</v>
      </c>
      <c r="AR13" s="19">
        <v>2094</v>
      </c>
      <c r="AS13" s="17">
        <v>4128</v>
      </c>
      <c r="AT13" s="18">
        <v>2038</v>
      </c>
      <c r="AU13" s="18">
        <v>3282</v>
      </c>
      <c r="AV13" s="18">
        <v>2762</v>
      </c>
      <c r="AW13" s="18">
        <v>4238</v>
      </c>
      <c r="AX13" s="18">
        <v>3478</v>
      </c>
      <c r="AY13" s="18">
        <v>3915</v>
      </c>
      <c r="AZ13" s="18">
        <v>3303</v>
      </c>
      <c r="BA13" s="18">
        <v>3731</v>
      </c>
      <c r="BB13" s="18">
        <v>3157</v>
      </c>
      <c r="BC13" s="18">
        <v>3853</v>
      </c>
      <c r="BD13" s="19">
        <v>2802</v>
      </c>
      <c r="BE13" s="17">
        <v>3437</v>
      </c>
      <c r="BF13" s="18">
        <v>2049</v>
      </c>
      <c r="BG13" s="18">
        <v>3358</v>
      </c>
      <c r="BH13" s="18">
        <v>2339</v>
      </c>
      <c r="BI13" s="18">
        <v>4145.2412866058567</v>
      </c>
      <c r="BJ13" s="18">
        <v>3734</v>
      </c>
      <c r="BK13" s="18">
        <v>3701</v>
      </c>
      <c r="BL13" s="18">
        <v>3338</v>
      </c>
      <c r="BM13" s="18">
        <v>3320</v>
      </c>
      <c r="BN13" s="18">
        <v>2497</v>
      </c>
      <c r="BO13" s="18">
        <v>2960</v>
      </c>
      <c r="BP13" s="19">
        <v>3000</v>
      </c>
      <c r="BQ13" s="17">
        <v>3276</v>
      </c>
      <c r="BR13" s="18">
        <v>2718</v>
      </c>
      <c r="BS13" s="18">
        <v>2637</v>
      </c>
      <c r="BT13" s="18">
        <v>2294</v>
      </c>
      <c r="BU13" s="18">
        <v>5230</v>
      </c>
      <c r="BV13" s="18">
        <v>3247</v>
      </c>
      <c r="BW13" s="18">
        <v>4021</v>
      </c>
      <c r="BX13" s="18">
        <v>3841</v>
      </c>
      <c r="BY13" s="18">
        <v>3146</v>
      </c>
      <c r="BZ13" s="18">
        <v>2529</v>
      </c>
      <c r="CA13" s="18">
        <v>3711</v>
      </c>
      <c r="CB13" s="19">
        <v>2040</v>
      </c>
      <c r="CC13" s="20">
        <v>2661</v>
      </c>
      <c r="CD13" s="18">
        <v>2374</v>
      </c>
      <c r="CE13" s="18">
        <v>2560</v>
      </c>
      <c r="CF13" s="18">
        <v>2309</v>
      </c>
      <c r="CG13" s="18">
        <v>4788</v>
      </c>
      <c r="CH13" s="18">
        <v>2904</v>
      </c>
      <c r="CI13" s="18">
        <v>4309</v>
      </c>
      <c r="CJ13" s="18">
        <v>3164</v>
      </c>
      <c r="CK13" s="18">
        <v>2295</v>
      </c>
      <c r="CL13" s="18">
        <v>2743</v>
      </c>
      <c r="CM13" s="18">
        <v>3541</v>
      </c>
      <c r="CN13" s="21">
        <v>2327</v>
      </c>
      <c r="CO13" s="17">
        <v>3909</v>
      </c>
      <c r="CP13" s="18">
        <v>2236</v>
      </c>
      <c r="CQ13" s="18">
        <v>2790</v>
      </c>
      <c r="CR13" s="18">
        <v>2808</v>
      </c>
      <c r="CS13" s="18">
        <v>5901</v>
      </c>
      <c r="CT13" s="18">
        <v>3911</v>
      </c>
      <c r="CU13" s="18">
        <v>4280</v>
      </c>
      <c r="CV13" s="18">
        <v>3057</v>
      </c>
      <c r="CW13" s="18">
        <v>2575</v>
      </c>
      <c r="CX13" s="18">
        <v>5103</v>
      </c>
      <c r="CY13" s="18">
        <v>2891</v>
      </c>
      <c r="CZ13" s="19">
        <v>1927</v>
      </c>
      <c r="DA13" s="17">
        <v>3485</v>
      </c>
      <c r="DB13" s="18">
        <v>2030</v>
      </c>
      <c r="DC13" s="18">
        <v>2605</v>
      </c>
      <c r="DD13" s="18">
        <v>3228</v>
      </c>
      <c r="DE13" s="18">
        <v>3926</v>
      </c>
      <c r="DF13" s="18">
        <v>2728</v>
      </c>
      <c r="DG13" s="18">
        <v>3444</v>
      </c>
      <c r="DH13" s="18">
        <v>2629</v>
      </c>
      <c r="DI13" s="18">
        <v>2274</v>
      </c>
      <c r="DJ13" s="18">
        <v>2744</v>
      </c>
      <c r="DK13" s="18">
        <v>2832</v>
      </c>
      <c r="DL13" s="19">
        <v>1796</v>
      </c>
      <c r="DM13" s="17">
        <v>3233</v>
      </c>
      <c r="DN13" s="18">
        <v>1785</v>
      </c>
      <c r="DO13" s="127">
        <v>2769</v>
      </c>
      <c r="DP13" s="127">
        <v>1723</v>
      </c>
      <c r="DQ13" s="127">
        <v>2355</v>
      </c>
      <c r="DR13" s="127">
        <v>2535</v>
      </c>
      <c r="DS13" s="127">
        <v>2408</v>
      </c>
      <c r="DT13" s="127">
        <v>1794</v>
      </c>
      <c r="DU13" s="127">
        <v>2881</v>
      </c>
      <c r="DV13" s="127">
        <v>2122</v>
      </c>
      <c r="DW13" s="127">
        <v>2732</v>
      </c>
      <c r="DX13" s="128">
        <v>2456</v>
      </c>
      <c r="DY13" s="119">
        <v>2424</v>
      </c>
      <c r="DZ13" s="127">
        <v>1859</v>
      </c>
      <c r="EA13" s="127">
        <v>2660</v>
      </c>
      <c r="EB13" s="119">
        <v>1795</v>
      </c>
      <c r="EC13" s="127">
        <v>2146</v>
      </c>
      <c r="ED13" s="127">
        <v>2208</v>
      </c>
      <c r="EE13" s="127">
        <v>2363</v>
      </c>
      <c r="EF13" s="127">
        <v>1965</v>
      </c>
      <c r="EG13" s="127">
        <v>1937</v>
      </c>
      <c r="EH13" s="127">
        <v>890</v>
      </c>
      <c r="EI13" s="127">
        <v>1284</v>
      </c>
      <c r="EJ13" s="128">
        <v>817</v>
      </c>
      <c r="EK13" s="119">
        <v>1012</v>
      </c>
      <c r="EL13" s="127">
        <v>1036</v>
      </c>
      <c r="EM13" s="127">
        <v>1120</v>
      </c>
      <c r="EN13" s="119">
        <v>855</v>
      </c>
      <c r="EO13" s="127">
        <v>914</v>
      </c>
      <c r="EP13" s="127">
        <v>788</v>
      </c>
      <c r="EQ13" s="127">
        <v>487</v>
      </c>
      <c r="ER13" s="127">
        <v>876</v>
      </c>
      <c r="ES13" s="127">
        <v>935</v>
      </c>
      <c r="ET13" s="127">
        <v>903</v>
      </c>
      <c r="EU13" s="127">
        <v>1114</v>
      </c>
      <c r="EV13" s="128">
        <v>1048</v>
      </c>
      <c r="EW13" s="119">
        <v>1116</v>
      </c>
      <c r="EX13" s="109">
        <v>1569</v>
      </c>
      <c r="EY13" s="127">
        <v>1142</v>
      </c>
      <c r="EZ13" s="119">
        <v>1155</v>
      </c>
      <c r="FA13" s="18">
        <v>1307</v>
      </c>
      <c r="FB13" s="149">
        <v>1625</v>
      </c>
      <c r="FC13" s="18">
        <v>1255</v>
      </c>
      <c r="FD13" s="18">
        <v>1237</v>
      </c>
      <c r="FE13" s="149">
        <v>1451</v>
      </c>
      <c r="FF13" s="149">
        <v>1363</v>
      </c>
      <c r="FG13" s="149">
        <v>2201</v>
      </c>
      <c r="FH13" s="149">
        <v>1101</v>
      </c>
      <c r="FI13" s="119">
        <f>'Average Sunday-Holiday Boarding'!FI13*6</f>
        <v>1603</v>
      </c>
      <c r="FJ13" s="109">
        <f>'Average Sunday-Holiday Boarding'!FJ13*4</f>
        <v>1034</v>
      </c>
      <c r="FK13" s="127">
        <f>'Average Sunday-Holiday Boarding'!FK13*5</f>
        <v>1411</v>
      </c>
      <c r="FL13" s="119">
        <v>1664</v>
      </c>
      <c r="FM13" s="18">
        <v>1379</v>
      </c>
      <c r="FN13" s="149">
        <v>1531</v>
      </c>
      <c r="FO13" s="18">
        <v>1732</v>
      </c>
      <c r="FP13" s="18">
        <v>1839</v>
      </c>
      <c r="FQ13" s="149">
        <v>1490</v>
      </c>
      <c r="FR13" s="149">
        <v>1940</v>
      </c>
      <c r="FS13" s="149">
        <v>1936</v>
      </c>
      <c r="FT13" s="155">
        <v>1538</v>
      </c>
      <c r="FU13" s="169">
        <v>2550</v>
      </c>
      <c r="FV13" s="169">
        <v>1927</v>
      </c>
      <c r="FW13" s="169">
        <v>1648</v>
      </c>
      <c r="FX13" s="169">
        <v>1829</v>
      </c>
      <c r="FY13" s="169">
        <v>1471</v>
      </c>
      <c r="FZ13" s="169">
        <v>2025</v>
      </c>
      <c r="GA13" s="169">
        <v>2036</v>
      </c>
      <c r="GB13" s="18">
        <v>1730</v>
      </c>
      <c r="GC13" s="18">
        <v>1808</v>
      </c>
      <c r="GD13" s="18">
        <v>2078</v>
      </c>
      <c r="GE13" s="18">
        <v>1914</v>
      </c>
      <c r="GF13" s="52">
        <v>1917</v>
      </c>
      <c r="GG13" s="18">
        <v>1698</v>
      </c>
      <c r="GH13" s="18">
        <v>1142</v>
      </c>
      <c r="GI13" s="184">
        <v>2189</v>
      </c>
      <c r="GJ13" s="184">
        <v>1436</v>
      </c>
      <c r="GK13" s="184">
        <v>1517</v>
      </c>
      <c r="GL13" s="184">
        <v>1917</v>
      </c>
    </row>
    <row r="14" spans="1:194" x14ac:dyDescent="0.3">
      <c r="A14" s="3" t="s">
        <v>7</v>
      </c>
      <c r="B14" s="17"/>
      <c r="C14" s="18">
        <v>1044</v>
      </c>
      <c r="D14" s="18">
        <v>910</v>
      </c>
      <c r="E14" s="18">
        <v>1001</v>
      </c>
      <c r="F14" s="18">
        <v>856</v>
      </c>
      <c r="G14" s="18">
        <v>861</v>
      </c>
      <c r="H14" s="19">
        <v>463</v>
      </c>
      <c r="I14" s="17">
        <v>1762</v>
      </c>
      <c r="J14" s="18">
        <v>676</v>
      </c>
      <c r="K14" s="18">
        <v>813</v>
      </c>
      <c r="L14" s="18">
        <v>573</v>
      </c>
      <c r="M14" s="18">
        <v>1766</v>
      </c>
      <c r="N14" s="18">
        <v>650</v>
      </c>
      <c r="O14" s="127">
        <v>1239</v>
      </c>
      <c r="P14" s="127">
        <v>918</v>
      </c>
      <c r="Q14" s="127">
        <v>801</v>
      </c>
      <c r="R14" s="127">
        <v>743</v>
      </c>
      <c r="S14" s="127">
        <v>1159</v>
      </c>
      <c r="T14" s="128">
        <v>533</v>
      </c>
      <c r="U14" s="129">
        <v>1961</v>
      </c>
      <c r="V14" s="127">
        <v>702</v>
      </c>
      <c r="W14" s="127">
        <v>969</v>
      </c>
      <c r="X14" s="127">
        <v>842</v>
      </c>
      <c r="Y14" s="127">
        <v>1656</v>
      </c>
      <c r="Z14" s="127">
        <v>721</v>
      </c>
      <c r="AA14" s="18">
        <v>952</v>
      </c>
      <c r="AB14" s="18">
        <v>930</v>
      </c>
      <c r="AC14" s="18">
        <v>805</v>
      </c>
      <c r="AD14" s="18">
        <v>759</v>
      </c>
      <c r="AE14" s="18">
        <v>998</v>
      </c>
      <c r="AF14" s="19">
        <v>605</v>
      </c>
      <c r="AG14" s="17">
        <v>2561</v>
      </c>
      <c r="AH14" s="18">
        <v>638</v>
      </c>
      <c r="AI14" s="18">
        <v>898</v>
      </c>
      <c r="AJ14" s="18">
        <v>1002</v>
      </c>
      <c r="AK14" s="18">
        <v>1461</v>
      </c>
      <c r="AL14" s="18">
        <v>760</v>
      </c>
      <c r="AM14" s="18">
        <v>1536</v>
      </c>
      <c r="AN14" s="18">
        <v>1123</v>
      </c>
      <c r="AO14" s="18">
        <v>816</v>
      </c>
      <c r="AP14" s="18">
        <v>1150</v>
      </c>
      <c r="AQ14" s="18">
        <v>1042</v>
      </c>
      <c r="AR14" s="19">
        <v>901</v>
      </c>
      <c r="AS14" s="17">
        <v>2356</v>
      </c>
      <c r="AT14" s="18">
        <v>876</v>
      </c>
      <c r="AU14" s="18">
        <v>1553</v>
      </c>
      <c r="AV14" s="18">
        <v>1030</v>
      </c>
      <c r="AW14" s="18">
        <v>1677</v>
      </c>
      <c r="AX14" s="18">
        <v>1363</v>
      </c>
      <c r="AY14" s="18">
        <v>1706</v>
      </c>
      <c r="AZ14" s="18">
        <v>1385</v>
      </c>
      <c r="BA14" s="18">
        <v>1393</v>
      </c>
      <c r="BB14" s="18">
        <v>1148</v>
      </c>
      <c r="BC14" s="18">
        <v>1486</v>
      </c>
      <c r="BD14" s="19">
        <v>1144</v>
      </c>
      <c r="BE14" s="17">
        <v>2249</v>
      </c>
      <c r="BF14" s="18">
        <v>900</v>
      </c>
      <c r="BG14" s="18">
        <v>1444</v>
      </c>
      <c r="BH14" s="18">
        <v>1140</v>
      </c>
      <c r="BI14" s="18">
        <v>1954.8080652904464</v>
      </c>
      <c r="BJ14" s="18">
        <v>1760</v>
      </c>
      <c r="BK14" s="18">
        <v>1710</v>
      </c>
      <c r="BL14" s="18">
        <v>1432</v>
      </c>
      <c r="BM14" s="18">
        <v>1433</v>
      </c>
      <c r="BN14" s="18">
        <v>1029</v>
      </c>
      <c r="BO14" s="18">
        <v>1219</v>
      </c>
      <c r="BP14" s="19">
        <v>1151</v>
      </c>
      <c r="BQ14" s="17">
        <v>1980</v>
      </c>
      <c r="BR14" s="18">
        <v>1115</v>
      </c>
      <c r="BS14" s="18">
        <v>1266</v>
      </c>
      <c r="BT14" s="18">
        <v>1004</v>
      </c>
      <c r="BU14" s="18">
        <v>2245</v>
      </c>
      <c r="BV14" s="18">
        <v>1468</v>
      </c>
      <c r="BW14" s="18">
        <v>1754</v>
      </c>
      <c r="BX14" s="18">
        <v>1615</v>
      </c>
      <c r="BY14" s="18">
        <v>1398</v>
      </c>
      <c r="BZ14" s="18">
        <v>1057</v>
      </c>
      <c r="CA14" s="18">
        <v>1516</v>
      </c>
      <c r="CB14" s="19">
        <v>874</v>
      </c>
      <c r="CC14" s="20">
        <v>1252</v>
      </c>
      <c r="CD14" s="18">
        <v>1033</v>
      </c>
      <c r="CE14" s="18">
        <v>1209</v>
      </c>
      <c r="CF14" s="18">
        <v>932</v>
      </c>
      <c r="CG14" s="18">
        <v>2204</v>
      </c>
      <c r="CH14" s="18">
        <v>1331</v>
      </c>
      <c r="CI14" s="18">
        <v>1789</v>
      </c>
      <c r="CJ14" s="18">
        <v>1336</v>
      </c>
      <c r="CK14" s="18">
        <v>1224</v>
      </c>
      <c r="CL14" s="18">
        <v>1151</v>
      </c>
      <c r="CM14" s="18">
        <v>1431</v>
      </c>
      <c r="CN14" s="21">
        <v>1118</v>
      </c>
      <c r="CO14" s="17">
        <v>2854</v>
      </c>
      <c r="CP14" s="18">
        <v>1056</v>
      </c>
      <c r="CQ14" s="18">
        <v>1245</v>
      </c>
      <c r="CR14" s="18">
        <v>1253</v>
      </c>
      <c r="CS14" s="18">
        <v>2676</v>
      </c>
      <c r="CT14" s="18">
        <v>2029</v>
      </c>
      <c r="CU14" s="18">
        <v>2020</v>
      </c>
      <c r="CV14" s="18">
        <v>1462</v>
      </c>
      <c r="CW14" s="18">
        <v>1085</v>
      </c>
      <c r="CX14" s="18">
        <v>1773</v>
      </c>
      <c r="CY14" s="18">
        <v>1265</v>
      </c>
      <c r="CZ14" s="19">
        <v>961</v>
      </c>
      <c r="DA14" s="17">
        <v>2332</v>
      </c>
      <c r="DB14" s="18">
        <v>947</v>
      </c>
      <c r="DC14" s="18">
        <v>1232</v>
      </c>
      <c r="DD14" s="18">
        <v>1770</v>
      </c>
      <c r="DE14" s="18">
        <v>1988</v>
      </c>
      <c r="DF14" s="18">
        <v>1375</v>
      </c>
      <c r="DG14" s="18">
        <v>1439</v>
      </c>
      <c r="DH14" s="18">
        <v>1255</v>
      </c>
      <c r="DI14" s="18">
        <v>981</v>
      </c>
      <c r="DJ14" s="18">
        <v>1184</v>
      </c>
      <c r="DK14" s="18">
        <v>1133</v>
      </c>
      <c r="DL14" s="19">
        <v>897</v>
      </c>
      <c r="DM14" s="17">
        <v>1907</v>
      </c>
      <c r="DN14" s="18">
        <v>888</v>
      </c>
      <c r="DO14" s="127">
        <v>1397</v>
      </c>
      <c r="DP14" s="127">
        <v>987</v>
      </c>
      <c r="DQ14" s="127">
        <v>1167</v>
      </c>
      <c r="DR14" s="127">
        <v>1228</v>
      </c>
      <c r="DS14" s="127">
        <v>1055</v>
      </c>
      <c r="DT14" s="127">
        <v>794</v>
      </c>
      <c r="DU14" s="127">
        <v>1311</v>
      </c>
      <c r="DV14" s="127">
        <v>892</v>
      </c>
      <c r="DW14" s="127">
        <v>1004</v>
      </c>
      <c r="DX14" s="128">
        <v>1094</v>
      </c>
      <c r="DY14" s="119">
        <v>1685</v>
      </c>
      <c r="DZ14" s="127">
        <v>836</v>
      </c>
      <c r="EA14" s="127">
        <v>1325</v>
      </c>
      <c r="EB14" s="119">
        <v>918</v>
      </c>
      <c r="EC14" s="127">
        <v>1168</v>
      </c>
      <c r="ED14" s="127">
        <v>1211</v>
      </c>
      <c r="EE14" s="127">
        <v>994</v>
      </c>
      <c r="EF14" s="127">
        <v>989</v>
      </c>
      <c r="EG14" s="127">
        <v>864</v>
      </c>
      <c r="EH14" s="127">
        <v>451</v>
      </c>
      <c r="EI14" s="127">
        <v>694</v>
      </c>
      <c r="EJ14" s="128">
        <v>438</v>
      </c>
      <c r="EK14" s="119">
        <v>487</v>
      </c>
      <c r="EL14" s="127">
        <v>610</v>
      </c>
      <c r="EM14" s="127">
        <v>699</v>
      </c>
      <c r="EN14" s="119">
        <v>503</v>
      </c>
      <c r="EO14" s="127">
        <v>528</v>
      </c>
      <c r="EP14" s="127">
        <v>449</v>
      </c>
      <c r="EQ14" s="127">
        <v>289</v>
      </c>
      <c r="ER14" s="127">
        <v>543</v>
      </c>
      <c r="ES14" s="127">
        <v>477</v>
      </c>
      <c r="ET14" s="127">
        <v>467</v>
      </c>
      <c r="EU14" s="127">
        <v>631</v>
      </c>
      <c r="EV14" s="128">
        <v>509</v>
      </c>
      <c r="EW14" s="119">
        <v>681</v>
      </c>
      <c r="EX14" s="109">
        <v>1405</v>
      </c>
      <c r="EY14" s="127">
        <v>549</v>
      </c>
      <c r="EZ14" s="119">
        <v>610</v>
      </c>
      <c r="FA14" s="18">
        <v>627</v>
      </c>
      <c r="FB14" s="149">
        <v>734</v>
      </c>
      <c r="FC14" s="18">
        <v>538</v>
      </c>
      <c r="FD14" s="18">
        <v>502</v>
      </c>
      <c r="FE14" s="149">
        <v>621</v>
      </c>
      <c r="FF14" s="149">
        <v>559</v>
      </c>
      <c r="FG14" s="149">
        <v>915</v>
      </c>
      <c r="FH14" s="149">
        <v>431</v>
      </c>
      <c r="FI14" s="119">
        <f>'Average Sunday-Holiday Boarding'!FI14*6</f>
        <v>680</v>
      </c>
      <c r="FJ14" s="109">
        <f>'Average Sunday-Holiday Boarding'!FJ14*4</f>
        <v>390</v>
      </c>
      <c r="FK14" s="127">
        <f>'Average Sunday-Holiday Boarding'!FK14*5</f>
        <v>579</v>
      </c>
      <c r="FL14" s="119">
        <v>546</v>
      </c>
      <c r="FM14" s="18">
        <v>462</v>
      </c>
      <c r="FN14" s="149">
        <v>568</v>
      </c>
      <c r="FO14" s="18">
        <v>844</v>
      </c>
      <c r="FP14" s="18">
        <v>596</v>
      </c>
      <c r="FQ14" s="149">
        <v>568</v>
      </c>
      <c r="FR14" s="149">
        <v>662</v>
      </c>
      <c r="FS14" s="149">
        <v>791</v>
      </c>
      <c r="FT14" s="155">
        <v>557</v>
      </c>
      <c r="FU14" s="169">
        <v>1311</v>
      </c>
      <c r="FV14" s="169">
        <v>814</v>
      </c>
      <c r="FW14" s="169">
        <v>661</v>
      </c>
      <c r="FX14" s="169">
        <v>605</v>
      </c>
      <c r="FY14" s="169">
        <v>603</v>
      </c>
      <c r="FZ14" s="169">
        <v>727</v>
      </c>
      <c r="GA14" s="169">
        <v>1250</v>
      </c>
      <c r="GB14" s="18">
        <v>735</v>
      </c>
      <c r="GC14" s="18">
        <v>732</v>
      </c>
      <c r="GD14" s="18">
        <v>689</v>
      </c>
      <c r="GE14" s="18">
        <v>699</v>
      </c>
      <c r="GF14" s="52">
        <v>679</v>
      </c>
      <c r="GG14" s="18">
        <v>933</v>
      </c>
      <c r="GH14" s="18">
        <v>589</v>
      </c>
      <c r="GI14" s="184">
        <v>862</v>
      </c>
      <c r="GJ14" s="184">
        <v>642</v>
      </c>
      <c r="GK14" s="184">
        <v>757</v>
      </c>
      <c r="GL14" s="184">
        <v>921</v>
      </c>
    </row>
    <row r="15" spans="1:194" x14ac:dyDescent="0.3">
      <c r="A15" s="3" t="s">
        <v>8</v>
      </c>
      <c r="B15" s="17"/>
      <c r="C15" s="18">
        <v>3492</v>
      </c>
      <c r="D15" s="18">
        <v>2745</v>
      </c>
      <c r="E15" s="18">
        <v>3007</v>
      </c>
      <c r="F15" s="18">
        <v>3242</v>
      </c>
      <c r="G15" s="18">
        <v>3335</v>
      </c>
      <c r="H15" s="19">
        <v>1976</v>
      </c>
      <c r="I15" s="17">
        <v>4382</v>
      </c>
      <c r="J15" s="18">
        <v>2671</v>
      </c>
      <c r="K15" s="18">
        <v>2719</v>
      </c>
      <c r="L15" s="18">
        <v>2365</v>
      </c>
      <c r="M15" s="18">
        <v>5677</v>
      </c>
      <c r="N15" s="18">
        <v>2577</v>
      </c>
      <c r="O15" s="127">
        <v>3932</v>
      </c>
      <c r="P15" s="127">
        <v>3335</v>
      </c>
      <c r="Q15" s="127">
        <v>2935</v>
      </c>
      <c r="R15" s="127">
        <v>3240</v>
      </c>
      <c r="S15" s="127">
        <v>4251</v>
      </c>
      <c r="T15" s="128">
        <v>2608</v>
      </c>
      <c r="U15" s="129">
        <v>4011</v>
      </c>
      <c r="V15" s="127">
        <v>2771</v>
      </c>
      <c r="W15" s="127">
        <v>2976</v>
      </c>
      <c r="X15" s="127">
        <v>3154</v>
      </c>
      <c r="Y15" s="127">
        <v>5402</v>
      </c>
      <c r="Z15" s="127">
        <v>2825</v>
      </c>
      <c r="AA15" s="18">
        <v>3466</v>
      </c>
      <c r="AB15" s="18">
        <v>3507</v>
      </c>
      <c r="AC15" s="18">
        <v>2685</v>
      </c>
      <c r="AD15" s="18">
        <v>3189</v>
      </c>
      <c r="AE15" s="18">
        <v>3745</v>
      </c>
      <c r="AF15" s="19">
        <v>2312</v>
      </c>
      <c r="AG15" s="17">
        <v>5660</v>
      </c>
      <c r="AH15" s="18">
        <v>2417</v>
      </c>
      <c r="AI15" s="18">
        <v>3097</v>
      </c>
      <c r="AJ15" s="18">
        <v>3380</v>
      </c>
      <c r="AK15" s="18">
        <v>5100</v>
      </c>
      <c r="AL15" s="18">
        <v>3207</v>
      </c>
      <c r="AM15" s="18">
        <v>4899</v>
      </c>
      <c r="AN15" s="18">
        <v>3661</v>
      </c>
      <c r="AO15" s="18">
        <v>3084</v>
      </c>
      <c r="AP15" s="18">
        <v>4087</v>
      </c>
      <c r="AQ15" s="18">
        <v>3554</v>
      </c>
      <c r="AR15" s="19">
        <v>2764</v>
      </c>
      <c r="AS15" s="17">
        <v>6573</v>
      </c>
      <c r="AT15" s="18">
        <v>2746</v>
      </c>
      <c r="AU15" s="18">
        <v>4395</v>
      </c>
      <c r="AV15" s="18">
        <v>3236</v>
      </c>
      <c r="AW15" s="18">
        <v>5019</v>
      </c>
      <c r="AX15" s="18">
        <v>4430</v>
      </c>
      <c r="AY15" s="18">
        <v>4514</v>
      </c>
      <c r="AZ15" s="18">
        <v>4328</v>
      </c>
      <c r="BA15" s="18">
        <v>4256</v>
      </c>
      <c r="BB15" s="18">
        <v>3735</v>
      </c>
      <c r="BC15" s="18">
        <v>4073</v>
      </c>
      <c r="BD15" s="19">
        <v>3557</v>
      </c>
      <c r="BE15" s="17">
        <v>5458</v>
      </c>
      <c r="BF15" s="18">
        <v>2775</v>
      </c>
      <c r="BG15" s="18">
        <v>4378</v>
      </c>
      <c r="BH15" s="18">
        <v>3157</v>
      </c>
      <c r="BI15" s="18">
        <v>4952.4363898223719</v>
      </c>
      <c r="BJ15" s="18">
        <v>5423</v>
      </c>
      <c r="BK15" s="18">
        <v>4926</v>
      </c>
      <c r="BL15" s="18">
        <v>4682</v>
      </c>
      <c r="BM15" s="18">
        <v>4471</v>
      </c>
      <c r="BN15" s="18">
        <v>3681</v>
      </c>
      <c r="BO15" s="18">
        <v>3779</v>
      </c>
      <c r="BP15" s="19">
        <v>3523</v>
      </c>
      <c r="BQ15" s="17">
        <v>5776</v>
      </c>
      <c r="BR15" s="18">
        <v>3879</v>
      </c>
      <c r="BS15" s="18">
        <v>4006</v>
      </c>
      <c r="BT15" s="18">
        <v>3321</v>
      </c>
      <c r="BU15" s="18">
        <v>7074</v>
      </c>
      <c r="BV15" s="18">
        <v>4950</v>
      </c>
      <c r="BW15" s="18">
        <v>5194</v>
      </c>
      <c r="BX15" s="18">
        <v>4934</v>
      </c>
      <c r="BY15" s="18">
        <v>4458</v>
      </c>
      <c r="BZ15" s="18">
        <v>4446</v>
      </c>
      <c r="CA15" s="18">
        <v>4840</v>
      </c>
      <c r="CB15" s="19">
        <v>3035</v>
      </c>
      <c r="CC15" s="20">
        <v>4102</v>
      </c>
      <c r="CD15" s="18">
        <v>3703</v>
      </c>
      <c r="CE15" s="18">
        <v>4211</v>
      </c>
      <c r="CF15" s="18">
        <v>3611</v>
      </c>
      <c r="CG15" s="18">
        <v>7301</v>
      </c>
      <c r="CH15" s="18">
        <v>4776</v>
      </c>
      <c r="CI15" s="18">
        <v>6051</v>
      </c>
      <c r="CJ15" s="18">
        <v>4634</v>
      </c>
      <c r="CK15" s="18">
        <v>3612</v>
      </c>
      <c r="CL15" s="18">
        <v>4992</v>
      </c>
      <c r="CM15" s="18">
        <v>5400</v>
      </c>
      <c r="CN15" s="21">
        <v>3501</v>
      </c>
      <c r="CO15" s="17">
        <v>6824</v>
      </c>
      <c r="CP15" s="18">
        <v>3636</v>
      </c>
      <c r="CQ15" s="18">
        <v>4471</v>
      </c>
      <c r="CR15" s="18">
        <v>4473</v>
      </c>
      <c r="CS15" s="18">
        <v>8496</v>
      </c>
      <c r="CT15" s="18">
        <v>6727</v>
      </c>
      <c r="CU15" s="18">
        <v>6326</v>
      </c>
      <c r="CV15" s="18">
        <v>4910</v>
      </c>
      <c r="CW15" s="18">
        <v>3899</v>
      </c>
      <c r="CX15" s="18">
        <v>6497</v>
      </c>
      <c r="CY15" s="18">
        <v>4281</v>
      </c>
      <c r="CZ15" s="19">
        <v>2930</v>
      </c>
      <c r="DA15" s="17">
        <v>6319</v>
      </c>
      <c r="DB15" s="18">
        <v>3169</v>
      </c>
      <c r="DC15" s="18">
        <v>3982</v>
      </c>
      <c r="DD15" s="18">
        <v>7898</v>
      </c>
      <c r="DE15" s="18">
        <v>6202</v>
      </c>
      <c r="DF15" s="18">
        <v>4471</v>
      </c>
      <c r="DG15" s="18">
        <v>4602</v>
      </c>
      <c r="DH15" s="18">
        <v>4022</v>
      </c>
      <c r="DI15" s="18">
        <v>3178</v>
      </c>
      <c r="DJ15" s="18">
        <v>5806</v>
      </c>
      <c r="DK15" s="18">
        <v>3829</v>
      </c>
      <c r="DL15" s="19">
        <v>3014</v>
      </c>
      <c r="DM15" s="17">
        <v>5830</v>
      </c>
      <c r="DN15" s="18">
        <v>2880</v>
      </c>
      <c r="DO15" s="127">
        <v>4418</v>
      </c>
      <c r="DP15" s="127">
        <v>2972</v>
      </c>
      <c r="DQ15" s="127">
        <v>3602</v>
      </c>
      <c r="DR15" s="127">
        <v>4160</v>
      </c>
      <c r="DS15" s="127">
        <v>3505</v>
      </c>
      <c r="DT15" s="127">
        <v>2822</v>
      </c>
      <c r="DU15" s="127">
        <v>4860</v>
      </c>
      <c r="DV15" s="127">
        <v>4755</v>
      </c>
      <c r="DW15" s="127">
        <v>3602</v>
      </c>
      <c r="DX15" s="128">
        <v>3347</v>
      </c>
      <c r="DY15" s="119">
        <v>4856</v>
      </c>
      <c r="DZ15" s="127">
        <v>2593</v>
      </c>
      <c r="EA15" s="127">
        <v>4000</v>
      </c>
      <c r="EB15" s="119">
        <v>3015</v>
      </c>
      <c r="EC15" s="127">
        <v>3510</v>
      </c>
      <c r="ED15" s="127">
        <v>3626</v>
      </c>
      <c r="EE15" s="127">
        <v>3236</v>
      </c>
      <c r="EF15" s="127">
        <v>3774</v>
      </c>
      <c r="EG15" s="127">
        <v>3110</v>
      </c>
      <c r="EH15" s="127">
        <v>1624</v>
      </c>
      <c r="EI15" s="127">
        <v>2352</v>
      </c>
      <c r="EJ15" s="128">
        <v>1534</v>
      </c>
      <c r="EK15" s="119">
        <v>1605</v>
      </c>
      <c r="EL15" s="127">
        <v>1717</v>
      </c>
      <c r="EM15" s="127">
        <v>1936</v>
      </c>
      <c r="EN15" s="119">
        <v>1427</v>
      </c>
      <c r="EO15" s="127">
        <v>1505</v>
      </c>
      <c r="EP15" s="127">
        <v>1197</v>
      </c>
      <c r="EQ15" s="127">
        <v>770</v>
      </c>
      <c r="ER15" s="127">
        <v>1400</v>
      </c>
      <c r="ES15" s="127">
        <v>1314</v>
      </c>
      <c r="ET15" s="127">
        <v>1343</v>
      </c>
      <c r="EU15" s="127">
        <v>1713</v>
      </c>
      <c r="EV15" s="128">
        <v>1351</v>
      </c>
      <c r="EW15" s="119">
        <v>1843</v>
      </c>
      <c r="EX15" s="109">
        <v>2207</v>
      </c>
      <c r="EY15" s="127">
        <v>1678</v>
      </c>
      <c r="EZ15" s="119">
        <v>1663</v>
      </c>
      <c r="FA15" s="18">
        <v>2117</v>
      </c>
      <c r="FB15" s="149">
        <v>2253</v>
      </c>
      <c r="FC15" s="18">
        <v>1738</v>
      </c>
      <c r="FD15" s="18">
        <v>1603</v>
      </c>
      <c r="FE15" s="149">
        <v>1886</v>
      </c>
      <c r="FF15" s="149">
        <v>1782</v>
      </c>
      <c r="FG15" s="149">
        <v>2577</v>
      </c>
      <c r="FH15" s="149">
        <v>1512</v>
      </c>
      <c r="FI15" s="119">
        <f>'Average Sunday-Holiday Boarding'!FI15*6</f>
        <v>2255</v>
      </c>
      <c r="FJ15" s="109">
        <f>'Average Sunday-Holiday Boarding'!FJ15*4</f>
        <v>1396</v>
      </c>
      <c r="FK15" s="127">
        <f>'Average Sunday-Holiday Boarding'!FK15*5</f>
        <v>2120</v>
      </c>
      <c r="FL15" s="119">
        <v>3124</v>
      </c>
      <c r="FM15" s="18">
        <v>1837</v>
      </c>
      <c r="FN15" s="149">
        <v>2064</v>
      </c>
      <c r="FO15" s="18">
        <v>2454</v>
      </c>
      <c r="FP15" s="18">
        <v>2289</v>
      </c>
      <c r="FQ15" s="149">
        <v>2010</v>
      </c>
      <c r="FR15" s="149">
        <v>2498</v>
      </c>
      <c r="FS15" s="149">
        <v>2587</v>
      </c>
      <c r="FT15" s="155">
        <v>1840</v>
      </c>
      <c r="FU15" s="169">
        <v>4135</v>
      </c>
      <c r="FV15" s="169">
        <v>2763</v>
      </c>
      <c r="FW15" s="169">
        <v>2339</v>
      </c>
      <c r="FX15" s="169">
        <v>3334</v>
      </c>
      <c r="FY15" s="169">
        <v>2249</v>
      </c>
      <c r="FZ15" s="169">
        <v>2900</v>
      </c>
      <c r="GA15" s="169">
        <v>2883</v>
      </c>
      <c r="GB15" s="18">
        <v>3135</v>
      </c>
      <c r="GC15" s="18">
        <v>2645</v>
      </c>
      <c r="GD15" s="18">
        <v>2239</v>
      </c>
      <c r="GE15" s="18">
        <v>2602</v>
      </c>
      <c r="GF15" s="52">
        <v>2627</v>
      </c>
      <c r="GG15" s="18">
        <v>3762</v>
      </c>
      <c r="GH15" s="18">
        <v>1879</v>
      </c>
      <c r="GI15" s="184">
        <v>2962</v>
      </c>
      <c r="GJ15" s="184">
        <v>2931</v>
      </c>
      <c r="GK15" s="184">
        <v>2249</v>
      </c>
      <c r="GL15" s="184">
        <v>2613</v>
      </c>
    </row>
    <row r="16" spans="1:194" x14ac:dyDescent="0.3">
      <c r="A16" s="3" t="s">
        <v>9</v>
      </c>
      <c r="B16" s="17"/>
      <c r="C16" s="18">
        <v>1564</v>
      </c>
      <c r="D16" s="18">
        <v>1802</v>
      </c>
      <c r="E16" s="18">
        <v>1877</v>
      </c>
      <c r="F16" s="18">
        <v>1464</v>
      </c>
      <c r="G16" s="18">
        <v>1959</v>
      </c>
      <c r="H16" s="19">
        <v>1034</v>
      </c>
      <c r="I16" s="17">
        <v>1723</v>
      </c>
      <c r="J16" s="18">
        <v>1293</v>
      </c>
      <c r="K16" s="18">
        <v>1529</v>
      </c>
      <c r="L16" s="18">
        <v>1223</v>
      </c>
      <c r="M16" s="18">
        <v>3208</v>
      </c>
      <c r="N16" s="18">
        <v>1345</v>
      </c>
      <c r="O16" s="127">
        <v>2621</v>
      </c>
      <c r="P16" s="127">
        <v>2042</v>
      </c>
      <c r="Q16" s="127">
        <v>1795</v>
      </c>
      <c r="R16" s="127">
        <v>1588</v>
      </c>
      <c r="S16" s="127">
        <v>2615</v>
      </c>
      <c r="T16" s="128">
        <v>1260</v>
      </c>
      <c r="U16" s="129">
        <v>1667</v>
      </c>
      <c r="V16" s="127">
        <v>1429</v>
      </c>
      <c r="W16" s="127">
        <v>1710</v>
      </c>
      <c r="X16" s="127">
        <v>1782</v>
      </c>
      <c r="Y16" s="127">
        <v>2928</v>
      </c>
      <c r="Z16" s="127">
        <v>1567</v>
      </c>
      <c r="AA16" s="18">
        <v>2033</v>
      </c>
      <c r="AB16" s="18">
        <v>2024</v>
      </c>
      <c r="AC16" s="18">
        <v>1500</v>
      </c>
      <c r="AD16" s="18">
        <v>1633</v>
      </c>
      <c r="AE16" s="18">
        <v>2211</v>
      </c>
      <c r="AF16" s="19">
        <v>1312</v>
      </c>
      <c r="AG16" s="17">
        <v>2458</v>
      </c>
      <c r="AH16" s="18">
        <v>1313</v>
      </c>
      <c r="AI16" s="18">
        <v>1703</v>
      </c>
      <c r="AJ16" s="18">
        <v>1978</v>
      </c>
      <c r="AK16" s="18">
        <v>2786</v>
      </c>
      <c r="AL16" s="18">
        <v>1758</v>
      </c>
      <c r="AM16" s="18">
        <v>3076</v>
      </c>
      <c r="AN16" s="18">
        <v>2419</v>
      </c>
      <c r="AO16" s="18">
        <v>1645</v>
      </c>
      <c r="AP16" s="18">
        <v>2083</v>
      </c>
      <c r="AQ16" s="18">
        <v>2104</v>
      </c>
      <c r="AR16" s="19">
        <v>1427</v>
      </c>
      <c r="AS16" s="17">
        <v>2681</v>
      </c>
      <c r="AT16" s="18">
        <v>1438</v>
      </c>
      <c r="AU16" s="18">
        <v>2289</v>
      </c>
      <c r="AV16" s="18">
        <v>1901</v>
      </c>
      <c r="AW16" s="18">
        <v>2683</v>
      </c>
      <c r="AX16" s="18">
        <v>2343</v>
      </c>
      <c r="AY16" s="18">
        <v>2752</v>
      </c>
      <c r="AZ16" s="18">
        <v>2681</v>
      </c>
      <c r="BA16" s="18">
        <v>2488</v>
      </c>
      <c r="BB16" s="18">
        <v>1890</v>
      </c>
      <c r="BC16" s="18">
        <v>2615</v>
      </c>
      <c r="BD16" s="19">
        <v>1926</v>
      </c>
      <c r="BE16" s="17">
        <v>2207</v>
      </c>
      <c r="BF16" s="18">
        <v>1636</v>
      </c>
      <c r="BG16" s="18">
        <v>2589</v>
      </c>
      <c r="BH16" s="18">
        <v>1867</v>
      </c>
      <c r="BI16" s="18">
        <v>3007.6543446951509</v>
      </c>
      <c r="BJ16" s="18">
        <v>3225</v>
      </c>
      <c r="BK16" s="18">
        <v>2975</v>
      </c>
      <c r="BL16" s="18">
        <v>2903</v>
      </c>
      <c r="BM16" s="18">
        <v>2817</v>
      </c>
      <c r="BN16" s="18">
        <v>1913</v>
      </c>
      <c r="BO16" s="18">
        <v>2433</v>
      </c>
      <c r="BP16" s="19">
        <v>2327</v>
      </c>
      <c r="BQ16" s="17">
        <v>2333</v>
      </c>
      <c r="BR16" s="18">
        <v>2154</v>
      </c>
      <c r="BS16" s="18">
        <v>2203</v>
      </c>
      <c r="BT16" s="18">
        <v>1897</v>
      </c>
      <c r="BU16" s="18">
        <v>3875</v>
      </c>
      <c r="BV16" s="18">
        <v>2851</v>
      </c>
      <c r="BW16" s="18">
        <v>3390</v>
      </c>
      <c r="BX16" s="18">
        <v>2824</v>
      </c>
      <c r="BY16" s="18">
        <v>2427</v>
      </c>
      <c r="BZ16" s="18">
        <v>1952</v>
      </c>
      <c r="CA16" s="18">
        <v>3087</v>
      </c>
      <c r="CB16" s="19">
        <v>1685</v>
      </c>
      <c r="CC16" s="20">
        <v>2140</v>
      </c>
      <c r="CD16" s="18">
        <v>1896</v>
      </c>
      <c r="CE16" s="18">
        <v>2294</v>
      </c>
      <c r="CF16" s="18">
        <v>1984</v>
      </c>
      <c r="CG16" s="18">
        <v>4157</v>
      </c>
      <c r="CH16" s="18">
        <v>2735</v>
      </c>
      <c r="CI16" s="18">
        <v>3696</v>
      </c>
      <c r="CJ16" s="18">
        <v>3167</v>
      </c>
      <c r="CK16" s="18">
        <v>2040</v>
      </c>
      <c r="CL16" s="18">
        <v>2550</v>
      </c>
      <c r="CM16" s="18">
        <v>2942</v>
      </c>
      <c r="CN16" s="21">
        <v>1967</v>
      </c>
      <c r="CO16" s="17">
        <v>3156</v>
      </c>
      <c r="CP16" s="18">
        <v>1892</v>
      </c>
      <c r="CQ16" s="18">
        <v>2325</v>
      </c>
      <c r="CR16" s="18">
        <v>2562</v>
      </c>
      <c r="CS16" s="18">
        <v>5063</v>
      </c>
      <c r="CT16" s="18">
        <v>4016</v>
      </c>
      <c r="CU16" s="18">
        <v>3831</v>
      </c>
      <c r="CV16" s="18">
        <v>2643</v>
      </c>
      <c r="CW16" s="18">
        <v>2054</v>
      </c>
      <c r="CX16" s="18">
        <v>3273</v>
      </c>
      <c r="CY16" s="18">
        <v>2628</v>
      </c>
      <c r="CZ16" s="19">
        <v>1974</v>
      </c>
      <c r="DA16" s="17">
        <v>3268</v>
      </c>
      <c r="DB16" s="18">
        <v>1863</v>
      </c>
      <c r="DC16" s="18">
        <v>2366</v>
      </c>
      <c r="DD16" s="18">
        <v>2976</v>
      </c>
      <c r="DE16" s="18">
        <v>3616</v>
      </c>
      <c r="DF16" s="18">
        <v>2830</v>
      </c>
      <c r="DG16" s="18">
        <v>2796</v>
      </c>
      <c r="DH16" s="18">
        <v>2522</v>
      </c>
      <c r="DI16" s="18">
        <v>2029</v>
      </c>
      <c r="DJ16" s="18">
        <v>2529</v>
      </c>
      <c r="DK16" s="18">
        <v>2437</v>
      </c>
      <c r="DL16" s="19">
        <v>1808</v>
      </c>
      <c r="DM16" s="17">
        <v>2789</v>
      </c>
      <c r="DN16" s="18">
        <v>1695</v>
      </c>
      <c r="DO16" s="127">
        <v>2652</v>
      </c>
      <c r="DP16" s="127">
        <v>1778</v>
      </c>
      <c r="DQ16" s="127">
        <v>2325</v>
      </c>
      <c r="DR16" s="127">
        <v>2395</v>
      </c>
      <c r="DS16" s="127">
        <v>2237</v>
      </c>
      <c r="DT16" s="127">
        <v>1562</v>
      </c>
      <c r="DU16" s="127">
        <v>2461</v>
      </c>
      <c r="DV16" s="127">
        <v>1843</v>
      </c>
      <c r="DW16" s="127">
        <v>2052</v>
      </c>
      <c r="DX16" s="128">
        <v>2003</v>
      </c>
      <c r="DY16" s="119">
        <v>2215</v>
      </c>
      <c r="DZ16" s="127">
        <v>1674</v>
      </c>
      <c r="EA16" s="127">
        <v>2494</v>
      </c>
      <c r="EB16" s="119">
        <v>1667</v>
      </c>
      <c r="EC16" s="127">
        <v>2310</v>
      </c>
      <c r="ED16" s="127">
        <v>2274</v>
      </c>
      <c r="EE16" s="127">
        <v>1949</v>
      </c>
      <c r="EF16" s="127">
        <v>1779</v>
      </c>
      <c r="EG16" s="127">
        <v>1800</v>
      </c>
      <c r="EH16" s="127">
        <v>993</v>
      </c>
      <c r="EI16" s="127">
        <v>1612</v>
      </c>
      <c r="EJ16" s="128">
        <v>995</v>
      </c>
      <c r="EK16" s="119">
        <v>1289</v>
      </c>
      <c r="EL16" s="127">
        <v>1191</v>
      </c>
      <c r="EM16" s="127">
        <v>1276</v>
      </c>
      <c r="EN16" s="119">
        <v>880</v>
      </c>
      <c r="EO16" s="127">
        <v>986</v>
      </c>
      <c r="EP16" s="127">
        <v>675</v>
      </c>
      <c r="EQ16" s="127">
        <v>531</v>
      </c>
      <c r="ER16" s="127">
        <v>852</v>
      </c>
      <c r="ES16" s="127">
        <v>942</v>
      </c>
      <c r="ET16" s="127">
        <v>955</v>
      </c>
      <c r="EU16" s="127">
        <v>1234</v>
      </c>
      <c r="EV16" s="128">
        <v>935</v>
      </c>
      <c r="EW16" s="119">
        <v>1226</v>
      </c>
      <c r="EX16" s="109">
        <v>1669</v>
      </c>
      <c r="EY16" s="127">
        <v>1146</v>
      </c>
      <c r="EZ16" s="119">
        <v>1114</v>
      </c>
      <c r="FA16" s="18">
        <v>1093</v>
      </c>
      <c r="FB16" s="149">
        <v>1519</v>
      </c>
      <c r="FC16" s="18">
        <v>1121</v>
      </c>
      <c r="FD16" s="18">
        <v>1026</v>
      </c>
      <c r="FE16" s="149">
        <v>1172</v>
      </c>
      <c r="FF16" s="149">
        <v>1074</v>
      </c>
      <c r="FG16" s="149">
        <v>1712</v>
      </c>
      <c r="FH16" s="149">
        <v>944</v>
      </c>
      <c r="FI16" s="119">
        <f>'Average Sunday-Holiday Boarding'!FI16*6</f>
        <v>1484</v>
      </c>
      <c r="FJ16" s="109">
        <f>'Average Sunday-Holiday Boarding'!FJ16*4</f>
        <v>862</v>
      </c>
      <c r="FK16" s="127">
        <f>'Average Sunday-Holiday Boarding'!FK16*5</f>
        <v>1261</v>
      </c>
      <c r="FL16" s="119">
        <v>1295</v>
      </c>
      <c r="FM16" s="18">
        <v>1120</v>
      </c>
      <c r="FN16" s="149">
        <v>1168</v>
      </c>
      <c r="FO16" s="18">
        <v>1455</v>
      </c>
      <c r="FP16" s="18">
        <v>1195</v>
      </c>
      <c r="FQ16" s="149">
        <v>1192</v>
      </c>
      <c r="FR16" s="149">
        <v>1724</v>
      </c>
      <c r="FS16" s="149">
        <v>1499</v>
      </c>
      <c r="FT16" s="155">
        <v>1217</v>
      </c>
      <c r="FU16" s="169">
        <v>2059</v>
      </c>
      <c r="FV16" s="169">
        <v>1719</v>
      </c>
      <c r="FW16" s="169">
        <v>1381</v>
      </c>
      <c r="FX16" s="169">
        <v>1481</v>
      </c>
      <c r="FY16" s="169">
        <v>1265</v>
      </c>
      <c r="FZ16" s="169">
        <v>1626</v>
      </c>
      <c r="GA16" s="169">
        <v>1670</v>
      </c>
      <c r="GB16" s="18">
        <v>1268</v>
      </c>
      <c r="GC16" s="18">
        <v>1500</v>
      </c>
      <c r="GD16" s="18">
        <v>1315</v>
      </c>
      <c r="GE16" s="18">
        <v>1514</v>
      </c>
      <c r="GF16" s="52">
        <v>1546</v>
      </c>
      <c r="GG16" s="18">
        <v>1458</v>
      </c>
      <c r="GH16" s="18">
        <v>1200</v>
      </c>
      <c r="GI16" s="184">
        <v>1744</v>
      </c>
      <c r="GJ16" s="184">
        <v>1266</v>
      </c>
      <c r="GK16" s="184">
        <v>1431</v>
      </c>
      <c r="GL16" s="184">
        <v>1537</v>
      </c>
    </row>
    <row r="17" spans="1:194" x14ac:dyDescent="0.3">
      <c r="A17" s="3" t="s">
        <v>10</v>
      </c>
      <c r="B17" s="17"/>
      <c r="C17" s="18">
        <v>2932</v>
      </c>
      <c r="D17" s="18">
        <v>2770</v>
      </c>
      <c r="E17" s="18">
        <v>2682</v>
      </c>
      <c r="F17" s="18">
        <v>2348</v>
      </c>
      <c r="G17" s="18">
        <v>3176</v>
      </c>
      <c r="H17" s="19">
        <v>1851</v>
      </c>
      <c r="I17" s="17">
        <v>2690</v>
      </c>
      <c r="J17" s="18">
        <v>2090</v>
      </c>
      <c r="K17" s="18">
        <v>2429</v>
      </c>
      <c r="L17" s="18">
        <v>2030</v>
      </c>
      <c r="M17" s="18">
        <v>5351</v>
      </c>
      <c r="N17" s="18">
        <v>2087</v>
      </c>
      <c r="O17" s="127">
        <v>3910</v>
      </c>
      <c r="P17" s="127">
        <v>3231</v>
      </c>
      <c r="Q17" s="127">
        <v>2520</v>
      </c>
      <c r="R17" s="127">
        <v>2286</v>
      </c>
      <c r="S17" s="127">
        <v>4142</v>
      </c>
      <c r="T17" s="128">
        <v>2111</v>
      </c>
      <c r="U17" s="129">
        <v>2108</v>
      </c>
      <c r="V17" s="127">
        <v>2220</v>
      </c>
      <c r="W17" s="127">
        <v>2622</v>
      </c>
      <c r="X17" s="127">
        <v>2727</v>
      </c>
      <c r="Y17" s="127">
        <v>4799</v>
      </c>
      <c r="Z17" s="127">
        <v>2314</v>
      </c>
      <c r="AA17" s="18">
        <v>2789</v>
      </c>
      <c r="AB17" s="18">
        <v>3065</v>
      </c>
      <c r="AC17" s="18">
        <v>2297</v>
      </c>
      <c r="AD17" s="18">
        <v>2005</v>
      </c>
      <c r="AE17" s="18">
        <v>3178</v>
      </c>
      <c r="AF17" s="19">
        <v>2015</v>
      </c>
      <c r="AG17" s="17">
        <v>3287</v>
      </c>
      <c r="AH17" s="18">
        <v>2095</v>
      </c>
      <c r="AI17" s="18">
        <v>2614</v>
      </c>
      <c r="AJ17" s="18">
        <v>2953</v>
      </c>
      <c r="AK17" s="18">
        <v>4083</v>
      </c>
      <c r="AL17" s="18">
        <v>2787</v>
      </c>
      <c r="AM17" s="18">
        <v>4477</v>
      </c>
      <c r="AN17" s="18">
        <v>3268</v>
      </c>
      <c r="AO17" s="18">
        <v>2273</v>
      </c>
      <c r="AP17" s="18">
        <v>3230</v>
      </c>
      <c r="AQ17" s="18">
        <v>3044</v>
      </c>
      <c r="AR17" s="19">
        <v>2123</v>
      </c>
      <c r="AS17" s="17">
        <v>3807</v>
      </c>
      <c r="AT17" s="18">
        <v>2250</v>
      </c>
      <c r="AU17" s="18">
        <v>3519</v>
      </c>
      <c r="AV17" s="18">
        <v>2832</v>
      </c>
      <c r="AW17" s="18">
        <v>4128</v>
      </c>
      <c r="AX17" s="18">
        <v>3471</v>
      </c>
      <c r="AY17" s="18">
        <v>3958</v>
      </c>
      <c r="AZ17" s="18">
        <v>3625</v>
      </c>
      <c r="BA17" s="18">
        <v>3339</v>
      </c>
      <c r="BB17" s="18">
        <v>2761</v>
      </c>
      <c r="BC17" s="18">
        <v>3599</v>
      </c>
      <c r="BD17" s="19">
        <v>3057</v>
      </c>
      <c r="BE17" s="17">
        <v>3089</v>
      </c>
      <c r="BF17" s="18">
        <v>2374</v>
      </c>
      <c r="BG17" s="18">
        <v>3676</v>
      </c>
      <c r="BH17" s="18">
        <v>2493</v>
      </c>
      <c r="BI17" s="18">
        <v>4051.3879020643303</v>
      </c>
      <c r="BJ17" s="18">
        <v>4371</v>
      </c>
      <c r="BK17" s="18">
        <v>4144</v>
      </c>
      <c r="BL17" s="18">
        <v>4019</v>
      </c>
      <c r="BM17" s="18">
        <v>3495</v>
      </c>
      <c r="BN17" s="18">
        <v>2509</v>
      </c>
      <c r="BO17" s="18">
        <v>3404</v>
      </c>
      <c r="BP17" s="19">
        <v>3288</v>
      </c>
      <c r="BQ17" s="17">
        <v>3261</v>
      </c>
      <c r="BR17" s="18">
        <v>3048</v>
      </c>
      <c r="BS17" s="18">
        <v>3418</v>
      </c>
      <c r="BT17" s="18">
        <v>2562</v>
      </c>
      <c r="BU17" s="18">
        <v>5780</v>
      </c>
      <c r="BV17" s="18">
        <v>3892</v>
      </c>
      <c r="BW17" s="18">
        <v>4517</v>
      </c>
      <c r="BX17" s="18">
        <v>4110</v>
      </c>
      <c r="BY17" s="18">
        <v>3260</v>
      </c>
      <c r="BZ17" s="18">
        <v>2514</v>
      </c>
      <c r="CA17" s="18">
        <v>3981</v>
      </c>
      <c r="CB17" s="19">
        <v>2399</v>
      </c>
      <c r="CC17" s="20">
        <v>3209</v>
      </c>
      <c r="CD17" s="18">
        <v>2750</v>
      </c>
      <c r="CE17" s="18">
        <v>3158</v>
      </c>
      <c r="CF17" s="18">
        <v>2766</v>
      </c>
      <c r="CG17" s="18">
        <v>6108</v>
      </c>
      <c r="CH17" s="18">
        <v>3737</v>
      </c>
      <c r="CI17" s="18">
        <v>5099</v>
      </c>
      <c r="CJ17" s="18">
        <v>3763</v>
      </c>
      <c r="CK17" s="18">
        <v>2639</v>
      </c>
      <c r="CL17" s="18">
        <v>3060</v>
      </c>
      <c r="CM17" s="18">
        <v>4057</v>
      </c>
      <c r="CN17" s="21">
        <v>2715</v>
      </c>
      <c r="CO17" s="17">
        <v>4044</v>
      </c>
      <c r="CP17" s="18">
        <v>2550</v>
      </c>
      <c r="CQ17" s="18">
        <v>3586</v>
      </c>
      <c r="CR17" s="18">
        <v>3469</v>
      </c>
      <c r="CS17" s="18">
        <v>6898</v>
      </c>
      <c r="CT17" s="18">
        <v>5368</v>
      </c>
      <c r="CU17" s="18">
        <v>5150</v>
      </c>
      <c r="CV17" s="18">
        <v>3858</v>
      </c>
      <c r="CW17" s="18">
        <v>2854</v>
      </c>
      <c r="CX17" s="18">
        <v>4394</v>
      </c>
      <c r="CY17" s="18">
        <v>4110</v>
      </c>
      <c r="CZ17" s="19">
        <v>2699</v>
      </c>
      <c r="DA17" s="17">
        <v>4163</v>
      </c>
      <c r="DB17" s="18">
        <v>2656</v>
      </c>
      <c r="DC17" s="18">
        <v>3224</v>
      </c>
      <c r="DD17" s="18">
        <v>3440</v>
      </c>
      <c r="DE17" s="18">
        <v>5462</v>
      </c>
      <c r="DF17" s="18">
        <v>3614</v>
      </c>
      <c r="DG17" s="18">
        <v>4993</v>
      </c>
      <c r="DH17" s="18">
        <v>4323</v>
      </c>
      <c r="DI17" s="18">
        <v>3068</v>
      </c>
      <c r="DJ17" s="18">
        <v>3548</v>
      </c>
      <c r="DK17" s="18">
        <v>3612</v>
      </c>
      <c r="DL17" s="19">
        <v>2620</v>
      </c>
      <c r="DM17" s="17">
        <v>4150</v>
      </c>
      <c r="DN17" s="18">
        <v>2503</v>
      </c>
      <c r="DO17" s="127">
        <v>4091</v>
      </c>
      <c r="DP17" s="127">
        <v>2815</v>
      </c>
      <c r="DQ17" s="127">
        <v>3433</v>
      </c>
      <c r="DR17" s="127">
        <v>3793</v>
      </c>
      <c r="DS17" s="127">
        <v>3184</v>
      </c>
      <c r="DT17" s="127">
        <v>2619</v>
      </c>
      <c r="DU17" s="127">
        <v>3587</v>
      </c>
      <c r="DV17" s="127">
        <v>2972</v>
      </c>
      <c r="DW17" s="127">
        <v>3462</v>
      </c>
      <c r="DX17" s="128">
        <v>3112</v>
      </c>
      <c r="DY17" s="119">
        <v>3039</v>
      </c>
      <c r="DZ17" s="127">
        <v>2779</v>
      </c>
      <c r="EA17" s="127">
        <v>3920</v>
      </c>
      <c r="EB17" s="119">
        <v>2617</v>
      </c>
      <c r="EC17" s="127">
        <v>3229</v>
      </c>
      <c r="ED17" s="127">
        <v>3422</v>
      </c>
      <c r="EE17" s="127">
        <v>2957</v>
      </c>
      <c r="EF17" s="127">
        <v>2700</v>
      </c>
      <c r="EG17" s="127">
        <v>2785</v>
      </c>
      <c r="EH17" s="127">
        <v>1575</v>
      </c>
      <c r="EI17" s="127">
        <v>2344</v>
      </c>
      <c r="EJ17" s="128">
        <v>1396</v>
      </c>
      <c r="EK17" s="119">
        <v>1763</v>
      </c>
      <c r="EL17" s="127">
        <v>1669</v>
      </c>
      <c r="EM17" s="127">
        <v>1669</v>
      </c>
      <c r="EN17" s="119">
        <v>1411</v>
      </c>
      <c r="EO17" s="127">
        <v>1502</v>
      </c>
      <c r="EP17" s="127">
        <v>1143</v>
      </c>
      <c r="EQ17" s="127">
        <v>761</v>
      </c>
      <c r="ER17" s="127">
        <v>1318</v>
      </c>
      <c r="ES17" s="127">
        <v>1362</v>
      </c>
      <c r="ET17" s="127">
        <v>1441</v>
      </c>
      <c r="EU17" s="127">
        <v>1849</v>
      </c>
      <c r="EV17" s="128">
        <v>1393</v>
      </c>
      <c r="EW17" s="119">
        <v>1912</v>
      </c>
      <c r="EX17" s="109">
        <v>2436</v>
      </c>
      <c r="EY17" s="127">
        <v>1846</v>
      </c>
      <c r="EZ17" s="119">
        <v>1916</v>
      </c>
      <c r="FA17" s="18">
        <v>1844</v>
      </c>
      <c r="FB17" s="149">
        <v>2453</v>
      </c>
      <c r="FC17" s="18">
        <v>1946</v>
      </c>
      <c r="FD17" s="18">
        <v>1812</v>
      </c>
      <c r="FE17" s="149">
        <v>2031</v>
      </c>
      <c r="FF17" s="149">
        <v>2019</v>
      </c>
      <c r="FG17" s="149">
        <v>2661</v>
      </c>
      <c r="FH17" s="149">
        <v>1542</v>
      </c>
      <c r="FI17" s="119">
        <f>'Average Sunday-Holiday Boarding'!FI17*6</f>
        <v>2479</v>
      </c>
      <c r="FJ17" s="109">
        <f>'Average Sunday-Holiday Boarding'!FJ17*4</f>
        <v>1510</v>
      </c>
      <c r="FK17" s="127">
        <f>'Average Sunday-Holiday Boarding'!FK17*5</f>
        <v>2185</v>
      </c>
      <c r="FL17" s="119">
        <v>2307</v>
      </c>
      <c r="FM17" s="18">
        <v>1871</v>
      </c>
      <c r="FN17" s="149">
        <v>2003</v>
      </c>
      <c r="FO17" s="18">
        <v>2447</v>
      </c>
      <c r="FP17" s="18">
        <v>2020</v>
      </c>
      <c r="FQ17" s="149">
        <v>2140</v>
      </c>
      <c r="FR17" s="149">
        <v>2480</v>
      </c>
      <c r="FS17" s="149">
        <v>2591</v>
      </c>
      <c r="FT17" s="155">
        <v>2086</v>
      </c>
      <c r="FU17" s="169">
        <v>3006</v>
      </c>
      <c r="FV17" s="169">
        <v>2781</v>
      </c>
      <c r="FW17" s="169">
        <v>2351</v>
      </c>
      <c r="FX17" s="169">
        <v>2489</v>
      </c>
      <c r="FY17" s="169">
        <v>2194</v>
      </c>
      <c r="FZ17" s="169">
        <v>2706</v>
      </c>
      <c r="GA17" s="169">
        <v>2980</v>
      </c>
      <c r="GB17" s="18">
        <v>2324</v>
      </c>
      <c r="GC17" s="18">
        <v>2853</v>
      </c>
      <c r="GD17" s="18">
        <v>2508</v>
      </c>
      <c r="GE17" s="18">
        <v>2775</v>
      </c>
      <c r="GF17" s="52">
        <v>2699</v>
      </c>
      <c r="GG17" s="18">
        <v>2419</v>
      </c>
      <c r="GH17" s="18">
        <v>1996</v>
      </c>
      <c r="GI17" s="184">
        <v>3302</v>
      </c>
      <c r="GJ17" s="184">
        <v>2262</v>
      </c>
      <c r="GK17" s="184">
        <v>2336</v>
      </c>
      <c r="GL17" s="184">
        <v>2690</v>
      </c>
    </row>
    <row r="18" spans="1:194" x14ac:dyDescent="0.3">
      <c r="A18" s="3" t="s">
        <v>11</v>
      </c>
      <c r="B18" s="17"/>
      <c r="C18" s="18">
        <v>2017</v>
      </c>
      <c r="D18" s="18">
        <v>1913</v>
      </c>
      <c r="E18" s="18">
        <v>2815</v>
      </c>
      <c r="F18" s="18">
        <v>1258</v>
      </c>
      <c r="G18" s="18">
        <v>1602</v>
      </c>
      <c r="H18" s="19">
        <v>929</v>
      </c>
      <c r="I18" s="17">
        <v>1254</v>
      </c>
      <c r="J18" s="18">
        <v>999</v>
      </c>
      <c r="K18" s="18">
        <v>1100</v>
      </c>
      <c r="L18" s="18">
        <v>936</v>
      </c>
      <c r="M18" s="18">
        <v>2170</v>
      </c>
      <c r="N18" s="18">
        <v>974</v>
      </c>
      <c r="O18" s="127">
        <v>1740</v>
      </c>
      <c r="P18" s="127">
        <v>1864</v>
      </c>
      <c r="Q18" s="127">
        <v>2025</v>
      </c>
      <c r="R18" s="127">
        <v>1053</v>
      </c>
      <c r="S18" s="127">
        <v>1583</v>
      </c>
      <c r="T18" s="128">
        <v>798</v>
      </c>
      <c r="U18" s="129">
        <v>867</v>
      </c>
      <c r="V18" s="127">
        <v>803</v>
      </c>
      <c r="W18" s="127">
        <v>1082</v>
      </c>
      <c r="X18" s="127">
        <v>1168</v>
      </c>
      <c r="Y18" s="127">
        <v>2009</v>
      </c>
      <c r="Z18" s="127">
        <v>906</v>
      </c>
      <c r="AA18" s="18">
        <v>1315</v>
      </c>
      <c r="AB18" s="18">
        <v>1515</v>
      </c>
      <c r="AC18" s="18">
        <v>1782</v>
      </c>
      <c r="AD18" s="18">
        <v>981</v>
      </c>
      <c r="AE18" s="18">
        <v>1529</v>
      </c>
      <c r="AF18" s="19">
        <v>846</v>
      </c>
      <c r="AG18" s="17">
        <v>1770</v>
      </c>
      <c r="AH18" s="18">
        <v>858</v>
      </c>
      <c r="AI18" s="18">
        <v>1183</v>
      </c>
      <c r="AJ18" s="18">
        <v>1354</v>
      </c>
      <c r="AK18" s="18">
        <v>1750</v>
      </c>
      <c r="AL18" s="18">
        <v>1095</v>
      </c>
      <c r="AM18" s="18">
        <v>1832</v>
      </c>
      <c r="AN18" s="18">
        <v>1666</v>
      </c>
      <c r="AO18" s="18">
        <v>1701</v>
      </c>
      <c r="AP18" s="18">
        <v>1474</v>
      </c>
      <c r="AQ18" s="18">
        <v>1652</v>
      </c>
      <c r="AR18" s="19">
        <v>993</v>
      </c>
      <c r="AS18" s="17">
        <v>1990</v>
      </c>
      <c r="AT18" s="18">
        <v>912</v>
      </c>
      <c r="AU18" s="18">
        <v>1598</v>
      </c>
      <c r="AV18" s="18">
        <v>1287</v>
      </c>
      <c r="AW18" s="18">
        <v>1911</v>
      </c>
      <c r="AX18" s="18">
        <v>1599</v>
      </c>
      <c r="AY18" s="18">
        <v>1816</v>
      </c>
      <c r="AZ18" s="18">
        <v>1872</v>
      </c>
      <c r="BA18" s="18">
        <v>1980</v>
      </c>
      <c r="BB18" s="18">
        <v>1479</v>
      </c>
      <c r="BC18" s="18">
        <v>1906</v>
      </c>
      <c r="BD18" s="19">
        <v>1509</v>
      </c>
      <c r="BE18" s="17">
        <v>1705</v>
      </c>
      <c r="BF18" s="18">
        <v>1141</v>
      </c>
      <c r="BG18" s="18">
        <v>1582</v>
      </c>
      <c r="BH18" s="18">
        <v>1219</v>
      </c>
      <c r="BI18" s="18">
        <v>1941.250312049928</v>
      </c>
      <c r="BJ18" s="18">
        <v>1928</v>
      </c>
      <c r="BK18" s="18">
        <v>1868</v>
      </c>
      <c r="BL18" s="18">
        <v>2079</v>
      </c>
      <c r="BM18" s="18">
        <v>2056</v>
      </c>
      <c r="BN18" s="18">
        <v>1194</v>
      </c>
      <c r="BO18" s="18">
        <v>1349</v>
      </c>
      <c r="BP18" s="19">
        <v>1583</v>
      </c>
      <c r="BQ18" s="17">
        <v>1687</v>
      </c>
      <c r="BR18" s="18">
        <v>1386</v>
      </c>
      <c r="BS18" s="18">
        <v>1388</v>
      </c>
      <c r="BT18" s="18">
        <v>1191</v>
      </c>
      <c r="BU18" s="18">
        <v>2661</v>
      </c>
      <c r="BV18" s="18">
        <v>1655</v>
      </c>
      <c r="BW18" s="18">
        <v>2128</v>
      </c>
      <c r="BX18" s="18">
        <v>2147</v>
      </c>
      <c r="BY18" s="18">
        <v>2151</v>
      </c>
      <c r="BZ18" s="18">
        <v>1335</v>
      </c>
      <c r="CA18" s="18">
        <v>1996</v>
      </c>
      <c r="CB18" s="19">
        <v>1054</v>
      </c>
      <c r="CC18" s="20">
        <v>1627</v>
      </c>
      <c r="CD18" s="18">
        <v>1333</v>
      </c>
      <c r="CE18" s="18">
        <v>1592</v>
      </c>
      <c r="CF18" s="18">
        <v>1256</v>
      </c>
      <c r="CG18" s="18">
        <v>2791</v>
      </c>
      <c r="CH18" s="18">
        <v>1930</v>
      </c>
      <c r="CI18" s="18">
        <v>2466</v>
      </c>
      <c r="CJ18" s="18">
        <v>2128</v>
      </c>
      <c r="CK18" s="18">
        <v>1803</v>
      </c>
      <c r="CL18" s="18">
        <v>1594</v>
      </c>
      <c r="CM18" s="18">
        <v>1977</v>
      </c>
      <c r="CN18" s="21">
        <v>1376</v>
      </c>
      <c r="CO18" s="17">
        <v>2111</v>
      </c>
      <c r="CP18" s="18">
        <v>1332</v>
      </c>
      <c r="CQ18" s="18">
        <v>2072</v>
      </c>
      <c r="CR18" s="18">
        <v>1987</v>
      </c>
      <c r="CS18" s="18">
        <v>3073</v>
      </c>
      <c r="CT18" s="18">
        <v>2337</v>
      </c>
      <c r="CU18" s="18">
        <v>2490</v>
      </c>
      <c r="CV18" s="18">
        <v>2037</v>
      </c>
      <c r="CW18" s="18">
        <v>1842</v>
      </c>
      <c r="CX18" s="18">
        <v>2451</v>
      </c>
      <c r="CY18" s="18">
        <v>1691</v>
      </c>
      <c r="CZ18" s="19">
        <v>1237</v>
      </c>
      <c r="DA18" s="17">
        <v>1708</v>
      </c>
      <c r="DB18" s="18">
        <v>1290</v>
      </c>
      <c r="DC18" s="18">
        <v>1223</v>
      </c>
      <c r="DD18" s="18">
        <v>1430</v>
      </c>
      <c r="DE18" s="18">
        <v>2199</v>
      </c>
      <c r="DF18" s="18">
        <v>1442</v>
      </c>
      <c r="DG18" s="18">
        <v>1674</v>
      </c>
      <c r="DH18" s="18">
        <v>1683</v>
      </c>
      <c r="DI18" s="18">
        <v>1563</v>
      </c>
      <c r="DJ18" s="18">
        <v>1371</v>
      </c>
      <c r="DK18" s="18">
        <v>1547</v>
      </c>
      <c r="DL18" s="19">
        <v>1132</v>
      </c>
      <c r="DM18" s="17">
        <v>1605</v>
      </c>
      <c r="DN18" s="18">
        <v>977</v>
      </c>
      <c r="DO18" s="127">
        <v>1627</v>
      </c>
      <c r="DP18" s="127">
        <v>1132</v>
      </c>
      <c r="DQ18" s="127">
        <v>1411</v>
      </c>
      <c r="DR18" s="127">
        <v>1613</v>
      </c>
      <c r="DS18" s="127">
        <v>1306</v>
      </c>
      <c r="DT18" s="127">
        <v>1257</v>
      </c>
      <c r="DU18" s="127">
        <v>1974</v>
      </c>
      <c r="DV18" s="127">
        <v>322</v>
      </c>
      <c r="DW18" s="127">
        <v>1415</v>
      </c>
      <c r="DX18" s="128">
        <v>1094</v>
      </c>
      <c r="DY18" s="119">
        <v>1103</v>
      </c>
      <c r="DZ18" s="127">
        <v>892</v>
      </c>
      <c r="EA18" s="127">
        <v>1441</v>
      </c>
      <c r="EB18" s="119">
        <v>1019</v>
      </c>
      <c r="EC18" s="127">
        <v>1509</v>
      </c>
      <c r="ED18" s="127">
        <v>1381</v>
      </c>
      <c r="EE18" s="127">
        <v>1224</v>
      </c>
      <c r="EF18" s="127">
        <v>1370</v>
      </c>
      <c r="EG18" s="127">
        <v>1390</v>
      </c>
      <c r="EH18" s="127">
        <v>597</v>
      </c>
      <c r="EI18" s="127">
        <v>738</v>
      </c>
      <c r="EJ18" s="128">
        <v>549</v>
      </c>
      <c r="EK18" s="119">
        <v>631</v>
      </c>
      <c r="EL18" s="127">
        <v>611</v>
      </c>
      <c r="EM18" s="127">
        <v>694</v>
      </c>
      <c r="EN18" s="119">
        <v>563</v>
      </c>
      <c r="EO18" s="127">
        <v>576</v>
      </c>
      <c r="EP18" s="127">
        <v>466</v>
      </c>
      <c r="EQ18" s="127">
        <v>317</v>
      </c>
      <c r="ER18" s="127">
        <v>572</v>
      </c>
      <c r="ES18" s="127">
        <v>606</v>
      </c>
      <c r="ET18" s="127">
        <v>616</v>
      </c>
      <c r="EU18" s="127">
        <v>762</v>
      </c>
      <c r="EV18" s="128">
        <v>670</v>
      </c>
      <c r="EW18" s="119">
        <v>690</v>
      </c>
      <c r="EX18" s="109">
        <v>907</v>
      </c>
      <c r="EY18" s="127">
        <v>668</v>
      </c>
      <c r="EZ18" s="119">
        <v>674</v>
      </c>
      <c r="FA18" s="18">
        <v>748</v>
      </c>
      <c r="FB18" s="149">
        <v>885</v>
      </c>
      <c r="FC18" s="18">
        <v>715</v>
      </c>
      <c r="FD18" s="18">
        <v>688</v>
      </c>
      <c r="FE18" s="149">
        <v>1104</v>
      </c>
      <c r="FF18" s="149">
        <v>720</v>
      </c>
      <c r="FG18" s="149">
        <v>1003</v>
      </c>
      <c r="FH18" s="149">
        <v>589</v>
      </c>
      <c r="FI18" s="119">
        <f>'Average Sunday-Holiday Boarding'!FI18*6</f>
        <v>746</v>
      </c>
      <c r="FJ18" s="109">
        <f>'Average Sunday-Holiday Boarding'!FJ18*4</f>
        <v>529</v>
      </c>
      <c r="FK18" s="127">
        <f>'Average Sunday-Holiday Boarding'!FK18*5</f>
        <v>751</v>
      </c>
      <c r="FL18" s="119">
        <v>833</v>
      </c>
      <c r="FM18" s="18">
        <v>627</v>
      </c>
      <c r="FN18" s="149">
        <v>841</v>
      </c>
      <c r="FO18" s="18">
        <v>990</v>
      </c>
      <c r="FP18" s="18">
        <v>927</v>
      </c>
      <c r="FQ18" s="149">
        <v>1070</v>
      </c>
      <c r="FR18" s="149">
        <v>945</v>
      </c>
      <c r="FS18" s="149">
        <v>931</v>
      </c>
      <c r="FT18" s="155">
        <v>752</v>
      </c>
      <c r="FU18" s="169">
        <v>1016</v>
      </c>
      <c r="FV18" s="169">
        <v>1031</v>
      </c>
      <c r="FW18" s="169">
        <v>854</v>
      </c>
      <c r="FX18" s="169">
        <v>959</v>
      </c>
      <c r="FY18" s="169">
        <v>799</v>
      </c>
      <c r="FZ18" s="169">
        <v>995</v>
      </c>
      <c r="GA18" s="169">
        <v>988</v>
      </c>
      <c r="GB18" s="18">
        <v>1105</v>
      </c>
      <c r="GC18" s="18">
        <v>1261</v>
      </c>
      <c r="GD18" s="18">
        <v>981</v>
      </c>
      <c r="GE18" s="18">
        <v>1066</v>
      </c>
      <c r="GF18" s="52">
        <v>1060</v>
      </c>
      <c r="GG18" s="18">
        <v>860</v>
      </c>
      <c r="GH18" s="18">
        <v>678</v>
      </c>
      <c r="GI18" s="184">
        <v>1245</v>
      </c>
      <c r="GJ18" s="184">
        <v>863</v>
      </c>
      <c r="GK18" s="184">
        <v>932</v>
      </c>
      <c r="GL18" s="184">
        <v>1068</v>
      </c>
    </row>
    <row r="19" spans="1:194" x14ac:dyDescent="0.3">
      <c r="A19" s="3" t="s">
        <v>12</v>
      </c>
      <c r="B19" s="17"/>
      <c r="C19" s="18">
        <v>4554</v>
      </c>
      <c r="D19" s="18">
        <v>4165</v>
      </c>
      <c r="E19" s="18">
        <v>4905</v>
      </c>
      <c r="F19" s="18">
        <v>3724</v>
      </c>
      <c r="G19" s="18">
        <v>4820</v>
      </c>
      <c r="H19" s="19">
        <v>2971</v>
      </c>
      <c r="I19" s="17">
        <v>4019</v>
      </c>
      <c r="J19" s="18">
        <v>3591</v>
      </c>
      <c r="K19" s="18">
        <v>3795</v>
      </c>
      <c r="L19" s="18">
        <v>3384</v>
      </c>
      <c r="M19" s="18">
        <v>7247</v>
      </c>
      <c r="N19" s="18">
        <v>3144</v>
      </c>
      <c r="O19" s="127">
        <v>6164</v>
      </c>
      <c r="P19" s="127">
        <v>4664</v>
      </c>
      <c r="Q19" s="127">
        <v>4523</v>
      </c>
      <c r="R19" s="127">
        <v>3343</v>
      </c>
      <c r="S19" s="127">
        <v>5561</v>
      </c>
      <c r="T19" s="128">
        <v>3247</v>
      </c>
      <c r="U19" s="129">
        <v>2997</v>
      </c>
      <c r="V19" s="127">
        <v>3823</v>
      </c>
      <c r="W19" s="127">
        <v>4323</v>
      </c>
      <c r="X19" s="127">
        <v>3998</v>
      </c>
      <c r="Y19" s="127">
        <v>6324</v>
      </c>
      <c r="Z19" s="127">
        <v>3058</v>
      </c>
      <c r="AA19" s="18">
        <v>4626</v>
      </c>
      <c r="AB19" s="18">
        <v>4716</v>
      </c>
      <c r="AC19" s="18">
        <v>3711</v>
      </c>
      <c r="AD19" s="18">
        <v>3298</v>
      </c>
      <c r="AE19" s="18">
        <v>4436</v>
      </c>
      <c r="AF19" s="19">
        <v>2893</v>
      </c>
      <c r="AG19" s="17">
        <v>4750</v>
      </c>
      <c r="AH19" s="18">
        <v>3164</v>
      </c>
      <c r="AI19" s="18">
        <v>3751</v>
      </c>
      <c r="AJ19" s="18">
        <v>4505</v>
      </c>
      <c r="AK19" s="18">
        <v>5471</v>
      </c>
      <c r="AL19" s="18">
        <v>3640</v>
      </c>
      <c r="AM19" s="18">
        <v>5823</v>
      </c>
      <c r="AN19" s="18">
        <v>4081</v>
      </c>
      <c r="AO19" s="18">
        <v>3461</v>
      </c>
      <c r="AP19" s="18">
        <v>4294</v>
      </c>
      <c r="AQ19" s="18">
        <v>4068</v>
      </c>
      <c r="AR19" s="19">
        <v>3266</v>
      </c>
      <c r="AS19" s="17">
        <v>5104</v>
      </c>
      <c r="AT19" s="18">
        <v>3425</v>
      </c>
      <c r="AU19" s="18">
        <v>5251</v>
      </c>
      <c r="AV19" s="18">
        <v>4298</v>
      </c>
      <c r="AW19" s="18">
        <v>5484</v>
      </c>
      <c r="AX19" s="18">
        <v>5010</v>
      </c>
      <c r="AY19" s="18">
        <v>5534</v>
      </c>
      <c r="AZ19" s="18">
        <v>4928</v>
      </c>
      <c r="BA19" s="18">
        <v>5025</v>
      </c>
      <c r="BB19" s="18">
        <v>4027</v>
      </c>
      <c r="BC19" s="18">
        <v>4404</v>
      </c>
      <c r="BD19" s="19">
        <v>4351</v>
      </c>
      <c r="BE19" s="17">
        <v>4229</v>
      </c>
      <c r="BF19" s="18">
        <v>3461</v>
      </c>
      <c r="BG19" s="18">
        <v>5020</v>
      </c>
      <c r="BH19" s="18">
        <v>4011</v>
      </c>
      <c r="BI19" s="18">
        <v>5414.8861257801245</v>
      </c>
      <c r="BJ19" s="18">
        <v>5980</v>
      </c>
      <c r="BK19" s="18">
        <v>5889</v>
      </c>
      <c r="BL19" s="18">
        <v>5326</v>
      </c>
      <c r="BM19" s="18">
        <v>5289</v>
      </c>
      <c r="BN19" s="18">
        <v>3737</v>
      </c>
      <c r="BO19" s="18">
        <v>4422</v>
      </c>
      <c r="BP19" s="19">
        <v>4745</v>
      </c>
      <c r="BQ19" s="17">
        <v>4443</v>
      </c>
      <c r="BR19" s="18">
        <v>4772</v>
      </c>
      <c r="BS19" s="18">
        <v>4688</v>
      </c>
      <c r="BT19" s="18">
        <v>4394</v>
      </c>
      <c r="BU19" s="18">
        <v>7931</v>
      </c>
      <c r="BV19" s="18">
        <v>5260</v>
      </c>
      <c r="BW19" s="18">
        <v>6018</v>
      </c>
      <c r="BX19" s="18">
        <v>5440</v>
      </c>
      <c r="BY19" s="18">
        <v>5486</v>
      </c>
      <c r="BZ19" s="18">
        <v>3637</v>
      </c>
      <c r="CA19" s="18">
        <v>5709</v>
      </c>
      <c r="CB19" s="19">
        <v>3728</v>
      </c>
      <c r="CC19" s="20">
        <v>5195</v>
      </c>
      <c r="CD19" s="18">
        <v>4647</v>
      </c>
      <c r="CE19" s="18">
        <v>4674</v>
      </c>
      <c r="CF19" s="18">
        <v>4305</v>
      </c>
      <c r="CG19" s="18">
        <v>8464</v>
      </c>
      <c r="CH19" s="18">
        <v>5293</v>
      </c>
      <c r="CI19" s="18">
        <v>7381</v>
      </c>
      <c r="CJ19" s="18">
        <v>5515</v>
      </c>
      <c r="CK19" s="18">
        <v>4655</v>
      </c>
      <c r="CL19" s="18">
        <v>4664</v>
      </c>
      <c r="CM19" s="18">
        <v>5944</v>
      </c>
      <c r="CN19" s="21">
        <v>4123</v>
      </c>
      <c r="CO19" s="17">
        <v>5717</v>
      </c>
      <c r="CP19" s="18">
        <v>4311</v>
      </c>
      <c r="CQ19" s="18">
        <v>4835</v>
      </c>
      <c r="CR19" s="18">
        <v>5158</v>
      </c>
      <c r="CS19" s="18">
        <v>8280</v>
      </c>
      <c r="CT19" s="18">
        <v>6851</v>
      </c>
      <c r="CU19" s="18">
        <v>7305</v>
      </c>
      <c r="CV19" s="18">
        <v>5204</v>
      </c>
      <c r="CW19" s="18">
        <v>4510</v>
      </c>
      <c r="CX19" s="18">
        <v>8966</v>
      </c>
      <c r="CY19" s="18">
        <v>5083</v>
      </c>
      <c r="CZ19" s="19">
        <v>4267</v>
      </c>
      <c r="DA19" s="17">
        <v>5986</v>
      </c>
      <c r="DB19" s="18">
        <v>2876</v>
      </c>
      <c r="DC19" s="18">
        <v>3718</v>
      </c>
      <c r="DD19" s="18">
        <v>4023</v>
      </c>
      <c r="DE19" s="18">
        <v>5421</v>
      </c>
      <c r="DF19" s="18">
        <v>4096</v>
      </c>
      <c r="DG19" s="18">
        <v>4796</v>
      </c>
      <c r="DH19" s="18">
        <v>4001</v>
      </c>
      <c r="DI19" s="18">
        <v>3084</v>
      </c>
      <c r="DJ19" s="18">
        <v>3607</v>
      </c>
      <c r="DK19" s="18">
        <v>3346</v>
      </c>
      <c r="DL19" s="19">
        <v>2992</v>
      </c>
      <c r="DM19" s="17">
        <v>5039</v>
      </c>
      <c r="DN19" s="18">
        <v>3757</v>
      </c>
      <c r="DO19" s="127">
        <v>5307</v>
      </c>
      <c r="DP19" s="127">
        <v>4041</v>
      </c>
      <c r="DQ19" s="127">
        <v>4158</v>
      </c>
      <c r="DR19" s="127">
        <v>4784</v>
      </c>
      <c r="DS19" s="127">
        <v>4434</v>
      </c>
      <c r="DT19" s="127">
        <v>3648</v>
      </c>
      <c r="DU19" s="127">
        <v>4739</v>
      </c>
      <c r="DV19" s="127">
        <v>3805</v>
      </c>
      <c r="DW19" s="127">
        <v>4059</v>
      </c>
      <c r="DX19" s="128">
        <v>4273</v>
      </c>
      <c r="DY19" s="119">
        <v>3980</v>
      </c>
      <c r="DZ19" s="127">
        <v>3377</v>
      </c>
      <c r="EA19" s="127">
        <v>5261</v>
      </c>
      <c r="EB19" s="119">
        <v>3804</v>
      </c>
      <c r="EC19" s="127">
        <v>4178</v>
      </c>
      <c r="ED19" s="127">
        <v>4718</v>
      </c>
      <c r="EE19" s="127">
        <v>4054</v>
      </c>
      <c r="EF19" s="127">
        <v>3556</v>
      </c>
      <c r="EG19" s="127">
        <v>3338</v>
      </c>
      <c r="EH19" s="127">
        <v>1581</v>
      </c>
      <c r="EI19" s="127">
        <v>2402</v>
      </c>
      <c r="EJ19" s="128">
        <v>1395</v>
      </c>
      <c r="EK19" s="119">
        <v>1535</v>
      </c>
      <c r="EL19" s="127">
        <v>1676</v>
      </c>
      <c r="EM19" s="127">
        <v>1697</v>
      </c>
      <c r="EN19" s="119">
        <v>1363</v>
      </c>
      <c r="EO19" s="127">
        <v>1602</v>
      </c>
      <c r="EP19" s="127">
        <v>1091</v>
      </c>
      <c r="EQ19" s="127">
        <v>710</v>
      </c>
      <c r="ER19" s="127">
        <v>1491</v>
      </c>
      <c r="ES19" s="127">
        <v>1493</v>
      </c>
      <c r="ET19" s="127">
        <v>1475</v>
      </c>
      <c r="EU19" s="127">
        <v>1878</v>
      </c>
      <c r="EV19" s="128">
        <v>1606</v>
      </c>
      <c r="EW19" s="119">
        <v>1991</v>
      </c>
      <c r="EX19" s="109">
        <v>2840</v>
      </c>
      <c r="EY19" s="127">
        <v>2084</v>
      </c>
      <c r="EZ19" s="119">
        <v>2381</v>
      </c>
      <c r="FA19" s="18">
        <v>2358</v>
      </c>
      <c r="FB19" s="149">
        <v>2810</v>
      </c>
      <c r="FC19" s="18">
        <v>2216</v>
      </c>
      <c r="FD19" s="18">
        <v>2157</v>
      </c>
      <c r="FE19" s="149">
        <v>2284</v>
      </c>
      <c r="FF19" s="149">
        <v>2331</v>
      </c>
      <c r="FG19" s="149">
        <v>3161</v>
      </c>
      <c r="FH19" s="149">
        <v>1995</v>
      </c>
      <c r="FI19" s="119">
        <f>'Average Sunday-Holiday Boarding'!FI19*6</f>
        <v>2744</v>
      </c>
      <c r="FJ19" s="109">
        <f>'Average Sunday-Holiday Boarding'!FJ19*4</f>
        <v>2003</v>
      </c>
      <c r="FK19" s="127">
        <f>'Average Sunday-Holiday Boarding'!FK19*5</f>
        <v>2507</v>
      </c>
      <c r="FL19" s="119">
        <v>2974</v>
      </c>
      <c r="FM19" s="18">
        <v>2294</v>
      </c>
      <c r="FN19" s="149">
        <v>2327</v>
      </c>
      <c r="FO19" s="18">
        <v>2838</v>
      </c>
      <c r="FP19" s="18">
        <v>2531</v>
      </c>
      <c r="FQ19" s="149">
        <v>2407</v>
      </c>
      <c r="FR19" s="149">
        <v>2947</v>
      </c>
      <c r="FS19" s="149">
        <v>2948</v>
      </c>
      <c r="FT19" s="155">
        <v>2346</v>
      </c>
      <c r="FU19" s="169">
        <v>3591</v>
      </c>
      <c r="FV19" s="169">
        <v>3467</v>
      </c>
      <c r="FW19" s="169">
        <v>2811</v>
      </c>
      <c r="FX19" s="169">
        <v>2914</v>
      </c>
      <c r="FY19" s="169">
        <v>2644</v>
      </c>
      <c r="FZ19" s="169">
        <v>3253</v>
      </c>
      <c r="GA19" s="169">
        <v>3295</v>
      </c>
      <c r="GB19" s="18">
        <v>2716</v>
      </c>
      <c r="GC19" s="18">
        <v>3214</v>
      </c>
      <c r="GD19" s="18">
        <v>4046</v>
      </c>
      <c r="GE19" s="18">
        <v>3465</v>
      </c>
      <c r="GF19" s="52">
        <v>4026</v>
      </c>
      <c r="GG19" s="18">
        <v>3360</v>
      </c>
      <c r="GH19" s="18">
        <v>3012</v>
      </c>
      <c r="GI19" s="184">
        <v>4379</v>
      </c>
      <c r="GJ19" s="184">
        <v>2846</v>
      </c>
      <c r="GK19" s="184">
        <v>2614</v>
      </c>
      <c r="GL19" s="184">
        <v>3036</v>
      </c>
    </row>
    <row r="20" spans="1:194" x14ac:dyDescent="0.3">
      <c r="A20" s="3" t="s">
        <v>13</v>
      </c>
      <c r="B20" s="17"/>
      <c r="C20" s="18">
        <v>2369</v>
      </c>
      <c r="D20" s="18">
        <v>2338</v>
      </c>
      <c r="E20" s="18">
        <v>2455</v>
      </c>
      <c r="F20" s="18">
        <v>1975</v>
      </c>
      <c r="G20" s="18">
        <v>2564</v>
      </c>
      <c r="H20" s="19">
        <v>1439</v>
      </c>
      <c r="I20" s="17">
        <v>2369</v>
      </c>
      <c r="J20" s="18">
        <v>1931</v>
      </c>
      <c r="K20" s="18">
        <v>2090</v>
      </c>
      <c r="L20" s="18">
        <v>1725</v>
      </c>
      <c r="M20" s="18">
        <v>3870</v>
      </c>
      <c r="N20" s="18">
        <v>1887</v>
      </c>
      <c r="O20" s="127">
        <v>3786</v>
      </c>
      <c r="P20" s="127">
        <v>2243</v>
      </c>
      <c r="Q20" s="127">
        <v>2237</v>
      </c>
      <c r="R20" s="127">
        <v>1965</v>
      </c>
      <c r="S20" s="127">
        <v>3012</v>
      </c>
      <c r="T20" s="128">
        <v>1677</v>
      </c>
      <c r="U20" s="129">
        <v>1755</v>
      </c>
      <c r="V20" s="127">
        <v>1983</v>
      </c>
      <c r="W20" s="127">
        <v>2198</v>
      </c>
      <c r="X20" s="127">
        <v>2269</v>
      </c>
      <c r="Y20" s="127">
        <v>3734</v>
      </c>
      <c r="Z20" s="127">
        <v>2055</v>
      </c>
      <c r="AA20" s="18">
        <v>2735</v>
      </c>
      <c r="AB20" s="18">
        <v>2376</v>
      </c>
      <c r="AC20" s="18">
        <v>2162</v>
      </c>
      <c r="AD20" s="18">
        <v>2130</v>
      </c>
      <c r="AE20" s="18">
        <v>2825</v>
      </c>
      <c r="AF20" s="19">
        <v>2013</v>
      </c>
      <c r="AG20" s="17">
        <v>3060</v>
      </c>
      <c r="AH20" s="18">
        <v>1721</v>
      </c>
      <c r="AI20" s="18">
        <v>2236</v>
      </c>
      <c r="AJ20" s="18">
        <v>2544</v>
      </c>
      <c r="AK20" s="18">
        <v>3139</v>
      </c>
      <c r="AL20" s="18">
        <v>2010</v>
      </c>
      <c r="AM20" s="18">
        <v>3443</v>
      </c>
      <c r="AN20" s="18">
        <v>2358</v>
      </c>
      <c r="AO20" s="18">
        <v>2177</v>
      </c>
      <c r="AP20" s="18">
        <v>2729</v>
      </c>
      <c r="AQ20" s="18">
        <v>2331</v>
      </c>
      <c r="AR20" s="19">
        <v>1878</v>
      </c>
      <c r="AS20" s="17">
        <v>2840</v>
      </c>
      <c r="AT20" s="18">
        <v>1937</v>
      </c>
      <c r="AU20" s="18">
        <v>2934</v>
      </c>
      <c r="AV20" s="18">
        <v>2520</v>
      </c>
      <c r="AW20" s="18">
        <v>3244</v>
      </c>
      <c r="AX20" s="18">
        <v>2983</v>
      </c>
      <c r="AY20" s="18">
        <v>3362</v>
      </c>
      <c r="AZ20" s="18">
        <v>2863</v>
      </c>
      <c r="BA20" s="18">
        <v>3311</v>
      </c>
      <c r="BB20" s="18">
        <v>2392</v>
      </c>
      <c r="BC20" s="18">
        <v>2980</v>
      </c>
      <c r="BD20" s="19">
        <v>2502</v>
      </c>
      <c r="BE20" s="17">
        <v>2450</v>
      </c>
      <c r="BF20" s="18">
        <v>2059</v>
      </c>
      <c r="BG20" s="18">
        <v>3198</v>
      </c>
      <c r="BH20" s="18">
        <v>2386</v>
      </c>
      <c r="BI20" s="18">
        <v>3419.010273643783</v>
      </c>
      <c r="BJ20" s="18">
        <v>3762</v>
      </c>
      <c r="BK20" s="18">
        <v>4240</v>
      </c>
      <c r="BL20" s="18">
        <v>3248</v>
      </c>
      <c r="BM20" s="18">
        <v>3625</v>
      </c>
      <c r="BN20" s="18">
        <v>2331</v>
      </c>
      <c r="BO20" s="18">
        <v>2931</v>
      </c>
      <c r="BP20" s="19">
        <v>2822</v>
      </c>
      <c r="BQ20" s="17">
        <v>3198</v>
      </c>
      <c r="BR20" s="18">
        <v>3004</v>
      </c>
      <c r="BS20" s="18">
        <v>2950</v>
      </c>
      <c r="BT20" s="18">
        <v>2382</v>
      </c>
      <c r="BU20" s="18">
        <v>4814</v>
      </c>
      <c r="BV20" s="18">
        <v>3171</v>
      </c>
      <c r="BW20" s="18">
        <v>4336</v>
      </c>
      <c r="BX20" s="18">
        <v>4007</v>
      </c>
      <c r="BY20" s="18">
        <v>3593</v>
      </c>
      <c r="BZ20" s="18">
        <v>2872</v>
      </c>
      <c r="CA20" s="18">
        <v>3966</v>
      </c>
      <c r="CB20" s="19">
        <v>2378</v>
      </c>
      <c r="CC20" s="20">
        <v>3685</v>
      </c>
      <c r="CD20" s="18">
        <v>2960</v>
      </c>
      <c r="CE20" s="18">
        <v>3362</v>
      </c>
      <c r="CF20" s="18">
        <v>2670</v>
      </c>
      <c r="CG20" s="18">
        <v>5435</v>
      </c>
      <c r="CH20" s="18">
        <v>3565</v>
      </c>
      <c r="CI20" s="18">
        <v>5412</v>
      </c>
      <c r="CJ20" s="18">
        <v>3540</v>
      </c>
      <c r="CK20" s="18">
        <v>3144</v>
      </c>
      <c r="CL20" s="18">
        <v>3557</v>
      </c>
      <c r="CM20" s="18">
        <v>3805</v>
      </c>
      <c r="CN20" s="21">
        <v>2332</v>
      </c>
      <c r="CO20" s="17">
        <v>3732</v>
      </c>
      <c r="CP20" s="18">
        <v>2553</v>
      </c>
      <c r="CQ20" s="18">
        <v>2938</v>
      </c>
      <c r="CR20" s="18">
        <v>3231</v>
      </c>
      <c r="CS20" s="18">
        <v>5395</v>
      </c>
      <c r="CT20" s="18">
        <v>4456</v>
      </c>
      <c r="CU20" s="18">
        <v>5018</v>
      </c>
      <c r="CV20" s="18">
        <v>3443</v>
      </c>
      <c r="CW20" s="18">
        <v>2957</v>
      </c>
      <c r="CX20" s="18">
        <v>9467</v>
      </c>
      <c r="CY20" s="18">
        <v>3547</v>
      </c>
      <c r="CZ20" s="19">
        <v>2424</v>
      </c>
      <c r="DA20" s="17">
        <v>3723</v>
      </c>
      <c r="DB20" s="18">
        <v>2663</v>
      </c>
      <c r="DC20" s="18">
        <v>3188</v>
      </c>
      <c r="DD20" s="18">
        <v>3528</v>
      </c>
      <c r="DE20" s="18">
        <v>4919</v>
      </c>
      <c r="DF20" s="18">
        <v>3622</v>
      </c>
      <c r="DG20" s="18">
        <v>4530</v>
      </c>
      <c r="DH20" s="18">
        <v>3395</v>
      </c>
      <c r="DI20" s="18">
        <v>2966</v>
      </c>
      <c r="DJ20" s="18">
        <v>3333</v>
      </c>
      <c r="DK20" s="18">
        <v>3057</v>
      </c>
      <c r="DL20" s="19">
        <v>2438</v>
      </c>
      <c r="DM20" s="17">
        <v>3735</v>
      </c>
      <c r="DN20" s="18">
        <v>2471</v>
      </c>
      <c r="DO20" s="127">
        <v>3493</v>
      </c>
      <c r="DP20" s="127">
        <v>2521</v>
      </c>
      <c r="DQ20" s="127">
        <v>2980</v>
      </c>
      <c r="DR20" s="127">
        <v>3243</v>
      </c>
      <c r="DS20" s="127">
        <v>3116</v>
      </c>
      <c r="DT20" s="127">
        <v>2611</v>
      </c>
      <c r="DU20" s="127">
        <v>3606</v>
      </c>
      <c r="DV20" s="127">
        <v>2540</v>
      </c>
      <c r="DW20" s="127">
        <v>2991</v>
      </c>
      <c r="DX20" s="128">
        <v>2791</v>
      </c>
      <c r="DY20" s="119">
        <v>2663</v>
      </c>
      <c r="DZ20" s="127">
        <v>2152</v>
      </c>
      <c r="EA20" s="127">
        <v>3324</v>
      </c>
      <c r="EB20" s="119">
        <v>2443</v>
      </c>
      <c r="EC20" s="127">
        <v>2925</v>
      </c>
      <c r="ED20" s="127">
        <v>3067</v>
      </c>
      <c r="EE20" s="127">
        <v>3222</v>
      </c>
      <c r="EF20" s="127">
        <v>2647</v>
      </c>
      <c r="EG20" s="127">
        <v>3005</v>
      </c>
      <c r="EH20" s="127">
        <v>1147</v>
      </c>
      <c r="EI20" s="127">
        <v>1525</v>
      </c>
      <c r="EJ20" s="128">
        <v>1060</v>
      </c>
      <c r="EK20" s="119">
        <v>1202</v>
      </c>
      <c r="EL20" s="127">
        <v>1334</v>
      </c>
      <c r="EM20" s="127">
        <v>1432</v>
      </c>
      <c r="EN20" s="119">
        <v>1163</v>
      </c>
      <c r="EO20" s="127">
        <v>1285</v>
      </c>
      <c r="EP20" s="127">
        <v>990</v>
      </c>
      <c r="EQ20" s="127">
        <v>640</v>
      </c>
      <c r="ER20" s="127">
        <v>1128</v>
      </c>
      <c r="ES20" s="127">
        <v>1597</v>
      </c>
      <c r="ET20" s="127">
        <v>1303</v>
      </c>
      <c r="EU20" s="127">
        <v>1725</v>
      </c>
      <c r="EV20" s="128">
        <v>1297</v>
      </c>
      <c r="EW20" s="119">
        <v>1645</v>
      </c>
      <c r="EX20" s="109">
        <v>2012</v>
      </c>
      <c r="EY20" s="127">
        <v>1717</v>
      </c>
      <c r="EZ20" s="119">
        <v>1727</v>
      </c>
      <c r="FA20" s="18">
        <v>1732</v>
      </c>
      <c r="FB20" s="149">
        <v>2103</v>
      </c>
      <c r="FC20" s="18">
        <v>1671</v>
      </c>
      <c r="FD20" s="18">
        <v>1738</v>
      </c>
      <c r="FE20" s="149">
        <v>1993</v>
      </c>
      <c r="FF20" s="149">
        <v>2354</v>
      </c>
      <c r="FG20" s="149">
        <v>3421</v>
      </c>
      <c r="FH20" s="149">
        <v>1597</v>
      </c>
      <c r="FI20" s="119">
        <f>'Average Sunday-Holiday Boarding'!FI20*6</f>
        <v>2138</v>
      </c>
      <c r="FJ20" s="109">
        <f>'Average Sunday-Holiday Boarding'!FJ20*4</f>
        <v>1350</v>
      </c>
      <c r="FK20" s="127">
        <f>'Average Sunday-Holiday Boarding'!FK20*5</f>
        <v>2011</v>
      </c>
      <c r="FL20" s="119">
        <v>2247</v>
      </c>
      <c r="FM20" s="18">
        <v>1802</v>
      </c>
      <c r="FN20" s="149">
        <v>2183</v>
      </c>
      <c r="FO20" s="18">
        <v>2285</v>
      </c>
      <c r="FP20" s="18">
        <v>2970</v>
      </c>
      <c r="FQ20" s="149">
        <v>2036</v>
      </c>
      <c r="FR20" s="149">
        <v>2475</v>
      </c>
      <c r="FS20" s="149">
        <v>2487</v>
      </c>
      <c r="FT20" s="155">
        <v>1864</v>
      </c>
      <c r="FU20" s="169">
        <v>2581</v>
      </c>
      <c r="FV20" s="169">
        <v>2918</v>
      </c>
      <c r="FW20" s="169">
        <v>2242</v>
      </c>
      <c r="FX20" s="169">
        <v>2420</v>
      </c>
      <c r="FY20" s="169">
        <v>2340</v>
      </c>
      <c r="FZ20" s="169">
        <v>2754</v>
      </c>
      <c r="GA20" s="169">
        <v>2711</v>
      </c>
      <c r="GB20" s="18">
        <v>2310</v>
      </c>
      <c r="GC20" s="18">
        <v>2826</v>
      </c>
      <c r="GD20" s="18">
        <v>3837</v>
      </c>
      <c r="GE20" s="18">
        <v>2630</v>
      </c>
      <c r="GF20" s="52">
        <v>2632</v>
      </c>
      <c r="GG20" s="18">
        <v>2227</v>
      </c>
      <c r="GH20" s="18">
        <v>1909</v>
      </c>
      <c r="GI20" s="184">
        <v>3179</v>
      </c>
      <c r="GJ20" s="184">
        <v>2085</v>
      </c>
      <c r="GK20" s="184">
        <v>2363</v>
      </c>
      <c r="GL20" s="184">
        <v>2572</v>
      </c>
    </row>
    <row r="21" spans="1:194" x14ac:dyDescent="0.3">
      <c r="A21" s="3" t="s">
        <v>34</v>
      </c>
      <c r="B21" s="17"/>
      <c r="C21" s="18">
        <v>3573</v>
      </c>
      <c r="D21" s="18">
        <v>3768</v>
      </c>
      <c r="E21" s="18">
        <v>3516</v>
      </c>
      <c r="F21" s="18">
        <v>3042</v>
      </c>
      <c r="G21" s="18">
        <v>4327</v>
      </c>
      <c r="H21" s="19">
        <v>2455</v>
      </c>
      <c r="I21" s="17">
        <v>3724</v>
      </c>
      <c r="J21" s="18">
        <v>3104</v>
      </c>
      <c r="K21" s="18">
        <v>3478</v>
      </c>
      <c r="L21" s="18">
        <v>2865</v>
      </c>
      <c r="M21" s="18">
        <v>6930</v>
      </c>
      <c r="N21" s="18">
        <v>3155</v>
      </c>
      <c r="O21" s="127">
        <v>5142</v>
      </c>
      <c r="P21" s="127">
        <v>4147</v>
      </c>
      <c r="Q21" s="127">
        <v>3525</v>
      </c>
      <c r="R21" s="127">
        <v>2752</v>
      </c>
      <c r="S21" s="127">
        <v>5314</v>
      </c>
      <c r="T21" s="128">
        <v>2332</v>
      </c>
      <c r="U21" s="129">
        <v>2395</v>
      </c>
      <c r="V21" s="127">
        <v>2856</v>
      </c>
      <c r="W21" s="127">
        <v>3688</v>
      </c>
      <c r="X21" s="127">
        <v>3790</v>
      </c>
      <c r="Y21" s="127">
        <v>5764</v>
      </c>
      <c r="Z21" s="127">
        <v>2643</v>
      </c>
      <c r="AA21" s="18">
        <v>3589</v>
      </c>
      <c r="AB21" s="18">
        <v>3736</v>
      </c>
      <c r="AC21" s="18">
        <v>2945</v>
      </c>
      <c r="AD21" s="18">
        <v>2724</v>
      </c>
      <c r="AE21" s="18">
        <v>3794</v>
      </c>
      <c r="AF21" s="19">
        <v>2140</v>
      </c>
      <c r="AG21" s="17">
        <v>4000</v>
      </c>
      <c r="AH21" s="18">
        <v>2539</v>
      </c>
      <c r="AI21" s="18">
        <v>3390</v>
      </c>
      <c r="AJ21" s="18">
        <v>4250</v>
      </c>
      <c r="AK21" s="18">
        <v>4952</v>
      </c>
      <c r="AL21" s="18">
        <v>3185</v>
      </c>
      <c r="AM21" s="18">
        <v>5408</v>
      </c>
      <c r="AN21" s="18">
        <v>4366</v>
      </c>
      <c r="AO21" s="18">
        <v>3211</v>
      </c>
      <c r="AP21" s="18">
        <v>3761</v>
      </c>
      <c r="AQ21" s="18">
        <v>3917</v>
      </c>
      <c r="AR21" s="19">
        <v>2943</v>
      </c>
      <c r="AS21" s="17">
        <v>4650</v>
      </c>
      <c r="AT21" s="18">
        <v>2847</v>
      </c>
      <c r="AU21" s="18">
        <v>4664</v>
      </c>
      <c r="AV21" s="18">
        <v>3626</v>
      </c>
      <c r="AW21" s="18">
        <v>5025</v>
      </c>
      <c r="AX21" s="18">
        <v>4337</v>
      </c>
      <c r="AY21" s="18">
        <v>4814</v>
      </c>
      <c r="AZ21" s="18">
        <v>4451</v>
      </c>
      <c r="BA21" s="18">
        <v>4174</v>
      </c>
      <c r="BB21" s="18">
        <v>3328</v>
      </c>
      <c r="BC21" s="18">
        <v>4220</v>
      </c>
      <c r="BD21" s="19">
        <v>3820</v>
      </c>
      <c r="BE21" s="17">
        <v>3564</v>
      </c>
      <c r="BF21" s="18">
        <v>3042</v>
      </c>
      <c r="BG21" s="18">
        <v>4625</v>
      </c>
      <c r="BH21" s="18">
        <v>3405</v>
      </c>
      <c r="BI21" s="18">
        <v>5044.8447431589057</v>
      </c>
      <c r="BJ21" s="18">
        <v>5624</v>
      </c>
      <c r="BK21" s="18">
        <v>5253</v>
      </c>
      <c r="BL21" s="18">
        <v>4835</v>
      </c>
      <c r="BM21" s="18">
        <v>4704</v>
      </c>
      <c r="BN21" s="18">
        <v>3442</v>
      </c>
      <c r="BO21" s="18">
        <v>4118</v>
      </c>
      <c r="BP21" s="19">
        <v>4020</v>
      </c>
      <c r="BQ21" s="17">
        <v>4060</v>
      </c>
      <c r="BR21" s="18">
        <v>4212</v>
      </c>
      <c r="BS21" s="18">
        <v>4282</v>
      </c>
      <c r="BT21" s="18">
        <v>3583</v>
      </c>
      <c r="BU21" s="18">
        <v>7457</v>
      </c>
      <c r="BV21" s="18">
        <v>4804</v>
      </c>
      <c r="BW21" s="18">
        <v>5779</v>
      </c>
      <c r="BX21" s="18">
        <v>5740</v>
      </c>
      <c r="BY21" s="18">
        <v>4788</v>
      </c>
      <c r="BZ21" s="18">
        <v>3235</v>
      </c>
      <c r="CA21" s="18">
        <v>5024</v>
      </c>
      <c r="CB21" s="19">
        <v>3065</v>
      </c>
      <c r="CC21" s="20">
        <v>4293</v>
      </c>
      <c r="CD21" s="18">
        <v>3903</v>
      </c>
      <c r="CE21" s="18">
        <v>4582</v>
      </c>
      <c r="CF21" s="18">
        <v>3776</v>
      </c>
      <c r="CG21" s="18">
        <v>7661</v>
      </c>
      <c r="CH21" s="18">
        <v>5193</v>
      </c>
      <c r="CI21" s="18">
        <v>7064</v>
      </c>
      <c r="CJ21" s="18">
        <v>5207</v>
      </c>
      <c r="CK21" s="18">
        <v>3862</v>
      </c>
      <c r="CL21" s="18">
        <v>4238</v>
      </c>
      <c r="CM21" s="18">
        <v>5662</v>
      </c>
      <c r="CN21" s="21">
        <v>3680</v>
      </c>
      <c r="CO21" s="17">
        <v>5537</v>
      </c>
      <c r="CP21" s="18">
        <v>3847</v>
      </c>
      <c r="CQ21" s="18">
        <v>4861</v>
      </c>
      <c r="CR21" s="18">
        <v>4841</v>
      </c>
      <c r="CS21" s="18">
        <v>5549</v>
      </c>
      <c r="CT21" s="18">
        <v>4108</v>
      </c>
      <c r="CU21" s="18">
        <v>4514</v>
      </c>
      <c r="CV21" s="18">
        <v>3600</v>
      </c>
      <c r="CW21" s="18">
        <v>4088</v>
      </c>
      <c r="CX21" s="18">
        <v>6007</v>
      </c>
      <c r="CY21" s="18">
        <v>4817</v>
      </c>
      <c r="CZ21" s="19">
        <v>3577</v>
      </c>
      <c r="DA21" s="17">
        <v>5370</v>
      </c>
      <c r="DB21" s="18">
        <v>3581</v>
      </c>
      <c r="DC21" s="18">
        <v>4628</v>
      </c>
      <c r="DD21" s="18">
        <v>4746</v>
      </c>
      <c r="DE21" s="18">
        <v>7094</v>
      </c>
      <c r="DF21" s="18">
        <v>5211</v>
      </c>
      <c r="DG21" s="18">
        <v>6233</v>
      </c>
      <c r="DH21" s="18">
        <v>5206</v>
      </c>
      <c r="DI21" s="18">
        <v>3817</v>
      </c>
      <c r="DJ21" s="18">
        <v>4609</v>
      </c>
      <c r="DK21" s="18">
        <v>4632</v>
      </c>
      <c r="DL21" s="19">
        <v>3209</v>
      </c>
      <c r="DM21" s="17">
        <v>5191</v>
      </c>
      <c r="DN21" s="18">
        <v>3547</v>
      </c>
      <c r="DO21" s="127">
        <v>5246</v>
      </c>
      <c r="DP21" s="127">
        <v>3421</v>
      </c>
      <c r="DQ21" s="127">
        <v>4203</v>
      </c>
      <c r="DR21" s="127">
        <v>4716</v>
      </c>
      <c r="DS21" s="127">
        <v>4292</v>
      </c>
      <c r="DT21" s="127">
        <v>3454</v>
      </c>
      <c r="DU21" s="127">
        <v>4526</v>
      </c>
      <c r="DV21" s="127">
        <v>2379</v>
      </c>
      <c r="DW21" s="127">
        <v>4022</v>
      </c>
      <c r="DX21" s="128">
        <v>3775</v>
      </c>
      <c r="DY21" s="119">
        <v>3740</v>
      </c>
      <c r="DZ21" s="127">
        <v>2962</v>
      </c>
      <c r="EA21" s="127">
        <v>4821</v>
      </c>
      <c r="EB21" s="119">
        <v>3084</v>
      </c>
      <c r="EC21" s="127">
        <v>3683</v>
      </c>
      <c r="ED21" s="127">
        <v>4001</v>
      </c>
      <c r="EE21" s="127">
        <v>3899</v>
      </c>
      <c r="EF21" s="127">
        <v>2992</v>
      </c>
      <c r="EG21" s="127">
        <v>3101</v>
      </c>
      <c r="EH21" s="127">
        <v>1521</v>
      </c>
      <c r="EI21" s="127">
        <v>2430</v>
      </c>
      <c r="EJ21" s="128">
        <v>1376</v>
      </c>
      <c r="EK21" s="119">
        <v>1829</v>
      </c>
      <c r="EL21" s="127">
        <v>1793</v>
      </c>
      <c r="EM21" s="127">
        <v>1932</v>
      </c>
      <c r="EN21" s="119">
        <v>1532</v>
      </c>
      <c r="EO21" s="127">
        <v>1533</v>
      </c>
      <c r="EP21" s="127">
        <v>1086</v>
      </c>
      <c r="EQ21" s="127">
        <v>834</v>
      </c>
      <c r="ER21" s="127">
        <v>639</v>
      </c>
      <c r="ES21" s="127">
        <v>1504</v>
      </c>
      <c r="ET21" s="127">
        <v>1407</v>
      </c>
      <c r="EU21" s="127">
        <v>1917</v>
      </c>
      <c r="EV21" s="128">
        <v>1537</v>
      </c>
      <c r="EW21" s="119">
        <v>1920</v>
      </c>
      <c r="EX21" s="109">
        <v>2750</v>
      </c>
      <c r="EY21" s="127">
        <v>2003</v>
      </c>
      <c r="EZ21" s="119">
        <v>2004</v>
      </c>
      <c r="FA21" s="18">
        <v>1882</v>
      </c>
      <c r="FB21" s="149">
        <v>2423</v>
      </c>
      <c r="FC21" s="18">
        <v>1929</v>
      </c>
      <c r="FD21" s="18">
        <v>1764</v>
      </c>
      <c r="FE21" s="149">
        <v>2105</v>
      </c>
      <c r="FF21" s="149">
        <v>1099</v>
      </c>
      <c r="FG21" s="149">
        <v>3010</v>
      </c>
      <c r="FH21" s="149">
        <v>2576</v>
      </c>
      <c r="FI21" s="119">
        <f>'Average Sunday-Holiday Boarding'!FI21*6</f>
        <v>2274</v>
      </c>
      <c r="FJ21" s="109">
        <f>'Average Sunday-Holiday Boarding'!FJ21*4</f>
        <v>1202</v>
      </c>
      <c r="FK21" s="127">
        <f>'Average Sunday-Holiday Boarding'!FK21*5</f>
        <v>1838</v>
      </c>
      <c r="FL21" s="119">
        <v>1700</v>
      </c>
      <c r="FM21" s="18">
        <v>1679</v>
      </c>
      <c r="FN21" s="149">
        <v>1426</v>
      </c>
      <c r="FO21" s="18">
        <v>2015</v>
      </c>
      <c r="FP21" s="18">
        <v>1412</v>
      </c>
      <c r="FQ21" s="149">
        <v>1483</v>
      </c>
      <c r="FR21" s="149">
        <v>1709</v>
      </c>
      <c r="FS21" s="149">
        <v>1713</v>
      </c>
      <c r="FT21" s="155">
        <v>1233</v>
      </c>
      <c r="FU21" s="169">
        <v>1998</v>
      </c>
      <c r="FV21" s="169">
        <v>1843</v>
      </c>
      <c r="FW21" s="169">
        <v>1763</v>
      </c>
      <c r="FX21" s="169">
        <v>1864</v>
      </c>
      <c r="FY21" s="169">
        <v>1604</v>
      </c>
      <c r="FZ21" s="169">
        <v>1662</v>
      </c>
      <c r="GA21" s="169">
        <v>1802</v>
      </c>
      <c r="GB21" s="18">
        <v>1615</v>
      </c>
      <c r="GC21" s="18">
        <v>1703</v>
      </c>
      <c r="GD21" s="18">
        <v>1447</v>
      </c>
      <c r="GE21" s="18">
        <v>1622</v>
      </c>
      <c r="GF21" s="52">
        <v>1676</v>
      </c>
      <c r="GG21" s="18">
        <v>1576</v>
      </c>
      <c r="GH21" s="18">
        <v>1348</v>
      </c>
      <c r="GI21" s="184">
        <v>2097</v>
      </c>
      <c r="GJ21" s="184">
        <v>1797</v>
      </c>
      <c r="GK21" s="184">
        <v>1614</v>
      </c>
      <c r="GL21" s="184">
        <v>1706</v>
      </c>
    </row>
    <row r="22" spans="1:194" x14ac:dyDescent="0.3">
      <c r="A22" s="3" t="s">
        <v>35</v>
      </c>
      <c r="B22" s="17"/>
      <c r="C22" s="18">
        <v>3084</v>
      </c>
      <c r="D22" s="18">
        <v>3037</v>
      </c>
      <c r="E22" s="18">
        <v>2470</v>
      </c>
      <c r="F22" s="18">
        <v>2110</v>
      </c>
      <c r="G22" s="18">
        <v>2672</v>
      </c>
      <c r="H22" s="19">
        <v>1491</v>
      </c>
      <c r="I22" s="17">
        <v>2258</v>
      </c>
      <c r="J22" s="18">
        <v>2094</v>
      </c>
      <c r="K22" s="18">
        <v>2448</v>
      </c>
      <c r="L22" s="18">
        <v>2023</v>
      </c>
      <c r="M22" s="18">
        <v>4835</v>
      </c>
      <c r="N22" s="18">
        <v>2028</v>
      </c>
      <c r="O22" s="127">
        <v>3462</v>
      </c>
      <c r="P22" s="127">
        <v>3552</v>
      </c>
      <c r="Q22" s="127">
        <v>2389</v>
      </c>
      <c r="R22" s="127">
        <v>2456</v>
      </c>
      <c r="S22" s="127">
        <v>3242</v>
      </c>
      <c r="T22" s="128">
        <v>1901</v>
      </c>
      <c r="U22" s="129">
        <v>1840</v>
      </c>
      <c r="V22" s="127">
        <v>2267</v>
      </c>
      <c r="W22" s="127">
        <v>3019</v>
      </c>
      <c r="X22" s="127">
        <v>2998</v>
      </c>
      <c r="Y22" s="127">
        <v>4286</v>
      </c>
      <c r="Z22" s="127">
        <v>1738</v>
      </c>
      <c r="AA22" s="18">
        <v>2637</v>
      </c>
      <c r="AB22" s="18">
        <v>3300</v>
      </c>
      <c r="AC22" s="18">
        <v>2269</v>
      </c>
      <c r="AD22" s="18">
        <v>2055</v>
      </c>
      <c r="AE22" s="18">
        <v>2531</v>
      </c>
      <c r="AF22" s="19">
        <v>1596</v>
      </c>
      <c r="AG22" s="17">
        <v>3130</v>
      </c>
      <c r="AH22" s="18">
        <v>2208</v>
      </c>
      <c r="AI22" s="18">
        <v>2764</v>
      </c>
      <c r="AJ22" s="18">
        <v>3280</v>
      </c>
      <c r="AK22" s="18">
        <v>3826</v>
      </c>
      <c r="AL22" s="18">
        <v>2281</v>
      </c>
      <c r="AM22" s="18">
        <v>4162</v>
      </c>
      <c r="AN22" s="18">
        <v>3840</v>
      </c>
      <c r="AO22" s="18">
        <v>2390</v>
      </c>
      <c r="AP22" s="18">
        <v>2917</v>
      </c>
      <c r="AQ22" s="18">
        <v>2925</v>
      </c>
      <c r="AR22" s="19">
        <v>2150</v>
      </c>
      <c r="AS22" s="17">
        <v>3188</v>
      </c>
      <c r="AT22" s="18">
        <v>2364</v>
      </c>
      <c r="AU22" s="18">
        <v>3913</v>
      </c>
      <c r="AV22" s="18">
        <v>2791</v>
      </c>
      <c r="AW22" s="18">
        <v>3977</v>
      </c>
      <c r="AX22" s="18">
        <v>3111</v>
      </c>
      <c r="AY22" s="18">
        <v>3635</v>
      </c>
      <c r="AZ22" s="18">
        <v>3956</v>
      </c>
      <c r="BA22" s="18">
        <v>3278</v>
      </c>
      <c r="BB22" s="18">
        <v>2761</v>
      </c>
      <c r="BC22" s="18">
        <v>3182</v>
      </c>
      <c r="BD22" s="19">
        <v>2760</v>
      </c>
      <c r="BE22" s="17">
        <v>2737</v>
      </c>
      <c r="BF22" s="18">
        <v>2358</v>
      </c>
      <c r="BG22" s="18">
        <v>3992</v>
      </c>
      <c r="BH22" s="18">
        <v>2575</v>
      </c>
      <c r="BI22" s="18">
        <v>4090.7702352376382</v>
      </c>
      <c r="BJ22" s="18">
        <v>3913</v>
      </c>
      <c r="BK22" s="18">
        <v>4324</v>
      </c>
      <c r="BL22" s="18">
        <v>4078</v>
      </c>
      <c r="BM22" s="18">
        <v>3556</v>
      </c>
      <c r="BN22" s="18">
        <v>2585</v>
      </c>
      <c r="BO22" s="18">
        <v>2838</v>
      </c>
      <c r="BP22" s="19">
        <v>2737</v>
      </c>
      <c r="BQ22" s="17">
        <v>2782</v>
      </c>
      <c r="BR22" s="18">
        <v>3196</v>
      </c>
      <c r="BS22" s="18">
        <v>3411</v>
      </c>
      <c r="BT22" s="18">
        <v>2511</v>
      </c>
      <c r="BU22" s="18">
        <v>5179</v>
      </c>
      <c r="BV22" s="18">
        <v>3332</v>
      </c>
      <c r="BW22" s="18">
        <v>4130</v>
      </c>
      <c r="BX22" s="18">
        <v>4403</v>
      </c>
      <c r="BY22" s="18">
        <v>3697</v>
      </c>
      <c r="BZ22" s="18">
        <v>2501</v>
      </c>
      <c r="CA22" s="18">
        <v>3334</v>
      </c>
      <c r="CB22" s="19">
        <v>2484</v>
      </c>
      <c r="CC22" s="20">
        <v>2898</v>
      </c>
      <c r="CD22" s="18">
        <v>3180</v>
      </c>
      <c r="CE22" s="18">
        <v>3681</v>
      </c>
      <c r="CF22" s="18">
        <v>2544</v>
      </c>
      <c r="CG22" s="18">
        <v>5132</v>
      </c>
      <c r="CH22" s="18">
        <v>2986</v>
      </c>
      <c r="CI22" s="18">
        <v>5385</v>
      </c>
      <c r="CJ22" s="18">
        <v>3585</v>
      </c>
      <c r="CK22" s="18">
        <v>2642</v>
      </c>
      <c r="CL22" s="18">
        <v>2718</v>
      </c>
      <c r="CM22" s="18">
        <v>3272</v>
      </c>
      <c r="CN22" s="21">
        <v>2215</v>
      </c>
      <c r="CO22" s="17">
        <v>3285</v>
      </c>
      <c r="CP22" s="18">
        <v>2549</v>
      </c>
      <c r="CQ22" s="18">
        <v>3164</v>
      </c>
      <c r="CR22" s="18">
        <v>3098</v>
      </c>
      <c r="CS22" s="18">
        <v>8915</v>
      </c>
      <c r="CT22" s="18">
        <v>7104</v>
      </c>
      <c r="CU22" s="18">
        <v>7579</v>
      </c>
      <c r="CV22" s="18">
        <v>5400</v>
      </c>
      <c r="CW22" s="18">
        <v>2635</v>
      </c>
      <c r="CX22" s="18">
        <v>3550</v>
      </c>
      <c r="CY22" s="18">
        <v>3018</v>
      </c>
      <c r="CZ22" s="19">
        <v>2344</v>
      </c>
      <c r="DA22" s="17">
        <v>3851</v>
      </c>
      <c r="DB22" s="18">
        <v>2833</v>
      </c>
      <c r="DC22" s="18">
        <v>3283</v>
      </c>
      <c r="DD22" s="18">
        <v>3546</v>
      </c>
      <c r="DE22" s="18">
        <v>4705</v>
      </c>
      <c r="DF22" s="18">
        <v>3808</v>
      </c>
      <c r="DG22" s="18">
        <v>4817</v>
      </c>
      <c r="DH22" s="18">
        <v>3649</v>
      </c>
      <c r="DI22" s="18">
        <v>2510</v>
      </c>
      <c r="DJ22" s="18">
        <v>3359</v>
      </c>
      <c r="DK22" s="18">
        <v>3070</v>
      </c>
      <c r="DL22" s="19">
        <v>2340</v>
      </c>
      <c r="DM22" s="17">
        <v>3723</v>
      </c>
      <c r="DN22" s="18">
        <v>2510</v>
      </c>
      <c r="DO22" s="127">
        <v>3867</v>
      </c>
      <c r="DP22" s="127">
        <v>2491</v>
      </c>
      <c r="DQ22" s="127">
        <v>3190</v>
      </c>
      <c r="DR22" s="127">
        <v>3224</v>
      </c>
      <c r="DS22" s="127">
        <v>3252</v>
      </c>
      <c r="DT22" s="127">
        <v>2406</v>
      </c>
      <c r="DU22" s="127">
        <v>3355</v>
      </c>
      <c r="DV22" s="127">
        <v>3251</v>
      </c>
      <c r="DW22" s="127">
        <v>2866</v>
      </c>
      <c r="DX22" s="128">
        <v>2552</v>
      </c>
      <c r="DY22" s="119">
        <v>3039</v>
      </c>
      <c r="DZ22" s="127">
        <v>2623</v>
      </c>
      <c r="EA22" s="127">
        <v>3800</v>
      </c>
      <c r="EB22" s="119">
        <v>2648</v>
      </c>
      <c r="EC22" s="127">
        <v>3302</v>
      </c>
      <c r="ED22" s="127">
        <v>2895</v>
      </c>
      <c r="EE22" s="127">
        <v>3424</v>
      </c>
      <c r="EF22" s="127">
        <v>2613</v>
      </c>
      <c r="EG22" s="127">
        <v>2603</v>
      </c>
      <c r="EH22" s="127">
        <v>1427</v>
      </c>
      <c r="EI22" s="127">
        <v>2070</v>
      </c>
      <c r="EJ22" s="128">
        <v>1425</v>
      </c>
      <c r="EK22" s="119">
        <v>1587</v>
      </c>
      <c r="EL22" s="127">
        <v>1782</v>
      </c>
      <c r="EM22" s="127">
        <v>1686</v>
      </c>
      <c r="EN22" s="119">
        <v>1219</v>
      </c>
      <c r="EO22" s="127">
        <v>1394</v>
      </c>
      <c r="EP22" s="127">
        <v>896</v>
      </c>
      <c r="EQ22" s="127">
        <v>474</v>
      </c>
      <c r="ER22" s="127">
        <v>1503</v>
      </c>
      <c r="ES22" s="127">
        <v>706</v>
      </c>
      <c r="ET22" s="127">
        <v>1146</v>
      </c>
      <c r="EU22" s="127">
        <v>1282</v>
      </c>
      <c r="EV22" s="128">
        <v>1161</v>
      </c>
      <c r="EW22" s="119">
        <v>1691</v>
      </c>
      <c r="EX22" s="109">
        <v>2086</v>
      </c>
      <c r="EY22" s="127">
        <v>1657</v>
      </c>
      <c r="EZ22" s="119">
        <v>1641</v>
      </c>
      <c r="FA22" s="18">
        <v>1555</v>
      </c>
      <c r="FB22" s="149">
        <v>2053</v>
      </c>
      <c r="FC22" s="18">
        <v>1461</v>
      </c>
      <c r="FD22" s="18">
        <v>1535</v>
      </c>
      <c r="FE22" s="149">
        <v>1735</v>
      </c>
      <c r="FF22" s="149">
        <v>2316</v>
      </c>
      <c r="FG22" s="149">
        <v>1462</v>
      </c>
      <c r="FH22" s="149">
        <v>0</v>
      </c>
      <c r="FI22" s="119">
        <f>'Average Sunday-Holiday Boarding'!FI22*6</f>
        <v>1668</v>
      </c>
      <c r="FJ22" s="109">
        <f>'Average Sunday-Holiday Boarding'!FJ22*4</f>
        <v>1453</v>
      </c>
      <c r="FK22" s="127">
        <f>'Average Sunday-Holiday Boarding'!FK22*5</f>
        <v>2173</v>
      </c>
      <c r="FL22" s="119">
        <v>2141</v>
      </c>
      <c r="FM22" s="18">
        <v>1896</v>
      </c>
      <c r="FN22" s="149">
        <v>1998</v>
      </c>
      <c r="FO22" s="18">
        <v>2379</v>
      </c>
      <c r="FP22" s="18">
        <v>1966</v>
      </c>
      <c r="FQ22" s="149">
        <v>1798</v>
      </c>
      <c r="FR22" s="149">
        <v>2299</v>
      </c>
      <c r="FS22" s="149">
        <v>2269</v>
      </c>
      <c r="FT22" s="155">
        <v>1854</v>
      </c>
      <c r="FU22" s="169">
        <v>2538</v>
      </c>
      <c r="FV22" s="169">
        <v>2631</v>
      </c>
      <c r="FW22" s="169">
        <v>2350</v>
      </c>
      <c r="FX22" s="169">
        <v>2195</v>
      </c>
      <c r="FY22" s="169">
        <v>2185</v>
      </c>
      <c r="FZ22" s="169">
        <v>2614</v>
      </c>
      <c r="GA22" s="169">
        <v>2409</v>
      </c>
      <c r="GB22" s="18">
        <v>1963</v>
      </c>
      <c r="GC22" s="18">
        <v>2454</v>
      </c>
      <c r="GD22" s="18">
        <v>2030</v>
      </c>
      <c r="GE22" s="18">
        <v>2480</v>
      </c>
      <c r="GF22" s="52">
        <v>2404</v>
      </c>
      <c r="GG22" s="18">
        <v>2346</v>
      </c>
      <c r="GH22" s="18">
        <v>1936</v>
      </c>
      <c r="GI22" s="184">
        <v>2864</v>
      </c>
      <c r="GJ22" s="184">
        <v>1942</v>
      </c>
      <c r="GK22" s="184">
        <v>1948</v>
      </c>
      <c r="GL22" s="184">
        <v>2295</v>
      </c>
    </row>
    <row r="23" spans="1:194" x14ac:dyDescent="0.3">
      <c r="A23" s="3" t="s">
        <v>36</v>
      </c>
      <c r="B23" s="17"/>
      <c r="C23" s="18">
        <v>1318</v>
      </c>
      <c r="D23" s="18">
        <v>1113</v>
      </c>
      <c r="E23" s="18">
        <v>1109</v>
      </c>
      <c r="F23" s="18">
        <v>1133</v>
      </c>
      <c r="G23" s="18">
        <v>1169</v>
      </c>
      <c r="H23" s="19">
        <v>516</v>
      </c>
      <c r="I23" s="17">
        <v>1071</v>
      </c>
      <c r="J23" s="18">
        <v>728</v>
      </c>
      <c r="K23" s="18">
        <v>860</v>
      </c>
      <c r="L23" s="18">
        <v>1440</v>
      </c>
      <c r="M23" s="18">
        <v>1925</v>
      </c>
      <c r="N23" s="18">
        <v>883</v>
      </c>
      <c r="O23" s="127">
        <v>1501</v>
      </c>
      <c r="P23" s="127">
        <v>1175</v>
      </c>
      <c r="Q23" s="127">
        <v>1057</v>
      </c>
      <c r="R23" s="127">
        <v>991</v>
      </c>
      <c r="S23" s="127">
        <v>1794</v>
      </c>
      <c r="T23" s="128">
        <v>859</v>
      </c>
      <c r="U23" s="129">
        <v>716</v>
      </c>
      <c r="V23" s="127">
        <v>874</v>
      </c>
      <c r="W23" s="127">
        <v>1468</v>
      </c>
      <c r="X23" s="127">
        <v>2206</v>
      </c>
      <c r="Y23" s="127">
        <v>2129</v>
      </c>
      <c r="Z23" s="127">
        <v>1431</v>
      </c>
      <c r="AA23" s="18">
        <v>1818</v>
      </c>
      <c r="AB23" s="18">
        <v>1648</v>
      </c>
      <c r="AC23" s="18">
        <v>1216</v>
      </c>
      <c r="AD23" s="18">
        <v>1255</v>
      </c>
      <c r="AE23" s="18">
        <v>1649</v>
      </c>
      <c r="AF23" s="19">
        <v>1083</v>
      </c>
      <c r="AG23" s="17">
        <v>1866</v>
      </c>
      <c r="AH23" s="18">
        <v>1116</v>
      </c>
      <c r="AI23" s="18">
        <v>1252</v>
      </c>
      <c r="AJ23" s="18">
        <v>2083</v>
      </c>
      <c r="AK23" s="18">
        <v>2209</v>
      </c>
      <c r="AL23" s="18">
        <v>1370</v>
      </c>
      <c r="AM23" s="18">
        <v>2285</v>
      </c>
      <c r="AN23" s="18">
        <v>2239</v>
      </c>
      <c r="AO23" s="18">
        <v>1273</v>
      </c>
      <c r="AP23" s="18">
        <v>1536</v>
      </c>
      <c r="AQ23" s="18">
        <v>1636</v>
      </c>
      <c r="AR23" s="19">
        <v>1405</v>
      </c>
      <c r="AS23" s="17">
        <v>1989</v>
      </c>
      <c r="AT23" s="18">
        <v>1130</v>
      </c>
      <c r="AU23" s="18">
        <v>1843</v>
      </c>
      <c r="AV23" s="18">
        <v>1875</v>
      </c>
      <c r="AW23" s="18">
        <v>2204</v>
      </c>
      <c r="AX23" s="18">
        <v>1988</v>
      </c>
      <c r="AY23" s="18">
        <v>1985</v>
      </c>
      <c r="AZ23" s="18">
        <v>2017</v>
      </c>
      <c r="BA23" s="18">
        <v>1849</v>
      </c>
      <c r="BB23" s="18">
        <v>1411</v>
      </c>
      <c r="BC23" s="18">
        <v>2058</v>
      </c>
      <c r="BD23" s="19">
        <v>1486</v>
      </c>
      <c r="BE23" s="17">
        <v>1486</v>
      </c>
      <c r="BF23" s="18">
        <v>1093</v>
      </c>
      <c r="BG23" s="18">
        <v>2224</v>
      </c>
      <c r="BH23" s="18">
        <v>1499</v>
      </c>
      <c r="BI23" s="18">
        <v>2123.6172827652426</v>
      </c>
      <c r="BJ23" s="18">
        <v>2484</v>
      </c>
      <c r="BK23" s="18">
        <v>2440</v>
      </c>
      <c r="BL23" s="18">
        <v>2204</v>
      </c>
      <c r="BM23" s="18">
        <v>2063</v>
      </c>
      <c r="BN23" s="18">
        <v>1433</v>
      </c>
      <c r="BO23" s="18">
        <v>1816</v>
      </c>
      <c r="BP23" s="19">
        <v>1722</v>
      </c>
      <c r="BQ23" s="17">
        <v>1679</v>
      </c>
      <c r="BR23" s="18">
        <v>1673</v>
      </c>
      <c r="BS23" s="18">
        <v>1656</v>
      </c>
      <c r="BT23" s="18">
        <v>1955</v>
      </c>
      <c r="BU23" s="18">
        <v>2933</v>
      </c>
      <c r="BV23" s="18">
        <v>2404</v>
      </c>
      <c r="BW23" s="18">
        <v>2373</v>
      </c>
      <c r="BX23" s="18">
        <v>2515</v>
      </c>
      <c r="BY23" s="18">
        <v>1991</v>
      </c>
      <c r="BZ23" s="18">
        <v>1362</v>
      </c>
      <c r="CA23" s="18">
        <v>2171</v>
      </c>
      <c r="CB23" s="19">
        <v>1402</v>
      </c>
      <c r="CC23" s="20">
        <v>2075</v>
      </c>
      <c r="CD23" s="18">
        <v>1527</v>
      </c>
      <c r="CE23" s="18">
        <v>1864</v>
      </c>
      <c r="CF23" s="18">
        <v>2009</v>
      </c>
      <c r="CG23" s="18">
        <v>3261</v>
      </c>
      <c r="CH23" s="18">
        <v>2674</v>
      </c>
      <c r="CI23" s="18">
        <v>4038</v>
      </c>
      <c r="CJ23" s="18">
        <v>2234</v>
      </c>
      <c r="CK23" s="18">
        <v>2247</v>
      </c>
      <c r="CL23" s="18">
        <v>2605</v>
      </c>
      <c r="CM23" s="18">
        <v>3370</v>
      </c>
      <c r="CN23" s="21">
        <v>2068</v>
      </c>
      <c r="CO23" s="17">
        <v>2241</v>
      </c>
      <c r="CP23" s="18">
        <v>1377</v>
      </c>
      <c r="CQ23" s="18">
        <v>1622</v>
      </c>
      <c r="CR23" s="18">
        <v>1956</v>
      </c>
      <c r="CS23" s="18">
        <v>3183</v>
      </c>
      <c r="CT23" s="18">
        <v>3026</v>
      </c>
      <c r="CU23" s="18">
        <v>2624</v>
      </c>
      <c r="CV23" s="18">
        <v>1893</v>
      </c>
      <c r="CW23" s="18">
        <v>1766</v>
      </c>
      <c r="CX23" s="18">
        <v>2604</v>
      </c>
      <c r="CY23" s="18">
        <v>2160</v>
      </c>
      <c r="CZ23" s="19">
        <v>1254</v>
      </c>
      <c r="DA23" s="17">
        <v>1944</v>
      </c>
      <c r="DB23" s="18">
        <v>1503</v>
      </c>
      <c r="DC23" s="18">
        <v>1883</v>
      </c>
      <c r="DD23" s="18">
        <v>1636</v>
      </c>
      <c r="DE23" s="18">
        <v>2701</v>
      </c>
      <c r="DF23" s="18">
        <v>2186</v>
      </c>
      <c r="DG23" s="18">
        <v>3637</v>
      </c>
      <c r="DH23" s="18">
        <v>2469</v>
      </c>
      <c r="DI23" s="18">
        <v>2147</v>
      </c>
      <c r="DJ23" s="18">
        <v>2407</v>
      </c>
      <c r="DK23" s="18">
        <v>2684</v>
      </c>
      <c r="DL23" s="19">
        <v>1774</v>
      </c>
      <c r="DM23" s="17">
        <v>2711</v>
      </c>
      <c r="DN23" s="18">
        <v>1835</v>
      </c>
      <c r="DO23" s="127">
        <v>2778</v>
      </c>
      <c r="DP23" s="127">
        <v>2131</v>
      </c>
      <c r="DQ23" s="127">
        <v>2573</v>
      </c>
      <c r="DR23" s="127">
        <v>2678</v>
      </c>
      <c r="DS23" s="127">
        <v>2378</v>
      </c>
      <c r="DT23" s="127">
        <v>1802</v>
      </c>
      <c r="DU23" s="127">
        <v>2315</v>
      </c>
      <c r="DV23" s="127">
        <v>1433</v>
      </c>
      <c r="DW23" s="127">
        <v>2742</v>
      </c>
      <c r="DX23" s="128">
        <v>2238</v>
      </c>
      <c r="DY23" s="119">
        <v>2408</v>
      </c>
      <c r="DZ23" s="127">
        <v>1800</v>
      </c>
      <c r="EA23" s="127">
        <v>2609</v>
      </c>
      <c r="EB23" s="119">
        <v>1806</v>
      </c>
      <c r="EC23" s="127">
        <v>2671</v>
      </c>
      <c r="ED23" s="127">
        <v>2931</v>
      </c>
      <c r="EE23" s="127">
        <v>2807</v>
      </c>
      <c r="EF23" s="127">
        <v>2017</v>
      </c>
      <c r="EG23" s="127">
        <v>2246</v>
      </c>
      <c r="EH23" s="127">
        <v>907</v>
      </c>
      <c r="EI23" s="127">
        <v>1367</v>
      </c>
      <c r="EJ23" s="128">
        <v>880</v>
      </c>
      <c r="EK23" s="119">
        <v>1125</v>
      </c>
      <c r="EL23" s="127">
        <v>1216</v>
      </c>
      <c r="EM23" s="127">
        <v>1256</v>
      </c>
      <c r="EN23" s="119">
        <v>1089</v>
      </c>
      <c r="EO23" s="127">
        <v>1263</v>
      </c>
      <c r="EP23" s="127">
        <v>482</v>
      </c>
      <c r="EQ23" s="127">
        <v>479</v>
      </c>
      <c r="ER23" s="127">
        <v>422</v>
      </c>
      <c r="ES23" s="127">
        <v>284</v>
      </c>
      <c r="ET23" s="127">
        <v>1052</v>
      </c>
      <c r="EU23" s="127">
        <v>1301</v>
      </c>
      <c r="EV23" s="128">
        <v>1192</v>
      </c>
      <c r="EW23" s="119">
        <v>1575</v>
      </c>
      <c r="EX23" s="109">
        <v>1687</v>
      </c>
      <c r="EY23" s="127">
        <v>1365</v>
      </c>
      <c r="EZ23" s="119">
        <v>1280</v>
      </c>
      <c r="FA23" s="18">
        <v>1266</v>
      </c>
      <c r="FB23" s="149">
        <v>1811</v>
      </c>
      <c r="FC23" s="18">
        <v>1322</v>
      </c>
      <c r="FD23" s="18">
        <v>1376</v>
      </c>
      <c r="FE23" s="149">
        <v>1704</v>
      </c>
      <c r="FF23" s="149">
        <v>801</v>
      </c>
      <c r="FG23" s="149">
        <v>2185</v>
      </c>
      <c r="FH23" s="149">
        <v>1769</v>
      </c>
      <c r="FI23" s="119">
        <f>'Average Sunday-Holiday Boarding'!FI23*6</f>
        <v>1792</v>
      </c>
      <c r="FJ23" s="109">
        <f>'Average Sunday-Holiday Boarding'!FJ23*4</f>
        <v>585</v>
      </c>
      <c r="FK23" s="127">
        <f>'Average Sunday-Holiday Boarding'!FK23*5</f>
        <v>885</v>
      </c>
      <c r="FL23" s="119">
        <v>837</v>
      </c>
      <c r="FM23" s="18">
        <v>909</v>
      </c>
      <c r="FN23" s="149">
        <v>881</v>
      </c>
      <c r="FO23" s="18">
        <v>965</v>
      </c>
      <c r="FP23" s="18">
        <v>779</v>
      </c>
      <c r="FQ23" s="149">
        <v>1023</v>
      </c>
      <c r="FR23" s="149">
        <v>1154</v>
      </c>
      <c r="FS23" s="149">
        <v>1177</v>
      </c>
      <c r="FT23" s="155">
        <v>844</v>
      </c>
      <c r="FU23" s="169">
        <v>1240</v>
      </c>
      <c r="FV23" s="169">
        <v>1180</v>
      </c>
      <c r="FW23" s="169">
        <v>1004</v>
      </c>
      <c r="FX23" s="169">
        <v>1082</v>
      </c>
      <c r="FY23" s="169">
        <v>921</v>
      </c>
      <c r="FZ23" s="169">
        <v>1177</v>
      </c>
      <c r="GA23" s="169">
        <v>1096</v>
      </c>
      <c r="GB23" s="18">
        <v>879</v>
      </c>
      <c r="GC23" s="18">
        <v>1006</v>
      </c>
      <c r="GD23" s="18">
        <v>1061</v>
      </c>
      <c r="GE23" s="18">
        <v>1133</v>
      </c>
      <c r="GF23" s="52">
        <v>988</v>
      </c>
      <c r="GG23" s="18">
        <v>889</v>
      </c>
      <c r="GH23" s="18">
        <v>758</v>
      </c>
      <c r="GI23" s="184">
        <v>1368</v>
      </c>
      <c r="GJ23" s="184">
        <v>799</v>
      </c>
      <c r="GK23" s="184">
        <v>988</v>
      </c>
      <c r="GL23" s="184">
        <v>1038</v>
      </c>
    </row>
    <row r="24" spans="1:194" x14ac:dyDescent="0.3">
      <c r="A24" s="3" t="s">
        <v>37</v>
      </c>
      <c r="B24" s="17"/>
      <c r="C24" s="18">
        <v>1169</v>
      </c>
      <c r="D24" s="18">
        <v>1287</v>
      </c>
      <c r="E24" s="18">
        <v>1297</v>
      </c>
      <c r="F24" s="18">
        <v>923</v>
      </c>
      <c r="G24" s="18">
        <v>1167</v>
      </c>
      <c r="H24" s="19">
        <v>576</v>
      </c>
      <c r="I24" s="17">
        <v>1197</v>
      </c>
      <c r="J24" s="18">
        <v>954</v>
      </c>
      <c r="K24" s="18">
        <v>1188</v>
      </c>
      <c r="L24" s="18">
        <v>1502</v>
      </c>
      <c r="M24" s="18">
        <v>1867</v>
      </c>
      <c r="N24" s="18">
        <v>1067</v>
      </c>
      <c r="O24" s="127">
        <v>1475</v>
      </c>
      <c r="P24" s="127">
        <v>1181</v>
      </c>
      <c r="Q24" s="127">
        <v>1105</v>
      </c>
      <c r="R24" s="127">
        <v>1057</v>
      </c>
      <c r="S24" s="127">
        <v>2377</v>
      </c>
      <c r="T24" s="128">
        <v>961</v>
      </c>
      <c r="U24" s="129">
        <v>841</v>
      </c>
      <c r="V24" s="127">
        <v>1239</v>
      </c>
      <c r="W24" s="127">
        <v>1512</v>
      </c>
      <c r="X24" s="127">
        <v>2206</v>
      </c>
      <c r="Y24" s="127">
        <v>2560</v>
      </c>
      <c r="Z24" s="127">
        <v>1526</v>
      </c>
      <c r="AA24" s="18">
        <v>2190</v>
      </c>
      <c r="AB24" s="18">
        <v>1979</v>
      </c>
      <c r="AC24" s="18">
        <v>2032</v>
      </c>
      <c r="AD24" s="18">
        <v>1541</v>
      </c>
      <c r="AE24" s="18">
        <v>2342</v>
      </c>
      <c r="AF24" s="19">
        <v>1677</v>
      </c>
      <c r="AG24" s="17">
        <v>2384</v>
      </c>
      <c r="AH24" s="18">
        <v>1346</v>
      </c>
      <c r="AI24" s="18">
        <v>1917</v>
      </c>
      <c r="AJ24" s="18">
        <v>2933</v>
      </c>
      <c r="AK24" s="18">
        <v>2920</v>
      </c>
      <c r="AL24" s="18">
        <v>1964</v>
      </c>
      <c r="AM24" s="18">
        <v>3178</v>
      </c>
      <c r="AN24" s="18">
        <v>2359</v>
      </c>
      <c r="AO24" s="18">
        <v>1833</v>
      </c>
      <c r="AP24" s="18">
        <v>1979</v>
      </c>
      <c r="AQ24" s="18">
        <v>2269</v>
      </c>
      <c r="AR24" s="19">
        <v>1621</v>
      </c>
      <c r="AS24" s="17">
        <v>2580</v>
      </c>
      <c r="AT24" s="18">
        <v>1472</v>
      </c>
      <c r="AU24" s="18">
        <v>2375</v>
      </c>
      <c r="AV24" s="18">
        <v>2138</v>
      </c>
      <c r="AW24" s="18">
        <v>2790</v>
      </c>
      <c r="AX24" s="18">
        <v>2420</v>
      </c>
      <c r="AY24" s="18">
        <v>2502</v>
      </c>
      <c r="AZ24" s="18">
        <v>2222</v>
      </c>
      <c r="BA24" s="18">
        <v>2451</v>
      </c>
      <c r="BB24" s="18">
        <v>1965</v>
      </c>
      <c r="BC24" s="18">
        <v>2517</v>
      </c>
      <c r="BD24" s="19">
        <v>2063</v>
      </c>
      <c r="BE24" s="17">
        <v>1873</v>
      </c>
      <c r="BF24" s="18">
        <v>1559</v>
      </c>
      <c r="BG24" s="18">
        <v>2639</v>
      </c>
      <c r="BH24" s="18">
        <v>2313</v>
      </c>
      <c r="BI24" s="18">
        <v>2930.1301008161308</v>
      </c>
      <c r="BJ24" s="18">
        <v>3592</v>
      </c>
      <c r="BK24" s="18">
        <v>3325</v>
      </c>
      <c r="BL24" s="18">
        <v>2943</v>
      </c>
      <c r="BM24" s="18">
        <v>3184</v>
      </c>
      <c r="BN24" s="18">
        <v>1916</v>
      </c>
      <c r="BO24" s="18">
        <v>2579</v>
      </c>
      <c r="BP24" s="19">
        <v>2695</v>
      </c>
      <c r="BQ24" s="17">
        <v>2378</v>
      </c>
      <c r="BR24" s="18">
        <v>2507</v>
      </c>
      <c r="BS24" s="18">
        <v>2462</v>
      </c>
      <c r="BT24" s="18">
        <v>2701</v>
      </c>
      <c r="BU24" s="18">
        <v>4329</v>
      </c>
      <c r="BV24" s="18">
        <v>3160</v>
      </c>
      <c r="BW24" s="18">
        <v>4370</v>
      </c>
      <c r="BX24" s="18">
        <v>6299</v>
      </c>
      <c r="BY24" s="18">
        <v>3127</v>
      </c>
      <c r="BZ24" s="18">
        <v>2014</v>
      </c>
      <c r="CA24" s="18">
        <v>3228</v>
      </c>
      <c r="CB24" s="19">
        <v>2076</v>
      </c>
      <c r="CC24" s="20">
        <v>2717</v>
      </c>
      <c r="CD24" s="18">
        <v>2407</v>
      </c>
      <c r="CE24" s="18">
        <v>2264</v>
      </c>
      <c r="CF24" s="18">
        <v>2840</v>
      </c>
      <c r="CG24" s="18">
        <v>4260</v>
      </c>
      <c r="CH24" s="18">
        <v>3252</v>
      </c>
      <c r="CI24" s="18">
        <v>4822</v>
      </c>
      <c r="CJ24" s="18">
        <v>2790</v>
      </c>
      <c r="CK24" s="18">
        <v>1730</v>
      </c>
      <c r="CL24" s="18">
        <v>1658</v>
      </c>
      <c r="CM24" s="18">
        <v>2524</v>
      </c>
      <c r="CN24" s="21">
        <v>1590</v>
      </c>
      <c r="CO24" s="17">
        <v>2959</v>
      </c>
      <c r="CP24" s="18">
        <v>1977</v>
      </c>
      <c r="CQ24" s="18">
        <v>2328</v>
      </c>
      <c r="CR24" s="18">
        <v>2788</v>
      </c>
      <c r="CS24" s="18">
        <v>4783</v>
      </c>
      <c r="CT24" s="18">
        <v>3965</v>
      </c>
      <c r="CU24" s="18">
        <v>3896</v>
      </c>
      <c r="CV24" s="18">
        <v>2549</v>
      </c>
      <c r="CW24" s="18">
        <v>2345</v>
      </c>
      <c r="CX24" s="18">
        <v>3507</v>
      </c>
      <c r="CY24" s="18">
        <v>3300</v>
      </c>
      <c r="CZ24" s="19">
        <v>1921</v>
      </c>
      <c r="DA24" s="17">
        <v>2930</v>
      </c>
      <c r="DB24" s="18">
        <v>2145</v>
      </c>
      <c r="DC24" s="18">
        <v>2253</v>
      </c>
      <c r="DD24" s="18">
        <v>2544</v>
      </c>
      <c r="DE24" s="18">
        <v>3845</v>
      </c>
      <c r="DF24" s="18">
        <v>2780</v>
      </c>
      <c r="DG24" s="18">
        <v>2968</v>
      </c>
      <c r="DH24" s="18">
        <v>1910</v>
      </c>
      <c r="DI24" s="18">
        <v>1734</v>
      </c>
      <c r="DJ24" s="18">
        <v>1751</v>
      </c>
      <c r="DK24" s="18">
        <v>2099</v>
      </c>
      <c r="DL24" s="19">
        <v>1137</v>
      </c>
      <c r="DM24" s="17">
        <v>1993</v>
      </c>
      <c r="DN24" s="18">
        <v>1369</v>
      </c>
      <c r="DO24" s="127">
        <v>1973</v>
      </c>
      <c r="DP24" s="127">
        <v>1267</v>
      </c>
      <c r="DQ24" s="127">
        <v>1873</v>
      </c>
      <c r="DR24" s="127">
        <v>2013</v>
      </c>
      <c r="DS24" s="127">
        <v>1804</v>
      </c>
      <c r="DT24" s="127">
        <v>1209</v>
      </c>
      <c r="DU24" s="127">
        <v>1861</v>
      </c>
      <c r="DV24" s="127">
        <v>1706</v>
      </c>
      <c r="DW24" s="127">
        <v>1805</v>
      </c>
      <c r="DX24" s="128">
        <v>1545</v>
      </c>
      <c r="DY24" s="119">
        <v>1578</v>
      </c>
      <c r="DZ24" s="127">
        <v>1369</v>
      </c>
      <c r="EA24" s="127">
        <v>1762</v>
      </c>
      <c r="EB24" s="119">
        <v>1235</v>
      </c>
      <c r="EC24" s="127">
        <v>1605</v>
      </c>
      <c r="ED24" s="127">
        <v>1607</v>
      </c>
      <c r="EE24" s="127">
        <v>1489</v>
      </c>
      <c r="EF24" s="127">
        <v>1254</v>
      </c>
      <c r="EG24" s="127">
        <v>1317</v>
      </c>
      <c r="EH24" s="127">
        <v>673</v>
      </c>
      <c r="EI24" s="127">
        <v>859</v>
      </c>
      <c r="EJ24" s="128">
        <v>560</v>
      </c>
      <c r="EK24" s="119">
        <v>694</v>
      </c>
      <c r="EL24" s="127">
        <v>675</v>
      </c>
      <c r="EM24" s="127">
        <v>772</v>
      </c>
      <c r="EN24" s="119">
        <v>546</v>
      </c>
      <c r="EO24" s="127">
        <v>656</v>
      </c>
      <c r="EP24" s="127">
        <v>972</v>
      </c>
      <c r="EQ24" s="127">
        <v>299</v>
      </c>
      <c r="ER24" s="127">
        <v>798</v>
      </c>
      <c r="ES24" s="127">
        <v>1124</v>
      </c>
      <c r="ET24" s="127">
        <v>515</v>
      </c>
      <c r="EU24" s="127">
        <v>692</v>
      </c>
      <c r="EV24" s="128">
        <v>620</v>
      </c>
      <c r="EW24" s="119">
        <v>796</v>
      </c>
      <c r="EX24" s="109">
        <v>909</v>
      </c>
      <c r="EY24" s="127">
        <v>876</v>
      </c>
      <c r="EZ24" s="119">
        <v>698</v>
      </c>
      <c r="FA24" s="18">
        <v>791</v>
      </c>
      <c r="FB24" s="149">
        <v>1106</v>
      </c>
      <c r="FC24" s="18">
        <v>801</v>
      </c>
      <c r="FD24" s="18">
        <v>832</v>
      </c>
      <c r="FE24" s="149">
        <v>943</v>
      </c>
      <c r="FF24" s="149">
        <v>1504</v>
      </c>
      <c r="FG24" s="149">
        <v>977</v>
      </c>
      <c r="FH24" s="149">
        <v>0</v>
      </c>
      <c r="FI24" s="119">
        <f>'Average Sunday-Holiday Boarding'!FI24*6</f>
        <v>869</v>
      </c>
      <c r="FJ24" s="109">
        <f>'Average Sunday-Holiday Boarding'!FJ24*4</f>
        <v>1020</v>
      </c>
      <c r="FK24" s="127">
        <f>'Average Sunday-Holiday Boarding'!FK24*5</f>
        <v>1565</v>
      </c>
      <c r="FL24" s="119">
        <v>1525</v>
      </c>
      <c r="FM24" s="18">
        <v>1578</v>
      </c>
      <c r="FN24" s="149">
        <v>1492</v>
      </c>
      <c r="FO24" s="18">
        <v>1920</v>
      </c>
      <c r="FP24" s="18">
        <v>1343</v>
      </c>
      <c r="FQ24" s="149">
        <v>1431</v>
      </c>
      <c r="FR24" s="149">
        <v>1912</v>
      </c>
      <c r="FS24" s="149">
        <v>2124</v>
      </c>
      <c r="FT24" s="155">
        <v>1489</v>
      </c>
      <c r="FU24" s="169">
        <v>2196</v>
      </c>
      <c r="FV24" s="169">
        <v>2210</v>
      </c>
      <c r="FW24" s="169">
        <v>1964</v>
      </c>
      <c r="FX24" s="169">
        <v>2028</v>
      </c>
      <c r="FY24" s="169">
        <v>1620</v>
      </c>
      <c r="FZ24" s="169">
        <v>2194</v>
      </c>
      <c r="GA24" s="169">
        <v>2035</v>
      </c>
      <c r="GB24" s="18">
        <v>1695</v>
      </c>
      <c r="GC24" s="18">
        <v>2007</v>
      </c>
      <c r="GD24" s="18">
        <v>2165</v>
      </c>
      <c r="GE24" s="18">
        <v>2703</v>
      </c>
      <c r="GF24" s="52">
        <v>2063</v>
      </c>
      <c r="GG24" s="18">
        <v>1785</v>
      </c>
      <c r="GH24" s="18">
        <v>1461</v>
      </c>
      <c r="GI24" s="184">
        <v>2361</v>
      </c>
      <c r="GJ24" s="184">
        <v>1693</v>
      </c>
      <c r="GK24" s="184">
        <v>1747</v>
      </c>
      <c r="GL24" s="184">
        <v>2072</v>
      </c>
    </row>
    <row r="25" spans="1:194" x14ac:dyDescent="0.3">
      <c r="A25" s="3" t="s">
        <v>38</v>
      </c>
      <c r="B25" s="17"/>
      <c r="C25" s="18">
        <v>5058</v>
      </c>
      <c r="D25" s="18">
        <v>7599</v>
      </c>
      <c r="E25" s="18">
        <v>4021</v>
      </c>
      <c r="F25" s="18">
        <v>6633</v>
      </c>
      <c r="G25" s="18">
        <v>7919</v>
      </c>
      <c r="H25" s="19">
        <v>4758</v>
      </c>
      <c r="I25" s="17">
        <v>4013</v>
      </c>
      <c r="J25" s="18">
        <v>3935</v>
      </c>
      <c r="K25" s="18">
        <v>6059</v>
      </c>
      <c r="L25" s="18">
        <v>2362</v>
      </c>
      <c r="M25" s="18">
        <v>9220</v>
      </c>
      <c r="N25" s="18">
        <v>2279</v>
      </c>
      <c r="O25" s="127">
        <v>3331</v>
      </c>
      <c r="P25" s="127">
        <v>2986</v>
      </c>
      <c r="Q25" s="127">
        <v>3913</v>
      </c>
      <c r="R25" s="127">
        <v>6201</v>
      </c>
      <c r="S25" s="127">
        <v>6516</v>
      </c>
      <c r="T25" s="128">
        <v>4110</v>
      </c>
      <c r="U25" s="129">
        <v>4042</v>
      </c>
      <c r="V25" s="127">
        <v>3243</v>
      </c>
      <c r="W25" s="127">
        <v>4885</v>
      </c>
      <c r="X25" s="127">
        <v>2133</v>
      </c>
      <c r="Y25" s="127">
        <v>5624</v>
      </c>
      <c r="Z25" s="127">
        <v>2371</v>
      </c>
      <c r="AA25" s="18">
        <v>4120</v>
      </c>
      <c r="AB25" s="18">
        <v>3418</v>
      </c>
      <c r="AC25" s="18">
        <v>3387</v>
      </c>
      <c r="AD25" s="18">
        <v>3757</v>
      </c>
      <c r="AE25" s="18">
        <v>7577</v>
      </c>
      <c r="AF25" s="19">
        <v>4911</v>
      </c>
      <c r="AG25" s="17">
        <v>7700</v>
      </c>
      <c r="AH25" s="18">
        <v>4407</v>
      </c>
      <c r="AI25" s="18">
        <v>4682</v>
      </c>
      <c r="AJ25" s="18">
        <v>3377</v>
      </c>
      <c r="AK25" s="18">
        <v>3453</v>
      </c>
      <c r="AL25" s="18">
        <v>2015</v>
      </c>
      <c r="AM25" s="18">
        <v>4282</v>
      </c>
      <c r="AN25" s="18">
        <v>3871</v>
      </c>
      <c r="AO25" s="18">
        <v>2668</v>
      </c>
      <c r="AP25" s="18">
        <v>5480</v>
      </c>
      <c r="AQ25" s="18">
        <v>6030</v>
      </c>
      <c r="AR25" s="19">
        <v>4380</v>
      </c>
      <c r="AS25" s="17">
        <v>8130</v>
      </c>
      <c r="AT25" s="18">
        <v>3429</v>
      </c>
      <c r="AU25" s="18">
        <v>4206</v>
      </c>
      <c r="AV25" s="18">
        <v>2919</v>
      </c>
      <c r="AW25" s="18">
        <v>3361</v>
      </c>
      <c r="AX25" s="18">
        <v>3212</v>
      </c>
      <c r="AY25" s="18">
        <v>3892</v>
      </c>
      <c r="AZ25" s="18">
        <v>3265</v>
      </c>
      <c r="BA25" s="18">
        <v>3836</v>
      </c>
      <c r="BB25" s="18">
        <v>5262</v>
      </c>
      <c r="BC25" s="18">
        <v>8934</v>
      </c>
      <c r="BD25" s="19">
        <v>4373</v>
      </c>
      <c r="BE25" s="17">
        <v>4478</v>
      </c>
      <c r="BF25" s="18">
        <v>2227</v>
      </c>
      <c r="BG25" s="18">
        <v>5306</v>
      </c>
      <c r="BH25" s="18">
        <v>2027</v>
      </c>
      <c r="BI25" s="18">
        <v>2937.6212193951033</v>
      </c>
      <c r="BJ25" s="18">
        <v>3002</v>
      </c>
      <c r="BK25" s="18">
        <v>4094</v>
      </c>
      <c r="BL25" s="18">
        <v>5103</v>
      </c>
      <c r="BM25" s="18">
        <v>4619</v>
      </c>
      <c r="BN25" s="18">
        <v>4816</v>
      </c>
      <c r="BO25" s="18">
        <v>5133</v>
      </c>
      <c r="BP25" s="19">
        <v>7371</v>
      </c>
      <c r="BQ25" s="17">
        <v>3168</v>
      </c>
      <c r="BR25" s="18">
        <v>4780</v>
      </c>
      <c r="BS25" s="18">
        <v>3651</v>
      </c>
      <c r="BT25" s="18">
        <v>1974</v>
      </c>
      <c r="BU25" s="18">
        <v>4523</v>
      </c>
      <c r="BV25" s="18">
        <v>2594</v>
      </c>
      <c r="BW25" s="18">
        <v>7034</v>
      </c>
      <c r="BX25" s="18">
        <v>8793</v>
      </c>
      <c r="BY25" s="18">
        <v>3952</v>
      </c>
      <c r="BZ25" s="18">
        <v>4051</v>
      </c>
      <c r="CA25" s="18">
        <v>7405</v>
      </c>
      <c r="CB25" s="19">
        <v>3785</v>
      </c>
      <c r="CC25" s="20">
        <v>5192</v>
      </c>
      <c r="CD25" s="18">
        <v>3390</v>
      </c>
      <c r="CE25" s="18">
        <v>3906</v>
      </c>
      <c r="CF25" s="18">
        <v>3888</v>
      </c>
      <c r="CG25" s="18">
        <v>4492</v>
      </c>
      <c r="CH25" s="18">
        <v>3492</v>
      </c>
      <c r="CI25" s="18">
        <v>7100</v>
      </c>
      <c r="CJ25" s="18">
        <v>3328</v>
      </c>
      <c r="CK25" s="18">
        <v>2330</v>
      </c>
      <c r="CL25" s="18">
        <v>5447</v>
      </c>
      <c r="CM25" s="18">
        <v>6509</v>
      </c>
      <c r="CN25" s="21">
        <v>5162</v>
      </c>
      <c r="CO25" s="17">
        <v>5041</v>
      </c>
      <c r="CP25" s="18">
        <v>2803</v>
      </c>
      <c r="CQ25" s="18">
        <v>2898</v>
      </c>
      <c r="CR25" s="18">
        <v>3459</v>
      </c>
      <c r="CS25" s="18">
        <v>4483</v>
      </c>
      <c r="CT25" s="18">
        <v>3087</v>
      </c>
      <c r="CU25" s="18">
        <v>4164</v>
      </c>
      <c r="CV25" s="18">
        <v>3153</v>
      </c>
      <c r="CW25" s="18">
        <v>2714</v>
      </c>
      <c r="CX25" s="18">
        <v>11176</v>
      </c>
      <c r="CY25" s="18">
        <v>5647</v>
      </c>
      <c r="CZ25" s="19">
        <v>3040</v>
      </c>
      <c r="DA25" s="17">
        <v>4813</v>
      </c>
      <c r="DB25" s="18">
        <v>3164</v>
      </c>
      <c r="DC25" s="18">
        <v>3343</v>
      </c>
      <c r="DD25" s="18">
        <v>1997</v>
      </c>
      <c r="DE25" s="18">
        <v>4815</v>
      </c>
      <c r="DF25" s="18">
        <v>2730</v>
      </c>
      <c r="DG25" s="18">
        <v>2196</v>
      </c>
      <c r="DH25" s="18">
        <v>1929</v>
      </c>
      <c r="DI25" s="18">
        <v>1465</v>
      </c>
      <c r="DJ25" s="18">
        <v>2250</v>
      </c>
      <c r="DK25" s="18">
        <v>4234</v>
      </c>
      <c r="DL25" s="19">
        <v>2755</v>
      </c>
      <c r="DM25" s="17">
        <v>4004</v>
      </c>
      <c r="DN25" s="18">
        <v>2280</v>
      </c>
      <c r="DO25" s="127">
        <v>2841</v>
      </c>
      <c r="DP25" s="127">
        <v>1365</v>
      </c>
      <c r="DQ25" s="127">
        <v>1851</v>
      </c>
      <c r="DR25" s="127">
        <v>1773</v>
      </c>
      <c r="DS25" s="127">
        <v>2552</v>
      </c>
      <c r="DT25" s="127">
        <v>1444</v>
      </c>
      <c r="DU25" s="127">
        <v>2023</v>
      </c>
      <c r="DV25" s="127">
        <v>3411</v>
      </c>
      <c r="DW25" s="127">
        <v>4708</v>
      </c>
      <c r="DX25" s="128">
        <v>3347</v>
      </c>
      <c r="DY25" s="119">
        <v>2753</v>
      </c>
      <c r="DZ25" s="127">
        <v>3980</v>
      </c>
      <c r="EA25" s="127">
        <v>4311</v>
      </c>
      <c r="EB25" s="119">
        <v>1494</v>
      </c>
      <c r="EC25" s="127">
        <v>2580</v>
      </c>
      <c r="ED25" s="127">
        <v>2584</v>
      </c>
      <c r="EE25" s="127">
        <v>2584</v>
      </c>
      <c r="EF25" s="127">
        <v>2006</v>
      </c>
      <c r="EG25" s="127">
        <v>1104</v>
      </c>
      <c r="EH25" s="127">
        <v>399</v>
      </c>
      <c r="EI25" s="127">
        <v>687</v>
      </c>
      <c r="EJ25" s="128">
        <v>520</v>
      </c>
      <c r="EK25" s="119">
        <v>730</v>
      </c>
      <c r="EL25" s="127">
        <v>887</v>
      </c>
      <c r="EM25" s="127">
        <v>734</v>
      </c>
      <c r="EN25" s="119">
        <v>317</v>
      </c>
      <c r="EO25" s="127">
        <v>2357</v>
      </c>
      <c r="EP25" s="127">
        <v>498</v>
      </c>
      <c r="EQ25" s="127">
        <v>210</v>
      </c>
      <c r="ER25" s="127">
        <v>246</v>
      </c>
      <c r="ES25" s="127">
        <v>322</v>
      </c>
      <c r="ET25" s="127">
        <v>927</v>
      </c>
      <c r="EU25" s="127">
        <v>1865</v>
      </c>
      <c r="EV25" s="128">
        <v>2173</v>
      </c>
      <c r="EW25" s="119">
        <v>2513</v>
      </c>
      <c r="EX25" s="109">
        <v>2035</v>
      </c>
      <c r="EY25" s="127">
        <v>1774</v>
      </c>
      <c r="EZ25" s="119">
        <v>1653</v>
      </c>
      <c r="FA25" s="18">
        <v>1226</v>
      </c>
      <c r="FB25" s="149">
        <v>1912</v>
      </c>
      <c r="FC25" s="18">
        <v>1298</v>
      </c>
      <c r="FD25" s="18">
        <v>1625</v>
      </c>
      <c r="FE25" s="149">
        <v>2097</v>
      </c>
      <c r="FF25" s="149">
        <v>3852</v>
      </c>
      <c r="FG25" s="149">
        <v>1360</v>
      </c>
      <c r="FH25" s="149">
        <v>0</v>
      </c>
      <c r="FI25" s="119">
        <f>'Average Sunday-Holiday Boarding'!FI25*6</f>
        <v>2253</v>
      </c>
      <c r="FJ25" s="109">
        <f>'Average Sunday-Holiday Boarding'!FJ25*4</f>
        <v>1611</v>
      </c>
      <c r="FK25" s="127">
        <f>'Average Sunday-Holiday Boarding'!FK25*5</f>
        <v>2099</v>
      </c>
      <c r="FL25" s="119">
        <v>1753</v>
      </c>
      <c r="FM25" s="18">
        <v>1647</v>
      </c>
      <c r="FN25" s="149">
        <v>1763</v>
      </c>
      <c r="FO25" s="18">
        <v>1834</v>
      </c>
      <c r="FP25" s="18">
        <v>2784</v>
      </c>
      <c r="FQ25" s="149">
        <v>2531</v>
      </c>
      <c r="FR25" s="149">
        <v>3203</v>
      </c>
      <c r="FS25" s="149">
        <v>3573</v>
      </c>
      <c r="FT25" s="155">
        <v>3417</v>
      </c>
      <c r="FU25" s="169">
        <v>3604</v>
      </c>
      <c r="FV25" s="169">
        <v>2660</v>
      </c>
      <c r="FW25" s="169">
        <v>2898</v>
      </c>
      <c r="FX25" s="169">
        <v>2263</v>
      </c>
      <c r="FY25" s="169">
        <v>1626</v>
      </c>
      <c r="FZ25" s="169">
        <v>2747</v>
      </c>
      <c r="GA25" s="169">
        <v>2169</v>
      </c>
      <c r="GB25" s="18">
        <v>1101</v>
      </c>
      <c r="GC25" s="18">
        <v>2797</v>
      </c>
      <c r="GD25" s="18">
        <v>3459</v>
      </c>
      <c r="GE25" s="18">
        <v>3984</v>
      </c>
      <c r="GF25" s="52">
        <v>3617</v>
      </c>
      <c r="GG25" s="18">
        <v>1846</v>
      </c>
      <c r="GH25" s="18">
        <v>1493</v>
      </c>
      <c r="GI25" s="184">
        <v>4752</v>
      </c>
      <c r="GJ25" s="184">
        <v>1947</v>
      </c>
      <c r="GK25" s="184">
        <v>1840</v>
      </c>
      <c r="GL25" s="184">
        <v>2838</v>
      </c>
    </row>
    <row r="26" spans="1:194" x14ac:dyDescent="0.3">
      <c r="A26" s="3" t="s">
        <v>39</v>
      </c>
      <c r="B26" s="17"/>
      <c r="C26" s="18">
        <v>3492</v>
      </c>
      <c r="D26" s="18">
        <v>4719</v>
      </c>
      <c r="E26" s="18">
        <v>2276</v>
      </c>
      <c r="F26" s="18">
        <v>3889</v>
      </c>
      <c r="G26" s="18">
        <v>5706</v>
      </c>
      <c r="H26" s="19">
        <v>3183</v>
      </c>
      <c r="I26" s="17">
        <v>2495</v>
      </c>
      <c r="J26" s="18">
        <v>2915</v>
      </c>
      <c r="K26" s="18">
        <v>4443</v>
      </c>
      <c r="L26" s="18">
        <v>1746</v>
      </c>
      <c r="M26" s="18">
        <v>5776</v>
      </c>
      <c r="N26" s="18">
        <v>1699</v>
      </c>
      <c r="O26" s="127">
        <v>2167</v>
      </c>
      <c r="P26" s="127">
        <v>1818</v>
      </c>
      <c r="Q26" s="127">
        <v>2495</v>
      </c>
      <c r="R26" s="127">
        <v>3910</v>
      </c>
      <c r="S26" s="127">
        <v>4722</v>
      </c>
      <c r="T26" s="128">
        <v>2979</v>
      </c>
      <c r="U26" s="129">
        <v>2646</v>
      </c>
      <c r="V26" s="127">
        <v>2566</v>
      </c>
      <c r="W26" s="127">
        <v>3978</v>
      </c>
      <c r="X26" s="127">
        <v>1564</v>
      </c>
      <c r="Y26" s="127">
        <v>3541</v>
      </c>
      <c r="Z26" s="127">
        <v>1645</v>
      </c>
      <c r="AA26" s="18">
        <v>2266</v>
      </c>
      <c r="AB26" s="18">
        <v>1767</v>
      </c>
      <c r="AC26" s="18">
        <v>1809</v>
      </c>
      <c r="AD26" s="18">
        <v>2248</v>
      </c>
      <c r="AE26" s="18">
        <v>4191</v>
      </c>
      <c r="AF26" s="19">
        <v>3382</v>
      </c>
      <c r="AG26" s="17">
        <v>4971</v>
      </c>
      <c r="AH26" s="18">
        <v>3007</v>
      </c>
      <c r="AI26" s="18">
        <v>3381</v>
      </c>
      <c r="AJ26" s="18">
        <v>2313</v>
      </c>
      <c r="AK26" s="18">
        <v>1934</v>
      </c>
      <c r="AL26" s="18">
        <v>1399</v>
      </c>
      <c r="AM26" s="18">
        <v>3254</v>
      </c>
      <c r="AN26" s="18">
        <v>2713</v>
      </c>
      <c r="AO26" s="18">
        <v>1656</v>
      </c>
      <c r="AP26" s="18">
        <v>3574</v>
      </c>
      <c r="AQ26" s="18">
        <v>3751</v>
      </c>
      <c r="AR26" s="19">
        <v>2638</v>
      </c>
      <c r="AS26" s="17">
        <v>4976</v>
      </c>
      <c r="AT26" s="18">
        <v>2047</v>
      </c>
      <c r="AU26" s="18">
        <v>3222</v>
      </c>
      <c r="AV26" s="18">
        <v>1756</v>
      </c>
      <c r="AW26" s="18">
        <v>1910</v>
      </c>
      <c r="AX26" s="18">
        <v>1660</v>
      </c>
      <c r="AY26" s="18">
        <v>2159</v>
      </c>
      <c r="AZ26" s="18">
        <v>1567</v>
      </c>
      <c r="BA26" s="18">
        <v>1743</v>
      </c>
      <c r="BB26" s="18">
        <v>2976</v>
      </c>
      <c r="BC26" s="18">
        <v>5668</v>
      </c>
      <c r="BD26" s="19">
        <v>2829</v>
      </c>
      <c r="BE26" s="17">
        <v>2780</v>
      </c>
      <c r="BF26" s="18">
        <v>1398</v>
      </c>
      <c r="BG26" s="18">
        <v>3200</v>
      </c>
      <c r="BH26" s="18">
        <v>1262</v>
      </c>
      <c r="BI26" s="18">
        <v>1590.5727316370619</v>
      </c>
      <c r="BJ26" s="18">
        <v>1852</v>
      </c>
      <c r="BK26" s="18">
        <v>2238</v>
      </c>
      <c r="BL26" s="18">
        <v>2707</v>
      </c>
      <c r="BM26" s="18">
        <v>2705</v>
      </c>
      <c r="BN26" s="18">
        <v>2492</v>
      </c>
      <c r="BO26" s="18">
        <v>2744</v>
      </c>
      <c r="BP26" s="19">
        <v>4951</v>
      </c>
      <c r="BQ26" s="17">
        <v>1893</v>
      </c>
      <c r="BR26" s="18">
        <v>2937</v>
      </c>
      <c r="BS26" s="18">
        <v>2355</v>
      </c>
      <c r="BT26" s="18">
        <v>1211</v>
      </c>
      <c r="BU26" s="18">
        <v>2478</v>
      </c>
      <c r="BV26" s="18">
        <v>1581</v>
      </c>
      <c r="BW26" s="18">
        <v>4354</v>
      </c>
      <c r="BX26" s="18">
        <v>2999</v>
      </c>
      <c r="BY26" s="18">
        <v>1866</v>
      </c>
      <c r="BZ26" s="18">
        <v>2542</v>
      </c>
      <c r="CA26" s="18">
        <v>4968</v>
      </c>
      <c r="CB26" s="19">
        <v>2715</v>
      </c>
      <c r="CC26" s="20">
        <v>2984</v>
      </c>
      <c r="CD26" s="18">
        <v>2336</v>
      </c>
      <c r="CE26" s="18">
        <v>2398</v>
      </c>
      <c r="CF26" s="18">
        <v>2594</v>
      </c>
      <c r="CG26" s="18">
        <v>2504</v>
      </c>
      <c r="CH26" s="18">
        <v>1828</v>
      </c>
      <c r="CI26" s="18">
        <v>3620</v>
      </c>
      <c r="CJ26" s="18">
        <v>1810</v>
      </c>
      <c r="CK26" s="18">
        <v>936</v>
      </c>
      <c r="CL26" s="18">
        <v>3257</v>
      </c>
      <c r="CM26" s="18">
        <v>4088</v>
      </c>
      <c r="CN26" s="21">
        <v>3480</v>
      </c>
      <c r="CO26" s="17">
        <v>3254</v>
      </c>
      <c r="CP26" s="18">
        <v>1830</v>
      </c>
      <c r="CQ26" s="18">
        <v>2317</v>
      </c>
      <c r="CR26" s="18">
        <v>2404</v>
      </c>
      <c r="CS26" s="18">
        <v>3188</v>
      </c>
      <c r="CT26" s="18">
        <v>2069</v>
      </c>
      <c r="CU26" s="18">
        <v>2333</v>
      </c>
      <c r="CV26" s="18">
        <v>1875</v>
      </c>
      <c r="CW26" s="18">
        <v>1533</v>
      </c>
      <c r="CX26" s="18">
        <v>7061</v>
      </c>
      <c r="CY26" s="18">
        <v>4051</v>
      </c>
      <c r="CZ26" s="19">
        <v>2479</v>
      </c>
      <c r="DA26" s="17">
        <v>3406</v>
      </c>
      <c r="DB26" s="18">
        <v>2128</v>
      </c>
      <c r="DC26" s="18">
        <v>2478</v>
      </c>
      <c r="DD26" s="18">
        <v>1743</v>
      </c>
      <c r="DE26" s="18">
        <v>3061</v>
      </c>
      <c r="DF26" s="18">
        <v>2226</v>
      </c>
      <c r="DG26" s="18">
        <v>3261</v>
      </c>
      <c r="DH26" s="18">
        <v>2948</v>
      </c>
      <c r="DI26" s="18">
        <v>2306</v>
      </c>
      <c r="DJ26" s="18">
        <v>3068</v>
      </c>
      <c r="DK26" s="18">
        <v>6271</v>
      </c>
      <c r="DL26" s="19">
        <v>3296</v>
      </c>
      <c r="DM26" s="17">
        <v>5805</v>
      </c>
      <c r="DN26" s="18">
        <v>3111</v>
      </c>
      <c r="DO26" s="127">
        <v>3813</v>
      </c>
      <c r="DP26" s="127">
        <v>1607</v>
      </c>
      <c r="DQ26" s="127">
        <v>2212</v>
      </c>
      <c r="DR26" s="127">
        <v>2180</v>
      </c>
      <c r="DS26" s="127">
        <v>3631</v>
      </c>
      <c r="DT26" s="127">
        <v>2011</v>
      </c>
      <c r="DU26" s="127">
        <v>2606</v>
      </c>
      <c r="DV26" s="127">
        <v>4649</v>
      </c>
      <c r="DW26" s="127">
        <v>3675</v>
      </c>
      <c r="DX26" s="128">
        <v>2482</v>
      </c>
      <c r="DY26" s="119">
        <v>2334</v>
      </c>
      <c r="DZ26" s="127">
        <v>4631</v>
      </c>
      <c r="EA26" s="127">
        <v>3279</v>
      </c>
      <c r="EB26" s="119">
        <v>1051</v>
      </c>
      <c r="EC26" s="127">
        <v>1990</v>
      </c>
      <c r="ED26" s="127">
        <v>2054</v>
      </c>
      <c r="EE26" s="127">
        <v>1860</v>
      </c>
      <c r="EF26" s="127">
        <v>1418</v>
      </c>
      <c r="EG26" s="127">
        <v>1568</v>
      </c>
      <c r="EH26" s="127">
        <v>537</v>
      </c>
      <c r="EI26" s="127">
        <v>897</v>
      </c>
      <c r="EJ26" s="128">
        <v>676</v>
      </c>
      <c r="EK26" s="119">
        <v>781</v>
      </c>
      <c r="EL26" s="127">
        <v>777</v>
      </c>
      <c r="EM26" s="127">
        <v>835</v>
      </c>
      <c r="EN26" s="119">
        <v>594</v>
      </c>
      <c r="EO26" s="127">
        <v>1533</v>
      </c>
      <c r="EP26" s="127">
        <v>369</v>
      </c>
      <c r="EQ26" s="127">
        <v>309</v>
      </c>
      <c r="ER26" s="127">
        <v>841</v>
      </c>
      <c r="ES26" s="127">
        <v>758</v>
      </c>
      <c r="ET26" s="127">
        <v>550</v>
      </c>
      <c r="EU26" s="127">
        <v>1083</v>
      </c>
      <c r="EV26" s="128">
        <v>1352</v>
      </c>
      <c r="EW26" s="119">
        <v>1669</v>
      </c>
      <c r="EX26" s="109">
        <v>1388</v>
      </c>
      <c r="EY26" s="127">
        <v>1269</v>
      </c>
      <c r="EZ26" s="119">
        <v>1047</v>
      </c>
      <c r="FA26" s="18">
        <v>1043</v>
      </c>
      <c r="FB26" s="149">
        <v>1199</v>
      </c>
      <c r="FC26" s="18">
        <v>903</v>
      </c>
      <c r="FD26" s="18">
        <v>965</v>
      </c>
      <c r="FE26" s="149">
        <v>1505</v>
      </c>
      <c r="FF26" s="149">
        <v>734</v>
      </c>
      <c r="FG26" s="149">
        <v>5335</v>
      </c>
      <c r="FH26" s="149">
        <v>2634</v>
      </c>
      <c r="FI26" s="119">
        <f>'Average Sunday-Holiday Boarding'!FI26*6</f>
        <v>1516</v>
      </c>
      <c r="FJ26" s="109">
        <f>'Average Sunday-Holiday Boarding'!FJ26*4</f>
        <v>1023</v>
      </c>
      <c r="FK26" s="127">
        <f>'Average Sunday-Holiday Boarding'!FK26*5</f>
        <v>1424</v>
      </c>
      <c r="FL26" s="119">
        <v>1225</v>
      </c>
      <c r="FM26" s="18">
        <v>1184</v>
      </c>
      <c r="FN26" s="149">
        <v>1259</v>
      </c>
      <c r="FO26" s="18">
        <v>1242</v>
      </c>
      <c r="FP26" s="18">
        <v>1999</v>
      </c>
      <c r="FQ26" s="149">
        <v>1501</v>
      </c>
      <c r="FR26" s="149">
        <v>2081</v>
      </c>
      <c r="FS26" s="149">
        <v>2635</v>
      </c>
      <c r="FT26" s="155">
        <v>2450</v>
      </c>
      <c r="FU26" s="169">
        <v>2171</v>
      </c>
      <c r="FV26" s="169">
        <v>1774</v>
      </c>
      <c r="FW26" s="169">
        <v>1776</v>
      </c>
      <c r="FX26" s="169">
        <v>1586</v>
      </c>
      <c r="FY26" s="169">
        <v>1160</v>
      </c>
      <c r="FZ26" s="169">
        <v>2803</v>
      </c>
      <c r="GA26" s="169">
        <v>1388</v>
      </c>
      <c r="GB26" s="18">
        <v>1628</v>
      </c>
      <c r="GC26" s="18">
        <v>1678</v>
      </c>
      <c r="GD26" s="18">
        <v>2512</v>
      </c>
      <c r="GE26" s="18">
        <v>2416</v>
      </c>
      <c r="GF26" s="52">
        <v>2615</v>
      </c>
      <c r="GG26" s="18">
        <v>1358</v>
      </c>
      <c r="GH26" s="18">
        <v>1338</v>
      </c>
      <c r="GI26" s="184">
        <v>3559</v>
      </c>
      <c r="GJ26" s="184">
        <v>1071</v>
      </c>
      <c r="GK26" s="184">
        <v>1418</v>
      </c>
      <c r="GL26" s="184">
        <v>1722</v>
      </c>
    </row>
    <row r="27" spans="1:194" x14ac:dyDescent="0.3">
      <c r="A27" s="3" t="s">
        <v>40</v>
      </c>
      <c r="B27" s="17"/>
      <c r="C27" s="18">
        <v>2626</v>
      </c>
      <c r="D27" s="18">
        <v>703</v>
      </c>
      <c r="E27" s="18">
        <v>717</v>
      </c>
      <c r="F27" s="18">
        <v>666</v>
      </c>
      <c r="G27" s="18">
        <v>779</v>
      </c>
      <c r="H27" s="19">
        <v>574</v>
      </c>
      <c r="I27" s="17">
        <v>795</v>
      </c>
      <c r="J27" s="18">
        <v>729</v>
      </c>
      <c r="K27" s="18">
        <v>751</v>
      </c>
      <c r="L27" s="18">
        <v>683</v>
      </c>
      <c r="M27" s="18">
        <v>1338</v>
      </c>
      <c r="N27" s="18">
        <v>717</v>
      </c>
      <c r="O27" s="127">
        <v>1323</v>
      </c>
      <c r="P27" s="127">
        <v>884</v>
      </c>
      <c r="Q27" s="127">
        <v>670</v>
      </c>
      <c r="R27" s="127">
        <v>708</v>
      </c>
      <c r="S27" s="127">
        <v>1051</v>
      </c>
      <c r="T27" s="128">
        <v>666</v>
      </c>
      <c r="U27" s="129">
        <v>647</v>
      </c>
      <c r="V27" s="127">
        <v>751</v>
      </c>
      <c r="W27" s="127">
        <v>924</v>
      </c>
      <c r="X27" s="127">
        <v>793</v>
      </c>
      <c r="Y27" s="127">
        <v>1410</v>
      </c>
      <c r="Z27" s="127">
        <v>785</v>
      </c>
      <c r="AA27" s="18">
        <v>1103</v>
      </c>
      <c r="AB27" s="18">
        <v>1063</v>
      </c>
      <c r="AC27" s="18">
        <v>723</v>
      </c>
      <c r="AD27" s="18">
        <v>753</v>
      </c>
      <c r="AE27" s="18">
        <v>1057</v>
      </c>
      <c r="AF27" s="19">
        <v>639</v>
      </c>
      <c r="AG27" s="17">
        <v>1139</v>
      </c>
      <c r="AH27" s="18">
        <v>711</v>
      </c>
      <c r="AI27" s="18">
        <v>883</v>
      </c>
      <c r="AJ27" s="18">
        <v>950</v>
      </c>
      <c r="AK27" s="18">
        <v>1155</v>
      </c>
      <c r="AL27" s="18">
        <v>924</v>
      </c>
      <c r="AM27" s="18">
        <v>1250</v>
      </c>
      <c r="AN27" s="18">
        <v>966</v>
      </c>
      <c r="AO27" s="18">
        <v>694</v>
      </c>
      <c r="AP27" s="18">
        <v>1023</v>
      </c>
      <c r="AQ27" s="18">
        <v>1032</v>
      </c>
      <c r="AR27" s="19">
        <v>824</v>
      </c>
      <c r="AS27" s="17">
        <v>1233</v>
      </c>
      <c r="AT27" s="18">
        <v>838</v>
      </c>
      <c r="AU27" s="18">
        <v>1158</v>
      </c>
      <c r="AV27" s="18">
        <v>871</v>
      </c>
      <c r="AW27" s="18">
        <v>1294</v>
      </c>
      <c r="AX27" s="18">
        <v>1199</v>
      </c>
      <c r="AY27" s="18">
        <v>1213</v>
      </c>
      <c r="AZ27" s="18">
        <v>1227</v>
      </c>
      <c r="BA27" s="18">
        <v>1231</v>
      </c>
      <c r="BB27" s="18">
        <v>976</v>
      </c>
      <c r="BC27" s="18">
        <v>1117</v>
      </c>
      <c r="BD27" s="19">
        <v>987</v>
      </c>
      <c r="BE27" s="17">
        <v>983</v>
      </c>
      <c r="BF27" s="18">
        <v>830</v>
      </c>
      <c r="BG27" s="18">
        <v>1343</v>
      </c>
      <c r="BH27" s="18">
        <v>898</v>
      </c>
      <c r="BI27" s="18">
        <v>1395.2093134901584</v>
      </c>
      <c r="BJ27" s="18">
        <v>1552</v>
      </c>
      <c r="BK27" s="18">
        <v>1693</v>
      </c>
      <c r="BL27" s="18">
        <v>1363</v>
      </c>
      <c r="BM27" s="18">
        <v>1187</v>
      </c>
      <c r="BN27" s="18">
        <v>885</v>
      </c>
      <c r="BO27" s="18">
        <v>1071</v>
      </c>
      <c r="BP27" s="19">
        <v>1009</v>
      </c>
      <c r="BQ27" s="17">
        <v>1179</v>
      </c>
      <c r="BR27" s="18">
        <v>1189</v>
      </c>
      <c r="BS27" s="18">
        <v>1197</v>
      </c>
      <c r="BT27" s="18">
        <v>929</v>
      </c>
      <c r="BU27" s="18">
        <v>1958</v>
      </c>
      <c r="BV27" s="18">
        <v>1321</v>
      </c>
      <c r="BW27" s="18">
        <v>1567</v>
      </c>
      <c r="BX27" s="18">
        <v>1337</v>
      </c>
      <c r="BY27" s="18">
        <v>1166</v>
      </c>
      <c r="BZ27" s="18">
        <v>984</v>
      </c>
      <c r="CA27" s="18">
        <v>1338</v>
      </c>
      <c r="CB27" s="19">
        <v>828</v>
      </c>
      <c r="CC27" s="20">
        <v>1210</v>
      </c>
      <c r="CD27" s="18">
        <v>1063</v>
      </c>
      <c r="CE27" s="18">
        <v>1187</v>
      </c>
      <c r="CF27" s="18">
        <v>1026</v>
      </c>
      <c r="CG27" s="18">
        <v>2129</v>
      </c>
      <c r="CH27" s="18">
        <v>1505</v>
      </c>
      <c r="CI27" s="18">
        <v>2337</v>
      </c>
      <c r="CJ27" s="18">
        <v>1326</v>
      </c>
      <c r="CK27" s="18">
        <v>1095</v>
      </c>
      <c r="CL27" s="18">
        <v>1190</v>
      </c>
      <c r="CM27" s="18">
        <v>1677</v>
      </c>
      <c r="CN27" s="21">
        <v>1118</v>
      </c>
      <c r="CO27" s="17">
        <v>1442</v>
      </c>
      <c r="CP27" s="18">
        <v>993</v>
      </c>
      <c r="CQ27" s="18">
        <v>1192</v>
      </c>
      <c r="CR27" s="18">
        <v>1307</v>
      </c>
      <c r="CS27" s="18">
        <v>1845</v>
      </c>
      <c r="CT27" s="18">
        <v>1633</v>
      </c>
      <c r="CU27" s="18">
        <v>1555</v>
      </c>
      <c r="CV27" s="18">
        <v>1050</v>
      </c>
      <c r="CW27" s="18">
        <v>1021</v>
      </c>
      <c r="CX27" s="18">
        <v>1928</v>
      </c>
      <c r="CY27" s="18">
        <v>1242</v>
      </c>
      <c r="CZ27" s="19">
        <v>914</v>
      </c>
      <c r="DA27" s="17">
        <v>1556</v>
      </c>
      <c r="DB27" s="18">
        <v>929</v>
      </c>
      <c r="DC27" s="18">
        <v>1145</v>
      </c>
      <c r="DD27" s="18">
        <v>1250</v>
      </c>
      <c r="DE27" s="18">
        <v>1812</v>
      </c>
      <c r="DF27" s="18">
        <v>1375</v>
      </c>
      <c r="DG27" s="18">
        <v>1292</v>
      </c>
      <c r="DH27" s="18">
        <v>1107</v>
      </c>
      <c r="DI27" s="18">
        <v>814</v>
      </c>
      <c r="DJ27" s="18">
        <v>983</v>
      </c>
      <c r="DK27" s="18">
        <v>981</v>
      </c>
      <c r="DL27" s="19">
        <v>712</v>
      </c>
      <c r="DM27" s="17">
        <v>1121</v>
      </c>
      <c r="DN27" s="18">
        <v>782</v>
      </c>
      <c r="DO27" s="127">
        <v>1118</v>
      </c>
      <c r="DP27" s="127">
        <v>790</v>
      </c>
      <c r="DQ27" s="127">
        <v>944</v>
      </c>
      <c r="DR27" s="127">
        <v>1160</v>
      </c>
      <c r="DS27" s="127">
        <v>965</v>
      </c>
      <c r="DT27" s="127">
        <v>765</v>
      </c>
      <c r="DU27" s="127">
        <v>1049</v>
      </c>
      <c r="DV27" s="127">
        <v>219</v>
      </c>
      <c r="DW27" s="127">
        <v>1038</v>
      </c>
      <c r="DX27" s="128">
        <v>1047</v>
      </c>
      <c r="DY27" s="119">
        <v>884</v>
      </c>
      <c r="DZ27" s="127">
        <v>856</v>
      </c>
      <c r="EA27" s="127">
        <v>1339</v>
      </c>
      <c r="EB27" s="119">
        <v>915</v>
      </c>
      <c r="EC27" s="127">
        <v>1090</v>
      </c>
      <c r="ED27" s="127">
        <v>1273</v>
      </c>
      <c r="EE27" s="127">
        <v>899</v>
      </c>
      <c r="EF27" s="127">
        <v>801</v>
      </c>
      <c r="EG27" s="127">
        <v>843</v>
      </c>
      <c r="EH27" s="127">
        <v>439</v>
      </c>
      <c r="EI27" s="127">
        <v>566</v>
      </c>
      <c r="EJ27" s="128">
        <v>377</v>
      </c>
      <c r="EK27" s="119">
        <v>474</v>
      </c>
      <c r="EL27" s="127">
        <v>450</v>
      </c>
      <c r="EM27" s="127">
        <v>504</v>
      </c>
      <c r="EN27" s="119">
        <v>353</v>
      </c>
      <c r="EO27" s="127">
        <v>415</v>
      </c>
      <c r="EP27" s="127">
        <v>321</v>
      </c>
      <c r="EQ27" s="127">
        <v>203</v>
      </c>
      <c r="ER27" s="127">
        <v>408</v>
      </c>
      <c r="ES27" s="127">
        <v>362</v>
      </c>
      <c r="ET27" s="127">
        <v>384</v>
      </c>
      <c r="EU27" s="127">
        <v>442</v>
      </c>
      <c r="EV27" s="128">
        <v>371</v>
      </c>
      <c r="EW27" s="119">
        <v>511</v>
      </c>
      <c r="EX27" s="109">
        <v>532</v>
      </c>
      <c r="EY27" s="127">
        <v>404</v>
      </c>
      <c r="EZ27" s="119">
        <v>494</v>
      </c>
      <c r="FA27" s="18">
        <v>501</v>
      </c>
      <c r="FB27" s="149">
        <v>644</v>
      </c>
      <c r="FC27" s="18">
        <v>490</v>
      </c>
      <c r="FD27" s="18">
        <v>443</v>
      </c>
      <c r="FE27" s="149">
        <v>561</v>
      </c>
      <c r="FF27" s="149">
        <v>524</v>
      </c>
      <c r="FG27" s="149">
        <v>900</v>
      </c>
      <c r="FH27" s="149">
        <v>423</v>
      </c>
      <c r="FI27" s="119">
        <f>'Average Sunday-Holiday Boarding'!FI27*6</f>
        <v>637</v>
      </c>
      <c r="FJ27" s="109">
        <f>'Average Sunday-Holiday Boarding'!FJ27*4</f>
        <v>408</v>
      </c>
      <c r="FK27" s="127">
        <f>'Average Sunday-Holiday Boarding'!FK27*5</f>
        <v>512</v>
      </c>
      <c r="FL27" s="119">
        <v>509</v>
      </c>
      <c r="FM27" s="18">
        <v>414</v>
      </c>
      <c r="FN27" s="149">
        <v>555</v>
      </c>
      <c r="FO27" s="18">
        <v>587</v>
      </c>
      <c r="FP27" s="18">
        <v>499</v>
      </c>
      <c r="FQ27" s="149">
        <v>623</v>
      </c>
      <c r="FR27" s="149">
        <v>737</v>
      </c>
      <c r="FS27" s="149">
        <v>717</v>
      </c>
      <c r="FT27" s="155">
        <v>489</v>
      </c>
      <c r="FU27" s="169">
        <v>691</v>
      </c>
      <c r="FV27" s="169">
        <v>700</v>
      </c>
      <c r="FW27" s="169">
        <v>639</v>
      </c>
      <c r="FX27" s="169">
        <v>647</v>
      </c>
      <c r="FY27" s="169">
        <v>640</v>
      </c>
      <c r="FZ27" s="169">
        <v>638</v>
      </c>
      <c r="GA27" s="169">
        <v>763</v>
      </c>
      <c r="GB27" s="18">
        <v>667</v>
      </c>
      <c r="GC27" s="18">
        <v>687</v>
      </c>
      <c r="GD27" s="18">
        <v>563</v>
      </c>
      <c r="GE27" s="18">
        <v>611</v>
      </c>
      <c r="GF27" s="52">
        <v>618</v>
      </c>
      <c r="GG27" s="18">
        <v>488</v>
      </c>
      <c r="GH27" s="18">
        <v>487</v>
      </c>
      <c r="GI27" s="184">
        <v>700</v>
      </c>
      <c r="GJ27" s="184">
        <v>459</v>
      </c>
      <c r="GK27" s="184">
        <v>544</v>
      </c>
      <c r="GL27" s="184">
        <v>654</v>
      </c>
    </row>
    <row r="28" spans="1:194" x14ac:dyDescent="0.3">
      <c r="A28" s="3" t="s">
        <v>41</v>
      </c>
      <c r="B28" s="17"/>
      <c r="C28" s="18">
        <v>585</v>
      </c>
      <c r="D28" s="18">
        <v>694</v>
      </c>
      <c r="E28" s="18">
        <v>790</v>
      </c>
      <c r="F28" s="18">
        <v>694</v>
      </c>
      <c r="G28" s="18">
        <v>712</v>
      </c>
      <c r="H28" s="19">
        <v>446</v>
      </c>
      <c r="I28" s="17">
        <v>673</v>
      </c>
      <c r="J28" s="18">
        <v>507</v>
      </c>
      <c r="K28" s="18">
        <v>614</v>
      </c>
      <c r="L28" s="18">
        <v>524</v>
      </c>
      <c r="M28" s="18">
        <v>1147</v>
      </c>
      <c r="N28" s="18">
        <v>505</v>
      </c>
      <c r="O28" s="127">
        <v>923</v>
      </c>
      <c r="P28" s="127">
        <v>637</v>
      </c>
      <c r="Q28" s="127">
        <v>745</v>
      </c>
      <c r="R28" s="127">
        <v>600</v>
      </c>
      <c r="S28" s="127">
        <v>869</v>
      </c>
      <c r="T28" s="128">
        <v>427</v>
      </c>
      <c r="U28" s="129">
        <v>437</v>
      </c>
      <c r="V28" s="127">
        <v>532</v>
      </c>
      <c r="W28" s="127">
        <v>614</v>
      </c>
      <c r="X28" s="127">
        <v>623</v>
      </c>
      <c r="Y28" s="127">
        <v>1062</v>
      </c>
      <c r="Z28" s="127">
        <v>575</v>
      </c>
      <c r="AA28" s="18">
        <v>808</v>
      </c>
      <c r="AB28" s="18">
        <v>748</v>
      </c>
      <c r="AC28" s="18">
        <v>640</v>
      </c>
      <c r="AD28" s="18">
        <v>634</v>
      </c>
      <c r="AE28" s="18">
        <v>835</v>
      </c>
      <c r="AF28" s="19">
        <v>516</v>
      </c>
      <c r="AG28" s="17">
        <v>887</v>
      </c>
      <c r="AH28" s="18">
        <v>534</v>
      </c>
      <c r="AI28" s="18">
        <v>637</v>
      </c>
      <c r="AJ28" s="18">
        <v>767</v>
      </c>
      <c r="AK28" s="18">
        <v>991</v>
      </c>
      <c r="AL28" s="18">
        <v>740</v>
      </c>
      <c r="AM28" s="18">
        <v>1075</v>
      </c>
      <c r="AN28" s="18">
        <v>846</v>
      </c>
      <c r="AO28" s="18">
        <v>637</v>
      </c>
      <c r="AP28" s="18">
        <v>841</v>
      </c>
      <c r="AQ28" s="18">
        <v>837</v>
      </c>
      <c r="AR28" s="19">
        <v>638</v>
      </c>
      <c r="AS28" s="17">
        <v>965</v>
      </c>
      <c r="AT28" s="18">
        <v>494</v>
      </c>
      <c r="AU28" s="18">
        <v>857</v>
      </c>
      <c r="AV28" s="18">
        <v>648</v>
      </c>
      <c r="AW28" s="18">
        <v>944</v>
      </c>
      <c r="AX28" s="18">
        <v>878</v>
      </c>
      <c r="AY28" s="18">
        <v>1045</v>
      </c>
      <c r="AZ28" s="18">
        <v>936</v>
      </c>
      <c r="BA28" s="18">
        <v>917</v>
      </c>
      <c r="BB28" s="18">
        <v>718</v>
      </c>
      <c r="BC28" s="18">
        <v>821</v>
      </c>
      <c r="BD28" s="19">
        <v>702</v>
      </c>
      <c r="BE28" s="17">
        <v>834</v>
      </c>
      <c r="BF28" s="18">
        <v>579</v>
      </c>
      <c r="BG28" s="18">
        <v>910</v>
      </c>
      <c r="BH28" s="18">
        <v>683</v>
      </c>
      <c r="BI28" s="18">
        <v>945.44541526644264</v>
      </c>
      <c r="BJ28" s="18">
        <v>1146</v>
      </c>
      <c r="BK28" s="18">
        <v>1085</v>
      </c>
      <c r="BL28" s="18">
        <v>1060</v>
      </c>
      <c r="BM28" s="18">
        <v>1036</v>
      </c>
      <c r="BN28" s="18">
        <v>792</v>
      </c>
      <c r="BO28" s="18">
        <v>950</v>
      </c>
      <c r="BP28" s="19">
        <v>994</v>
      </c>
      <c r="BQ28" s="17">
        <v>895</v>
      </c>
      <c r="BR28" s="18">
        <v>905</v>
      </c>
      <c r="BS28" s="18">
        <v>934</v>
      </c>
      <c r="BT28" s="18">
        <v>722</v>
      </c>
      <c r="BU28" s="18">
        <v>1418</v>
      </c>
      <c r="BV28" s="18">
        <v>1011</v>
      </c>
      <c r="BW28" s="18">
        <v>1136</v>
      </c>
      <c r="BX28" s="18">
        <v>1010</v>
      </c>
      <c r="BY28" s="18">
        <v>965</v>
      </c>
      <c r="BZ28" s="18">
        <v>749</v>
      </c>
      <c r="CA28" s="18">
        <v>1067</v>
      </c>
      <c r="CB28" s="19">
        <v>670</v>
      </c>
      <c r="CC28" s="20">
        <v>948</v>
      </c>
      <c r="CD28" s="18">
        <v>849</v>
      </c>
      <c r="CE28" s="18">
        <v>978</v>
      </c>
      <c r="CF28" s="18">
        <v>879</v>
      </c>
      <c r="CG28" s="18">
        <v>1649</v>
      </c>
      <c r="CH28" s="18">
        <v>1140</v>
      </c>
      <c r="CI28" s="18">
        <v>1571</v>
      </c>
      <c r="CJ28" s="18">
        <v>1092</v>
      </c>
      <c r="CK28" s="18">
        <v>888</v>
      </c>
      <c r="CL28" s="18">
        <v>882</v>
      </c>
      <c r="CM28" s="18">
        <v>1194</v>
      </c>
      <c r="CN28" s="21">
        <v>766</v>
      </c>
      <c r="CO28" s="17">
        <v>1198</v>
      </c>
      <c r="CP28" s="18">
        <v>826</v>
      </c>
      <c r="CQ28" s="18">
        <v>1075</v>
      </c>
      <c r="CR28" s="18">
        <v>1174</v>
      </c>
      <c r="CS28" s="18">
        <v>2160</v>
      </c>
      <c r="CT28" s="18">
        <v>1886</v>
      </c>
      <c r="CU28" s="18">
        <v>1816</v>
      </c>
      <c r="CV28" s="18">
        <v>1334</v>
      </c>
      <c r="CW28" s="18">
        <v>871</v>
      </c>
      <c r="CX28" s="18">
        <v>1424</v>
      </c>
      <c r="CY28" s="18">
        <v>909</v>
      </c>
      <c r="CZ28" s="19">
        <v>756</v>
      </c>
      <c r="DA28" s="17">
        <v>1151</v>
      </c>
      <c r="DB28" s="18">
        <v>765</v>
      </c>
      <c r="DC28" s="18">
        <v>949</v>
      </c>
      <c r="DD28" s="18">
        <v>1042</v>
      </c>
      <c r="DE28" s="18">
        <v>1521</v>
      </c>
      <c r="DF28" s="18">
        <v>1216</v>
      </c>
      <c r="DG28" s="18">
        <v>1505</v>
      </c>
      <c r="DH28" s="18">
        <v>1316</v>
      </c>
      <c r="DI28" s="18">
        <v>939</v>
      </c>
      <c r="DJ28" s="18">
        <v>1109</v>
      </c>
      <c r="DK28" s="18">
        <v>1161</v>
      </c>
      <c r="DL28" s="19">
        <v>833</v>
      </c>
      <c r="DM28" s="17">
        <v>1421</v>
      </c>
      <c r="DN28" s="18">
        <v>856</v>
      </c>
      <c r="DO28" s="127">
        <v>1285</v>
      </c>
      <c r="DP28" s="127">
        <v>844</v>
      </c>
      <c r="DQ28" s="127">
        <v>1069</v>
      </c>
      <c r="DR28" s="127">
        <v>1210</v>
      </c>
      <c r="DS28" s="127">
        <v>1120</v>
      </c>
      <c r="DT28" s="127">
        <v>846</v>
      </c>
      <c r="DU28" s="127">
        <v>1088</v>
      </c>
      <c r="DV28" s="127">
        <v>769</v>
      </c>
      <c r="DW28" s="127">
        <v>904</v>
      </c>
      <c r="DX28" s="128">
        <v>872</v>
      </c>
      <c r="DY28" s="119">
        <v>828</v>
      </c>
      <c r="DZ28" s="127">
        <v>617</v>
      </c>
      <c r="EA28" s="127">
        <v>1082</v>
      </c>
      <c r="EB28" s="119">
        <v>829</v>
      </c>
      <c r="EC28" s="127">
        <v>951</v>
      </c>
      <c r="ED28" s="127">
        <v>999</v>
      </c>
      <c r="EE28" s="127">
        <v>933</v>
      </c>
      <c r="EF28" s="127">
        <v>795</v>
      </c>
      <c r="EG28" s="127">
        <v>937</v>
      </c>
      <c r="EH28" s="127">
        <v>533</v>
      </c>
      <c r="EI28" s="127">
        <v>717</v>
      </c>
      <c r="EJ28" s="128">
        <v>403</v>
      </c>
      <c r="EK28" s="119">
        <v>495</v>
      </c>
      <c r="EL28" s="127">
        <v>466</v>
      </c>
      <c r="EM28" s="127">
        <v>439</v>
      </c>
      <c r="EN28" s="119">
        <v>359</v>
      </c>
      <c r="EO28" s="127">
        <v>502</v>
      </c>
      <c r="EP28" s="127">
        <v>285</v>
      </c>
      <c r="EQ28" s="127">
        <v>206</v>
      </c>
      <c r="ER28" s="127">
        <v>395</v>
      </c>
      <c r="ES28" s="127">
        <v>396</v>
      </c>
      <c r="ET28" s="127">
        <v>445</v>
      </c>
      <c r="EU28" s="127">
        <v>526</v>
      </c>
      <c r="EV28" s="128">
        <v>462</v>
      </c>
      <c r="EW28" s="119">
        <v>599</v>
      </c>
      <c r="EX28" s="109">
        <v>651</v>
      </c>
      <c r="EY28" s="127">
        <v>497</v>
      </c>
      <c r="EZ28" s="119">
        <v>600</v>
      </c>
      <c r="FA28" s="18">
        <v>523</v>
      </c>
      <c r="FB28" s="149">
        <v>693</v>
      </c>
      <c r="FC28" s="18">
        <v>538</v>
      </c>
      <c r="FD28" s="18">
        <v>526</v>
      </c>
      <c r="FE28" s="149">
        <v>609</v>
      </c>
      <c r="FF28" s="149">
        <v>874</v>
      </c>
      <c r="FG28" s="149">
        <v>1240</v>
      </c>
      <c r="FH28" s="149">
        <v>652</v>
      </c>
      <c r="FI28" s="119">
        <f>'Average Sunday-Holiday Boarding'!FI28*6</f>
        <v>649</v>
      </c>
      <c r="FJ28" s="109">
        <f>'Average Sunday-Holiday Boarding'!FJ28*4</f>
        <v>546</v>
      </c>
      <c r="FK28" s="127">
        <f>'Average Sunday-Holiday Boarding'!FK28*5</f>
        <v>568</v>
      </c>
      <c r="FL28" s="119">
        <v>622</v>
      </c>
      <c r="FM28" s="18">
        <v>559</v>
      </c>
      <c r="FN28" s="149">
        <v>630</v>
      </c>
      <c r="FO28" s="18">
        <v>679</v>
      </c>
      <c r="FP28" s="18">
        <v>515</v>
      </c>
      <c r="FQ28" s="149">
        <v>637</v>
      </c>
      <c r="FR28" s="149">
        <v>741</v>
      </c>
      <c r="FS28" s="149">
        <v>720</v>
      </c>
      <c r="FT28" s="155">
        <v>593</v>
      </c>
      <c r="FU28" s="169">
        <v>867</v>
      </c>
      <c r="FV28" s="169">
        <v>817</v>
      </c>
      <c r="FW28" s="169">
        <v>736</v>
      </c>
      <c r="FX28" s="169">
        <v>730</v>
      </c>
      <c r="FY28" s="169">
        <v>751</v>
      </c>
      <c r="FZ28" s="169">
        <v>741</v>
      </c>
      <c r="GA28" s="169">
        <v>812</v>
      </c>
      <c r="GB28" s="18">
        <v>669</v>
      </c>
      <c r="GC28" s="18">
        <v>792</v>
      </c>
      <c r="GD28" s="18">
        <v>709</v>
      </c>
      <c r="GE28" s="18">
        <v>830</v>
      </c>
      <c r="GF28" s="52">
        <v>869</v>
      </c>
      <c r="GG28" s="18">
        <v>711</v>
      </c>
      <c r="GH28" s="18">
        <v>631</v>
      </c>
      <c r="GI28" s="184">
        <v>911</v>
      </c>
      <c r="GJ28" s="184">
        <v>606</v>
      </c>
      <c r="GK28" s="184">
        <v>626</v>
      </c>
      <c r="GL28" s="184">
        <v>741</v>
      </c>
    </row>
    <row r="29" spans="1:194" x14ac:dyDescent="0.3">
      <c r="A29" s="3" t="s">
        <v>42</v>
      </c>
      <c r="B29" s="17"/>
      <c r="C29" s="18">
        <v>2306</v>
      </c>
      <c r="D29" s="18">
        <v>811</v>
      </c>
      <c r="E29" s="18">
        <v>957</v>
      </c>
      <c r="F29" s="18">
        <v>709</v>
      </c>
      <c r="G29" s="18">
        <v>1108</v>
      </c>
      <c r="H29" s="19">
        <v>658</v>
      </c>
      <c r="I29" s="17">
        <v>1105</v>
      </c>
      <c r="J29" s="18">
        <v>913</v>
      </c>
      <c r="K29" s="18">
        <v>969</v>
      </c>
      <c r="L29" s="18">
        <v>891</v>
      </c>
      <c r="M29" s="18">
        <v>2062</v>
      </c>
      <c r="N29" s="18">
        <v>1080</v>
      </c>
      <c r="O29" s="127">
        <v>1589</v>
      </c>
      <c r="P29" s="127">
        <v>1176</v>
      </c>
      <c r="Q29" s="127">
        <v>1039</v>
      </c>
      <c r="R29" s="127">
        <v>888</v>
      </c>
      <c r="S29" s="127">
        <v>1257</v>
      </c>
      <c r="T29" s="128">
        <v>781</v>
      </c>
      <c r="U29" s="129">
        <v>891</v>
      </c>
      <c r="V29" s="127">
        <v>1139</v>
      </c>
      <c r="W29" s="127">
        <v>1140</v>
      </c>
      <c r="X29" s="127">
        <v>1325</v>
      </c>
      <c r="Y29" s="127">
        <v>2059</v>
      </c>
      <c r="Z29" s="127">
        <v>1021</v>
      </c>
      <c r="AA29" s="18">
        <v>1415</v>
      </c>
      <c r="AB29" s="18">
        <v>1406</v>
      </c>
      <c r="AC29" s="18">
        <v>1178</v>
      </c>
      <c r="AD29" s="18">
        <v>1019</v>
      </c>
      <c r="AE29" s="18">
        <v>1457</v>
      </c>
      <c r="AF29" s="19">
        <v>843</v>
      </c>
      <c r="AG29" s="17">
        <v>1424</v>
      </c>
      <c r="AH29" s="18">
        <v>866</v>
      </c>
      <c r="AI29" s="18">
        <v>1182</v>
      </c>
      <c r="AJ29" s="18">
        <v>1332</v>
      </c>
      <c r="AK29" s="18">
        <v>1950</v>
      </c>
      <c r="AL29" s="18">
        <v>1206</v>
      </c>
      <c r="AM29" s="18">
        <v>1771</v>
      </c>
      <c r="AN29" s="18">
        <v>1457</v>
      </c>
      <c r="AO29" s="18">
        <v>1132</v>
      </c>
      <c r="AP29" s="18">
        <v>1540</v>
      </c>
      <c r="AQ29" s="18">
        <v>1388</v>
      </c>
      <c r="AR29" s="19">
        <v>1111</v>
      </c>
      <c r="AS29" s="17">
        <v>1898</v>
      </c>
      <c r="AT29" s="18">
        <v>1156</v>
      </c>
      <c r="AU29" s="18">
        <v>1733</v>
      </c>
      <c r="AV29" s="18">
        <v>1357</v>
      </c>
      <c r="AW29" s="18">
        <v>2084</v>
      </c>
      <c r="AX29" s="18">
        <v>1927</v>
      </c>
      <c r="AY29" s="18">
        <v>1873</v>
      </c>
      <c r="AZ29" s="18">
        <v>1850</v>
      </c>
      <c r="BA29" s="18">
        <v>1884</v>
      </c>
      <c r="BB29" s="18">
        <v>1384</v>
      </c>
      <c r="BC29" s="18">
        <v>1770</v>
      </c>
      <c r="BD29" s="19">
        <v>1529</v>
      </c>
      <c r="BE29" s="17">
        <v>1599</v>
      </c>
      <c r="BF29" s="18">
        <v>1229</v>
      </c>
      <c r="BG29" s="18">
        <v>1974</v>
      </c>
      <c r="BH29" s="18">
        <v>1403</v>
      </c>
      <c r="BI29" s="18">
        <v>2311.0666346615458</v>
      </c>
      <c r="BJ29" s="18">
        <v>2336</v>
      </c>
      <c r="BK29" s="18">
        <v>2279</v>
      </c>
      <c r="BL29" s="18">
        <v>1896</v>
      </c>
      <c r="BM29" s="18">
        <v>1844</v>
      </c>
      <c r="BN29" s="18">
        <v>1429</v>
      </c>
      <c r="BO29" s="18">
        <v>1616</v>
      </c>
      <c r="BP29" s="19">
        <v>1540</v>
      </c>
      <c r="BQ29" s="17">
        <v>1810</v>
      </c>
      <c r="BR29" s="18">
        <v>1710</v>
      </c>
      <c r="BS29" s="18">
        <v>1780</v>
      </c>
      <c r="BT29" s="18">
        <v>1513</v>
      </c>
      <c r="BU29" s="18">
        <v>3002</v>
      </c>
      <c r="BV29" s="18">
        <v>2000</v>
      </c>
      <c r="BW29" s="18">
        <v>2191</v>
      </c>
      <c r="BX29" s="18">
        <v>1975</v>
      </c>
      <c r="BY29" s="18">
        <v>1832</v>
      </c>
      <c r="BZ29" s="18">
        <v>1369</v>
      </c>
      <c r="CA29" s="18">
        <v>1874</v>
      </c>
      <c r="CB29" s="19">
        <v>1288</v>
      </c>
      <c r="CC29" s="20">
        <v>1782</v>
      </c>
      <c r="CD29" s="18">
        <v>1582</v>
      </c>
      <c r="CE29" s="18">
        <v>1880</v>
      </c>
      <c r="CF29" s="18">
        <v>1618</v>
      </c>
      <c r="CG29" s="18">
        <v>3212</v>
      </c>
      <c r="CH29" s="18">
        <v>2303</v>
      </c>
      <c r="CI29" s="18">
        <v>2830</v>
      </c>
      <c r="CJ29" s="18">
        <v>2117</v>
      </c>
      <c r="CK29" s="18">
        <v>1770</v>
      </c>
      <c r="CL29" s="18">
        <v>2005</v>
      </c>
      <c r="CM29" s="18">
        <v>2756</v>
      </c>
      <c r="CN29" s="21">
        <v>1864</v>
      </c>
      <c r="CO29" s="17">
        <v>2233</v>
      </c>
      <c r="CP29" s="18">
        <v>1504</v>
      </c>
      <c r="CQ29" s="18">
        <v>1769</v>
      </c>
      <c r="CR29" s="18">
        <v>1856</v>
      </c>
      <c r="CS29" s="18">
        <v>3082</v>
      </c>
      <c r="CT29" s="18">
        <v>2838</v>
      </c>
      <c r="CU29" s="18">
        <v>2585</v>
      </c>
      <c r="CV29" s="18">
        <v>1775</v>
      </c>
      <c r="CW29" s="18">
        <v>1427</v>
      </c>
      <c r="CX29" s="18">
        <v>1934</v>
      </c>
      <c r="CY29" s="18">
        <v>1617</v>
      </c>
      <c r="CZ29" s="19">
        <v>1243</v>
      </c>
      <c r="DA29" s="17">
        <v>1897</v>
      </c>
      <c r="DB29" s="18">
        <v>1402</v>
      </c>
      <c r="DC29" s="18">
        <v>2206</v>
      </c>
      <c r="DD29" s="18">
        <v>1808</v>
      </c>
      <c r="DE29" s="18">
        <v>2548</v>
      </c>
      <c r="DF29" s="18">
        <v>1982</v>
      </c>
      <c r="DG29" s="18">
        <v>2071</v>
      </c>
      <c r="DH29" s="18">
        <v>1899</v>
      </c>
      <c r="DI29" s="18">
        <v>1478</v>
      </c>
      <c r="DJ29" s="18">
        <v>1837</v>
      </c>
      <c r="DK29" s="18">
        <v>1799</v>
      </c>
      <c r="DL29" s="19">
        <v>1392</v>
      </c>
      <c r="DM29" s="17">
        <v>1953</v>
      </c>
      <c r="DN29" s="18">
        <v>1405</v>
      </c>
      <c r="DO29" s="127">
        <v>1872</v>
      </c>
      <c r="DP29" s="127">
        <v>1324</v>
      </c>
      <c r="DQ29" s="127">
        <v>1584</v>
      </c>
      <c r="DR29" s="127">
        <v>1954</v>
      </c>
      <c r="DS29" s="127">
        <v>1561</v>
      </c>
      <c r="DT29" s="127">
        <v>1316</v>
      </c>
      <c r="DU29" s="127">
        <v>1659</v>
      </c>
      <c r="DV29" s="127">
        <v>1258</v>
      </c>
      <c r="DW29" s="127">
        <v>1449</v>
      </c>
      <c r="DX29" s="128">
        <v>1380</v>
      </c>
      <c r="DY29" s="119">
        <v>1316</v>
      </c>
      <c r="DZ29" s="127">
        <v>1072</v>
      </c>
      <c r="EA29" s="127">
        <v>1702</v>
      </c>
      <c r="EB29" s="119">
        <v>1172</v>
      </c>
      <c r="EC29" s="127">
        <v>1501</v>
      </c>
      <c r="ED29" s="127">
        <v>1510</v>
      </c>
      <c r="EE29" s="127">
        <v>1510</v>
      </c>
      <c r="EF29" s="127">
        <v>1160</v>
      </c>
      <c r="EG29" s="127">
        <v>1531</v>
      </c>
      <c r="EH29" s="127">
        <v>987</v>
      </c>
      <c r="EI29" s="127">
        <v>1573</v>
      </c>
      <c r="EJ29" s="128">
        <v>829</v>
      </c>
      <c r="EK29" s="119">
        <v>1131</v>
      </c>
      <c r="EL29" s="127">
        <v>1038</v>
      </c>
      <c r="EM29" s="127">
        <v>833</v>
      </c>
      <c r="EN29" s="119">
        <v>730</v>
      </c>
      <c r="EO29" s="127">
        <v>597</v>
      </c>
      <c r="EP29" s="127">
        <v>564</v>
      </c>
      <c r="EQ29" s="127">
        <v>400</v>
      </c>
      <c r="ER29" s="127">
        <v>654</v>
      </c>
      <c r="ES29" s="127">
        <v>635</v>
      </c>
      <c r="ET29" s="127">
        <v>633</v>
      </c>
      <c r="EU29" s="127">
        <v>814</v>
      </c>
      <c r="EV29" s="128">
        <v>648</v>
      </c>
      <c r="EW29" s="119">
        <v>750</v>
      </c>
      <c r="EX29" s="109">
        <v>930</v>
      </c>
      <c r="EY29" s="127">
        <v>721</v>
      </c>
      <c r="EZ29" s="119">
        <v>780</v>
      </c>
      <c r="FA29" s="18">
        <v>815</v>
      </c>
      <c r="FB29" s="149">
        <v>975</v>
      </c>
      <c r="FC29" s="18">
        <v>818</v>
      </c>
      <c r="FD29" s="18">
        <v>788</v>
      </c>
      <c r="FE29" s="149">
        <v>818</v>
      </c>
      <c r="FF29" s="149">
        <v>801</v>
      </c>
      <c r="FG29" s="149">
        <v>1174</v>
      </c>
      <c r="FH29" s="149">
        <v>616</v>
      </c>
      <c r="FI29" s="119">
        <f>'Average Sunday-Holiday Boarding'!FI29*6</f>
        <v>1018</v>
      </c>
      <c r="FJ29" s="109">
        <f>'Average Sunday-Holiday Boarding'!FJ29*4</f>
        <v>668</v>
      </c>
      <c r="FK29" s="127">
        <f>'Average Sunday-Holiday Boarding'!FK29*5</f>
        <v>919</v>
      </c>
      <c r="FL29" s="119">
        <v>953</v>
      </c>
      <c r="FM29" s="18">
        <v>833</v>
      </c>
      <c r="FN29" s="149">
        <v>923</v>
      </c>
      <c r="FO29" s="18">
        <v>1125</v>
      </c>
      <c r="FP29" s="18">
        <v>748</v>
      </c>
      <c r="FQ29" s="149">
        <v>900</v>
      </c>
      <c r="FR29" s="149">
        <v>1136</v>
      </c>
      <c r="FS29" s="149">
        <v>1040</v>
      </c>
      <c r="FT29" s="155">
        <v>847</v>
      </c>
      <c r="FU29" s="169">
        <v>1158</v>
      </c>
      <c r="FV29" s="169">
        <v>1108</v>
      </c>
      <c r="FW29" s="169">
        <v>948</v>
      </c>
      <c r="FX29" s="169">
        <v>1018</v>
      </c>
      <c r="FY29" s="169">
        <v>968</v>
      </c>
      <c r="FZ29" s="169">
        <v>975</v>
      </c>
      <c r="GA29" s="169">
        <v>1099</v>
      </c>
      <c r="GB29" s="18">
        <v>904</v>
      </c>
      <c r="GC29" s="18">
        <v>1045</v>
      </c>
      <c r="GD29" s="18">
        <v>885</v>
      </c>
      <c r="GE29" s="18">
        <v>1042</v>
      </c>
      <c r="GF29" s="52">
        <v>972</v>
      </c>
      <c r="GG29" s="18">
        <v>857</v>
      </c>
      <c r="GH29" s="18">
        <v>868</v>
      </c>
      <c r="GI29" s="184">
        <v>1201</v>
      </c>
      <c r="GJ29" s="184">
        <v>892</v>
      </c>
      <c r="GK29" s="184">
        <v>985</v>
      </c>
      <c r="GL29" s="184">
        <v>1127</v>
      </c>
    </row>
    <row r="30" spans="1:194" x14ac:dyDescent="0.3">
      <c r="A30" s="3" t="s">
        <v>43</v>
      </c>
      <c r="B30" s="17"/>
      <c r="C30" s="18">
        <v>1474</v>
      </c>
      <c r="D30" s="18">
        <v>764</v>
      </c>
      <c r="E30" s="18">
        <v>804</v>
      </c>
      <c r="F30" s="18">
        <v>772</v>
      </c>
      <c r="G30" s="18">
        <v>1003</v>
      </c>
      <c r="H30" s="19">
        <v>627</v>
      </c>
      <c r="I30" s="17">
        <v>1123</v>
      </c>
      <c r="J30" s="18">
        <v>892</v>
      </c>
      <c r="K30" s="18">
        <v>1021</v>
      </c>
      <c r="L30" s="18">
        <v>826</v>
      </c>
      <c r="M30" s="18">
        <v>2352</v>
      </c>
      <c r="N30" s="18">
        <v>985</v>
      </c>
      <c r="O30" s="127">
        <v>1699</v>
      </c>
      <c r="P30" s="127">
        <v>1346</v>
      </c>
      <c r="Q30" s="127">
        <v>1036</v>
      </c>
      <c r="R30" s="127">
        <v>1071</v>
      </c>
      <c r="S30" s="127">
        <v>1767</v>
      </c>
      <c r="T30" s="128">
        <v>974</v>
      </c>
      <c r="U30" s="129">
        <v>958</v>
      </c>
      <c r="V30" s="127">
        <v>1142</v>
      </c>
      <c r="W30" s="127">
        <v>1637</v>
      </c>
      <c r="X30" s="127">
        <v>1183</v>
      </c>
      <c r="Y30" s="127">
        <v>2274</v>
      </c>
      <c r="Z30" s="127">
        <v>1400</v>
      </c>
      <c r="AA30" s="18">
        <v>1713</v>
      </c>
      <c r="AB30" s="18">
        <v>1581</v>
      </c>
      <c r="AC30" s="18">
        <v>1272</v>
      </c>
      <c r="AD30" s="18">
        <v>1074</v>
      </c>
      <c r="AE30" s="18">
        <v>1567</v>
      </c>
      <c r="AF30" s="19">
        <v>1097</v>
      </c>
      <c r="AG30" s="17">
        <v>1813</v>
      </c>
      <c r="AH30" s="18">
        <v>1058</v>
      </c>
      <c r="AI30" s="18">
        <v>1247</v>
      </c>
      <c r="AJ30" s="18">
        <v>1422</v>
      </c>
      <c r="AK30" s="18">
        <v>1950</v>
      </c>
      <c r="AL30" s="18">
        <v>1228</v>
      </c>
      <c r="AM30" s="18">
        <v>2155</v>
      </c>
      <c r="AN30" s="18">
        <v>1357</v>
      </c>
      <c r="AO30" s="18">
        <v>1313</v>
      </c>
      <c r="AP30" s="18">
        <v>1540</v>
      </c>
      <c r="AQ30" s="18">
        <v>1486</v>
      </c>
      <c r="AR30" s="19">
        <v>1142</v>
      </c>
      <c r="AS30" s="17">
        <v>1957</v>
      </c>
      <c r="AT30" s="18">
        <v>1096</v>
      </c>
      <c r="AU30" s="18">
        <v>1827</v>
      </c>
      <c r="AV30" s="18">
        <v>1462</v>
      </c>
      <c r="AW30" s="18">
        <v>1994</v>
      </c>
      <c r="AX30" s="18">
        <v>1844</v>
      </c>
      <c r="AY30" s="18">
        <v>1961</v>
      </c>
      <c r="AZ30" s="18">
        <v>1935</v>
      </c>
      <c r="BA30" s="18">
        <v>1743</v>
      </c>
      <c r="BB30" s="18">
        <v>1379</v>
      </c>
      <c r="BC30" s="18">
        <v>1691</v>
      </c>
      <c r="BD30" s="19">
        <v>1661</v>
      </c>
      <c r="BE30" s="17">
        <v>1796</v>
      </c>
      <c r="BF30" s="18">
        <v>1447</v>
      </c>
      <c r="BG30" s="18">
        <v>2129</v>
      </c>
      <c r="BH30" s="18">
        <v>1402</v>
      </c>
      <c r="BI30" s="18">
        <v>2276.197887662026</v>
      </c>
      <c r="BJ30" s="18">
        <v>2653</v>
      </c>
      <c r="BK30" s="18">
        <v>2482</v>
      </c>
      <c r="BL30" s="18">
        <v>1868</v>
      </c>
      <c r="BM30" s="18">
        <v>2086</v>
      </c>
      <c r="BN30" s="18">
        <v>1476</v>
      </c>
      <c r="BO30" s="18">
        <v>1817</v>
      </c>
      <c r="BP30" s="19">
        <v>1766</v>
      </c>
      <c r="BQ30" s="17">
        <v>1720</v>
      </c>
      <c r="BR30" s="18">
        <v>1760</v>
      </c>
      <c r="BS30" s="18">
        <v>1847</v>
      </c>
      <c r="BT30" s="18">
        <v>1456</v>
      </c>
      <c r="BU30" s="18">
        <v>2999</v>
      </c>
      <c r="BV30" s="18">
        <v>2081</v>
      </c>
      <c r="BW30" s="18">
        <v>2396</v>
      </c>
      <c r="BX30" s="18">
        <v>2192</v>
      </c>
      <c r="BY30" s="18">
        <v>1843</v>
      </c>
      <c r="BZ30" s="18">
        <v>1447</v>
      </c>
      <c r="CA30" s="18">
        <v>2272</v>
      </c>
      <c r="CB30" s="19">
        <v>1531</v>
      </c>
      <c r="CC30" s="20">
        <v>1803</v>
      </c>
      <c r="CD30" s="18">
        <v>1996</v>
      </c>
      <c r="CE30" s="18">
        <v>1995</v>
      </c>
      <c r="CF30" s="18">
        <v>1680</v>
      </c>
      <c r="CG30" s="18">
        <v>3436</v>
      </c>
      <c r="CH30" s="18">
        <v>2664</v>
      </c>
      <c r="CI30" s="18">
        <v>3126</v>
      </c>
      <c r="CJ30" s="18">
        <v>2201</v>
      </c>
      <c r="CK30" s="18">
        <v>1529</v>
      </c>
      <c r="CL30" s="18">
        <v>1478</v>
      </c>
      <c r="CM30" s="18">
        <v>2298</v>
      </c>
      <c r="CN30" s="21">
        <v>1407</v>
      </c>
      <c r="CO30" s="17">
        <v>2584</v>
      </c>
      <c r="CP30" s="18">
        <v>1808</v>
      </c>
      <c r="CQ30" s="18">
        <v>2094</v>
      </c>
      <c r="CR30" s="18">
        <v>2081</v>
      </c>
      <c r="CS30" s="18">
        <v>3418</v>
      </c>
      <c r="CT30" s="18">
        <v>3324</v>
      </c>
      <c r="CU30" s="18">
        <v>3079</v>
      </c>
      <c r="CV30" s="18">
        <v>2077</v>
      </c>
      <c r="CW30" s="18">
        <v>1648</v>
      </c>
      <c r="CX30" s="18">
        <v>2345</v>
      </c>
      <c r="CY30" s="18">
        <v>2020</v>
      </c>
      <c r="CZ30" s="19">
        <v>1422</v>
      </c>
      <c r="DA30" s="17">
        <v>2667</v>
      </c>
      <c r="DB30" s="18">
        <v>1681</v>
      </c>
      <c r="DC30" s="18">
        <v>2096</v>
      </c>
      <c r="DD30" s="18">
        <v>2100</v>
      </c>
      <c r="DE30" s="18">
        <v>2907</v>
      </c>
      <c r="DF30" s="18">
        <v>2446</v>
      </c>
      <c r="DG30" s="18">
        <v>2458</v>
      </c>
      <c r="DH30" s="18">
        <v>2091</v>
      </c>
      <c r="DI30" s="18">
        <v>1616</v>
      </c>
      <c r="DJ30" s="18">
        <v>2197</v>
      </c>
      <c r="DK30" s="18">
        <v>2087</v>
      </c>
      <c r="DL30" s="19">
        <v>1436</v>
      </c>
      <c r="DM30" s="17">
        <v>2451</v>
      </c>
      <c r="DN30" s="18">
        <v>1628</v>
      </c>
      <c r="DO30" s="127">
        <v>2364</v>
      </c>
      <c r="DP30" s="127">
        <v>1562</v>
      </c>
      <c r="DQ30" s="127">
        <v>1903</v>
      </c>
      <c r="DR30" s="127">
        <v>2390</v>
      </c>
      <c r="DS30" s="127">
        <v>1935</v>
      </c>
      <c r="DT30" s="127">
        <v>1442</v>
      </c>
      <c r="DU30" s="127">
        <v>1937</v>
      </c>
      <c r="DV30" s="127">
        <v>552</v>
      </c>
      <c r="DW30" s="127">
        <v>1917</v>
      </c>
      <c r="DX30" s="128">
        <v>1767</v>
      </c>
      <c r="DY30" s="119">
        <v>1655</v>
      </c>
      <c r="DZ30" s="127">
        <v>1293</v>
      </c>
      <c r="EA30" s="127">
        <v>2109</v>
      </c>
      <c r="EB30" s="119">
        <v>1290</v>
      </c>
      <c r="EC30" s="127">
        <v>1698</v>
      </c>
      <c r="ED30" s="127">
        <v>2151</v>
      </c>
      <c r="EE30" s="127">
        <v>1978</v>
      </c>
      <c r="EF30" s="127">
        <v>1483</v>
      </c>
      <c r="EG30" s="127">
        <v>1398</v>
      </c>
      <c r="EH30" s="127">
        <v>771</v>
      </c>
      <c r="EI30" s="127">
        <v>1020</v>
      </c>
      <c r="EJ30" s="128">
        <v>762</v>
      </c>
      <c r="EK30" s="119">
        <v>846</v>
      </c>
      <c r="EL30" s="127">
        <v>793</v>
      </c>
      <c r="EM30" s="127">
        <v>1052</v>
      </c>
      <c r="EN30" s="119">
        <v>633</v>
      </c>
      <c r="EO30" s="127">
        <v>867</v>
      </c>
      <c r="EP30" s="127">
        <v>626</v>
      </c>
      <c r="EQ30" s="127">
        <v>344</v>
      </c>
      <c r="ER30" s="127">
        <v>607</v>
      </c>
      <c r="ES30" s="127">
        <v>591</v>
      </c>
      <c r="ET30" s="127">
        <v>694</v>
      </c>
      <c r="EU30" s="127">
        <v>839</v>
      </c>
      <c r="EV30" s="128">
        <v>733</v>
      </c>
      <c r="EW30" s="119">
        <v>1080</v>
      </c>
      <c r="EX30" s="109">
        <v>1143</v>
      </c>
      <c r="EY30" s="127">
        <v>974</v>
      </c>
      <c r="EZ30" s="119">
        <v>897</v>
      </c>
      <c r="FA30" s="18">
        <v>929</v>
      </c>
      <c r="FB30" s="149">
        <v>1251</v>
      </c>
      <c r="FC30" s="18">
        <v>1029</v>
      </c>
      <c r="FD30" s="18">
        <v>1090</v>
      </c>
      <c r="FE30" s="149">
        <v>1011</v>
      </c>
      <c r="FF30" s="149">
        <v>936</v>
      </c>
      <c r="FG30" s="149">
        <v>1243</v>
      </c>
      <c r="FH30" s="149">
        <v>780</v>
      </c>
      <c r="FI30" s="119">
        <f>'Average Sunday-Holiday Boarding'!FI30*6</f>
        <v>1236</v>
      </c>
      <c r="FJ30" s="109">
        <f>'Average Sunday-Holiday Boarding'!FJ30*4</f>
        <v>831</v>
      </c>
      <c r="FK30" s="127">
        <f>'Average Sunday-Holiday Boarding'!FK30*5</f>
        <v>1203</v>
      </c>
      <c r="FL30" s="119">
        <v>1176</v>
      </c>
      <c r="FM30" s="18">
        <v>1083</v>
      </c>
      <c r="FN30" s="149">
        <v>1195</v>
      </c>
      <c r="FO30" s="18">
        <v>1532</v>
      </c>
      <c r="FP30" s="18">
        <v>917</v>
      </c>
      <c r="FQ30" s="149">
        <v>1209</v>
      </c>
      <c r="FR30" s="149">
        <v>1509</v>
      </c>
      <c r="FS30" s="149">
        <v>1388</v>
      </c>
      <c r="FT30" s="155">
        <v>1019</v>
      </c>
      <c r="FU30" s="169">
        <v>1867</v>
      </c>
      <c r="FV30" s="169">
        <v>1502</v>
      </c>
      <c r="FW30" s="169">
        <v>1433</v>
      </c>
      <c r="FX30" s="169">
        <v>1445</v>
      </c>
      <c r="FY30" s="169">
        <v>1384</v>
      </c>
      <c r="FZ30" s="169">
        <v>1422</v>
      </c>
      <c r="GA30" s="169">
        <v>1514</v>
      </c>
      <c r="GB30" s="18">
        <v>1301</v>
      </c>
      <c r="GC30" s="18">
        <v>1555</v>
      </c>
      <c r="GD30" s="18">
        <v>1104</v>
      </c>
      <c r="GE30" s="18">
        <v>1444</v>
      </c>
      <c r="GF30" s="52">
        <v>1542</v>
      </c>
      <c r="GG30" s="18">
        <v>1325</v>
      </c>
      <c r="GH30" s="18">
        <v>1129</v>
      </c>
      <c r="GI30" s="184">
        <v>1739</v>
      </c>
      <c r="GJ30" s="184">
        <v>1131</v>
      </c>
      <c r="GK30" s="184">
        <v>1204</v>
      </c>
      <c r="GL30" s="184">
        <v>1424</v>
      </c>
    </row>
    <row r="31" spans="1:194" x14ac:dyDescent="0.3">
      <c r="A31" s="3" t="s">
        <v>14</v>
      </c>
      <c r="B31" s="17"/>
      <c r="C31" s="18">
        <v>821</v>
      </c>
      <c r="D31" s="18">
        <v>1091</v>
      </c>
      <c r="E31" s="18">
        <v>1044</v>
      </c>
      <c r="F31" s="18">
        <v>947</v>
      </c>
      <c r="G31" s="18">
        <v>1092</v>
      </c>
      <c r="H31" s="19">
        <v>859</v>
      </c>
      <c r="I31" s="17">
        <v>931</v>
      </c>
      <c r="J31" s="18">
        <v>782</v>
      </c>
      <c r="K31" s="18">
        <v>757</v>
      </c>
      <c r="L31" s="18">
        <v>511</v>
      </c>
      <c r="M31" s="18">
        <v>1549</v>
      </c>
      <c r="N31" s="18">
        <v>762</v>
      </c>
      <c r="O31" s="127">
        <v>1481</v>
      </c>
      <c r="P31" s="127">
        <v>942</v>
      </c>
      <c r="Q31" s="127">
        <v>973</v>
      </c>
      <c r="R31" s="127">
        <v>964</v>
      </c>
      <c r="S31" s="127">
        <v>1229</v>
      </c>
      <c r="T31" s="128">
        <v>804</v>
      </c>
      <c r="U31" s="129">
        <v>873</v>
      </c>
      <c r="V31" s="127">
        <v>742</v>
      </c>
      <c r="W31" s="127">
        <v>824</v>
      </c>
      <c r="X31" s="127">
        <v>780</v>
      </c>
      <c r="Y31" s="127">
        <v>1057</v>
      </c>
      <c r="Z31" s="127">
        <v>612</v>
      </c>
      <c r="AA31" s="18">
        <v>1387</v>
      </c>
      <c r="AB31" s="18">
        <v>880</v>
      </c>
      <c r="AC31" s="18">
        <v>786</v>
      </c>
      <c r="AD31" s="18">
        <v>848</v>
      </c>
      <c r="AE31" s="18">
        <v>1026</v>
      </c>
      <c r="AF31" s="19">
        <v>915</v>
      </c>
      <c r="AG31" s="17">
        <v>1083</v>
      </c>
      <c r="AH31" s="18">
        <v>737</v>
      </c>
      <c r="AI31" s="18">
        <v>747</v>
      </c>
      <c r="AJ31" s="18">
        <v>857</v>
      </c>
      <c r="AK31" s="18">
        <v>1226</v>
      </c>
      <c r="AL31" s="18">
        <v>816</v>
      </c>
      <c r="AM31" s="18">
        <v>1135</v>
      </c>
      <c r="AN31" s="18">
        <v>1143</v>
      </c>
      <c r="AO31" s="18">
        <v>893</v>
      </c>
      <c r="AP31" s="18">
        <v>1267</v>
      </c>
      <c r="AQ31" s="18">
        <v>1012</v>
      </c>
      <c r="AR31" s="19">
        <v>593</v>
      </c>
      <c r="AS31" s="17">
        <v>1105</v>
      </c>
      <c r="AT31" s="18">
        <v>710</v>
      </c>
      <c r="AU31" s="18">
        <v>1127</v>
      </c>
      <c r="AV31" s="18">
        <v>877</v>
      </c>
      <c r="AW31" s="18">
        <v>1143</v>
      </c>
      <c r="AX31" s="18">
        <v>1014</v>
      </c>
      <c r="AY31" s="18">
        <v>1008</v>
      </c>
      <c r="AZ31" s="18">
        <v>1125</v>
      </c>
      <c r="BA31" s="18">
        <v>1365</v>
      </c>
      <c r="BB31" s="18">
        <v>1022</v>
      </c>
      <c r="BC31" s="18">
        <v>1136</v>
      </c>
      <c r="BD31" s="19">
        <v>865</v>
      </c>
      <c r="BE31" s="17">
        <v>837</v>
      </c>
      <c r="BF31" s="18">
        <v>747</v>
      </c>
      <c r="BG31" s="18">
        <v>910</v>
      </c>
      <c r="BH31" s="18">
        <v>669</v>
      </c>
      <c r="BI31" s="18">
        <v>1035.5877100336054</v>
      </c>
      <c r="BJ31" s="18">
        <v>1580</v>
      </c>
      <c r="BK31" s="18">
        <v>1250</v>
      </c>
      <c r="BL31" s="18">
        <v>1245</v>
      </c>
      <c r="BM31" s="18">
        <v>1345</v>
      </c>
      <c r="BN31" s="18">
        <v>944</v>
      </c>
      <c r="BO31" s="18">
        <v>1068</v>
      </c>
      <c r="BP31" s="19">
        <v>968</v>
      </c>
      <c r="BQ31" s="17">
        <v>900</v>
      </c>
      <c r="BR31" s="18">
        <v>991</v>
      </c>
      <c r="BS31" s="18">
        <v>858</v>
      </c>
      <c r="BT31" s="18">
        <v>826</v>
      </c>
      <c r="BU31" s="18">
        <v>1716</v>
      </c>
      <c r="BV31" s="18">
        <v>1309</v>
      </c>
      <c r="BW31" s="18">
        <v>1755</v>
      </c>
      <c r="BX31" s="18">
        <v>1628</v>
      </c>
      <c r="BY31" s="18">
        <v>1450</v>
      </c>
      <c r="BZ31" s="18">
        <v>1179</v>
      </c>
      <c r="CA31" s="18">
        <v>1374</v>
      </c>
      <c r="CB31" s="19">
        <v>860</v>
      </c>
      <c r="CC31" s="20">
        <v>1194</v>
      </c>
      <c r="CD31" s="18">
        <v>1645</v>
      </c>
      <c r="CE31" s="18">
        <v>2960</v>
      </c>
      <c r="CF31" s="18">
        <v>2512</v>
      </c>
      <c r="CG31" s="18">
        <v>4514</v>
      </c>
      <c r="CH31" s="18">
        <v>3654</v>
      </c>
      <c r="CI31" s="18">
        <v>4573</v>
      </c>
      <c r="CJ31" s="18">
        <v>3181</v>
      </c>
      <c r="CK31" s="18">
        <v>2619</v>
      </c>
      <c r="CL31" s="18">
        <v>2924</v>
      </c>
      <c r="CM31" s="18">
        <v>3843</v>
      </c>
      <c r="CN31" s="21">
        <v>2807</v>
      </c>
      <c r="CO31" s="17">
        <v>4000</v>
      </c>
      <c r="CP31" s="18">
        <v>2376</v>
      </c>
      <c r="CQ31" s="18">
        <v>3024</v>
      </c>
      <c r="CR31" s="18">
        <v>3456</v>
      </c>
      <c r="CS31" s="18">
        <v>5012</v>
      </c>
      <c r="CT31" s="18">
        <v>4243</v>
      </c>
      <c r="CU31" s="18">
        <v>4425</v>
      </c>
      <c r="CV31" s="18">
        <v>3059</v>
      </c>
      <c r="CW31" s="18">
        <v>2882</v>
      </c>
      <c r="CX31" s="18">
        <v>5223</v>
      </c>
      <c r="CY31" s="18">
        <v>3402</v>
      </c>
      <c r="CZ31" s="19">
        <v>2370</v>
      </c>
      <c r="DA31" s="17">
        <v>3327</v>
      </c>
      <c r="DB31" s="18">
        <v>2342</v>
      </c>
      <c r="DC31" s="18">
        <v>2842</v>
      </c>
      <c r="DD31" s="18">
        <v>3043</v>
      </c>
      <c r="DE31" s="18">
        <v>4114</v>
      </c>
      <c r="DF31" s="18">
        <v>3046</v>
      </c>
      <c r="DG31" s="18">
        <v>3835</v>
      </c>
      <c r="DH31" s="18">
        <v>3174</v>
      </c>
      <c r="DI31" s="18">
        <v>2781</v>
      </c>
      <c r="DJ31" s="18">
        <v>2828</v>
      </c>
      <c r="DK31" s="18">
        <v>3062</v>
      </c>
      <c r="DL31" s="19">
        <v>2138</v>
      </c>
      <c r="DM31" s="17">
        <v>3264</v>
      </c>
      <c r="DN31" s="18">
        <v>1940</v>
      </c>
      <c r="DO31" s="127">
        <v>3168</v>
      </c>
      <c r="DP31" s="127">
        <v>2118</v>
      </c>
      <c r="DQ31" s="127">
        <v>2567</v>
      </c>
      <c r="DR31" s="127">
        <v>3054</v>
      </c>
      <c r="DS31" s="127">
        <v>2688</v>
      </c>
      <c r="DT31" s="127">
        <v>2179</v>
      </c>
      <c r="DU31" s="127">
        <v>3180</v>
      </c>
      <c r="DV31" s="127">
        <v>2844</v>
      </c>
      <c r="DW31" s="127">
        <v>2923</v>
      </c>
      <c r="DX31" s="128">
        <v>2556</v>
      </c>
      <c r="DY31" s="119">
        <v>2594</v>
      </c>
      <c r="DZ31" s="127">
        <v>2356</v>
      </c>
      <c r="EA31" s="127">
        <v>2907</v>
      </c>
      <c r="EB31" s="119">
        <v>2137</v>
      </c>
      <c r="EC31" s="127">
        <v>2371</v>
      </c>
      <c r="ED31" s="127">
        <v>2568</v>
      </c>
      <c r="EE31" s="127">
        <v>3167</v>
      </c>
      <c r="EF31" s="127">
        <v>2382</v>
      </c>
      <c r="EG31" s="127">
        <v>2412</v>
      </c>
      <c r="EH31" s="127">
        <v>918</v>
      </c>
      <c r="EI31" s="127">
        <v>1557</v>
      </c>
      <c r="EJ31" s="128">
        <v>1176</v>
      </c>
      <c r="EK31" s="119">
        <v>1252</v>
      </c>
      <c r="EL31" s="127">
        <v>1518</v>
      </c>
      <c r="EM31" s="127">
        <v>1435</v>
      </c>
      <c r="EN31" s="119">
        <v>1360</v>
      </c>
      <c r="EO31" s="127">
        <v>1287</v>
      </c>
      <c r="EP31" s="127">
        <v>1119</v>
      </c>
      <c r="EQ31" s="127">
        <v>761</v>
      </c>
      <c r="ER31" s="127">
        <v>1136</v>
      </c>
      <c r="ES31" s="127">
        <v>1795</v>
      </c>
      <c r="ET31" s="127">
        <v>1354</v>
      </c>
      <c r="EU31" s="127">
        <v>1679</v>
      </c>
      <c r="EV31" s="128">
        <v>1342</v>
      </c>
      <c r="EW31" s="119">
        <v>1482</v>
      </c>
      <c r="EX31" s="109">
        <v>1874</v>
      </c>
      <c r="EY31" s="127">
        <v>1400</v>
      </c>
      <c r="EZ31" s="119">
        <v>1641</v>
      </c>
      <c r="FA31" s="18">
        <v>1571</v>
      </c>
      <c r="FB31" s="149">
        <v>2009</v>
      </c>
      <c r="FC31" s="18">
        <v>1622</v>
      </c>
      <c r="FD31" s="18">
        <v>1685</v>
      </c>
      <c r="FE31" s="149">
        <v>1814</v>
      </c>
      <c r="FF31" s="149">
        <v>1732</v>
      </c>
      <c r="FG31" s="149">
        <v>2456</v>
      </c>
      <c r="FH31" s="149">
        <v>1317</v>
      </c>
      <c r="FI31" s="119">
        <f>'Average Sunday-Holiday Boarding'!FI31*6</f>
        <v>1899</v>
      </c>
      <c r="FJ31" s="109">
        <f>'Average Sunday-Holiday Boarding'!FJ31*4</f>
        <v>1368</v>
      </c>
      <c r="FK31" s="127">
        <f>'Average Sunday-Holiday Boarding'!FK31*5</f>
        <v>1607</v>
      </c>
      <c r="FL31" s="119">
        <v>2002</v>
      </c>
      <c r="FM31" s="18">
        <v>1431</v>
      </c>
      <c r="FN31" s="149">
        <v>1519</v>
      </c>
      <c r="FO31" s="18">
        <v>1858</v>
      </c>
      <c r="FP31" s="18">
        <v>1717</v>
      </c>
      <c r="FQ31" s="149">
        <v>1685</v>
      </c>
      <c r="FR31" s="149">
        <v>2230</v>
      </c>
      <c r="FS31" s="149">
        <v>1929</v>
      </c>
      <c r="FT31" s="155">
        <v>1744</v>
      </c>
      <c r="FU31" s="169">
        <v>2293</v>
      </c>
      <c r="FV31" s="169">
        <v>1839</v>
      </c>
      <c r="FW31" s="169">
        <v>1900</v>
      </c>
      <c r="FX31" s="169">
        <v>1876</v>
      </c>
      <c r="FY31" s="169">
        <v>1510</v>
      </c>
      <c r="FZ31" s="169">
        <v>1722</v>
      </c>
      <c r="GA31" s="169">
        <v>1943</v>
      </c>
      <c r="GB31" s="18">
        <v>1652</v>
      </c>
      <c r="GC31" s="18">
        <v>2089</v>
      </c>
      <c r="GD31" s="18">
        <v>2081</v>
      </c>
      <c r="GE31" s="18">
        <v>2158</v>
      </c>
      <c r="GF31" s="52">
        <v>1970</v>
      </c>
      <c r="GG31" s="18">
        <v>1462</v>
      </c>
      <c r="GH31" s="18">
        <v>1320</v>
      </c>
      <c r="GI31" s="184">
        <v>2824</v>
      </c>
      <c r="GJ31" s="184">
        <v>1249</v>
      </c>
      <c r="GK31" s="184">
        <v>1289</v>
      </c>
      <c r="GL31" s="184">
        <v>1804</v>
      </c>
    </row>
    <row r="32" spans="1:194" x14ac:dyDescent="0.3">
      <c r="A32" s="3" t="s">
        <v>15</v>
      </c>
      <c r="B32" s="17"/>
      <c r="C32" s="18">
        <v>5073</v>
      </c>
      <c r="D32" s="18">
        <v>3583</v>
      </c>
      <c r="E32" s="18">
        <v>4258</v>
      </c>
      <c r="F32" s="18">
        <v>2954</v>
      </c>
      <c r="G32" s="18">
        <v>3993</v>
      </c>
      <c r="H32" s="19">
        <v>2358</v>
      </c>
      <c r="I32" s="17">
        <v>3617</v>
      </c>
      <c r="J32" s="18">
        <v>2583</v>
      </c>
      <c r="K32" s="18">
        <v>3029</v>
      </c>
      <c r="L32" s="18">
        <v>2379</v>
      </c>
      <c r="M32" s="18">
        <v>6008</v>
      </c>
      <c r="N32" s="18">
        <v>2808</v>
      </c>
      <c r="O32" s="127">
        <v>4434</v>
      </c>
      <c r="P32" s="127">
        <v>3478</v>
      </c>
      <c r="Q32" s="127">
        <v>3919</v>
      </c>
      <c r="R32" s="127">
        <v>2927</v>
      </c>
      <c r="S32" s="127">
        <v>4268</v>
      </c>
      <c r="T32" s="128">
        <v>2830</v>
      </c>
      <c r="U32" s="129">
        <v>2797</v>
      </c>
      <c r="V32" s="127">
        <v>2791</v>
      </c>
      <c r="W32" s="127">
        <v>3268</v>
      </c>
      <c r="X32" s="127">
        <v>3232</v>
      </c>
      <c r="Y32" s="127">
        <v>5024</v>
      </c>
      <c r="Z32" s="127">
        <v>2981</v>
      </c>
      <c r="AA32" s="18">
        <v>4325</v>
      </c>
      <c r="AB32" s="18">
        <v>3440</v>
      </c>
      <c r="AC32" s="18">
        <v>3297</v>
      </c>
      <c r="AD32" s="18">
        <v>2913</v>
      </c>
      <c r="AE32" s="18">
        <v>4083</v>
      </c>
      <c r="AF32" s="19">
        <v>2759</v>
      </c>
      <c r="AG32" s="17">
        <v>4593</v>
      </c>
      <c r="AH32" s="18">
        <v>2490</v>
      </c>
      <c r="AI32" s="18">
        <v>3117</v>
      </c>
      <c r="AJ32" s="18">
        <v>3318</v>
      </c>
      <c r="AK32" s="18">
        <v>4958</v>
      </c>
      <c r="AL32" s="18">
        <v>3328</v>
      </c>
      <c r="AM32" s="18">
        <v>4928</v>
      </c>
      <c r="AN32" s="18">
        <v>4390</v>
      </c>
      <c r="AO32" s="18">
        <v>3426</v>
      </c>
      <c r="AP32" s="18">
        <v>4150</v>
      </c>
      <c r="AQ32" s="18">
        <v>3974</v>
      </c>
      <c r="AR32" s="19">
        <v>2723</v>
      </c>
      <c r="AS32" s="17">
        <v>5053</v>
      </c>
      <c r="AT32" s="18">
        <v>3260</v>
      </c>
      <c r="AU32" s="18">
        <v>4559</v>
      </c>
      <c r="AV32" s="18">
        <v>3814</v>
      </c>
      <c r="AW32" s="18">
        <v>5021</v>
      </c>
      <c r="AX32" s="18">
        <v>4733</v>
      </c>
      <c r="AY32" s="18">
        <v>4996</v>
      </c>
      <c r="AZ32" s="18">
        <v>4239</v>
      </c>
      <c r="BA32" s="18">
        <v>4661</v>
      </c>
      <c r="BB32" s="18">
        <v>4430</v>
      </c>
      <c r="BC32" s="18">
        <v>5975</v>
      </c>
      <c r="BD32" s="19">
        <v>5117</v>
      </c>
      <c r="BE32" s="17">
        <v>4983</v>
      </c>
      <c r="BF32" s="18">
        <v>3370</v>
      </c>
      <c r="BG32" s="18">
        <v>5464</v>
      </c>
      <c r="BH32" s="18">
        <v>3760</v>
      </c>
      <c r="BI32" s="18">
        <v>5888.1104176668268</v>
      </c>
      <c r="BJ32" s="18">
        <v>6764</v>
      </c>
      <c r="BK32" s="18">
        <v>7013</v>
      </c>
      <c r="BL32" s="18">
        <v>5778</v>
      </c>
      <c r="BM32" s="18">
        <v>6193</v>
      </c>
      <c r="BN32" s="18">
        <v>4418</v>
      </c>
      <c r="BO32" s="18">
        <v>5466</v>
      </c>
      <c r="BP32" s="19">
        <v>4935</v>
      </c>
      <c r="BQ32" s="17">
        <v>4977</v>
      </c>
      <c r="BR32" s="18">
        <v>4930</v>
      </c>
      <c r="BS32" s="18">
        <v>5232</v>
      </c>
      <c r="BT32" s="18">
        <v>4177</v>
      </c>
      <c r="BU32" s="18">
        <v>8837</v>
      </c>
      <c r="BV32" s="18">
        <v>6283</v>
      </c>
      <c r="BW32" s="18">
        <v>8021</v>
      </c>
      <c r="BX32" s="18">
        <v>6831</v>
      </c>
      <c r="BY32" s="18">
        <v>6510</v>
      </c>
      <c r="BZ32" s="18">
        <v>4479</v>
      </c>
      <c r="CA32" s="18">
        <v>6986</v>
      </c>
      <c r="CB32" s="19">
        <v>4040</v>
      </c>
      <c r="CC32" s="20">
        <v>5183</v>
      </c>
      <c r="CD32" s="18">
        <v>5493</v>
      </c>
      <c r="CE32" s="18">
        <v>7430</v>
      </c>
      <c r="CF32" s="18">
        <v>6200</v>
      </c>
      <c r="CG32" s="18">
        <v>14271</v>
      </c>
      <c r="CH32" s="18">
        <v>8617</v>
      </c>
      <c r="CI32" s="18">
        <v>11558</v>
      </c>
      <c r="CJ32" s="18">
        <v>8154</v>
      </c>
      <c r="CK32" s="18">
        <v>7157</v>
      </c>
      <c r="CL32" s="18">
        <v>6308</v>
      </c>
      <c r="CM32" s="18">
        <v>10105</v>
      </c>
      <c r="CN32" s="21">
        <v>6042</v>
      </c>
      <c r="CO32" s="17">
        <v>9241</v>
      </c>
      <c r="CP32" s="18">
        <v>5836</v>
      </c>
      <c r="CQ32" s="18">
        <v>7350</v>
      </c>
      <c r="CR32" s="18">
        <v>7349</v>
      </c>
      <c r="CS32" s="18">
        <v>13414</v>
      </c>
      <c r="CT32" s="18">
        <v>10922</v>
      </c>
      <c r="CU32" s="18">
        <v>11331</v>
      </c>
      <c r="CV32" s="18">
        <v>7539</v>
      </c>
      <c r="CW32" s="18">
        <v>6540</v>
      </c>
      <c r="CX32" s="18">
        <v>9368</v>
      </c>
      <c r="CY32" s="18">
        <v>7454</v>
      </c>
      <c r="CZ32" s="19">
        <v>5577</v>
      </c>
      <c r="DA32" s="17">
        <v>7801</v>
      </c>
      <c r="DB32" s="18">
        <v>5915</v>
      </c>
      <c r="DC32" s="18">
        <v>6759</v>
      </c>
      <c r="DD32" s="18">
        <v>7166</v>
      </c>
      <c r="DE32" s="18">
        <v>10509</v>
      </c>
      <c r="DF32" s="18">
        <v>8450</v>
      </c>
      <c r="DG32" s="18">
        <v>9164</v>
      </c>
      <c r="DH32" s="18">
        <v>7522</v>
      </c>
      <c r="DI32" s="18">
        <v>6770</v>
      </c>
      <c r="DJ32" s="18">
        <v>7009</v>
      </c>
      <c r="DK32" s="18">
        <v>7183</v>
      </c>
      <c r="DL32" s="19">
        <v>5321</v>
      </c>
      <c r="DM32" s="17">
        <v>8982</v>
      </c>
      <c r="DN32" s="18">
        <v>5411</v>
      </c>
      <c r="DO32" s="127">
        <v>8450</v>
      </c>
      <c r="DP32" s="127">
        <v>5331</v>
      </c>
      <c r="DQ32" s="127">
        <v>7011</v>
      </c>
      <c r="DR32" s="127">
        <v>7792</v>
      </c>
      <c r="DS32" s="127">
        <v>7558</v>
      </c>
      <c r="DT32" s="127">
        <v>5626</v>
      </c>
      <c r="DU32" s="127">
        <v>8040</v>
      </c>
      <c r="DV32" s="127">
        <v>5592</v>
      </c>
      <c r="DW32" s="127">
        <v>7164</v>
      </c>
      <c r="DX32" s="128">
        <v>6637</v>
      </c>
      <c r="DY32" s="119">
        <v>6496</v>
      </c>
      <c r="DZ32" s="127">
        <v>6769</v>
      </c>
      <c r="EA32" s="127">
        <v>8019</v>
      </c>
      <c r="EB32" s="119">
        <v>5392</v>
      </c>
      <c r="EC32" s="127">
        <v>6348</v>
      </c>
      <c r="ED32" s="127">
        <v>7905</v>
      </c>
      <c r="EE32" s="127">
        <v>6705</v>
      </c>
      <c r="EF32" s="127">
        <v>5819</v>
      </c>
      <c r="EG32" s="127">
        <v>5884</v>
      </c>
      <c r="EH32" s="127">
        <v>2601</v>
      </c>
      <c r="EI32" s="127">
        <v>3724</v>
      </c>
      <c r="EJ32" s="128">
        <v>2434</v>
      </c>
      <c r="EK32" s="119">
        <v>3230</v>
      </c>
      <c r="EL32" s="127">
        <v>3314</v>
      </c>
      <c r="EM32" s="127">
        <v>3287</v>
      </c>
      <c r="EN32" s="119">
        <v>2758</v>
      </c>
      <c r="EO32" s="127">
        <v>3179</v>
      </c>
      <c r="EP32" s="127">
        <v>2203</v>
      </c>
      <c r="EQ32" s="127">
        <v>1645</v>
      </c>
      <c r="ER32" s="127">
        <v>2505</v>
      </c>
      <c r="ES32" s="127">
        <v>2786</v>
      </c>
      <c r="ET32" s="127">
        <v>2887</v>
      </c>
      <c r="EU32" s="127">
        <v>3654</v>
      </c>
      <c r="EV32" s="128">
        <v>3137</v>
      </c>
      <c r="EW32" s="119">
        <v>4005</v>
      </c>
      <c r="EX32" s="109">
        <v>3792</v>
      </c>
      <c r="EY32" s="127">
        <v>3814</v>
      </c>
      <c r="EZ32" s="119">
        <v>4212</v>
      </c>
      <c r="FA32" s="18">
        <v>4343</v>
      </c>
      <c r="FB32" s="149">
        <v>5222</v>
      </c>
      <c r="FC32" s="18">
        <v>4197</v>
      </c>
      <c r="FD32" s="18">
        <v>3714</v>
      </c>
      <c r="FE32" s="149">
        <v>4459</v>
      </c>
      <c r="FF32" s="149">
        <v>3881</v>
      </c>
      <c r="FG32" s="149">
        <v>5024</v>
      </c>
      <c r="FH32" s="149">
        <v>2740</v>
      </c>
      <c r="FI32" s="119">
        <f>'Average Sunday-Holiday Boarding'!FI32*6</f>
        <v>4523</v>
      </c>
      <c r="FJ32" s="109">
        <f>'Average Sunday-Holiday Boarding'!FJ32*4</f>
        <v>3011</v>
      </c>
      <c r="FK32" s="127">
        <f>'Average Sunday-Holiday Boarding'!FK32*5</f>
        <v>4346</v>
      </c>
      <c r="FL32" s="119">
        <v>4133</v>
      </c>
      <c r="FM32" s="18">
        <v>4308</v>
      </c>
      <c r="FN32" s="149">
        <v>4090</v>
      </c>
      <c r="FO32" s="18">
        <v>5371</v>
      </c>
      <c r="FP32" s="18">
        <v>3209</v>
      </c>
      <c r="FQ32" s="149">
        <v>4304</v>
      </c>
      <c r="FR32" s="149">
        <v>4897</v>
      </c>
      <c r="FS32" s="149">
        <v>5114</v>
      </c>
      <c r="FT32" s="155">
        <v>3794</v>
      </c>
      <c r="FU32" s="169">
        <v>5248</v>
      </c>
      <c r="FV32" s="169">
        <v>5175</v>
      </c>
      <c r="FW32" s="169">
        <v>4617</v>
      </c>
      <c r="FX32" s="169">
        <v>4761</v>
      </c>
      <c r="FY32" s="169">
        <v>4865</v>
      </c>
      <c r="FZ32" s="169">
        <v>6995</v>
      </c>
      <c r="GA32" s="169">
        <v>5197</v>
      </c>
      <c r="GB32" s="18">
        <v>4306</v>
      </c>
      <c r="GC32" s="18">
        <v>5336</v>
      </c>
      <c r="GD32" s="18">
        <v>4102</v>
      </c>
      <c r="GE32" s="18">
        <v>5546</v>
      </c>
      <c r="GF32" s="52">
        <v>5030</v>
      </c>
      <c r="GG32" s="18">
        <v>4509</v>
      </c>
      <c r="GH32" s="18">
        <v>3866</v>
      </c>
      <c r="GI32" s="184">
        <v>5631</v>
      </c>
      <c r="GJ32" s="184">
        <v>3817</v>
      </c>
      <c r="GK32" s="184">
        <v>4793</v>
      </c>
      <c r="GL32" s="184">
        <v>5570</v>
      </c>
    </row>
    <row r="33" spans="1:194" x14ac:dyDescent="0.3">
      <c r="A33" s="92" t="s">
        <v>71</v>
      </c>
      <c r="B33" s="17"/>
      <c r="C33" s="18"/>
      <c r="D33" s="18"/>
      <c r="E33" s="18"/>
      <c r="F33" s="18"/>
      <c r="G33" s="18"/>
      <c r="H33" s="19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  <c r="U33" s="17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7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9"/>
      <c r="AS33" s="17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9"/>
      <c r="BE33" s="17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9"/>
      <c r="BQ33" s="17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20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21"/>
      <c r="CO33" s="17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9"/>
      <c r="DA33" s="17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9"/>
      <c r="DM33" s="17"/>
      <c r="DN33" s="18"/>
      <c r="DO33" s="127"/>
      <c r="DP33" s="127"/>
      <c r="DQ33" s="127"/>
      <c r="DR33" s="127"/>
      <c r="DS33" s="127"/>
      <c r="DT33" s="127"/>
      <c r="DU33" s="127"/>
      <c r="DV33" s="127">
        <v>95</v>
      </c>
      <c r="DW33" s="127">
        <v>762</v>
      </c>
      <c r="DX33" s="128">
        <v>694</v>
      </c>
      <c r="DY33" s="119">
        <v>803</v>
      </c>
      <c r="DZ33" s="127">
        <v>573</v>
      </c>
      <c r="EA33" s="127">
        <v>1191</v>
      </c>
      <c r="EB33" s="119">
        <v>972</v>
      </c>
      <c r="EC33" s="127">
        <v>1439</v>
      </c>
      <c r="ED33" s="127">
        <v>1900</v>
      </c>
      <c r="EE33" s="127">
        <v>1426</v>
      </c>
      <c r="EF33" s="127">
        <v>1111</v>
      </c>
      <c r="EG33" s="127">
        <v>1174</v>
      </c>
      <c r="EH33" s="127">
        <v>753</v>
      </c>
      <c r="EI33" s="127">
        <v>1074</v>
      </c>
      <c r="EJ33" s="128">
        <v>777</v>
      </c>
      <c r="EK33" s="119">
        <v>777</v>
      </c>
      <c r="EL33" s="127">
        <v>920</v>
      </c>
      <c r="EM33" s="127">
        <v>832</v>
      </c>
      <c r="EN33" s="119">
        <v>767</v>
      </c>
      <c r="EO33" s="127">
        <v>693</v>
      </c>
      <c r="EP33" s="127">
        <v>431</v>
      </c>
      <c r="EQ33" s="127">
        <v>382</v>
      </c>
      <c r="ER33" s="127">
        <v>646</v>
      </c>
      <c r="ES33" s="127">
        <v>486</v>
      </c>
      <c r="ET33" s="127">
        <v>2869</v>
      </c>
      <c r="EU33" s="127">
        <v>806</v>
      </c>
      <c r="EV33" s="128">
        <v>668</v>
      </c>
      <c r="EW33" s="119">
        <v>830</v>
      </c>
      <c r="EX33" s="109">
        <v>974</v>
      </c>
      <c r="EY33" s="127">
        <v>830</v>
      </c>
      <c r="EZ33" s="119">
        <v>705</v>
      </c>
      <c r="FA33" s="18">
        <v>754</v>
      </c>
      <c r="FB33" s="149">
        <v>902</v>
      </c>
      <c r="FC33" s="18">
        <v>740</v>
      </c>
      <c r="FD33" s="18">
        <v>662</v>
      </c>
      <c r="FE33" s="149">
        <v>826</v>
      </c>
      <c r="FF33" s="149">
        <v>711</v>
      </c>
      <c r="FG33" s="149">
        <v>4404</v>
      </c>
      <c r="FH33" s="149">
        <v>587</v>
      </c>
      <c r="FI33" s="119">
        <f>'Average Sunday-Holiday Boarding'!FI33*6</f>
        <v>963</v>
      </c>
      <c r="FJ33" s="109">
        <f>'Average Sunday-Holiday Boarding'!FJ33*4</f>
        <v>556</v>
      </c>
      <c r="FK33" s="127">
        <f>'Average Sunday-Holiday Boarding'!FK33*5</f>
        <v>839</v>
      </c>
      <c r="FL33" s="119">
        <v>698</v>
      </c>
      <c r="FM33" s="18">
        <v>669</v>
      </c>
      <c r="FN33" s="149">
        <v>871</v>
      </c>
      <c r="FO33" s="18">
        <v>1265</v>
      </c>
      <c r="FP33" s="18">
        <v>710</v>
      </c>
      <c r="FQ33" s="149">
        <v>820</v>
      </c>
      <c r="FR33" s="149">
        <v>1153</v>
      </c>
      <c r="FS33" s="149">
        <v>1082</v>
      </c>
      <c r="FT33" s="155">
        <v>842</v>
      </c>
      <c r="FU33" s="169">
        <v>1094</v>
      </c>
      <c r="FV33" s="169">
        <v>1086</v>
      </c>
      <c r="FW33" s="169">
        <v>941</v>
      </c>
      <c r="FX33" s="169">
        <v>879</v>
      </c>
      <c r="FY33" s="169">
        <v>786</v>
      </c>
      <c r="FZ33" s="169">
        <v>1001</v>
      </c>
      <c r="GA33" s="169">
        <v>1115</v>
      </c>
      <c r="GB33" s="18">
        <v>818</v>
      </c>
      <c r="GC33" s="18">
        <v>934</v>
      </c>
      <c r="GD33" s="18">
        <v>774</v>
      </c>
      <c r="GE33" s="18">
        <v>857</v>
      </c>
      <c r="GF33" s="52">
        <v>748</v>
      </c>
      <c r="GG33" s="18">
        <v>744</v>
      </c>
      <c r="GH33" s="18">
        <v>623</v>
      </c>
      <c r="GI33" s="184">
        <v>945</v>
      </c>
      <c r="GJ33" s="184">
        <v>774</v>
      </c>
      <c r="GK33" s="184">
        <v>1096</v>
      </c>
      <c r="GL33" s="184">
        <v>1277</v>
      </c>
    </row>
    <row r="34" spans="1:194" x14ac:dyDescent="0.3">
      <c r="A34" s="3" t="s">
        <v>16</v>
      </c>
      <c r="B34" s="17"/>
      <c r="C34" s="18">
        <v>10555</v>
      </c>
      <c r="D34" s="18">
        <v>4425</v>
      </c>
      <c r="E34" s="18">
        <v>5585</v>
      </c>
      <c r="F34" s="18">
        <v>3945</v>
      </c>
      <c r="G34" s="18">
        <v>5281</v>
      </c>
      <c r="H34" s="19">
        <v>2801</v>
      </c>
      <c r="I34" s="17">
        <v>5172</v>
      </c>
      <c r="J34" s="18">
        <v>3577</v>
      </c>
      <c r="K34" s="18">
        <v>3946</v>
      </c>
      <c r="L34" s="18">
        <v>3866</v>
      </c>
      <c r="M34" s="18">
        <v>9221</v>
      </c>
      <c r="N34" s="18">
        <v>3337</v>
      </c>
      <c r="O34" s="127">
        <v>6560</v>
      </c>
      <c r="P34" s="127">
        <v>4724</v>
      </c>
      <c r="Q34" s="127">
        <v>5286</v>
      </c>
      <c r="R34" s="127">
        <v>3482</v>
      </c>
      <c r="S34" s="127">
        <v>5746</v>
      </c>
      <c r="T34" s="128">
        <v>5046</v>
      </c>
      <c r="U34" s="129">
        <v>5118</v>
      </c>
      <c r="V34" s="127">
        <v>4030</v>
      </c>
      <c r="W34" s="127">
        <v>4121</v>
      </c>
      <c r="X34" s="127">
        <v>4951</v>
      </c>
      <c r="Y34" s="127">
        <v>8764</v>
      </c>
      <c r="Z34" s="127">
        <v>4360</v>
      </c>
      <c r="AA34" s="18">
        <v>6272</v>
      </c>
      <c r="AB34" s="18">
        <v>5039</v>
      </c>
      <c r="AC34" s="18">
        <v>5494</v>
      </c>
      <c r="AD34" s="18">
        <v>4096</v>
      </c>
      <c r="AE34" s="18">
        <v>5762</v>
      </c>
      <c r="AF34" s="19">
        <v>3111</v>
      </c>
      <c r="AG34" s="17">
        <v>6233</v>
      </c>
      <c r="AH34" s="18">
        <v>3533</v>
      </c>
      <c r="AI34" s="18">
        <v>4848</v>
      </c>
      <c r="AJ34" s="18">
        <v>5363</v>
      </c>
      <c r="AK34" s="18">
        <v>7710</v>
      </c>
      <c r="AL34" s="18">
        <v>4801</v>
      </c>
      <c r="AM34" s="18">
        <v>8476</v>
      </c>
      <c r="AN34" s="18">
        <v>6315</v>
      </c>
      <c r="AO34" s="18">
        <v>4768</v>
      </c>
      <c r="AP34" s="18">
        <v>5298</v>
      </c>
      <c r="AQ34" s="18">
        <v>5243</v>
      </c>
      <c r="AR34" s="19">
        <v>4528</v>
      </c>
      <c r="AS34" s="17">
        <v>7143</v>
      </c>
      <c r="AT34" s="18">
        <v>4152</v>
      </c>
      <c r="AU34" s="18">
        <v>6209</v>
      </c>
      <c r="AV34" s="18">
        <v>4944</v>
      </c>
      <c r="AW34" s="18">
        <v>8192</v>
      </c>
      <c r="AX34" s="18">
        <v>6834</v>
      </c>
      <c r="AY34" s="18">
        <v>7961</v>
      </c>
      <c r="AZ34" s="18">
        <v>6506</v>
      </c>
      <c r="BA34" s="18">
        <v>7235</v>
      </c>
      <c r="BB34" s="18">
        <v>4904</v>
      </c>
      <c r="BC34" s="18">
        <v>6018</v>
      </c>
      <c r="BD34" s="19">
        <v>5344</v>
      </c>
      <c r="BE34" s="17">
        <v>5302</v>
      </c>
      <c r="BF34" s="18">
        <v>3568</v>
      </c>
      <c r="BG34" s="18">
        <v>6250</v>
      </c>
      <c r="BH34" s="18">
        <v>4646</v>
      </c>
      <c r="BI34" s="18">
        <v>7304.9078252520403</v>
      </c>
      <c r="BJ34" s="18">
        <v>7773</v>
      </c>
      <c r="BK34" s="18">
        <v>8005</v>
      </c>
      <c r="BL34" s="18">
        <v>7047</v>
      </c>
      <c r="BM34" s="18">
        <v>7076</v>
      </c>
      <c r="BN34" s="18">
        <v>4374</v>
      </c>
      <c r="BO34" s="18">
        <v>5669</v>
      </c>
      <c r="BP34" s="19">
        <v>5581</v>
      </c>
      <c r="BQ34" s="17">
        <v>6019</v>
      </c>
      <c r="BR34" s="18">
        <v>5511</v>
      </c>
      <c r="BS34" s="18">
        <v>6172</v>
      </c>
      <c r="BT34" s="18">
        <v>4452</v>
      </c>
      <c r="BU34" s="18">
        <v>9652</v>
      </c>
      <c r="BV34" s="18">
        <v>6326</v>
      </c>
      <c r="BW34" s="18">
        <v>8342</v>
      </c>
      <c r="BX34" s="18">
        <v>6647</v>
      </c>
      <c r="BY34" s="18">
        <v>5966</v>
      </c>
      <c r="BZ34" s="18">
        <v>4458</v>
      </c>
      <c r="CA34" s="18">
        <v>6683</v>
      </c>
      <c r="CB34" s="19">
        <v>4014</v>
      </c>
      <c r="CC34" s="20">
        <v>5685</v>
      </c>
      <c r="CD34" s="18">
        <v>4130</v>
      </c>
      <c r="CE34" s="18">
        <v>2778</v>
      </c>
      <c r="CF34" s="18">
        <v>2262</v>
      </c>
      <c r="CG34" s="18">
        <v>4781</v>
      </c>
      <c r="CH34" s="18">
        <v>3330</v>
      </c>
      <c r="CI34" s="18">
        <v>4476</v>
      </c>
      <c r="CJ34" s="18">
        <v>3049</v>
      </c>
      <c r="CK34" s="18">
        <v>2188</v>
      </c>
      <c r="CL34" s="18">
        <v>2156</v>
      </c>
      <c r="CM34" s="18">
        <v>2993</v>
      </c>
      <c r="CN34" s="21">
        <v>1823</v>
      </c>
      <c r="CO34" s="17">
        <v>2991</v>
      </c>
      <c r="CP34" s="18">
        <v>1952</v>
      </c>
      <c r="CQ34" s="18">
        <v>2324</v>
      </c>
      <c r="CR34" s="18">
        <v>2798</v>
      </c>
      <c r="CS34" s="18">
        <v>4857</v>
      </c>
      <c r="CT34" s="18">
        <v>3969</v>
      </c>
      <c r="CU34" s="18">
        <v>4169</v>
      </c>
      <c r="CV34" s="18">
        <v>2934</v>
      </c>
      <c r="CW34" s="18">
        <v>2153</v>
      </c>
      <c r="CX34" s="18">
        <v>3359</v>
      </c>
      <c r="CY34" s="18">
        <v>2584</v>
      </c>
      <c r="CZ34" s="19">
        <v>1912</v>
      </c>
      <c r="DA34" s="17">
        <v>3351</v>
      </c>
      <c r="DB34" s="18">
        <v>1917</v>
      </c>
      <c r="DC34" s="18">
        <v>2469</v>
      </c>
      <c r="DD34" s="18">
        <v>2701</v>
      </c>
      <c r="DE34" s="18">
        <v>4668</v>
      </c>
      <c r="DF34" s="18">
        <v>3619</v>
      </c>
      <c r="DG34" s="18">
        <v>3857</v>
      </c>
      <c r="DH34" s="18">
        <v>3297</v>
      </c>
      <c r="DI34" s="18">
        <v>3059</v>
      </c>
      <c r="DJ34" s="18">
        <v>3052</v>
      </c>
      <c r="DK34" s="18">
        <v>3065</v>
      </c>
      <c r="DL34" s="19">
        <v>1958</v>
      </c>
      <c r="DM34" s="17">
        <v>3301</v>
      </c>
      <c r="DN34" s="18">
        <v>2335</v>
      </c>
      <c r="DO34" s="127">
        <v>3371</v>
      </c>
      <c r="DP34" s="127">
        <v>2429</v>
      </c>
      <c r="DQ34" s="127">
        <v>2673</v>
      </c>
      <c r="DR34" s="127">
        <v>3159</v>
      </c>
      <c r="DS34" s="127">
        <v>2726</v>
      </c>
      <c r="DT34" s="127">
        <v>2219</v>
      </c>
      <c r="DU34" s="127">
        <v>3215</v>
      </c>
      <c r="DV34" s="127">
        <v>522</v>
      </c>
      <c r="DW34" s="127">
        <v>2558</v>
      </c>
      <c r="DX34" s="128">
        <v>2503</v>
      </c>
      <c r="DY34" s="119">
        <v>2828</v>
      </c>
      <c r="DZ34" s="127">
        <v>1856</v>
      </c>
      <c r="EA34" s="127">
        <v>3030</v>
      </c>
      <c r="EB34" s="119">
        <v>2444</v>
      </c>
      <c r="EC34" s="127">
        <v>3018</v>
      </c>
      <c r="ED34" s="127">
        <v>2897</v>
      </c>
      <c r="EE34" s="127">
        <v>2545</v>
      </c>
      <c r="EF34" s="127">
        <v>2364</v>
      </c>
      <c r="EG34" s="127">
        <v>2835</v>
      </c>
      <c r="EH34" s="127">
        <v>1370</v>
      </c>
      <c r="EI34" s="127">
        <v>2222</v>
      </c>
      <c r="EJ34" s="128">
        <v>1200</v>
      </c>
      <c r="EK34" s="119">
        <v>1532</v>
      </c>
      <c r="EL34" s="127">
        <v>1758</v>
      </c>
      <c r="EM34" s="127">
        <v>1700</v>
      </c>
      <c r="EN34" s="119">
        <v>1289</v>
      </c>
      <c r="EO34" s="127">
        <v>1225</v>
      </c>
      <c r="EP34" s="127">
        <v>1149</v>
      </c>
      <c r="EQ34" s="127">
        <v>813</v>
      </c>
      <c r="ER34" s="127">
        <v>1271</v>
      </c>
      <c r="ES34" s="127">
        <v>1356</v>
      </c>
      <c r="ET34" s="127">
        <v>1370</v>
      </c>
      <c r="EU34" s="127">
        <v>1626</v>
      </c>
      <c r="EV34" s="128">
        <v>1386</v>
      </c>
      <c r="EW34" s="119">
        <v>1510</v>
      </c>
      <c r="EX34" s="109">
        <v>1998</v>
      </c>
      <c r="EY34" s="127">
        <v>1523</v>
      </c>
      <c r="EZ34" s="119">
        <v>1615</v>
      </c>
      <c r="FA34" s="18">
        <v>1526</v>
      </c>
      <c r="FB34" s="149">
        <v>1909</v>
      </c>
      <c r="FC34" s="18">
        <v>1554</v>
      </c>
      <c r="FD34" s="18">
        <v>1499</v>
      </c>
      <c r="FE34" s="149">
        <v>1715</v>
      </c>
      <c r="FF34" s="149">
        <v>1602</v>
      </c>
      <c r="FG34" s="149">
        <v>2065</v>
      </c>
      <c r="FH34" s="149">
        <v>1212</v>
      </c>
      <c r="FI34" s="119">
        <f>'Average Sunday-Holiday Boarding'!FI34*6</f>
        <v>1969</v>
      </c>
      <c r="FJ34" s="109">
        <f>'Average Sunday-Holiday Boarding'!FJ34*4</f>
        <v>1205</v>
      </c>
      <c r="FK34" s="127">
        <f>'Average Sunday-Holiday Boarding'!FK34*5</f>
        <v>1570</v>
      </c>
      <c r="FL34" s="119">
        <v>1670</v>
      </c>
      <c r="FM34" s="18">
        <v>1726</v>
      </c>
      <c r="FN34" s="149">
        <v>1666</v>
      </c>
      <c r="FO34" s="18">
        <v>2116</v>
      </c>
      <c r="FP34" s="18">
        <v>1492</v>
      </c>
      <c r="FQ34" s="149">
        <v>1803</v>
      </c>
      <c r="FR34" s="149">
        <v>2064</v>
      </c>
      <c r="FS34" s="149">
        <v>2143</v>
      </c>
      <c r="FT34" s="155">
        <v>1664</v>
      </c>
      <c r="FU34" s="169">
        <v>2356</v>
      </c>
      <c r="FV34" s="169">
        <v>2139</v>
      </c>
      <c r="FW34" s="169">
        <v>2008</v>
      </c>
      <c r="FX34" s="169">
        <v>2153</v>
      </c>
      <c r="FY34" s="169">
        <v>1887</v>
      </c>
      <c r="FZ34" s="169">
        <v>2515</v>
      </c>
      <c r="GA34" s="169">
        <v>2499</v>
      </c>
      <c r="GB34" s="18">
        <v>1896</v>
      </c>
      <c r="GC34" s="18">
        <v>2221</v>
      </c>
      <c r="GD34" s="18">
        <v>1699</v>
      </c>
      <c r="GE34" s="18">
        <v>2085</v>
      </c>
      <c r="GF34" s="52">
        <v>2074</v>
      </c>
      <c r="GG34" s="18">
        <v>1929</v>
      </c>
      <c r="GH34" s="18">
        <v>1468</v>
      </c>
      <c r="GI34" s="184">
        <v>2206</v>
      </c>
      <c r="GJ34" s="184">
        <v>1480</v>
      </c>
      <c r="GK34" s="184">
        <v>1729</v>
      </c>
      <c r="GL34" s="184">
        <v>1799</v>
      </c>
    </row>
    <row r="35" spans="1:194" x14ac:dyDescent="0.3">
      <c r="A35" s="3" t="s">
        <v>17</v>
      </c>
      <c r="B35" s="17"/>
      <c r="C35" s="18">
        <v>1846</v>
      </c>
      <c r="D35" s="18">
        <v>712</v>
      </c>
      <c r="E35" s="18">
        <v>803</v>
      </c>
      <c r="F35" s="18">
        <v>579</v>
      </c>
      <c r="G35" s="18">
        <v>710</v>
      </c>
      <c r="H35" s="19">
        <v>341</v>
      </c>
      <c r="I35" s="17">
        <v>1361</v>
      </c>
      <c r="J35" s="18">
        <v>482</v>
      </c>
      <c r="K35" s="18">
        <v>579</v>
      </c>
      <c r="L35" s="18">
        <v>471</v>
      </c>
      <c r="M35" s="18">
        <v>1032</v>
      </c>
      <c r="N35" s="18">
        <v>436</v>
      </c>
      <c r="O35" s="127">
        <v>868</v>
      </c>
      <c r="P35" s="127">
        <v>791</v>
      </c>
      <c r="Q35" s="127">
        <v>672</v>
      </c>
      <c r="R35" s="127">
        <v>656</v>
      </c>
      <c r="S35" s="127">
        <v>692</v>
      </c>
      <c r="T35" s="128">
        <v>348</v>
      </c>
      <c r="U35" s="129">
        <v>1117</v>
      </c>
      <c r="V35" s="127">
        <v>539</v>
      </c>
      <c r="W35" s="127">
        <v>640</v>
      </c>
      <c r="X35" s="127">
        <v>865</v>
      </c>
      <c r="Y35" s="127">
        <v>1036</v>
      </c>
      <c r="Z35" s="127">
        <v>490</v>
      </c>
      <c r="AA35" s="18">
        <v>985</v>
      </c>
      <c r="AB35" s="18">
        <v>771</v>
      </c>
      <c r="AC35" s="18">
        <v>834</v>
      </c>
      <c r="AD35" s="18">
        <v>558</v>
      </c>
      <c r="AE35" s="18">
        <v>724</v>
      </c>
      <c r="AF35" s="19">
        <v>374</v>
      </c>
      <c r="AG35" s="17">
        <v>1635</v>
      </c>
      <c r="AH35" s="18">
        <v>468</v>
      </c>
      <c r="AI35" s="18">
        <v>676</v>
      </c>
      <c r="AJ35" s="18">
        <v>812</v>
      </c>
      <c r="AK35" s="18">
        <v>1204</v>
      </c>
      <c r="AL35" s="18">
        <v>631</v>
      </c>
      <c r="AM35" s="18">
        <v>1500</v>
      </c>
      <c r="AN35" s="18">
        <v>938</v>
      </c>
      <c r="AO35" s="18">
        <v>592</v>
      </c>
      <c r="AP35" s="18">
        <v>834</v>
      </c>
      <c r="AQ35" s="18">
        <v>673</v>
      </c>
      <c r="AR35" s="19">
        <v>488</v>
      </c>
      <c r="AS35" s="17">
        <v>1726</v>
      </c>
      <c r="AT35" s="18">
        <v>595</v>
      </c>
      <c r="AU35" s="18">
        <v>1003</v>
      </c>
      <c r="AV35" s="18">
        <v>759</v>
      </c>
      <c r="AW35" s="18">
        <v>1021</v>
      </c>
      <c r="AX35" s="18">
        <v>895</v>
      </c>
      <c r="AY35" s="18">
        <v>1025</v>
      </c>
      <c r="AZ35" s="18">
        <v>933</v>
      </c>
      <c r="BA35" s="18">
        <v>1022</v>
      </c>
      <c r="BB35" s="18">
        <v>884</v>
      </c>
      <c r="BC35" s="18">
        <v>873</v>
      </c>
      <c r="BD35" s="19">
        <v>639</v>
      </c>
      <c r="BE35" s="17">
        <v>1571</v>
      </c>
      <c r="BF35" s="18">
        <v>495</v>
      </c>
      <c r="BG35" s="18">
        <v>1106</v>
      </c>
      <c r="BH35" s="18">
        <v>831</v>
      </c>
      <c r="BI35" s="18">
        <v>1106.6101776284206</v>
      </c>
      <c r="BJ35" s="18">
        <v>960</v>
      </c>
      <c r="BK35" s="18">
        <v>1145</v>
      </c>
      <c r="BL35" s="18">
        <v>1141</v>
      </c>
      <c r="BM35" s="18">
        <v>1042</v>
      </c>
      <c r="BN35" s="18">
        <v>855</v>
      </c>
      <c r="BO35" s="18">
        <v>818</v>
      </c>
      <c r="BP35" s="19">
        <v>835</v>
      </c>
      <c r="BQ35" s="17">
        <v>1822</v>
      </c>
      <c r="BR35" s="18">
        <v>938</v>
      </c>
      <c r="BS35" s="18">
        <v>1242</v>
      </c>
      <c r="BT35" s="18">
        <v>965</v>
      </c>
      <c r="BU35" s="18">
        <v>1618</v>
      </c>
      <c r="BV35" s="18">
        <v>919</v>
      </c>
      <c r="BW35" s="18">
        <v>1238</v>
      </c>
      <c r="BX35" s="18">
        <v>1138</v>
      </c>
      <c r="BY35" s="18">
        <v>1047</v>
      </c>
      <c r="BZ35" s="18">
        <v>781</v>
      </c>
      <c r="CA35" s="18">
        <v>1054</v>
      </c>
      <c r="CB35" s="19">
        <v>748</v>
      </c>
      <c r="CC35" s="20">
        <v>877</v>
      </c>
      <c r="CD35" s="18">
        <v>778</v>
      </c>
      <c r="CE35" s="18">
        <v>1196</v>
      </c>
      <c r="CF35" s="18">
        <v>946</v>
      </c>
      <c r="CG35" s="18">
        <v>1872</v>
      </c>
      <c r="CH35" s="18">
        <v>1172</v>
      </c>
      <c r="CI35" s="18">
        <v>1633</v>
      </c>
      <c r="CJ35" s="18">
        <v>1130</v>
      </c>
      <c r="CK35" s="18">
        <v>766</v>
      </c>
      <c r="CL35" s="18">
        <v>938</v>
      </c>
      <c r="CM35" s="18">
        <v>1019</v>
      </c>
      <c r="CN35" s="21">
        <v>558</v>
      </c>
      <c r="CO35" s="17">
        <v>1407</v>
      </c>
      <c r="CP35" s="18">
        <v>617</v>
      </c>
      <c r="CQ35" s="18">
        <v>746</v>
      </c>
      <c r="CR35" s="18">
        <v>915</v>
      </c>
      <c r="CS35" s="18">
        <v>1446</v>
      </c>
      <c r="CT35" s="18">
        <v>1034</v>
      </c>
      <c r="CU35" s="18">
        <v>1322</v>
      </c>
      <c r="CV35" s="18">
        <v>935</v>
      </c>
      <c r="CW35" s="18">
        <v>713</v>
      </c>
      <c r="CX35" s="18">
        <v>1251</v>
      </c>
      <c r="CY35" s="18">
        <v>869</v>
      </c>
      <c r="CZ35" s="19">
        <v>697</v>
      </c>
      <c r="DA35" s="17">
        <v>1606</v>
      </c>
      <c r="DB35" s="18">
        <v>760</v>
      </c>
      <c r="DC35" s="18">
        <v>773</v>
      </c>
      <c r="DD35" s="18">
        <v>887</v>
      </c>
      <c r="DE35" s="18">
        <v>1656</v>
      </c>
      <c r="DF35" s="18">
        <v>1165</v>
      </c>
      <c r="DG35" s="18">
        <v>1216</v>
      </c>
      <c r="DH35" s="18">
        <v>987</v>
      </c>
      <c r="DI35" s="18">
        <v>816</v>
      </c>
      <c r="DJ35" s="18">
        <v>896</v>
      </c>
      <c r="DK35" s="18">
        <v>889</v>
      </c>
      <c r="DL35" s="19">
        <v>572</v>
      </c>
      <c r="DM35" s="17">
        <v>1729</v>
      </c>
      <c r="DN35" s="18">
        <v>639</v>
      </c>
      <c r="DO35" s="127">
        <v>982</v>
      </c>
      <c r="DP35" s="127">
        <v>672</v>
      </c>
      <c r="DQ35" s="127">
        <v>709</v>
      </c>
      <c r="DR35" s="127">
        <v>786</v>
      </c>
      <c r="DS35" s="127">
        <v>773</v>
      </c>
      <c r="DT35" s="127">
        <v>550</v>
      </c>
      <c r="DU35" s="127">
        <v>926</v>
      </c>
      <c r="DV35" s="127">
        <v>535</v>
      </c>
      <c r="DW35" s="127">
        <v>819</v>
      </c>
      <c r="DX35" s="128">
        <v>636</v>
      </c>
      <c r="DY35" s="119">
        <v>985</v>
      </c>
      <c r="DZ35" s="127">
        <v>545</v>
      </c>
      <c r="EA35" s="127">
        <v>1071</v>
      </c>
      <c r="EB35" s="119">
        <v>886</v>
      </c>
      <c r="EC35" s="127">
        <v>1021</v>
      </c>
      <c r="ED35" s="127">
        <v>938</v>
      </c>
      <c r="EE35" s="127">
        <v>971</v>
      </c>
      <c r="EF35" s="127">
        <v>769</v>
      </c>
      <c r="EG35" s="127">
        <v>916</v>
      </c>
      <c r="EH35" s="127">
        <v>499</v>
      </c>
      <c r="EI35" s="127">
        <v>833</v>
      </c>
      <c r="EJ35" s="128">
        <v>443</v>
      </c>
      <c r="EK35" s="119">
        <v>586</v>
      </c>
      <c r="EL35" s="127">
        <v>574</v>
      </c>
      <c r="EM35" s="127">
        <v>621</v>
      </c>
      <c r="EN35" s="119">
        <v>537</v>
      </c>
      <c r="EO35" s="127">
        <v>451</v>
      </c>
      <c r="EP35" s="127">
        <v>517</v>
      </c>
      <c r="EQ35" s="127">
        <v>310</v>
      </c>
      <c r="ER35" s="127">
        <v>497</v>
      </c>
      <c r="ES35" s="127">
        <v>484</v>
      </c>
      <c r="ET35" s="127">
        <v>499</v>
      </c>
      <c r="EU35" s="127">
        <v>527</v>
      </c>
      <c r="EV35" s="128">
        <v>409</v>
      </c>
      <c r="EW35" s="119">
        <v>549</v>
      </c>
      <c r="EX35" s="109">
        <v>745</v>
      </c>
      <c r="EY35" s="127">
        <v>578</v>
      </c>
      <c r="EZ35" s="119">
        <v>633</v>
      </c>
      <c r="FA35" s="18">
        <v>588</v>
      </c>
      <c r="FB35" s="149">
        <v>667</v>
      </c>
      <c r="FC35" s="18">
        <v>555</v>
      </c>
      <c r="FD35" s="18">
        <v>448</v>
      </c>
      <c r="FE35" s="149">
        <v>582</v>
      </c>
      <c r="FF35" s="149">
        <v>578</v>
      </c>
      <c r="FG35" s="149">
        <v>808</v>
      </c>
      <c r="FH35" s="149">
        <v>349</v>
      </c>
      <c r="FI35" s="119">
        <f>'Average Sunday-Holiday Boarding'!FI35*6</f>
        <v>628</v>
      </c>
      <c r="FJ35" s="109">
        <f>'Average Sunday-Holiday Boarding'!FJ35*4</f>
        <v>350</v>
      </c>
      <c r="FK35" s="127">
        <f>'Average Sunday-Holiday Boarding'!FK35*5</f>
        <v>630</v>
      </c>
      <c r="FL35" s="119">
        <v>597</v>
      </c>
      <c r="FM35" s="18">
        <v>503</v>
      </c>
      <c r="FN35" s="149">
        <v>590</v>
      </c>
      <c r="FO35" s="18">
        <v>679</v>
      </c>
      <c r="FP35" s="18">
        <v>749</v>
      </c>
      <c r="FQ35" s="149">
        <v>707</v>
      </c>
      <c r="FR35" s="149">
        <v>820</v>
      </c>
      <c r="FS35" s="149">
        <v>860</v>
      </c>
      <c r="FT35" s="155">
        <v>815</v>
      </c>
      <c r="FU35" s="169">
        <v>920</v>
      </c>
      <c r="FV35" s="169">
        <v>862</v>
      </c>
      <c r="FW35" s="169">
        <v>824</v>
      </c>
      <c r="FX35" s="169">
        <v>943</v>
      </c>
      <c r="FY35" s="169">
        <v>906</v>
      </c>
      <c r="FZ35" s="169">
        <v>811</v>
      </c>
      <c r="GA35" s="169">
        <v>900</v>
      </c>
      <c r="GB35" s="18">
        <v>606</v>
      </c>
      <c r="GC35" s="18">
        <v>786</v>
      </c>
      <c r="GD35" s="18">
        <v>519</v>
      </c>
      <c r="GE35" s="18">
        <v>689</v>
      </c>
      <c r="GF35" s="52">
        <v>739</v>
      </c>
      <c r="GG35" s="18">
        <v>711</v>
      </c>
      <c r="GH35" s="18">
        <v>520</v>
      </c>
      <c r="GI35" s="184">
        <v>926</v>
      </c>
      <c r="GJ35" s="184">
        <v>645</v>
      </c>
      <c r="GK35" s="184">
        <v>714</v>
      </c>
      <c r="GL35" s="184">
        <v>727</v>
      </c>
    </row>
    <row r="36" spans="1:194" x14ac:dyDescent="0.3">
      <c r="A36" s="3" t="s">
        <v>18</v>
      </c>
      <c r="B36" s="17"/>
      <c r="C36" s="18">
        <v>11133</v>
      </c>
      <c r="D36" s="18">
        <v>7084</v>
      </c>
      <c r="E36" s="18">
        <v>12611</v>
      </c>
      <c r="F36" s="18">
        <v>7168</v>
      </c>
      <c r="G36" s="18">
        <v>7884</v>
      </c>
      <c r="H36" s="19">
        <v>3772</v>
      </c>
      <c r="I36" s="17">
        <v>10784</v>
      </c>
      <c r="J36" s="18">
        <v>4673</v>
      </c>
      <c r="K36" s="18">
        <v>6847</v>
      </c>
      <c r="L36" s="18">
        <v>6724</v>
      </c>
      <c r="M36" s="18">
        <v>11828</v>
      </c>
      <c r="N36" s="18">
        <v>5474</v>
      </c>
      <c r="O36" s="127">
        <v>13141</v>
      </c>
      <c r="P36" s="127">
        <v>6123</v>
      </c>
      <c r="Q36" s="127">
        <v>10865</v>
      </c>
      <c r="R36" s="127">
        <v>5543</v>
      </c>
      <c r="S36" s="127">
        <v>6853</v>
      </c>
      <c r="T36" s="128">
        <v>3661</v>
      </c>
      <c r="U36" s="129">
        <v>9095</v>
      </c>
      <c r="V36" s="127">
        <v>4119</v>
      </c>
      <c r="W36" s="127">
        <v>5875</v>
      </c>
      <c r="X36" s="127">
        <v>6987</v>
      </c>
      <c r="Y36" s="127">
        <v>9212</v>
      </c>
      <c r="Z36" s="127">
        <v>6093</v>
      </c>
      <c r="AA36" s="18">
        <v>11006</v>
      </c>
      <c r="AB36" s="18">
        <v>5519</v>
      </c>
      <c r="AC36" s="18">
        <v>11079</v>
      </c>
      <c r="AD36" s="18">
        <v>5337</v>
      </c>
      <c r="AE36" s="18">
        <v>7256</v>
      </c>
      <c r="AF36" s="19">
        <v>4061</v>
      </c>
      <c r="AG36" s="17">
        <v>10501</v>
      </c>
      <c r="AH36" s="18">
        <v>4023</v>
      </c>
      <c r="AI36" s="18">
        <v>5715</v>
      </c>
      <c r="AJ36" s="18">
        <v>8563</v>
      </c>
      <c r="AK36" s="18">
        <v>8243</v>
      </c>
      <c r="AL36" s="18">
        <v>5441</v>
      </c>
      <c r="AM36" s="18">
        <v>12874</v>
      </c>
      <c r="AN36" s="18">
        <v>6278</v>
      </c>
      <c r="AO36" s="18">
        <v>7156</v>
      </c>
      <c r="AP36" s="18">
        <v>8681</v>
      </c>
      <c r="AQ36" s="18">
        <v>6085</v>
      </c>
      <c r="AR36" s="19">
        <v>4601</v>
      </c>
      <c r="AS36" s="17">
        <v>10935</v>
      </c>
      <c r="AT36" s="18">
        <v>4298</v>
      </c>
      <c r="AU36" s="18">
        <v>7100</v>
      </c>
      <c r="AV36" s="18">
        <v>7365</v>
      </c>
      <c r="AW36" s="18">
        <v>6853</v>
      </c>
      <c r="AX36" s="18">
        <v>7767</v>
      </c>
      <c r="AY36" s="18">
        <v>9574</v>
      </c>
      <c r="AZ36" s="18">
        <v>6207</v>
      </c>
      <c r="BA36" s="18">
        <v>10505</v>
      </c>
      <c r="BB36" s="18">
        <v>7488</v>
      </c>
      <c r="BC36" s="18">
        <v>6653</v>
      </c>
      <c r="BD36" s="19">
        <v>5119</v>
      </c>
      <c r="BE36" s="17">
        <v>10329</v>
      </c>
      <c r="BF36" s="18">
        <v>4002</v>
      </c>
      <c r="BG36" s="18">
        <v>7629</v>
      </c>
      <c r="BH36" s="18">
        <v>6684</v>
      </c>
      <c r="BI36" s="18">
        <v>7049.376476236198</v>
      </c>
      <c r="BJ36" s="18">
        <v>8668</v>
      </c>
      <c r="BK36" s="18">
        <v>14981</v>
      </c>
      <c r="BL36" s="18">
        <v>6549</v>
      </c>
      <c r="BM36" s="18">
        <v>10243</v>
      </c>
      <c r="BN36" s="18">
        <v>5269</v>
      </c>
      <c r="BO36" s="18">
        <v>5413</v>
      </c>
      <c r="BP36" s="19">
        <v>5392</v>
      </c>
      <c r="BQ36" s="17">
        <v>9103</v>
      </c>
      <c r="BR36" s="18">
        <v>5462</v>
      </c>
      <c r="BS36" s="18">
        <v>5384</v>
      </c>
      <c r="BT36" s="18">
        <v>6050</v>
      </c>
      <c r="BU36" s="18">
        <v>9606</v>
      </c>
      <c r="BV36" s="18">
        <v>6528</v>
      </c>
      <c r="BW36" s="18">
        <v>12316</v>
      </c>
      <c r="BX36" s="18">
        <v>7327</v>
      </c>
      <c r="BY36" s="18">
        <v>9708</v>
      </c>
      <c r="BZ36" s="18">
        <v>4874</v>
      </c>
      <c r="CA36" s="18">
        <v>6397</v>
      </c>
      <c r="CB36" s="19">
        <v>3617</v>
      </c>
      <c r="CC36" s="20">
        <v>5133</v>
      </c>
      <c r="CD36" s="18">
        <v>4608</v>
      </c>
      <c r="CE36" s="18">
        <v>7516</v>
      </c>
      <c r="CF36" s="18">
        <v>5877</v>
      </c>
      <c r="CG36" s="18">
        <v>12197</v>
      </c>
      <c r="CH36" s="18">
        <v>7058</v>
      </c>
      <c r="CI36" s="18">
        <v>14815</v>
      </c>
      <c r="CJ36" s="18">
        <v>6330</v>
      </c>
      <c r="CK36" s="18">
        <v>6148</v>
      </c>
      <c r="CL36" s="18">
        <v>5923</v>
      </c>
      <c r="CM36" s="18">
        <v>6964</v>
      </c>
      <c r="CN36" s="21">
        <v>3930</v>
      </c>
      <c r="CO36" s="17">
        <v>9209</v>
      </c>
      <c r="CP36" s="18">
        <v>4352</v>
      </c>
      <c r="CQ36" s="18">
        <v>5971</v>
      </c>
      <c r="CR36" s="18">
        <v>6699</v>
      </c>
      <c r="CS36" s="18">
        <v>8903</v>
      </c>
      <c r="CT36" s="18">
        <v>7765</v>
      </c>
      <c r="CU36" s="18">
        <v>11635</v>
      </c>
      <c r="CV36" s="18">
        <v>6048</v>
      </c>
      <c r="CW36" s="18">
        <v>6394</v>
      </c>
      <c r="CX36" s="18">
        <v>9227</v>
      </c>
      <c r="CY36" s="18">
        <v>4943</v>
      </c>
      <c r="CZ36" s="19">
        <v>3449</v>
      </c>
      <c r="DA36" s="17">
        <v>8403</v>
      </c>
      <c r="DB36" s="18">
        <v>3913</v>
      </c>
      <c r="DC36" s="18">
        <v>4864</v>
      </c>
      <c r="DD36" s="18">
        <v>6511</v>
      </c>
      <c r="DE36" s="18">
        <v>7684</v>
      </c>
      <c r="DF36" s="18">
        <v>6088</v>
      </c>
      <c r="DG36" s="18">
        <v>8178</v>
      </c>
      <c r="DH36" s="18">
        <v>4979</v>
      </c>
      <c r="DI36" s="18">
        <v>7731</v>
      </c>
      <c r="DJ36" s="18">
        <v>4567</v>
      </c>
      <c r="DK36" s="18">
        <v>4450</v>
      </c>
      <c r="DL36" s="19">
        <v>3129</v>
      </c>
      <c r="DM36" s="17">
        <v>7559</v>
      </c>
      <c r="DN36" s="18">
        <v>2982</v>
      </c>
      <c r="DO36" s="127">
        <v>4937</v>
      </c>
      <c r="DP36" s="127">
        <v>4107</v>
      </c>
      <c r="DQ36" s="127">
        <v>3926</v>
      </c>
      <c r="DR36" s="127">
        <v>5311</v>
      </c>
      <c r="DS36" s="127">
        <v>5617</v>
      </c>
      <c r="DT36" s="127">
        <v>3085</v>
      </c>
      <c r="DU36" s="127">
        <v>8238</v>
      </c>
      <c r="DV36" s="127">
        <v>3527</v>
      </c>
      <c r="DW36" s="127">
        <v>4070</v>
      </c>
      <c r="DX36" s="128">
        <v>3628</v>
      </c>
      <c r="DY36" s="119">
        <v>5629</v>
      </c>
      <c r="DZ36" s="127">
        <v>2859</v>
      </c>
      <c r="EA36" s="127">
        <v>4505</v>
      </c>
      <c r="EB36" s="119">
        <v>4155</v>
      </c>
      <c r="EC36" s="127">
        <v>4350</v>
      </c>
      <c r="ED36" s="127">
        <v>4685</v>
      </c>
      <c r="EE36" s="127">
        <v>5815</v>
      </c>
      <c r="EF36" s="127">
        <v>3330</v>
      </c>
      <c r="EG36" s="127">
        <v>4523</v>
      </c>
      <c r="EH36" s="127">
        <v>1398</v>
      </c>
      <c r="EI36" s="127">
        <v>2219</v>
      </c>
      <c r="EJ36" s="128">
        <v>1448</v>
      </c>
      <c r="EK36" s="119">
        <v>1605</v>
      </c>
      <c r="EL36" s="127">
        <v>1571</v>
      </c>
      <c r="EM36" s="127">
        <v>1867</v>
      </c>
      <c r="EN36" s="119">
        <v>1487</v>
      </c>
      <c r="EO36" s="127">
        <v>1758</v>
      </c>
      <c r="EP36" s="127">
        <v>1224</v>
      </c>
      <c r="EQ36" s="127">
        <v>837</v>
      </c>
      <c r="ER36" s="127">
        <v>1555</v>
      </c>
      <c r="ES36" s="127">
        <v>1610</v>
      </c>
      <c r="ET36" s="127">
        <v>1662</v>
      </c>
      <c r="EU36" s="127">
        <v>2318</v>
      </c>
      <c r="EV36" s="128">
        <v>1555</v>
      </c>
      <c r="EW36" s="119">
        <v>2193</v>
      </c>
      <c r="EX36" s="109">
        <v>2372</v>
      </c>
      <c r="EY36" s="127">
        <v>2090</v>
      </c>
      <c r="EZ36" s="119">
        <v>2333</v>
      </c>
      <c r="FA36" s="18">
        <v>2308</v>
      </c>
      <c r="FB36" s="149">
        <v>3404</v>
      </c>
      <c r="FC36" s="18">
        <v>2577</v>
      </c>
      <c r="FD36" s="18">
        <v>2895</v>
      </c>
      <c r="FE36" s="149">
        <v>3836</v>
      </c>
      <c r="FF36" s="149">
        <v>2505</v>
      </c>
      <c r="FG36" s="149">
        <v>2831</v>
      </c>
      <c r="FH36" s="149">
        <v>1766</v>
      </c>
      <c r="FI36" s="119">
        <f>'Average Sunday-Holiday Boarding'!FI36*6</f>
        <v>3139</v>
      </c>
      <c r="FJ36" s="109">
        <f>'Average Sunday-Holiday Boarding'!FJ36*4</f>
        <v>1892</v>
      </c>
      <c r="FK36" s="127">
        <f>'Average Sunday-Holiday Boarding'!FK36*5</f>
        <v>2846</v>
      </c>
      <c r="FL36" s="119">
        <v>3059</v>
      </c>
      <c r="FM36" s="18">
        <v>2229</v>
      </c>
      <c r="FN36" s="149">
        <v>2586</v>
      </c>
      <c r="FO36" s="18">
        <v>3298</v>
      </c>
      <c r="FP36" s="18">
        <v>3078</v>
      </c>
      <c r="FQ36" s="149">
        <v>3234</v>
      </c>
      <c r="FR36" s="149">
        <v>4033</v>
      </c>
      <c r="FS36" s="149">
        <v>2820</v>
      </c>
      <c r="FT36" s="155">
        <v>1861</v>
      </c>
      <c r="FU36" s="169">
        <v>2944</v>
      </c>
      <c r="FV36" s="169">
        <v>2343</v>
      </c>
      <c r="FW36" s="169">
        <v>2945</v>
      </c>
      <c r="FX36" s="169">
        <v>2982</v>
      </c>
      <c r="FY36" s="169">
        <v>2467</v>
      </c>
      <c r="FZ36" s="169">
        <v>3391</v>
      </c>
      <c r="GA36" s="169">
        <v>3143</v>
      </c>
      <c r="GB36" s="18">
        <v>2187</v>
      </c>
      <c r="GC36" s="18">
        <v>4198</v>
      </c>
      <c r="GD36" s="18">
        <v>2505</v>
      </c>
      <c r="GE36" s="18">
        <v>3013</v>
      </c>
      <c r="GF36" s="52">
        <v>2289</v>
      </c>
      <c r="GG36" s="18">
        <v>3108</v>
      </c>
      <c r="GH36" s="18">
        <v>1733</v>
      </c>
      <c r="GI36" s="184">
        <v>3144</v>
      </c>
      <c r="GJ36" s="184">
        <v>2164</v>
      </c>
      <c r="GK36" s="184">
        <v>2472</v>
      </c>
      <c r="GL36" s="184">
        <v>2953</v>
      </c>
    </row>
    <row r="37" spans="1:194" x14ac:dyDescent="0.3">
      <c r="A37" s="3" t="s">
        <v>19</v>
      </c>
      <c r="B37" s="17"/>
      <c r="C37" s="18">
        <v>6757</v>
      </c>
      <c r="D37" s="18">
        <v>4379</v>
      </c>
      <c r="E37" s="18">
        <v>3635</v>
      </c>
      <c r="F37" s="18">
        <v>2746</v>
      </c>
      <c r="G37" s="18">
        <v>3072</v>
      </c>
      <c r="H37" s="19">
        <v>1823</v>
      </c>
      <c r="I37" s="17">
        <v>3544</v>
      </c>
      <c r="J37" s="18">
        <v>2864</v>
      </c>
      <c r="K37" s="18">
        <v>3517</v>
      </c>
      <c r="L37" s="18">
        <v>2642</v>
      </c>
      <c r="M37" s="18">
        <v>6026</v>
      </c>
      <c r="N37" s="18">
        <v>2564</v>
      </c>
      <c r="O37" s="127">
        <v>8635</v>
      </c>
      <c r="P37" s="127">
        <v>4522</v>
      </c>
      <c r="Q37" s="127">
        <v>3379</v>
      </c>
      <c r="R37" s="127">
        <v>2650</v>
      </c>
      <c r="S37" s="127">
        <v>3495</v>
      </c>
      <c r="T37" s="128">
        <v>2198</v>
      </c>
      <c r="U37" s="129">
        <v>2285</v>
      </c>
      <c r="V37" s="127">
        <v>2962</v>
      </c>
      <c r="W37" s="127">
        <v>4377</v>
      </c>
      <c r="X37" s="127">
        <v>3562</v>
      </c>
      <c r="Y37" s="127">
        <v>7845</v>
      </c>
      <c r="Z37" s="127">
        <v>2922</v>
      </c>
      <c r="AA37" s="18">
        <v>7055</v>
      </c>
      <c r="AB37" s="18">
        <v>5248</v>
      </c>
      <c r="AC37" s="18">
        <v>3291</v>
      </c>
      <c r="AD37" s="18">
        <v>3280</v>
      </c>
      <c r="AE37" s="18">
        <v>4089</v>
      </c>
      <c r="AF37" s="19">
        <v>2192</v>
      </c>
      <c r="AG37" s="17">
        <v>4302</v>
      </c>
      <c r="AH37" s="18">
        <v>2933</v>
      </c>
      <c r="AI37" s="18">
        <v>4034</v>
      </c>
      <c r="AJ37" s="18">
        <v>4454</v>
      </c>
      <c r="AK37" s="18">
        <v>7902</v>
      </c>
      <c r="AL37" s="18">
        <v>3478</v>
      </c>
      <c r="AM37" s="18">
        <v>9754</v>
      </c>
      <c r="AN37" s="18">
        <v>5454</v>
      </c>
      <c r="AO37" s="18">
        <v>2924</v>
      </c>
      <c r="AP37" s="18">
        <v>3876</v>
      </c>
      <c r="AQ37" s="18">
        <v>3439</v>
      </c>
      <c r="AR37" s="19">
        <v>2666</v>
      </c>
      <c r="AS37" s="17">
        <v>4556</v>
      </c>
      <c r="AT37" s="18">
        <v>3156</v>
      </c>
      <c r="AU37" s="18">
        <v>5067</v>
      </c>
      <c r="AV37" s="18">
        <v>3872</v>
      </c>
      <c r="AW37" s="18">
        <v>5592</v>
      </c>
      <c r="AX37" s="18">
        <v>5255</v>
      </c>
      <c r="AY37" s="18">
        <v>8135</v>
      </c>
      <c r="AZ37" s="18">
        <v>5460</v>
      </c>
      <c r="BA37" s="18">
        <v>4507</v>
      </c>
      <c r="BB37" s="18">
        <v>3545</v>
      </c>
      <c r="BC37" s="18">
        <v>3904</v>
      </c>
      <c r="BD37" s="19">
        <v>3539</v>
      </c>
      <c r="BE37" s="17">
        <v>5042</v>
      </c>
      <c r="BF37" s="18">
        <v>2534</v>
      </c>
      <c r="BG37" s="18">
        <v>5834</v>
      </c>
      <c r="BH37" s="18">
        <v>3749</v>
      </c>
      <c r="BI37" s="18">
        <v>5778.3989438310127</v>
      </c>
      <c r="BJ37" s="18">
        <v>6306</v>
      </c>
      <c r="BK37" s="18">
        <v>6021</v>
      </c>
      <c r="BL37" s="18">
        <v>6181</v>
      </c>
      <c r="BM37" s="18">
        <v>4621</v>
      </c>
      <c r="BN37" s="18">
        <v>3500</v>
      </c>
      <c r="BO37" s="18">
        <v>4080</v>
      </c>
      <c r="BP37" s="19">
        <v>3813</v>
      </c>
      <c r="BQ37" s="17">
        <v>4254</v>
      </c>
      <c r="BR37" s="18">
        <v>4423</v>
      </c>
      <c r="BS37" s="18">
        <v>4906</v>
      </c>
      <c r="BT37" s="18">
        <v>3986</v>
      </c>
      <c r="BU37" s="18">
        <v>9175</v>
      </c>
      <c r="BV37" s="18">
        <v>4726</v>
      </c>
      <c r="BW37" s="18">
        <v>6126</v>
      </c>
      <c r="BX37" s="18">
        <v>5968</v>
      </c>
      <c r="BY37" s="18">
        <v>4715</v>
      </c>
      <c r="BZ37" s="18">
        <v>3567</v>
      </c>
      <c r="CA37" s="18">
        <v>4496</v>
      </c>
      <c r="CB37" s="19">
        <v>2652</v>
      </c>
      <c r="CC37" s="20">
        <v>3775</v>
      </c>
      <c r="CD37" s="18">
        <v>3960</v>
      </c>
      <c r="CE37" s="18">
        <v>5493</v>
      </c>
      <c r="CF37" s="18">
        <v>3938</v>
      </c>
      <c r="CG37" s="18">
        <v>8291</v>
      </c>
      <c r="CH37" s="18">
        <v>4811</v>
      </c>
      <c r="CI37" s="18">
        <v>7659</v>
      </c>
      <c r="CJ37" s="18">
        <v>5897</v>
      </c>
      <c r="CK37" s="18">
        <v>3678</v>
      </c>
      <c r="CL37" s="18">
        <v>3663</v>
      </c>
      <c r="CM37" s="18">
        <v>4731</v>
      </c>
      <c r="CN37" s="21">
        <v>2784</v>
      </c>
      <c r="CO37" s="17">
        <v>4740</v>
      </c>
      <c r="CP37" s="18">
        <v>3675</v>
      </c>
      <c r="CQ37" s="18">
        <v>5174</v>
      </c>
      <c r="CR37" s="18">
        <v>4762</v>
      </c>
      <c r="CS37" s="18">
        <v>8319</v>
      </c>
      <c r="CT37" s="18">
        <v>5609</v>
      </c>
      <c r="CU37" s="18">
        <v>6690</v>
      </c>
      <c r="CV37" s="18">
        <v>5438</v>
      </c>
      <c r="CW37" s="18">
        <v>3419</v>
      </c>
      <c r="CX37" s="18">
        <v>5224</v>
      </c>
      <c r="CY37" s="18">
        <v>3893</v>
      </c>
      <c r="CZ37" s="19">
        <v>3004</v>
      </c>
      <c r="DA37" s="17">
        <v>4675</v>
      </c>
      <c r="DB37" s="18">
        <v>3382</v>
      </c>
      <c r="DC37" s="18">
        <v>4472</v>
      </c>
      <c r="DD37" s="18">
        <v>4573</v>
      </c>
      <c r="DE37" s="18">
        <v>6729</v>
      </c>
      <c r="DF37" s="18">
        <v>4345</v>
      </c>
      <c r="DG37" s="18">
        <v>5349</v>
      </c>
      <c r="DH37" s="18">
        <v>5011</v>
      </c>
      <c r="DI37" s="18">
        <v>3391</v>
      </c>
      <c r="DJ37" s="18">
        <v>3710</v>
      </c>
      <c r="DK37" s="18">
        <v>4951</v>
      </c>
      <c r="DL37" s="19">
        <v>2773</v>
      </c>
      <c r="DM37" s="17">
        <v>4600</v>
      </c>
      <c r="DN37" s="18">
        <v>3084</v>
      </c>
      <c r="DO37" s="127">
        <v>5277</v>
      </c>
      <c r="DP37" s="127">
        <v>3269</v>
      </c>
      <c r="DQ37" s="127">
        <v>3719</v>
      </c>
      <c r="DR37" s="127">
        <v>3925</v>
      </c>
      <c r="DS37" s="127">
        <v>3826</v>
      </c>
      <c r="DT37" s="127">
        <v>4291</v>
      </c>
      <c r="DU37" s="127">
        <v>5357</v>
      </c>
      <c r="DV37" s="127">
        <v>724</v>
      </c>
      <c r="DW37" s="127">
        <v>3409</v>
      </c>
      <c r="DX37" s="128">
        <v>3471</v>
      </c>
      <c r="DY37" s="119">
        <v>3679</v>
      </c>
      <c r="DZ37" s="127">
        <v>3166</v>
      </c>
      <c r="EA37" s="127">
        <v>5314</v>
      </c>
      <c r="EB37" s="119">
        <v>3534</v>
      </c>
      <c r="EC37" s="127">
        <v>4175</v>
      </c>
      <c r="ED37" s="127">
        <v>4989</v>
      </c>
      <c r="EE37" s="127">
        <v>3939</v>
      </c>
      <c r="EF37" s="127">
        <v>3492</v>
      </c>
      <c r="EG37" s="127">
        <v>3601</v>
      </c>
      <c r="EH37" s="127">
        <v>1960</v>
      </c>
      <c r="EI37" s="127">
        <v>2950</v>
      </c>
      <c r="EJ37" s="128">
        <v>1907</v>
      </c>
      <c r="EK37" s="119">
        <v>2358</v>
      </c>
      <c r="EL37" s="127">
        <v>2336</v>
      </c>
      <c r="EM37" s="127">
        <v>2359</v>
      </c>
      <c r="EN37" s="119">
        <v>1936</v>
      </c>
      <c r="EO37" s="127">
        <v>1406</v>
      </c>
      <c r="EP37" s="127">
        <v>1591</v>
      </c>
      <c r="EQ37" s="127">
        <v>1033</v>
      </c>
      <c r="ER37" s="127">
        <v>1658</v>
      </c>
      <c r="ES37" s="127">
        <v>1825</v>
      </c>
      <c r="ET37" s="127">
        <v>1721</v>
      </c>
      <c r="EU37" s="127">
        <v>1915</v>
      </c>
      <c r="EV37" s="128">
        <v>1490</v>
      </c>
      <c r="EW37" s="119">
        <v>1824</v>
      </c>
      <c r="EX37" s="109">
        <v>2560</v>
      </c>
      <c r="EY37" s="127">
        <v>2184</v>
      </c>
      <c r="EZ37" s="119">
        <v>2282</v>
      </c>
      <c r="FA37" s="18">
        <v>2206</v>
      </c>
      <c r="FB37" s="149">
        <v>2592</v>
      </c>
      <c r="FC37" s="18">
        <v>2176</v>
      </c>
      <c r="FD37" s="18">
        <v>1867</v>
      </c>
      <c r="FE37" s="149">
        <v>2187</v>
      </c>
      <c r="FF37" s="149">
        <v>2125</v>
      </c>
      <c r="FG37" s="149">
        <v>2878</v>
      </c>
      <c r="FH37" s="149">
        <v>1549</v>
      </c>
      <c r="FI37" s="119">
        <f>'Average Sunday-Holiday Boarding'!FI37*6</f>
        <v>2717</v>
      </c>
      <c r="FJ37" s="109">
        <f>'Average Sunday-Holiday Boarding'!FJ37*4</f>
        <v>1729</v>
      </c>
      <c r="FK37" s="127">
        <f>'Average Sunday-Holiday Boarding'!FK37*5</f>
        <v>2679</v>
      </c>
      <c r="FL37" s="119">
        <v>2430</v>
      </c>
      <c r="FM37" s="18">
        <v>2245</v>
      </c>
      <c r="FN37" s="149">
        <v>2382</v>
      </c>
      <c r="FO37" s="18">
        <v>3288</v>
      </c>
      <c r="FP37" s="18">
        <v>2074</v>
      </c>
      <c r="FQ37" s="149">
        <v>2438</v>
      </c>
      <c r="FR37" s="149">
        <v>2984</v>
      </c>
      <c r="FS37" s="149">
        <v>2518</v>
      </c>
      <c r="FT37" s="155">
        <v>1955</v>
      </c>
      <c r="FU37" s="169">
        <v>2886</v>
      </c>
      <c r="FV37" s="169">
        <v>2716</v>
      </c>
      <c r="FW37" s="169">
        <v>2682</v>
      </c>
      <c r="FX37" s="169">
        <v>2658</v>
      </c>
      <c r="FY37" s="169">
        <v>2559</v>
      </c>
      <c r="FZ37" s="169">
        <v>2743</v>
      </c>
      <c r="GA37" s="169">
        <v>3232</v>
      </c>
      <c r="GB37" s="18">
        <v>4796</v>
      </c>
      <c r="GC37" s="18">
        <v>2969</v>
      </c>
      <c r="GD37" s="18">
        <v>2263</v>
      </c>
      <c r="GE37" s="18">
        <v>2656</v>
      </c>
      <c r="GF37" s="52">
        <v>2370</v>
      </c>
      <c r="GG37" s="18">
        <v>2083</v>
      </c>
      <c r="GH37" s="18">
        <v>1902</v>
      </c>
      <c r="GI37" s="184">
        <v>2852</v>
      </c>
      <c r="GJ37" s="184">
        <v>1967</v>
      </c>
      <c r="GK37" s="184">
        <v>2379</v>
      </c>
      <c r="GL37" s="184">
        <v>2565</v>
      </c>
    </row>
    <row r="38" spans="1:194" x14ac:dyDescent="0.3">
      <c r="A38" s="3" t="s">
        <v>20</v>
      </c>
      <c r="B38" s="17"/>
      <c r="C38" s="18">
        <v>3700</v>
      </c>
      <c r="D38" s="18">
        <v>3735</v>
      </c>
      <c r="E38" s="18">
        <v>2934</v>
      </c>
      <c r="F38" s="18">
        <v>2295</v>
      </c>
      <c r="G38" s="18">
        <v>2731</v>
      </c>
      <c r="H38" s="19">
        <v>1670</v>
      </c>
      <c r="I38" s="17">
        <v>2770</v>
      </c>
      <c r="J38" s="18">
        <v>2567</v>
      </c>
      <c r="K38" s="18">
        <v>3299</v>
      </c>
      <c r="L38" s="18">
        <v>2973</v>
      </c>
      <c r="M38" s="18">
        <v>6183</v>
      </c>
      <c r="N38" s="18">
        <v>2479</v>
      </c>
      <c r="O38" s="127">
        <v>5307</v>
      </c>
      <c r="P38" s="127">
        <v>5547</v>
      </c>
      <c r="Q38" s="127">
        <v>3239</v>
      </c>
      <c r="R38" s="127">
        <v>3056</v>
      </c>
      <c r="S38" s="127">
        <v>3536</v>
      </c>
      <c r="T38" s="128">
        <v>1702</v>
      </c>
      <c r="U38" s="129">
        <v>2750</v>
      </c>
      <c r="V38" s="127">
        <v>2982</v>
      </c>
      <c r="W38" s="127">
        <v>4310</v>
      </c>
      <c r="X38" s="127">
        <v>4354</v>
      </c>
      <c r="Y38" s="127">
        <v>5856</v>
      </c>
      <c r="Z38" s="127">
        <v>2661</v>
      </c>
      <c r="AA38" s="18">
        <v>5090</v>
      </c>
      <c r="AB38" s="18">
        <v>5792</v>
      </c>
      <c r="AC38" s="18">
        <v>3462</v>
      </c>
      <c r="AD38" s="18">
        <v>3293</v>
      </c>
      <c r="AE38" s="18">
        <v>3628</v>
      </c>
      <c r="AF38" s="19">
        <v>2123</v>
      </c>
      <c r="AG38" s="17">
        <v>3959</v>
      </c>
      <c r="AH38" s="18">
        <v>2814</v>
      </c>
      <c r="AI38" s="18">
        <v>3932</v>
      </c>
      <c r="AJ38" s="18">
        <v>4955</v>
      </c>
      <c r="AK38" s="18">
        <v>5867</v>
      </c>
      <c r="AL38" s="18">
        <v>2983</v>
      </c>
      <c r="AM38" s="18">
        <v>6622</v>
      </c>
      <c r="AN38" s="18">
        <v>6182</v>
      </c>
      <c r="AO38" s="18">
        <v>3258</v>
      </c>
      <c r="AP38" s="18">
        <v>3994</v>
      </c>
      <c r="AQ38" s="18">
        <v>3082</v>
      </c>
      <c r="AR38" s="19">
        <v>2508</v>
      </c>
      <c r="AS38" s="17">
        <v>4371</v>
      </c>
      <c r="AT38" s="18">
        <v>3180</v>
      </c>
      <c r="AU38" s="18">
        <v>5506</v>
      </c>
      <c r="AV38" s="18">
        <v>4169</v>
      </c>
      <c r="AW38" s="18">
        <v>5466</v>
      </c>
      <c r="AX38" s="18">
        <v>4534</v>
      </c>
      <c r="AY38" s="18">
        <v>6069</v>
      </c>
      <c r="AZ38" s="18">
        <v>6709</v>
      </c>
      <c r="BA38" s="18">
        <v>4694</v>
      </c>
      <c r="BB38" s="18">
        <v>3953</v>
      </c>
      <c r="BC38" s="18">
        <v>3711</v>
      </c>
      <c r="BD38" s="19">
        <v>3269</v>
      </c>
      <c r="BE38" s="17">
        <v>3595</v>
      </c>
      <c r="BF38" s="18">
        <v>2916</v>
      </c>
      <c r="BG38" s="18">
        <v>5830</v>
      </c>
      <c r="BH38" s="18">
        <v>4081</v>
      </c>
      <c r="BI38" s="18">
        <v>5979.3240518482962</v>
      </c>
      <c r="BJ38" s="18">
        <v>5399</v>
      </c>
      <c r="BK38" s="18">
        <v>5934</v>
      </c>
      <c r="BL38" s="18">
        <v>6878</v>
      </c>
      <c r="BM38" s="18">
        <v>5017</v>
      </c>
      <c r="BN38" s="18">
        <v>3870</v>
      </c>
      <c r="BO38" s="18">
        <v>3875</v>
      </c>
      <c r="BP38" s="19">
        <v>3595</v>
      </c>
      <c r="BQ38" s="17">
        <v>3747</v>
      </c>
      <c r="BR38" s="18">
        <v>4666</v>
      </c>
      <c r="BS38" s="18">
        <v>5094</v>
      </c>
      <c r="BT38" s="18">
        <v>4006</v>
      </c>
      <c r="BU38" s="18">
        <v>8052</v>
      </c>
      <c r="BV38" s="18">
        <v>4463</v>
      </c>
      <c r="BW38" s="18">
        <v>5623</v>
      </c>
      <c r="BX38" s="18">
        <v>6482</v>
      </c>
      <c r="BY38" s="18">
        <v>4440</v>
      </c>
      <c r="BZ38" s="18">
        <v>3434</v>
      </c>
      <c r="CA38" s="18">
        <v>4104</v>
      </c>
      <c r="CB38" s="19">
        <v>2437</v>
      </c>
      <c r="CC38" s="20">
        <v>3276</v>
      </c>
      <c r="CD38" s="18">
        <v>3572</v>
      </c>
      <c r="CE38" s="18">
        <v>5072</v>
      </c>
      <c r="CF38" s="18">
        <v>3853</v>
      </c>
      <c r="CG38" s="18">
        <v>7711</v>
      </c>
      <c r="CH38" s="18">
        <v>4147</v>
      </c>
      <c r="CI38" s="18">
        <v>6287</v>
      </c>
      <c r="CJ38" s="18">
        <v>6082</v>
      </c>
      <c r="CK38" s="18">
        <v>3459</v>
      </c>
      <c r="CL38" s="18">
        <v>3972</v>
      </c>
      <c r="CM38" s="18">
        <v>4441</v>
      </c>
      <c r="CN38" s="21">
        <v>2703</v>
      </c>
      <c r="CO38" s="17">
        <v>4081</v>
      </c>
      <c r="CP38" s="18">
        <v>3330</v>
      </c>
      <c r="CQ38" s="18">
        <v>4374</v>
      </c>
      <c r="CR38" s="18">
        <v>4333</v>
      </c>
      <c r="CS38" s="18">
        <v>7526</v>
      </c>
      <c r="CT38" s="18">
        <v>4788</v>
      </c>
      <c r="CU38" s="18">
        <v>5765</v>
      </c>
      <c r="CV38" s="18">
        <v>5952</v>
      </c>
      <c r="CW38" s="18">
        <v>3238</v>
      </c>
      <c r="CX38" s="18">
        <v>4982</v>
      </c>
      <c r="CY38" s="18">
        <v>3552</v>
      </c>
      <c r="CZ38" s="19">
        <v>2707</v>
      </c>
      <c r="DA38" s="17">
        <v>3962</v>
      </c>
      <c r="DB38" s="18">
        <v>3052</v>
      </c>
      <c r="DC38" s="18">
        <v>4135</v>
      </c>
      <c r="DD38" s="18">
        <v>4520</v>
      </c>
      <c r="DE38" s="18">
        <v>5740</v>
      </c>
      <c r="DF38" s="18">
        <v>3708</v>
      </c>
      <c r="DG38" s="18">
        <v>4790</v>
      </c>
      <c r="DH38" s="18">
        <v>5473</v>
      </c>
      <c r="DI38" s="18">
        <v>3337</v>
      </c>
      <c r="DJ38" s="18">
        <v>3982</v>
      </c>
      <c r="DK38" s="18">
        <v>3310</v>
      </c>
      <c r="DL38" s="19">
        <v>2491</v>
      </c>
      <c r="DM38" s="17">
        <v>3856</v>
      </c>
      <c r="DN38" s="18">
        <v>2829</v>
      </c>
      <c r="DO38" s="127">
        <v>4933</v>
      </c>
      <c r="DP38" s="127">
        <v>3140</v>
      </c>
      <c r="DQ38" s="127">
        <v>3599</v>
      </c>
      <c r="DR38" s="127">
        <v>3590</v>
      </c>
      <c r="DS38" s="127">
        <v>3578</v>
      </c>
      <c r="DT38" s="127">
        <v>3033</v>
      </c>
      <c r="DU38" s="127">
        <v>4008</v>
      </c>
      <c r="DV38" s="127">
        <v>3322</v>
      </c>
      <c r="DW38" s="127">
        <v>3178</v>
      </c>
      <c r="DX38" s="128">
        <v>3229</v>
      </c>
      <c r="DY38" s="119">
        <v>3148</v>
      </c>
      <c r="DZ38" s="127">
        <v>2413</v>
      </c>
      <c r="EA38" s="127">
        <v>4525</v>
      </c>
      <c r="EB38" s="119">
        <v>3120</v>
      </c>
      <c r="EC38" s="127">
        <v>3710</v>
      </c>
      <c r="ED38" s="127">
        <v>3812</v>
      </c>
      <c r="EE38" s="127">
        <v>3183</v>
      </c>
      <c r="EF38" s="127">
        <v>3032</v>
      </c>
      <c r="EG38" s="127">
        <v>3000</v>
      </c>
      <c r="EH38" s="127">
        <v>1124</v>
      </c>
      <c r="EI38" s="127">
        <v>1649</v>
      </c>
      <c r="EJ38" s="128">
        <v>1012</v>
      </c>
      <c r="EK38" s="119">
        <v>1270</v>
      </c>
      <c r="EL38" s="127">
        <v>1562</v>
      </c>
      <c r="EM38" s="127">
        <v>1716</v>
      </c>
      <c r="EN38" s="119">
        <v>1338</v>
      </c>
      <c r="EO38" s="127">
        <v>1451</v>
      </c>
      <c r="EP38" s="127">
        <v>1192</v>
      </c>
      <c r="EQ38" s="127">
        <v>833</v>
      </c>
      <c r="ER38" s="127">
        <v>1440</v>
      </c>
      <c r="ES38" s="127">
        <v>1514</v>
      </c>
      <c r="ET38" s="127">
        <v>1362</v>
      </c>
      <c r="EU38" s="127">
        <v>1985</v>
      </c>
      <c r="EV38" s="128">
        <v>1606</v>
      </c>
      <c r="EW38" s="119">
        <v>1852</v>
      </c>
      <c r="EX38" s="109">
        <v>2737</v>
      </c>
      <c r="EY38" s="127">
        <v>2662</v>
      </c>
      <c r="EZ38" s="119">
        <v>2713</v>
      </c>
      <c r="FA38" s="18">
        <v>2532</v>
      </c>
      <c r="FB38" s="149">
        <v>2839</v>
      </c>
      <c r="FC38" s="18">
        <v>2484</v>
      </c>
      <c r="FD38" s="18">
        <v>2381</v>
      </c>
      <c r="FE38" s="149">
        <v>2700</v>
      </c>
      <c r="FF38" s="149">
        <v>2471</v>
      </c>
      <c r="FG38" s="149">
        <v>3146</v>
      </c>
      <c r="FH38" s="149">
        <v>1758</v>
      </c>
      <c r="FI38" s="119">
        <f>'Average Sunday-Holiday Boarding'!FI38*6</f>
        <v>2781</v>
      </c>
      <c r="FJ38" s="109">
        <f>'Average Sunday-Holiday Boarding'!FJ38*4</f>
        <v>1135</v>
      </c>
      <c r="FK38" s="127">
        <f>'Average Sunday-Holiday Boarding'!FK38*5</f>
        <v>1588</v>
      </c>
      <c r="FL38" s="119">
        <v>1724</v>
      </c>
      <c r="FM38" s="18">
        <v>1403</v>
      </c>
      <c r="FN38" s="149">
        <v>1290</v>
      </c>
      <c r="FO38" s="18">
        <v>1843</v>
      </c>
      <c r="FP38" s="18">
        <v>2636</v>
      </c>
      <c r="FQ38" s="149">
        <v>1508</v>
      </c>
      <c r="FR38" s="149">
        <v>1760</v>
      </c>
      <c r="FS38" s="149">
        <v>1512</v>
      </c>
      <c r="FT38" s="155">
        <v>1196</v>
      </c>
      <c r="FU38" s="169">
        <v>1777</v>
      </c>
      <c r="FV38" s="169">
        <v>1943</v>
      </c>
      <c r="FW38" s="169">
        <v>1900</v>
      </c>
      <c r="FX38" s="169">
        <v>1678</v>
      </c>
      <c r="FY38" s="169">
        <v>1584</v>
      </c>
      <c r="FZ38" s="169">
        <v>1790</v>
      </c>
      <c r="GA38" s="169">
        <v>1919</v>
      </c>
      <c r="GB38" s="18">
        <v>1421</v>
      </c>
      <c r="GC38" s="18">
        <v>1905</v>
      </c>
      <c r="GD38" s="18">
        <v>1365</v>
      </c>
      <c r="GE38" s="18">
        <v>1550</v>
      </c>
      <c r="GF38" s="52">
        <v>1362</v>
      </c>
      <c r="GG38" s="18">
        <v>1254</v>
      </c>
      <c r="GH38" s="18">
        <v>1291</v>
      </c>
      <c r="GI38" s="184">
        <v>2338</v>
      </c>
      <c r="GJ38" s="184">
        <v>1435</v>
      </c>
      <c r="GK38" s="184">
        <v>1595</v>
      </c>
      <c r="GL38" s="184">
        <v>1728</v>
      </c>
    </row>
    <row r="39" spans="1:194" x14ac:dyDescent="0.3">
      <c r="A39" s="3" t="s">
        <v>21</v>
      </c>
      <c r="B39" s="17"/>
      <c r="C39" s="18">
        <v>3303</v>
      </c>
      <c r="D39" s="18">
        <v>2139</v>
      </c>
      <c r="E39" s="18">
        <v>2305</v>
      </c>
      <c r="F39" s="18">
        <v>1703</v>
      </c>
      <c r="G39" s="18">
        <v>2058</v>
      </c>
      <c r="H39" s="19">
        <v>1133</v>
      </c>
      <c r="I39" s="17">
        <v>2240</v>
      </c>
      <c r="J39" s="18">
        <v>1441</v>
      </c>
      <c r="K39" s="18">
        <v>1837</v>
      </c>
      <c r="L39" s="18">
        <v>1589</v>
      </c>
      <c r="M39" s="18">
        <v>3203</v>
      </c>
      <c r="N39" s="18">
        <v>1578</v>
      </c>
      <c r="O39" s="127">
        <v>2714</v>
      </c>
      <c r="P39" s="127">
        <v>2327</v>
      </c>
      <c r="Q39" s="127">
        <v>2152</v>
      </c>
      <c r="R39" s="127">
        <v>1818</v>
      </c>
      <c r="S39" s="127">
        <v>2453</v>
      </c>
      <c r="T39" s="128">
        <v>1403</v>
      </c>
      <c r="U39" s="129">
        <v>1970</v>
      </c>
      <c r="V39" s="127">
        <v>2132</v>
      </c>
      <c r="W39" s="127">
        <v>2290</v>
      </c>
      <c r="X39" s="127">
        <v>6075</v>
      </c>
      <c r="Y39" s="127">
        <v>3291</v>
      </c>
      <c r="Z39" s="127">
        <v>1619</v>
      </c>
      <c r="AA39" s="18">
        <v>2512</v>
      </c>
      <c r="AB39" s="18">
        <v>2448</v>
      </c>
      <c r="AC39" s="18">
        <v>1955</v>
      </c>
      <c r="AD39" s="18">
        <v>1827</v>
      </c>
      <c r="AE39" s="18">
        <v>2397</v>
      </c>
      <c r="AF39" s="19">
        <v>1306</v>
      </c>
      <c r="AG39" s="17">
        <v>2660</v>
      </c>
      <c r="AH39" s="18">
        <v>1623</v>
      </c>
      <c r="AI39" s="18">
        <v>2015</v>
      </c>
      <c r="AJ39" s="18">
        <v>2582</v>
      </c>
      <c r="AK39" s="18">
        <v>3290</v>
      </c>
      <c r="AL39" s="18">
        <v>1927</v>
      </c>
      <c r="AM39" s="18">
        <v>3508</v>
      </c>
      <c r="AN39" s="18">
        <v>2803</v>
      </c>
      <c r="AO39" s="18">
        <v>2097</v>
      </c>
      <c r="AP39" s="18">
        <v>2696</v>
      </c>
      <c r="AQ39" s="18">
        <v>2495</v>
      </c>
      <c r="AR39" s="19">
        <v>1833</v>
      </c>
      <c r="AS39" s="17">
        <v>3566</v>
      </c>
      <c r="AT39" s="18">
        <v>2066</v>
      </c>
      <c r="AU39" s="18">
        <v>3174</v>
      </c>
      <c r="AV39" s="18">
        <v>2240</v>
      </c>
      <c r="AW39" s="18">
        <v>2969</v>
      </c>
      <c r="AX39" s="18">
        <v>2752</v>
      </c>
      <c r="AY39" s="18">
        <v>3315</v>
      </c>
      <c r="AZ39" s="18">
        <v>3049</v>
      </c>
      <c r="BA39" s="18">
        <v>3115</v>
      </c>
      <c r="BB39" s="18">
        <v>2322</v>
      </c>
      <c r="BC39" s="18">
        <v>2680</v>
      </c>
      <c r="BD39" s="19">
        <v>2256</v>
      </c>
      <c r="BE39" s="17">
        <v>3008</v>
      </c>
      <c r="BF39" s="18">
        <v>1907</v>
      </c>
      <c r="BG39" s="18">
        <v>3138</v>
      </c>
      <c r="BH39" s="18">
        <v>2310</v>
      </c>
      <c r="BI39" s="18">
        <v>3225.7181949111859</v>
      </c>
      <c r="BJ39" s="18">
        <v>3544</v>
      </c>
      <c r="BK39" s="18">
        <v>3842</v>
      </c>
      <c r="BL39" s="18">
        <v>3337</v>
      </c>
      <c r="BM39" s="18">
        <v>3074</v>
      </c>
      <c r="BN39" s="18">
        <v>2364</v>
      </c>
      <c r="BO39" s="18">
        <v>2807</v>
      </c>
      <c r="BP39" s="19">
        <v>2535</v>
      </c>
      <c r="BQ39" s="17">
        <v>2883</v>
      </c>
      <c r="BR39" s="18">
        <v>2782</v>
      </c>
      <c r="BS39" s="18">
        <v>3052</v>
      </c>
      <c r="BT39" s="18">
        <v>2551</v>
      </c>
      <c r="BU39" s="18">
        <v>4853</v>
      </c>
      <c r="BV39" s="18">
        <v>2918</v>
      </c>
      <c r="BW39" s="18">
        <v>3647</v>
      </c>
      <c r="BX39" s="18">
        <v>3567</v>
      </c>
      <c r="BY39" s="18">
        <v>3033</v>
      </c>
      <c r="BZ39" s="18">
        <v>2210</v>
      </c>
      <c r="CA39" s="18">
        <v>3041</v>
      </c>
      <c r="CB39" s="19">
        <v>1723</v>
      </c>
      <c r="CC39" s="20">
        <v>2245</v>
      </c>
      <c r="CD39" s="18">
        <v>2246</v>
      </c>
      <c r="CE39" s="18">
        <v>2943</v>
      </c>
      <c r="CF39" s="18">
        <v>2351</v>
      </c>
      <c r="CG39" s="18">
        <v>4316</v>
      </c>
      <c r="CH39" s="18">
        <v>2849</v>
      </c>
      <c r="CI39" s="18">
        <v>4075</v>
      </c>
      <c r="CJ39" s="18">
        <v>2918</v>
      </c>
      <c r="CK39" s="18">
        <v>1965</v>
      </c>
      <c r="CL39" s="18">
        <v>2318</v>
      </c>
      <c r="CM39" s="18">
        <v>2980</v>
      </c>
      <c r="CN39" s="21">
        <v>2011</v>
      </c>
      <c r="CO39" s="17">
        <v>3368</v>
      </c>
      <c r="CP39" s="18">
        <v>2179</v>
      </c>
      <c r="CQ39" s="18">
        <v>2608</v>
      </c>
      <c r="CR39" s="18">
        <v>2671</v>
      </c>
      <c r="CS39" s="18">
        <v>4327</v>
      </c>
      <c r="CT39" s="18">
        <v>3327</v>
      </c>
      <c r="CU39" s="18">
        <v>3727</v>
      </c>
      <c r="CV39" s="18">
        <v>2797</v>
      </c>
      <c r="CW39" s="18">
        <v>2032</v>
      </c>
      <c r="CX39" s="18">
        <v>3384</v>
      </c>
      <c r="CY39" s="18">
        <v>2334</v>
      </c>
      <c r="CZ39" s="19">
        <v>1795</v>
      </c>
      <c r="DA39" s="17">
        <v>3120</v>
      </c>
      <c r="DB39" s="18">
        <v>1964</v>
      </c>
      <c r="DC39" s="18">
        <v>2399</v>
      </c>
      <c r="DD39" s="18">
        <v>2873</v>
      </c>
      <c r="DE39" s="18">
        <v>3719</v>
      </c>
      <c r="DF39" s="18">
        <v>2833</v>
      </c>
      <c r="DG39" s="18">
        <v>2983</v>
      </c>
      <c r="DH39" s="18">
        <v>2798</v>
      </c>
      <c r="DI39" s="18">
        <v>2119</v>
      </c>
      <c r="DJ39" s="18">
        <v>2378</v>
      </c>
      <c r="DK39" s="18">
        <v>2406</v>
      </c>
      <c r="DL39" s="19">
        <v>1776</v>
      </c>
      <c r="DM39" s="17">
        <v>2975</v>
      </c>
      <c r="DN39" s="18">
        <v>1784</v>
      </c>
      <c r="DO39" s="127">
        <v>2917</v>
      </c>
      <c r="DP39" s="127">
        <v>1927</v>
      </c>
      <c r="DQ39" s="127">
        <v>2340</v>
      </c>
      <c r="DR39" s="127">
        <v>2325</v>
      </c>
      <c r="DS39" s="127">
        <v>2369</v>
      </c>
      <c r="DT39" s="127">
        <v>2071</v>
      </c>
      <c r="DU39" s="127">
        <v>2647</v>
      </c>
      <c r="DV39" s="127">
        <v>1825</v>
      </c>
      <c r="DW39" s="127">
        <v>2249</v>
      </c>
      <c r="DX39" s="128">
        <v>2028</v>
      </c>
      <c r="DY39" s="119">
        <v>2210</v>
      </c>
      <c r="DZ39" s="127">
        <v>1761</v>
      </c>
      <c r="EA39" s="127">
        <v>2769</v>
      </c>
      <c r="EB39" s="119">
        <v>2073</v>
      </c>
      <c r="EC39" s="127">
        <v>2454</v>
      </c>
      <c r="ED39" s="127">
        <v>2710</v>
      </c>
      <c r="EE39" s="127">
        <v>2413</v>
      </c>
      <c r="EF39" s="127">
        <v>2030</v>
      </c>
      <c r="EG39" s="127">
        <v>2251</v>
      </c>
      <c r="EH39" s="127">
        <v>1206</v>
      </c>
      <c r="EI39" s="127">
        <v>1770</v>
      </c>
      <c r="EJ39" s="128">
        <v>1112</v>
      </c>
      <c r="EK39" s="119">
        <v>1434</v>
      </c>
      <c r="EL39" s="127">
        <v>1383</v>
      </c>
      <c r="EM39" s="127">
        <v>1490</v>
      </c>
      <c r="EN39" s="119">
        <v>1157</v>
      </c>
      <c r="EO39" s="127">
        <v>925</v>
      </c>
      <c r="EP39" s="127">
        <v>935</v>
      </c>
      <c r="EQ39" s="127">
        <v>638</v>
      </c>
      <c r="ER39" s="127">
        <v>1058</v>
      </c>
      <c r="ES39" s="127">
        <v>1038</v>
      </c>
      <c r="ET39" s="127">
        <v>961</v>
      </c>
      <c r="EU39" s="127">
        <v>1365</v>
      </c>
      <c r="EV39" s="128">
        <v>1095</v>
      </c>
      <c r="EW39" s="119">
        <v>1212</v>
      </c>
      <c r="EX39" s="109">
        <v>1877</v>
      </c>
      <c r="EY39" s="127">
        <v>1437</v>
      </c>
      <c r="EZ39" s="119">
        <v>1373</v>
      </c>
      <c r="FA39" s="18">
        <v>1230</v>
      </c>
      <c r="FB39" s="149">
        <v>1479</v>
      </c>
      <c r="FC39" s="18">
        <v>1088</v>
      </c>
      <c r="FD39" s="18">
        <v>1179</v>
      </c>
      <c r="FE39" s="149">
        <v>1305</v>
      </c>
      <c r="FF39" s="149">
        <v>1168</v>
      </c>
      <c r="FG39" s="149">
        <v>764</v>
      </c>
      <c r="FH39" s="149">
        <v>963</v>
      </c>
      <c r="FI39" s="119">
        <f>'Average Sunday-Holiday Boarding'!FI39*6</f>
        <v>1613</v>
      </c>
      <c r="FJ39" s="109">
        <f>'Average Sunday-Holiday Boarding'!FJ39*4</f>
        <v>2145</v>
      </c>
      <c r="FK39" s="127">
        <f>'Average Sunday-Holiday Boarding'!FK39*5</f>
        <v>3106</v>
      </c>
      <c r="FL39" s="119">
        <v>3169</v>
      </c>
      <c r="FM39" s="18">
        <v>2761</v>
      </c>
      <c r="FN39" s="149">
        <v>2685</v>
      </c>
      <c r="FO39" s="18">
        <v>3597</v>
      </c>
      <c r="FP39" s="18">
        <v>1459</v>
      </c>
      <c r="FQ39" s="149">
        <v>3045</v>
      </c>
      <c r="FR39" s="149">
        <v>3468</v>
      </c>
      <c r="FS39" s="149">
        <v>3253</v>
      </c>
      <c r="FT39" s="155">
        <v>2407</v>
      </c>
      <c r="FU39" s="169">
        <v>3402</v>
      </c>
      <c r="FV39" s="169">
        <v>3608</v>
      </c>
      <c r="FW39" s="169">
        <v>3530</v>
      </c>
      <c r="FX39" s="169">
        <v>3797</v>
      </c>
      <c r="FY39" s="169">
        <v>3320</v>
      </c>
      <c r="FZ39" s="169">
        <v>3693</v>
      </c>
      <c r="GA39" s="169">
        <v>4448</v>
      </c>
      <c r="GB39" s="18">
        <v>3214</v>
      </c>
      <c r="GC39" s="18">
        <v>3629</v>
      </c>
      <c r="GD39" s="18">
        <v>2860</v>
      </c>
      <c r="GE39" s="18">
        <v>3148</v>
      </c>
      <c r="GF39" s="52">
        <v>2935</v>
      </c>
      <c r="GG39" s="18">
        <v>2448</v>
      </c>
      <c r="GH39" s="18">
        <v>2321</v>
      </c>
      <c r="GI39" s="184">
        <v>3922</v>
      </c>
      <c r="GJ39" s="184">
        <v>2645</v>
      </c>
      <c r="GK39" s="184">
        <v>2895</v>
      </c>
      <c r="GL39" s="184">
        <v>3354</v>
      </c>
    </row>
    <row r="40" spans="1:194" x14ac:dyDescent="0.3">
      <c r="A40" s="3" t="s">
        <v>22</v>
      </c>
      <c r="B40" s="17"/>
      <c r="C40" s="18">
        <v>4734</v>
      </c>
      <c r="D40" s="18">
        <v>2721</v>
      </c>
      <c r="E40" s="18">
        <v>2954</v>
      </c>
      <c r="F40" s="18">
        <v>2425</v>
      </c>
      <c r="G40" s="18">
        <v>3111</v>
      </c>
      <c r="H40" s="19">
        <v>1632</v>
      </c>
      <c r="I40" s="17">
        <v>3021</v>
      </c>
      <c r="J40" s="18">
        <v>1874</v>
      </c>
      <c r="K40" s="18">
        <v>2512</v>
      </c>
      <c r="L40" s="18">
        <v>1909</v>
      </c>
      <c r="M40" s="18">
        <v>4726</v>
      </c>
      <c r="N40" s="18">
        <v>2014</v>
      </c>
      <c r="O40" s="127">
        <v>3202</v>
      </c>
      <c r="P40" s="127">
        <v>2964</v>
      </c>
      <c r="Q40" s="127">
        <v>2738</v>
      </c>
      <c r="R40" s="127">
        <v>2302</v>
      </c>
      <c r="S40" s="127">
        <v>3305</v>
      </c>
      <c r="T40" s="128">
        <v>1829</v>
      </c>
      <c r="U40" s="129">
        <v>2727</v>
      </c>
      <c r="V40" s="127">
        <v>2301</v>
      </c>
      <c r="W40" s="127">
        <v>3128</v>
      </c>
      <c r="X40" s="127">
        <v>2877</v>
      </c>
      <c r="Y40" s="127">
        <v>4847</v>
      </c>
      <c r="Z40" s="127">
        <v>2385</v>
      </c>
      <c r="AA40" s="18">
        <v>3389</v>
      </c>
      <c r="AB40" s="18">
        <v>3975</v>
      </c>
      <c r="AC40" s="18">
        <v>3078</v>
      </c>
      <c r="AD40" s="18">
        <v>2673</v>
      </c>
      <c r="AE40" s="18">
        <v>3804</v>
      </c>
      <c r="AF40" s="19">
        <v>1962</v>
      </c>
      <c r="AG40" s="17">
        <v>4481</v>
      </c>
      <c r="AH40" s="18">
        <v>2443</v>
      </c>
      <c r="AI40" s="18">
        <v>3167</v>
      </c>
      <c r="AJ40" s="18">
        <v>3825</v>
      </c>
      <c r="AK40" s="18">
        <v>5059</v>
      </c>
      <c r="AL40" s="18">
        <v>2816</v>
      </c>
      <c r="AM40" s="18">
        <v>5575</v>
      </c>
      <c r="AN40" s="18">
        <v>4897</v>
      </c>
      <c r="AO40" s="18">
        <v>2978</v>
      </c>
      <c r="AP40" s="18">
        <v>4102</v>
      </c>
      <c r="AQ40" s="18">
        <v>3524</v>
      </c>
      <c r="AR40" s="19">
        <v>2517</v>
      </c>
      <c r="AS40" s="17">
        <v>4688</v>
      </c>
      <c r="AT40" s="18">
        <v>2641</v>
      </c>
      <c r="AU40" s="18">
        <v>4650</v>
      </c>
      <c r="AV40" s="18">
        <v>3457</v>
      </c>
      <c r="AW40" s="18">
        <v>4515</v>
      </c>
      <c r="AX40" s="18">
        <v>4490</v>
      </c>
      <c r="AY40" s="18">
        <v>5078</v>
      </c>
      <c r="AZ40" s="18">
        <v>4820</v>
      </c>
      <c r="BA40" s="18">
        <v>4371</v>
      </c>
      <c r="BB40" s="18">
        <v>3687</v>
      </c>
      <c r="BC40" s="18">
        <v>3984</v>
      </c>
      <c r="BD40" s="19">
        <v>3322</v>
      </c>
      <c r="BE40" s="17">
        <v>4125</v>
      </c>
      <c r="BF40" s="18">
        <v>2375</v>
      </c>
      <c r="BG40" s="18">
        <v>4516</v>
      </c>
      <c r="BH40" s="18">
        <v>3347</v>
      </c>
      <c r="BI40" s="18">
        <v>4908.5266442630818</v>
      </c>
      <c r="BJ40" s="18">
        <v>5122</v>
      </c>
      <c r="BK40" s="18">
        <v>5145</v>
      </c>
      <c r="BL40" s="18">
        <v>4870</v>
      </c>
      <c r="BM40" s="18">
        <v>4570</v>
      </c>
      <c r="BN40" s="18">
        <v>3370</v>
      </c>
      <c r="BO40" s="18">
        <v>3795</v>
      </c>
      <c r="BP40" s="19">
        <v>3809</v>
      </c>
      <c r="BQ40" s="17">
        <v>3983</v>
      </c>
      <c r="BR40" s="18">
        <v>3821</v>
      </c>
      <c r="BS40" s="18">
        <v>4034</v>
      </c>
      <c r="BT40" s="18">
        <v>3418</v>
      </c>
      <c r="BU40" s="18">
        <v>6972</v>
      </c>
      <c r="BV40" s="18">
        <v>4348</v>
      </c>
      <c r="BW40" s="18">
        <v>5314</v>
      </c>
      <c r="BX40" s="18">
        <v>5263</v>
      </c>
      <c r="BY40" s="18">
        <v>4349</v>
      </c>
      <c r="BZ40" s="18">
        <v>3167</v>
      </c>
      <c r="CA40" s="18">
        <v>4648</v>
      </c>
      <c r="CB40" s="19">
        <v>2759</v>
      </c>
      <c r="CC40" s="20">
        <v>3474</v>
      </c>
      <c r="CD40" s="18">
        <v>3619</v>
      </c>
      <c r="CE40" s="18">
        <v>4831</v>
      </c>
      <c r="CF40" s="18">
        <v>3569</v>
      </c>
      <c r="CG40" s="18">
        <v>7064</v>
      </c>
      <c r="CH40" s="18">
        <v>4743</v>
      </c>
      <c r="CI40" s="18">
        <v>6189</v>
      </c>
      <c r="CJ40" s="18">
        <v>5131</v>
      </c>
      <c r="CK40" s="18">
        <v>3463</v>
      </c>
      <c r="CL40" s="18">
        <v>3882</v>
      </c>
      <c r="CM40" s="18">
        <v>5145</v>
      </c>
      <c r="CN40" s="21">
        <v>3101</v>
      </c>
      <c r="CO40" s="17">
        <v>4815</v>
      </c>
      <c r="CP40" s="18">
        <v>3377</v>
      </c>
      <c r="CQ40" s="18">
        <v>3970</v>
      </c>
      <c r="CR40" s="18">
        <v>4094</v>
      </c>
      <c r="CS40" s="18">
        <v>7418</v>
      </c>
      <c r="CT40" s="18">
        <v>5571</v>
      </c>
      <c r="CU40" s="18">
        <v>6156</v>
      </c>
      <c r="CV40" s="18">
        <v>4876</v>
      </c>
      <c r="CW40" s="18">
        <v>3396</v>
      </c>
      <c r="CX40" s="18">
        <v>5486</v>
      </c>
      <c r="CY40" s="18">
        <v>4063</v>
      </c>
      <c r="CZ40" s="19">
        <v>2909</v>
      </c>
      <c r="DA40" s="17">
        <v>4549</v>
      </c>
      <c r="DB40" s="18">
        <v>3213</v>
      </c>
      <c r="DC40" s="18">
        <v>3921</v>
      </c>
      <c r="DD40" s="18">
        <v>3963</v>
      </c>
      <c r="DE40" s="18">
        <v>5881</v>
      </c>
      <c r="DF40" s="18">
        <v>4344</v>
      </c>
      <c r="DG40" s="18">
        <v>4850</v>
      </c>
      <c r="DH40" s="18">
        <v>4317</v>
      </c>
      <c r="DI40" s="18">
        <v>3374</v>
      </c>
      <c r="DJ40" s="18">
        <v>3788</v>
      </c>
      <c r="DK40" s="18">
        <v>3879</v>
      </c>
      <c r="DL40" s="19">
        <v>2807</v>
      </c>
      <c r="DM40" s="17">
        <v>4390</v>
      </c>
      <c r="DN40" s="18">
        <v>2800</v>
      </c>
      <c r="DO40" s="127">
        <v>4401</v>
      </c>
      <c r="DP40" s="127">
        <v>3097</v>
      </c>
      <c r="DQ40" s="127">
        <v>3495</v>
      </c>
      <c r="DR40" s="127">
        <v>3894</v>
      </c>
      <c r="DS40" s="127">
        <v>3457</v>
      </c>
      <c r="DT40" s="127">
        <v>2967</v>
      </c>
      <c r="DU40" s="127">
        <v>4067</v>
      </c>
      <c r="DV40" s="127">
        <v>3178</v>
      </c>
      <c r="DW40" s="127">
        <v>3516</v>
      </c>
      <c r="DX40" s="128">
        <v>3105</v>
      </c>
      <c r="DY40" s="119">
        <v>3570</v>
      </c>
      <c r="DZ40" s="127">
        <v>2602</v>
      </c>
      <c r="EA40" s="127">
        <v>4314</v>
      </c>
      <c r="EB40" s="119">
        <v>3008</v>
      </c>
      <c r="EC40" s="127">
        <v>3708</v>
      </c>
      <c r="ED40" s="127">
        <v>3633</v>
      </c>
      <c r="EE40" s="127">
        <v>3404</v>
      </c>
      <c r="EF40" s="127">
        <v>3086</v>
      </c>
      <c r="EG40" s="127">
        <v>3226</v>
      </c>
      <c r="EH40" s="127">
        <v>1511</v>
      </c>
      <c r="EI40" s="127">
        <v>2258</v>
      </c>
      <c r="EJ40" s="128">
        <v>1492</v>
      </c>
      <c r="EK40" s="119">
        <v>1802</v>
      </c>
      <c r="EL40" s="127">
        <v>1713</v>
      </c>
      <c r="EM40" s="127">
        <v>1887</v>
      </c>
      <c r="EN40" s="119">
        <v>1625</v>
      </c>
      <c r="EO40" s="127">
        <v>1477</v>
      </c>
      <c r="EP40" s="127">
        <v>1364</v>
      </c>
      <c r="EQ40" s="127">
        <v>958</v>
      </c>
      <c r="ER40" s="127">
        <v>1648</v>
      </c>
      <c r="ES40" s="127">
        <v>1467</v>
      </c>
      <c r="ET40" s="127">
        <v>1504</v>
      </c>
      <c r="EU40" s="127">
        <v>1906</v>
      </c>
      <c r="EV40" s="128">
        <v>1559</v>
      </c>
      <c r="EW40" s="119">
        <v>1865</v>
      </c>
      <c r="EX40" s="109">
        <v>2281</v>
      </c>
      <c r="EY40" s="127">
        <v>2107</v>
      </c>
      <c r="EZ40" s="119">
        <v>2106</v>
      </c>
      <c r="FA40" s="18">
        <v>1973</v>
      </c>
      <c r="FB40" s="149">
        <v>2581</v>
      </c>
      <c r="FC40" s="18">
        <v>1904</v>
      </c>
      <c r="FD40" s="18">
        <v>2189</v>
      </c>
      <c r="FE40" s="149">
        <v>2154</v>
      </c>
      <c r="FF40" s="149">
        <v>2136</v>
      </c>
      <c r="FG40" s="149">
        <v>3056</v>
      </c>
      <c r="FH40" s="149">
        <v>1830</v>
      </c>
      <c r="FI40" s="119">
        <f>'Average Sunday-Holiday Boarding'!FI40*6</f>
        <v>2693</v>
      </c>
      <c r="FJ40" s="109">
        <f>'Average Sunday-Holiday Boarding'!FJ40*4</f>
        <v>1992</v>
      </c>
      <c r="FK40" s="127">
        <f>'Average Sunday-Holiday Boarding'!FK40*5</f>
        <v>2993</v>
      </c>
      <c r="FL40" s="119">
        <v>2863</v>
      </c>
      <c r="FM40" s="18">
        <v>2593</v>
      </c>
      <c r="FN40" s="149">
        <v>2614</v>
      </c>
      <c r="FO40" s="18">
        <v>3518</v>
      </c>
      <c r="FP40" s="18">
        <v>2329</v>
      </c>
      <c r="FQ40" s="149">
        <v>2455</v>
      </c>
      <c r="FR40" s="149">
        <v>3137</v>
      </c>
      <c r="FS40" s="149">
        <v>2784</v>
      </c>
      <c r="FT40" s="155">
        <v>2145</v>
      </c>
      <c r="FU40" s="169">
        <v>3012</v>
      </c>
      <c r="FV40" s="169">
        <v>2813</v>
      </c>
      <c r="FW40" s="169">
        <v>2705</v>
      </c>
      <c r="FX40" s="169">
        <v>2944</v>
      </c>
      <c r="FY40" s="169">
        <v>2680</v>
      </c>
      <c r="FZ40" s="169">
        <v>3048</v>
      </c>
      <c r="GA40" s="169">
        <v>3556</v>
      </c>
      <c r="GB40" s="18">
        <v>2697</v>
      </c>
      <c r="GC40" s="18">
        <v>3134</v>
      </c>
      <c r="GD40" s="18">
        <v>2402</v>
      </c>
      <c r="GE40" s="18">
        <v>2773</v>
      </c>
      <c r="GF40" s="52">
        <v>2411</v>
      </c>
      <c r="GG40" s="18">
        <v>2241</v>
      </c>
      <c r="GH40" s="18">
        <v>2031</v>
      </c>
      <c r="GI40" s="184">
        <v>3421</v>
      </c>
      <c r="GJ40" s="184">
        <v>2230</v>
      </c>
      <c r="GK40" s="184">
        <v>2557</v>
      </c>
      <c r="GL40" s="184">
        <v>2944</v>
      </c>
    </row>
    <row r="41" spans="1:194" x14ac:dyDescent="0.3">
      <c r="A41" s="3" t="s">
        <v>23</v>
      </c>
      <c r="B41" s="17"/>
      <c r="C41" s="18">
        <v>1344</v>
      </c>
      <c r="D41" s="18">
        <v>839</v>
      </c>
      <c r="E41" s="18">
        <v>1055</v>
      </c>
      <c r="F41" s="18">
        <v>909</v>
      </c>
      <c r="G41" s="18">
        <v>1212</v>
      </c>
      <c r="H41" s="19">
        <v>676</v>
      </c>
      <c r="I41" s="17">
        <v>1359</v>
      </c>
      <c r="J41" s="18">
        <v>1004</v>
      </c>
      <c r="K41" s="18">
        <v>960</v>
      </c>
      <c r="L41" s="18">
        <v>893</v>
      </c>
      <c r="M41" s="18">
        <v>2080</v>
      </c>
      <c r="N41" s="18">
        <v>1261</v>
      </c>
      <c r="O41" s="127">
        <v>1862</v>
      </c>
      <c r="P41" s="127">
        <v>1370</v>
      </c>
      <c r="Q41" s="127">
        <v>1267</v>
      </c>
      <c r="R41" s="127">
        <v>1140</v>
      </c>
      <c r="S41" s="127">
        <v>1632</v>
      </c>
      <c r="T41" s="128">
        <v>901</v>
      </c>
      <c r="U41" s="129">
        <v>1088</v>
      </c>
      <c r="V41" s="127">
        <v>1156</v>
      </c>
      <c r="W41" s="127">
        <v>1383</v>
      </c>
      <c r="X41" s="127">
        <v>1482</v>
      </c>
      <c r="Y41" s="127">
        <v>1923</v>
      </c>
      <c r="Z41" s="127">
        <v>1072</v>
      </c>
      <c r="AA41" s="18">
        <v>1594</v>
      </c>
      <c r="AB41" s="18">
        <v>1292</v>
      </c>
      <c r="AC41" s="18">
        <v>1132</v>
      </c>
      <c r="AD41" s="18">
        <v>1206</v>
      </c>
      <c r="AE41" s="18">
        <v>1562</v>
      </c>
      <c r="AF41" s="19">
        <v>850</v>
      </c>
      <c r="AG41" s="17">
        <v>1781</v>
      </c>
      <c r="AH41" s="18">
        <v>1135</v>
      </c>
      <c r="AI41" s="18">
        <v>1471</v>
      </c>
      <c r="AJ41" s="18">
        <v>1707</v>
      </c>
      <c r="AK41" s="18">
        <v>2054</v>
      </c>
      <c r="AL41" s="18">
        <v>1325</v>
      </c>
      <c r="AM41" s="18">
        <v>2570</v>
      </c>
      <c r="AN41" s="18">
        <v>1776</v>
      </c>
      <c r="AO41" s="18">
        <v>1226</v>
      </c>
      <c r="AP41" s="18">
        <v>1744</v>
      </c>
      <c r="AQ41" s="18">
        <v>1388</v>
      </c>
      <c r="AR41" s="19">
        <v>1245</v>
      </c>
      <c r="AS41" s="17">
        <v>2113</v>
      </c>
      <c r="AT41" s="18">
        <v>1243</v>
      </c>
      <c r="AU41" s="18">
        <v>2026</v>
      </c>
      <c r="AV41" s="18">
        <v>1456</v>
      </c>
      <c r="AW41" s="18">
        <v>2181</v>
      </c>
      <c r="AX41" s="18">
        <v>2135</v>
      </c>
      <c r="AY41" s="18">
        <v>2317</v>
      </c>
      <c r="AZ41" s="18">
        <v>2065</v>
      </c>
      <c r="BA41" s="18">
        <v>1915</v>
      </c>
      <c r="BB41" s="18">
        <v>1462</v>
      </c>
      <c r="BC41" s="18">
        <v>1727</v>
      </c>
      <c r="BD41" s="19">
        <v>1665</v>
      </c>
      <c r="BE41" s="17">
        <v>1862</v>
      </c>
      <c r="BF41" s="18">
        <v>1401</v>
      </c>
      <c r="BG41" s="18">
        <v>2260</v>
      </c>
      <c r="BH41" s="18">
        <v>1580</v>
      </c>
      <c r="BI41" s="18">
        <v>2378.5573691790687</v>
      </c>
      <c r="BJ41" s="18">
        <v>2428</v>
      </c>
      <c r="BK41" s="18">
        <v>2510</v>
      </c>
      <c r="BL41" s="18">
        <v>2336</v>
      </c>
      <c r="BM41" s="18">
        <v>2128</v>
      </c>
      <c r="BN41" s="18">
        <v>1669</v>
      </c>
      <c r="BO41" s="18">
        <v>1890</v>
      </c>
      <c r="BP41" s="19">
        <v>1693</v>
      </c>
      <c r="BQ41" s="17">
        <v>1643</v>
      </c>
      <c r="BR41" s="18">
        <v>1760</v>
      </c>
      <c r="BS41" s="18">
        <v>2056</v>
      </c>
      <c r="BT41" s="18">
        <v>1668</v>
      </c>
      <c r="BU41" s="18">
        <v>3102</v>
      </c>
      <c r="BV41" s="18">
        <v>1979</v>
      </c>
      <c r="BW41" s="18">
        <v>2312</v>
      </c>
      <c r="BX41" s="18">
        <v>2051</v>
      </c>
      <c r="BY41" s="18">
        <v>1855</v>
      </c>
      <c r="BZ41" s="18">
        <v>1477</v>
      </c>
      <c r="CA41" s="18">
        <v>2093</v>
      </c>
      <c r="CB41" s="19">
        <v>1305</v>
      </c>
      <c r="CC41" s="20">
        <v>1647</v>
      </c>
      <c r="CD41" s="18">
        <v>1635</v>
      </c>
      <c r="CE41" s="18">
        <v>1935</v>
      </c>
      <c r="CF41" s="18">
        <v>1440</v>
      </c>
      <c r="CG41" s="18">
        <v>2812</v>
      </c>
      <c r="CH41" s="18">
        <v>1937</v>
      </c>
      <c r="CI41" s="18">
        <v>2304</v>
      </c>
      <c r="CJ41" s="18">
        <v>1724</v>
      </c>
      <c r="CK41" s="18">
        <v>1307</v>
      </c>
      <c r="CL41" s="18">
        <v>1323</v>
      </c>
      <c r="CM41" s="18">
        <v>1937</v>
      </c>
      <c r="CN41" s="21">
        <v>1219</v>
      </c>
      <c r="CO41" s="17">
        <v>1814</v>
      </c>
      <c r="CP41" s="18">
        <v>1333</v>
      </c>
      <c r="CQ41" s="18">
        <v>1538</v>
      </c>
      <c r="CR41" s="18">
        <v>1597</v>
      </c>
      <c r="CS41" s="18">
        <v>2751</v>
      </c>
      <c r="CT41" s="18">
        <v>2241</v>
      </c>
      <c r="CU41" s="18">
        <v>2383</v>
      </c>
      <c r="CV41" s="18">
        <v>1790</v>
      </c>
      <c r="CW41" s="18">
        <v>1328</v>
      </c>
      <c r="CX41" s="18">
        <v>1679</v>
      </c>
      <c r="CY41" s="18">
        <v>1509</v>
      </c>
      <c r="CZ41" s="19">
        <v>1127</v>
      </c>
      <c r="DA41" s="17">
        <v>1706</v>
      </c>
      <c r="DB41" s="18">
        <v>1246</v>
      </c>
      <c r="DC41" s="18">
        <v>1731</v>
      </c>
      <c r="DD41" s="18">
        <v>1622</v>
      </c>
      <c r="DE41" s="18">
        <v>2396</v>
      </c>
      <c r="DF41" s="18">
        <v>1795</v>
      </c>
      <c r="DG41" s="18">
        <v>2015</v>
      </c>
      <c r="DH41" s="18">
        <v>1721</v>
      </c>
      <c r="DI41" s="18">
        <v>1294</v>
      </c>
      <c r="DJ41" s="18">
        <v>1475</v>
      </c>
      <c r="DK41" s="18">
        <v>1459</v>
      </c>
      <c r="DL41" s="19">
        <v>1136</v>
      </c>
      <c r="DM41" s="17">
        <v>1743</v>
      </c>
      <c r="DN41" s="18">
        <v>1199</v>
      </c>
      <c r="DO41" s="127">
        <v>1838</v>
      </c>
      <c r="DP41" s="127">
        <v>1141</v>
      </c>
      <c r="DQ41" s="127">
        <v>1368</v>
      </c>
      <c r="DR41" s="127">
        <v>1611</v>
      </c>
      <c r="DS41" s="127">
        <v>1526</v>
      </c>
      <c r="DT41" s="127">
        <v>1138</v>
      </c>
      <c r="DU41" s="127">
        <v>1558</v>
      </c>
      <c r="DV41" s="127">
        <v>252</v>
      </c>
      <c r="DW41" s="127">
        <v>1322</v>
      </c>
      <c r="DX41" s="128">
        <v>1283</v>
      </c>
      <c r="DY41" s="119">
        <v>1228</v>
      </c>
      <c r="DZ41" s="127">
        <v>1130</v>
      </c>
      <c r="EA41" s="127">
        <v>1880</v>
      </c>
      <c r="EB41" s="119">
        <v>1497</v>
      </c>
      <c r="EC41" s="127">
        <v>1778</v>
      </c>
      <c r="ED41" s="127">
        <v>1663</v>
      </c>
      <c r="EE41" s="127">
        <v>1509</v>
      </c>
      <c r="EF41" s="127">
        <v>1245</v>
      </c>
      <c r="EG41" s="127">
        <v>1438</v>
      </c>
      <c r="EH41" s="127">
        <v>866</v>
      </c>
      <c r="EI41" s="127">
        <v>1435</v>
      </c>
      <c r="EJ41" s="128">
        <v>932</v>
      </c>
      <c r="EK41" s="119">
        <v>1082</v>
      </c>
      <c r="EL41" s="127">
        <v>1153</v>
      </c>
      <c r="EM41" s="127">
        <v>1223</v>
      </c>
      <c r="EN41" s="119">
        <v>907</v>
      </c>
      <c r="EO41" s="127">
        <v>626</v>
      </c>
      <c r="EP41" s="127">
        <v>744</v>
      </c>
      <c r="EQ41" s="127">
        <v>490</v>
      </c>
      <c r="ER41" s="127">
        <v>672</v>
      </c>
      <c r="ES41" s="127">
        <v>702</v>
      </c>
      <c r="ET41" s="127">
        <v>708</v>
      </c>
      <c r="EU41" s="127">
        <v>777</v>
      </c>
      <c r="EV41" s="128">
        <v>665</v>
      </c>
      <c r="EW41" s="119">
        <v>797</v>
      </c>
      <c r="EX41" s="109">
        <v>991</v>
      </c>
      <c r="EY41" s="127">
        <v>825</v>
      </c>
      <c r="EZ41" s="119">
        <v>879</v>
      </c>
      <c r="FA41" s="18">
        <v>850</v>
      </c>
      <c r="FB41" s="149">
        <v>1090</v>
      </c>
      <c r="FC41" s="18">
        <v>884</v>
      </c>
      <c r="FD41" s="18">
        <v>789</v>
      </c>
      <c r="FE41" s="149">
        <v>838</v>
      </c>
      <c r="FF41" s="149">
        <v>879</v>
      </c>
      <c r="FG41" s="149">
        <v>1328</v>
      </c>
      <c r="FH41" s="149">
        <v>737</v>
      </c>
      <c r="FI41" s="119">
        <f>'Average Sunday-Holiday Boarding'!FI41*6</f>
        <v>1076</v>
      </c>
      <c r="FJ41" s="109">
        <f>'Average Sunday-Holiday Boarding'!FJ41*4</f>
        <v>738</v>
      </c>
      <c r="FK41" s="127">
        <f>'Average Sunday-Holiday Boarding'!FK41*5</f>
        <v>1010</v>
      </c>
      <c r="FL41" s="119">
        <v>1027</v>
      </c>
      <c r="FM41" s="18">
        <v>875</v>
      </c>
      <c r="FN41" s="149">
        <v>918</v>
      </c>
      <c r="FO41" s="18">
        <v>1282</v>
      </c>
      <c r="FP41" s="18">
        <v>850</v>
      </c>
      <c r="FQ41" s="149">
        <v>925</v>
      </c>
      <c r="FR41" s="149">
        <v>1069</v>
      </c>
      <c r="FS41" s="149">
        <v>1049</v>
      </c>
      <c r="FT41" s="155">
        <v>794</v>
      </c>
      <c r="FU41" s="169">
        <v>1108</v>
      </c>
      <c r="FV41" s="169">
        <v>1012</v>
      </c>
      <c r="FW41" s="169">
        <v>994</v>
      </c>
      <c r="FX41" s="169">
        <v>976</v>
      </c>
      <c r="FY41" s="169">
        <v>985</v>
      </c>
      <c r="FZ41" s="169">
        <v>1137</v>
      </c>
      <c r="GA41" s="169">
        <v>1262</v>
      </c>
      <c r="GB41" s="18">
        <v>1033</v>
      </c>
      <c r="GC41" s="18">
        <v>1165</v>
      </c>
      <c r="GD41" s="18">
        <v>867</v>
      </c>
      <c r="GE41" s="18">
        <v>1034</v>
      </c>
      <c r="GF41" s="52">
        <v>951</v>
      </c>
      <c r="GG41" s="18">
        <v>917</v>
      </c>
      <c r="GH41" s="18">
        <v>962</v>
      </c>
      <c r="GI41" s="184">
        <v>1421</v>
      </c>
      <c r="GJ41" s="184">
        <v>933</v>
      </c>
      <c r="GK41" s="184">
        <v>1090</v>
      </c>
      <c r="GL41" s="184">
        <v>1385</v>
      </c>
    </row>
    <row r="42" spans="1:194" x14ac:dyDescent="0.3">
      <c r="A42" s="3" t="s">
        <v>24</v>
      </c>
      <c r="B42" s="17"/>
      <c r="C42" s="18">
        <v>3541</v>
      </c>
      <c r="D42" s="18">
        <v>2745</v>
      </c>
      <c r="E42" s="18">
        <v>2682</v>
      </c>
      <c r="F42" s="18">
        <v>2209</v>
      </c>
      <c r="G42" s="18">
        <v>2916</v>
      </c>
      <c r="H42" s="19">
        <v>1536</v>
      </c>
      <c r="I42" s="17">
        <v>3049</v>
      </c>
      <c r="J42" s="18">
        <v>1843</v>
      </c>
      <c r="K42" s="18">
        <v>2685</v>
      </c>
      <c r="L42" s="18">
        <v>1733</v>
      </c>
      <c r="M42" s="18">
        <v>4107</v>
      </c>
      <c r="N42" s="18">
        <v>1650</v>
      </c>
      <c r="O42" s="127">
        <v>3270</v>
      </c>
      <c r="P42" s="127">
        <v>2863</v>
      </c>
      <c r="Q42" s="127">
        <v>2519</v>
      </c>
      <c r="R42" s="127">
        <v>2294</v>
      </c>
      <c r="S42" s="127">
        <v>2721</v>
      </c>
      <c r="T42" s="128">
        <v>1533</v>
      </c>
      <c r="U42" s="129">
        <v>2634</v>
      </c>
      <c r="V42" s="127">
        <v>1866</v>
      </c>
      <c r="W42" s="127">
        <v>2533</v>
      </c>
      <c r="X42" s="127">
        <v>2426</v>
      </c>
      <c r="Y42" s="127">
        <v>4395</v>
      </c>
      <c r="Z42" s="127">
        <v>1952</v>
      </c>
      <c r="AA42" s="18">
        <v>3162</v>
      </c>
      <c r="AB42" s="18">
        <v>3101</v>
      </c>
      <c r="AC42" s="18">
        <v>2734</v>
      </c>
      <c r="AD42" s="18">
        <v>1940</v>
      </c>
      <c r="AE42" s="18">
        <v>3130</v>
      </c>
      <c r="AF42" s="19">
        <v>1708</v>
      </c>
      <c r="AG42" s="17">
        <v>3971</v>
      </c>
      <c r="AH42" s="18">
        <v>2008</v>
      </c>
      <c r="AI42" s="18">
        <v>2560</v>
      </c>
      <c r="AJ42" s="18">
        <v>2682</v>
      </c>
      <c r="AK42" s="18">
        <v>3835</v>
      </c>
      <c r="AL42" s="18">
        <v>2112</v>
      </c>
      <c r="AM42" s="18">
        <v>3664</v>
      </c>
      <c r="AN42" s="18">
        <v>3276</v>
      </c>
      <c r="AO42" s="18">
        <v>2046</v>
      </c>
      <c r="AP42" s="18">
        <v>3327</v>
      </c>
      <c r="AQ42" s="18">
        <v>2677</v>
      </c>
      <c r="AR42" s="19">
        <v>1979</v>
      </c>
      <c r="AS42" s="17">
        <v>4316</v>
      </c>
      <c r="AT42" s="18">
        <v>1915</v>
      </c>
      <c r="AU42" s="18">
        <v>3044</v>
      </c>
      <c r="AV42" s="18">
        <v>2170</v>
      </c>
      <c r="AW42" s="18">
        <v>2974</v>
      </c>
      <c r="AX42" s="18">
        <v>2895</v>
      </c>
      <c r="AY42" s="18">
        <v>3603</v>
      </c>
      <c r="AZ42" s="18">
        <v>3404</v>
      </c>
      <c r="BA42" s="18">
        <v>3119</v>
      </c>
      <c r="BB42" s="18">
        <v>2901</v>
      </c>
      <c r="BC42" s="18">
        <v>3331</v>
      </c>
      <c r="BD42" s="19">
        <v>2290</v>
      </c>
      <c r="BE42" s="17">
        <v>3695</v>
      </c>
      <c r="BF42" s="18">
        <v>1629</v>
      </c>
      <c r="BG42" s="18">
        <v>3257</v>
      </c>
      <c r="BH42" s="18">
        <v>2040</v>
      </c>
      <c r="BI42" s="18">
        <v>3025.7631301008159</v>
      </c>
      <c r="BJ42" s="18">
        <v>3403</v>
      </c>
      <c r="BK42" s="18">
        <v>3919</v>
      </c>
      <c r="BL42" s="18">
        <v>3458</v>
      </c>
      <c r="BM42" s="18">
        <v>3029</v>
      </c>
      <c r="BN42" s="18">
        <v>2397</v>
      </c>
      <c r="BO42" s="18">
        <v>2648</v>
      </c>
      <c r="BP42" s="19">
        <v>3313</v>
      </c>
      <c r="BQ42" s="17">
        <v>3350</v>
      </c>
      <c r="BR42" s="18">
        <v>2851</v>
      </c>
      <c r="BS42" s="18">
        <v>2709</v>
      </c>
      <c r="BT42" s="18">
        <v>2272</v>
      </c>
      <c r="BU42" s="18">
        <v>4567</v>
      </c>
      <c r="BV42" s="18">
        <v>2955</v>
      </c>
      <c r="BW42" s="18">
        <v>6415</v>
      </c>
      <c r="BX42" s="18">
        <v>3980</v>
      </c>
      <c r="BY42" s="18">
        <v>3162</v>
      </c>
      <c r="BZ42" s="18">
        <v>2164</v>
      </c>
      <c r="CA42" s="18">
        <v>3390</v>
      </c>
      <c r="CB42" s="19">
        <v>1914</v>
      </c>
      <c r="CC42" s="20">
        <v>2462</v>
      </c>
      <c r="CD42" s="18">
        <v>2229</v>
      </c>
      <c r="CE42" s="18">
        <v>2980</v>
      </c>
      <c r="CF42" s="18">
        <v>2282</v>
      </c>
      <c r="CG42" s="18">
        <v>4799</v>
      </c>
      <c r="CH42" s="18">
        <v>3310</v>
      </c>
      <c r="CI42" s="18">
        <v>4801</v>
      </c>
      <c r="CJ42" s="18">
        <v>3459</v>
      </c>
      <c r="CK42" s="18">
        <v>2339</v>
      </c>
      <c r="CL42" s="18">
        <v>2660</v>
      </c>
      <c r="CM42" s="18">
        <v>3428</v>
      </c>
      <c r="CN42" s="21">
        <v>2219</v>
      </c>
      <c r="CO42" s="17">
        <v>3845</v>
      </c>
      <c r="CP42" s="18">
        <v>2241</v>
      </c>
      <c r="CQ42" s="18">
        <v>2520</v>
      </c>
      <c r="CR42" s="18">
        <v>2601</v>
      </c>
      <c r="CS42" s="18">
        <v>4781</v>
      </c>
      <c r="CT42" s="18">
        <v>3802</v>
      </c>
      <c r="CU42" s="18">
        <v>4432</v>
      </c>
      <c r="CV42" s="18">
        <v>3485</v>
      </c>
      <c r="CW42" s="18">
        <v>2334</v>
      </c>
      <c r="CX42" s="18">
        <v>4885</v>
      </c>
      <c r="CY42" s="18">
        <v>2859</v>
      </c>
      <c r="CZ42" s="19">
        <v>2090</v>
      </c>
      <c r="DA42" s="17">
        <v>3468</v>
      </c>
      <c r="DB42" s="18">
        <v>2256</v>
      </c>
      <c r="DC42" s="18">
        <v>2837</v>
      </c>
      <c r="DD42" s="18">
        <v>2896</v>
      </c>
      <c r="DE42" s="18">
        <v>4682</v>
      </c>
      <c r="DF42" s="18">
        <v>3303</v>
      </c>
      <c r="DG42" s="18">
        <v>3898</v>
      </c>
      <c r="DH42" s="18">
        <v>3164</v>
      </c>
      <c r="DI42" s="18">
        <v>2748</v>
      </c>
      <c r="DJ42" s="18">
        <v>2706</v>
      </c>
      <c r="DK42" s="18">
        <v>2993</v>
      </c>
      <c r="DL42" s="19">
        <v>1961</v>
      </c>
      <c r="DM42" s="17">
        <v>3432</v>
      </c>
      <c r="DN42" s="18">
        <v>2020</v>
      </c>
      <c r="DO42" s="127">
        <v>2845</v>
      </c>
      <c r="DP42" s="127">
        <v>2060</v>
      </c>
      <c r="DQ42" s="127">
        <v>2407</v>
      </c>
      <c r="DR42" s="127">
        <v>2842</v>
      </c>
      <c r="DS42" s="127">
        <v>2787</v>
      </c>
      <c r="DT42" s="127">
        <v>2116</v>
      </c>
      <c r="DU42" s="127">
        <v>3294</v>
      </c>
      <c r="DV42" s="127">
        <v>2106</v>
      </c>
      <c r="DW42" s="127">
        <v>2433</v>
      </c>
      <c r="DX42" s="128">
        <v>2138</v>
      </c>
      <c r="DY42" s="119">
        <v>2379</v>
      </c>
      <c r="DZ42" s="127">
        <v>1685</v>
      </c>
      <c r="EA42" s="127">
        <v>2667</v>
      </c>
      <c r="EB42" s="119">
        <v>2066</v>
      </c>
      <c r="EC42" s="127">
        <v>2546</v>
      </c>
      <c r="ED42" s="127">
        <v>2912</v>
      </c>
      <c r="EE42" s="127">
        <v>2666</v>
      </c>
      <c r="EF42" s="127">
        <v>1987</v>
      </c>
      <c r="EG42" s="127">
        <v>2331</v>
      </c>
      <c r="EH42" s="127">
        <v>1130</v>
      </c>
      <c r="EI42" s="127">
        <v>1622</v>
      </c>
      <c r="EJ42" s="128">
        <v>1073</v>
      </c>
      <c r="EK42" s="119">
        <v>1356</v>
      </c>
      <c r="EL42" s="127">
        <v>1287</v>
      </c>
      <c r="EM42" s="127">
        <v>1626</v>
      </c>
      <c r="EN42" s="121">
        <v>1165</v>
      </c>
      <c r="EO42" s="127">
        <v>1031</v>
      </c>
      <c r="EP42" s="127">
        <v>1016</v>
      </c>
      <c r="EQ42" s="127">
        <v>704</v>
      </c>
      <c r="ER42" s="127">
        <v>1065</v>
      </c>
      <c r="ES42" s="127">
        <v>1050</v>
      </c>
      <c r="ET42" s="127">
        <v>1092</v>
      </c>
      <c r="EU42" s="127">
        <v>1285</v>
      </c>
      <c r="EV42" s="128">
        <v>1073</v>
      </c>
      <c r="EW42" s="119">
        <v>1315</v>
      </c>
      <c r="EX42" s="109">
        <v>1567</v>
      </c>
      <c r="EY42" s="127">
        <v>1358</v>
      </c>
      <c r="EZ42" s="121">
        <v>1414</v>
      </c>
      <c r="FA42" s="18">
        <v>1289</v>
      </c>
      <c r="FB42" s="149">
        <v>1839</v>
      </c>
      <c r="FC42" s="18">
        <v>1234</v>
      </c>
      <c r="FD42" s="18">
        <v>1207</v>
      </c>
      <c r="FE42" s="149">
        <v>1587</v>
      </c>
      <c r="FF42" s="149">
        <v>1431</v>
      </c>
      <c r="FG42" s="149">
        <v>2006</v>
      </c>
      <c r="FH42" s="149">
        <v>897</v>
      </c>
      <c r="FI42" s="119">
        <f>'Average Sunday-Holiday Boarding'!FI42*6</f>
        <v>1591</v>
      </c>
      <c r="FJ42" s="109">
        <f>'Average Sunday-Holiday Boarding'!FJ42*4</f>
        <v>1109</v>
      </c>
      <c r="FK42" s="127">
        <f>'Average Sunday-Holiday Boarding'!FK42*5</f>
        <v>1674</v>
      </c>
      <c r="FL42" s="121">
        <v>1488</v>
      </c>
      <c r="FM42" s="18">
        <v>1484</v>
      </c>
      <c r="FN42" s="149">
        <v>1512</v>
      </c>
      <c r="FO42" s="18">
        <v>1884</v>
      </c>
      <c r="FP42" s="18">
        <v>1534</v>
      </c>
      <c r="FQ42" s="149">
        <v>1462</v>
      </c>
      <c r="FR42" s="149">
        <v>1881</v>
      </c>
      <c r="FS42" s="149">
        <v>1658</v>
      </c>
      <c r="FT42" s="155">
        <v>1480</v>
      </c>
      <c r="FU42" s="169">
        <v>1970</v>
      </c>
      <c r="FV42" s="169">
        <v>1631</v>
      </c>
      <c r="FW42" s="169">
        <v>1529</v>
      </c>
      <c r="FX42" s="169">
        <v>1669</v>
      </c>
      <c r="FY42" s="169">
        <v>1567</v>
      </c>
      <c r="FZ42" s="169">
        <v>1959</v>
      </c>
      <c r="GA42" s="169">
        <v>2116</v>
      </c>
      <c r="GB42" s="18">
        <v>1540</v>
      </c>
      <c r="GC42" s="18">
        <v>2094</v>
      </c>
      <c r="GD42" s="18">
        <v>1609</v>
      </c>
      <c r="GE42" s="18">
        <v>1984</v>
      </c>
      <c r="GF42" s="52">
        <v>1563</v>
      </c>
      <c r="GG42" s="18">
        <v>1569</v>
      </c>
      <c r="GH42" s="18">
        <v>1387</v>
      </c>
      <c r="GI42" s="184">
        <v>2390</v>
      </c>
      <c r="GJ42" s="184">
        <v>1472</v>
      </c>
      <c r="GK42" s="184">
        <v>1694</v>
      </c>
      <c r="GL42" s="184">
        <v>2018</v>
      </c>
    </row>
    <row r="43" spans="1:194" ht="15" thickBot="1" x14ac:dyDescent="0.35">
      <c r="A43" s="9" t="s">
        <v>25</v>
      </c>
      <c r="B43" s="22"/>
      <c r="C43" s="23">
        <v>14467</v>
      </c>
      <c r="D43" s="23">
        <v>12785</v>
      </c>
      <c r="E43" s="23">
        <v>14815</v>
      </c>
      <c r="F43" s="23">
        <v>10948</v>
      </c>
      <c r="G43" s="23">
        <v>13513</v>
      </c>
      <c r="H43" s="24">
        <v>6674</v>
      </c>
      <c r="I43" s="22">
        <v>11073</v>
      </c>
      <c r="J43" s="23">
        <v>6822</v>
      </c>
      <c r="K43" s="23">
        <v>9796</v>
      </c>
      <c r="L43" s="23">
        <v>7228</v>
      </c>
      <c r="M43" s="23">
        <v>16266</v>
      </c>
      <c r="N43" s="23">
        <v>7291</v>
      </c>
      <c r="O43" s="130">
        <v>12747</v>
      </c>
      <c r="P43" s="130">
        <v>10252</v>
      </c>
      <c r="Q43" s="130">
        <v>11664</v>
      </c>
      <c r="R43" s="130">
        <v>7911</v>
      </c>
      <c r="S43" s="130">
        <v>11647</v>
      </c>
      <c r="T43" s="131">
        <v>6594</v>
      </c>
      <c r="U43" s="132">
        <v>9016</v>
      </c>
      <c r="V43" s="130">
        <v>8186</v>
      </c>
      <c r="W43" s="130">
        <v>10021</v>
      </c>
      <c r="X43" s="130">
        <v>10120</v>
      </c>
      <c r="Y43" s="130">
        <v>16497</v>
      </c>
      <c r="Z43" s="130">
        <v>8423</v>
      </c>
      <c r="AA43" s="23">
        <v>12141</v>
      </c>
      <c r="AB43" s="23">
        <v>10398</v>
      </c>
      <c r="AC43" s="23">
        <v>10515</v>
      </c>
      <c r="AD43" s="23">
        <v>9062</v>
      </c>
      <c r="AE43" s="23">
        <v>12187</v>
      </c>
      <c r="AF43" s="24">
        <v>7844</v>
      </c>
      <c r="AG43" s="22">
        <v>14622</v>
      </c>
      <c r="AH43" s="23">
        <v>8199</v>
      </c>
      <c r="AI43" s="23">
        <v>9783</v>
      </c>
      <c r="AJ43" s="23">
        <v>10319</v>
      </c>
      <c r="AK43" s="23">
        <v>14741</v>
      </c>
      <c r="AL43" s="23">
        <v>9418</v>
      </c>
      <c r="AM43" s="23">
        <v>15829</v>
      </c>
      <c r="AN43" s="23">
        <v>11965</v>
      </c>
      <c r="AO43" s="23">
        <v>9375</v>
      </c>
      <c r="AP43" s="23">
        <v>11987</v>
      </c>
      <c r="AQ43" s="23">
        <v>10638</v>
      </c>
      <c r="AR43" s="24">
        <v>8061</v>
      </c>
      <c r="AS43" s="22">
        <v>15577</v>
      </c>
      <c r="AT43" s="23">
        <v>8284</v>
      </c>
      <c r="AU43" s="23">
        <v>12186</v>
      </c>
      <c r="AV43" s="23">
        <v>9536</v>
      </c>
      <c r="AW43" s="23">
        <v>13384</v>
      </c>
      <c r="AX43" s="23">
        <v>12802</v>
      </c>
      <c r="AY43" s="23">
        <v>13899</v>
      </c>
      <c r="AZ43" s="23">
        <v>12699</v>
      </c>
      <c r="BA43" s="23">
        <v>13419</v>
      </c>
      <c r="BB43" s="23">
        <v>10618</v>
      </c>
      <c r="BC43" s="23">
        <v>12863</v>
      </c>
      <c r="BD43" s="24">
        <v>10444</v>
      </c>
      <c r="BE43" s="22">
        <v>12599</v>
      </c>
      <c r="BF43" s="23">
        <v>6974</v>
      </c>
      <c r="BG43" s="23">
        <v>12809</v>
      </c>
      <c r="BH43" s="23">
        <v>8314</v>
      </c>
      <c r="BI43" s="23">
        <v>12856.733653384541</v>
      </c>
      <c r="BJ43" s="23">
        <v>14278</v>
      </c>
      <c r="BK43" s="23">
        <v>14752</v>
      </c>
      <c r="BL43" s="23">
        <v>12452</v>
      </c>
      <c r="BM43" s="23">
        <v>13101</v>
      </c>
      <c r="BN43" s="23">
        <v>9404</v>
      </c>
      <c r="BO43" s="23">
        <v>10809</v>
      </c>
      <c r="BP43" s="24">
        <v>10501</v>
      </c>
      <c r="BQ43" s="22">
        <v>11322</v>
      </c>
      <c r="BR43" s="23">
        <v>10878</v>
      </c>
      <c r="BS43" s="23">
        <v>10992</v>
      </c>
      <c r="BT43" s="23">
        <v>8419</v>
      </c>
      <c r="BU43" s="23">
        <v>18040</v>
      </c>
      <c r="BV43" s="23">
        <v>12539</v>
      </c>
      <c r="BW43" s="23">
        <v>12518</v>
      </c>
      <c r="BX43" s="23">
        <v>14435</v>
      </c>
      <c r="BY43" s="23">
        <v>11737</v>
      </c>
      <c r="BZ43" s="23">
        <v>8851</v>
      </c>
      <c r="CA43" s="23">
        <v>13139</v>
      </c>
      <c r="CB43" s="24">
        <v>8593</v>
      </c>
      <c r="CC43" s="25">
        <v>10821</v>
      </c>
      <c r="CD43" s="23">
        <v>8641</v>
      </c>
      <c r="CE43" s="23">
        <v>5479</v>
      </c>
      <c r="CF43" s="23">
        <v>4531</v>
      </c>
      <c r="CG43" s="23">
        <v>8415</v>
      </c>
      <c r="CH43" s="23">
        <v>5849</v>
      </c>
      <c r="CI43" s="23">
        <v>7528</v>
      </c>
      <c r="CJ43" s="23">
        <v>5389</v>
      </c>
      <c r="CK43" s="23">
        <v>3924</v>
      </c>
      <c r="CL43" s="23">
        <v>4190</v>
      </c>
      <c r="CM43" s="23">
        <v>5757</v>
      </c>
      <c r="CN43" s="26">
        <v>3782</v>
      </c>
      <c r="CO43" s="22">
        <v>5766</v>
      </c>
      <c r="CP43" s="23">
        <v>3664</v>
      </c>
      <c r="CQ43" s="23">
        <v>4069</v>
      </c>
      <c r="CR43" s="23">
        <v>4547</v>
      </c>
      <c r="CS43" s="23">
        <v>8157</v>
      </c>
      <c r="CT43" s="23">
        <v>6917</v>
      </c>
      <c r="CU43" s="23">
        <v>6706</v>
      </c>
      <c r="CV43" s="23">
        <v>5004</v>
      </c>
      <c r="CW43" s="23">
        <v>3719</v>
      </c>
      <c r="CX43" s="23">
        <v>6189</v>
      </c>
      <c r="CY43" s="23">
        <v>4750</v>
      </c>
      <c r="CZ43" s="24">
        <v>3622</v>
      </c>
      <c r="DA43" s="22">
        <v>5591</v>
      </c>
      <c r="DB43" s="23">
        <v>3510</v>
      </c>
      <c r="DC43" s="23">
        <v>4210</v>
      </c>
      <c r="DD43" s="23">
        <v>4452</v>
      </c>
      <c r="DE43" s="23">
        <v>6832</v>
      </c>
      <c r="DF43" s="23">
        <v>5095</v>
      </c>
      <c r="DG43" s="23">
        <v>5650</v>
      </c>
      <c r="DH43" s="23">
        <v>4774</v>
      </c>
      <c r="DI43" s="23">
        <v>3880</v>
      </c>
      <c r="DJ43" s="23">
        <v>4622</v>
      </c>
      <c r="DK43" s="23">
        <v>4324</v>
      </c>
      <c r="DL43" s="24">
        <v>3073</v>
      </c>
      <c r="DM43" s="22">
        <v>4946</v>
      </c>
      <c r="DN43" s="23">
        <v>3185</v>
      </c>
      <c r="DO43" s="130">
        <v>4716</v>
      </c>
      <c r="DP43" s="130">
        <v>3357</v>
      </c>
      <c r="DQ43" s="130">
        <v>4132</v>
      </c>
      <c r="DR43" s="130">
        <v>4596</v>
      </c>
      <c r="DS43" s="130">
        <v>3992</v>
      </c>
      <c r="DT43" s="130">
        <v>3389</v>
      </c>
      <c r="DU43" s="130">
        <v>4527</v>
      </c>
      <c r="DV43" s="130">
        <v>3414</v>
      </c>
      <c r="DW43" s="130">
        <v>4060</v>
      </c>
      <c r="DX43" s="131">
        <v>3507</v>
      </c>
      <c r="DY43" s="119">
        <v>3718</v>
      </c>
      <c r="DZ43" s="130">
        <v>2910</v>
      </c>
      <c r="EA43" s="130">
        <v>4570</v>
      </c>
      <c r="EB43" s="119">
        <v>3314</v>
      </c>
      <c r="EC43" s="130">
        <v>4009</v>
      </c>
      <c r="ED43" s="130">
        <v>4629</v>
      </c>
      <c r="EE43" s="130">
        <v>3982</v>
      </c>
      <c r="EF43" s="130">
        <v>3293</v>
      </c>
      <c r="EG43" s="130">
        <v>3686</v>
      </c>
      <c r="EH43" s="130">
        <v>2076</v>
      </c>
      <c r="EI43" s="130">
        <v>3167</v>
      </c>
      <c r="EJ43" s="131">
        <v>1922</v>
      </c>
      <c r="EK43" s="119">
        <v>2161</v>
      </c>
      <c r="EL43" s="130">
        <v>2269</v>
      </c>
      <c r="EM43" s="130">
        <v>2312</v>
      </c>
      <c r="EN43" s="122">
        <v>1925</v>
      </c>
      <c r="EO43" s="130">
        <v>1932</v>
      </c>
      <c r="EP43" s="130">
        <v>1617</v>
      </c>
      <c r="EQ43" s="130">
        <v>1088</v>
      </c>
      <c r="ER43" s="130">
        <v>1903</v>
      </c>
      <c r="ES43" s="130">
        <v>1879</v>
      </c>
      <c r="ET43" s="130">
        <v>1831</v>
      </c>
      <c r="EU43" s="130">
        <v>2459</v>
      </c>
      <c r="EV43" s="131">
        <v>1909</v>
      </c>
      <c r="EW43" s="119">
        <v>2374</v>
      </c>
      <c r="EX43" s="112">
        <v>3019</v>
      </c>
      <c r="EY43" s="130">
        <v>2607</v>
      </c>
      <c r="EZ43" s="122">
        <v>2610</v>
      </c>
      <c r="FA43" s="23">
        <v>2529</v>
      </c>
      <c r="FB43" s="23">
        <v>3160</v>
      </c>
      <c r="FC43" s="23">
        <v>2485</v>
      </c>
      <c r="FD43" s="23">
        <v>2451</v>
      </c>
      <c r="FE43" s="23">
        <v>2678</v>
      </c>
      <c r="FF43" s="23">
        <v>2555</v>
      </c>
      <c r="FG43" s="23">
        <v>3459</v>
      </c>
      <c r="FH43" s="23">
        <v>2003</v>
      </c>
      <c r="FI43" s="119">
        <f>'Average Sunday-Holiday Boarding'!FI43*6</f>
        <v>3226</v>
      </c>
      <c r="FJ43" s="112">
        <f>'Average Sunday-Holiday Boarding'!FJ43*4</f>
        <v>2154</v>
      </c>
      <c r="FK43" s="130">
        <f>'Average Sunday-Holiday Boarding'!FK43*5</f>
        <v>2877</v>
      </c>
      <c r="FL43" s="122">
        <v>2868</v>
      </c>
      <c r="FM43" s="23">
        <v>2479</v>
      </c>
      <c r="FN43" s="23">
        <v>2814</v>
      </c>
      <c r="FO43" s="23">
        <v>3339</v>
      </c>
      <c r="FP43" s="23">
        <v>2412</v>
      </c>
      <c r="FQ43" s="23">
        <v>2739</v>
      </c>
      <c r="FR43" s="23">
        <v>3168</v>
      </c>
      <c r="FS43" s="23">
        <v>2919</v>
      </c>
      <c r="FT43" s="26">
        <v>2436</v>
      </c>
      <c r="FU43" s="169">
        <v>3453</v>
      </c>
      <c r="FV43" s="169">
        <v>3086</v>
      </c>
      <c r="FW43" s="169">
        <v>2835</v>
      </c>
      <c r="FX43" s="169">
        <v>2943</v>
      </c>
      <c r="FY43" s="169">
        <v>2783</v>
      </c>
      <c r="FZ43" s="169">
        <v>3443</v>
      </c>
      <c r="GA43" s="169">
        <v>3398</v>
      </c>
      <c r="GB43" s="18">
        <v>2781</v>
      </c>
      <c r="GC43" s="18">
        <v>3235</v>
      </c>
      <c r="GD43" s="18">
        <v>2548</v>
      </c>
      <c r="GE43" s="18">
        <v>3066</v>
      </c>
      <c r="GF43" s="52">
        <v>2989</v>
      </c>
      <c r="GG43" s="18">
        <v>2849</v>
      </c>
      <c r="GH43" s="18">
        <v>2457</v>
      </c>
      <c r="GI43" s="184">
        <v>3652</v>
      </c>
      <c r="GJ43" s="184">
        <v>2411</v>
      </c>
      <c r="GK43" s="184">
        <v>3593</v>
      </c>
      <c r="GL43" s="184">
        <v>3233</v>
      </c>
    </row>
    <row r="44" spans="1:194" x14ac:dyDescent="0.3">
      <c r="A44" s="10" t="s">
        <v>26</v>
      </c>
      <c r="B44" s="12"/>
      <c r="C44" s="13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4"/>
      <c r="AG44" s="12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2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4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4"/>
      <c r="BQ44" s="12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4"/>
      <c r="CC44" s="15"/>
      <c r="CD44" s="13">
        <v>946</v>
      </c>
      <c r="CE44" s="13">
        <v>2818</v>
      </c>
      <c r="CF44" s="13">
        <v>2469</v>
      </c>
      <c r="CG44" s="13">
        <v>5590</v>
      </c>
      <c r="CH44" s="13">
        <v>4326</v>
      </c>
      <c r="CI44" s="13">
        <v>5186</v>
      </c>
      <c r="CJ44" s="13">
        <v>3841</v>
      </c>
      <c r="CK44" s="13">
        <v>2919</v>
      </c>
      <c r="CL44" s="13">
        <v>2952</v>
      </c>
      <c r="CM44" s="13">
        <v>4293</v>
      </c>
      <c r="CN44" s="16">
        <v>2885</v>
      </c>
      <c r="CO44" s="12">
        <v>4639</v>
      </c>
      <c r="CP44" s="13">
        <v>3015</v>
      </c>
      <c r="CQ44" s="13">
        <v>3795</v>
      </c>
      <c r="CR44" s="13">
        <v>3891</v>
      </c>
      <c r="CS44" s="13">
        <v>6864</v>
      </c>
      <c r="CT44" s="13">
        <v>6343</v>
      </c>
      <c r="CU44" s="13">
        <v>5840</v>
      </c>
      <c r="CV44" s="13">
        <v>4310</v>
      </c>
      <c r="CW44" s="13">
        <v>3216</v>
      </c>
      <c r="CX44" s="13">
        <v>4151</v>
      </c>
      <c r="CY44" s="13">
        <v>3933</v>
      </c>
      <c r="CZ44" s="14">
        <v>3185</v>
      </c>
      <c r="DA44" s="12">
        <v>5071</v>
      </c>
      <c r="DB44" s="13">
        <v>3293</v>
      </c>
      <c r="DC44" s="13">
        <v>3919</v>
      </c>
      <c r="DD44" s="13">
        <v>4020</v>
      </c>
      <c r="DE44" s="13">
        <v>5797</v>
      </c>
      <c r="DF44" s="13">
        <v>4631</v>
      </c>
      <c r="DG44" s="13">
        <v>5090</v>
      </c>
      <c r="DH44" s="13">
        <v>4371</v>
      </c>
      <c r="DI44" s="13">
        <v>3189</v>
      </c>
      <c r="DJ44" s="13">
        <v>3768</v>
      </c>
      <c r="DK44" s="13">
        <v>3693</v>
      </c>
      <c r="DL44" s="14">
        <v>3258</v>
      </c>
      <c r="DM44" s="12">
        <v>4979</v>
      </c>
      <c r="DN44" s="13">
        <v>3093</v>
      </c>
      <c r="DO44" s="123">
        <v>4832</v>
      </c>
      <c r="DP44" s="123">
        <v>3258</v>
      </c>
      <c r="DQ44" s="123">
        <v>4008</v>
      </c>
      <c r="DR44" s="123">
        <v>4499</v>
      </c>
      <c r="DS44" s="123">
        <v>3920</v>
      </c>
      <c r="DT44" s="123">
        <v>3107</v>
      </c>
      <c r="DU44" s="123">
        <v>4106</v>
      </c>
      <c r="DV44" s="123">
        <v>2968</v>
      </c>
      <c r="DW44" s="123">
        <v>4427</v>
      </c>
      <c r="DX44" s="124">
        <v>3628</v>
      </c>
      <c r="DY44" s="123">
        <v>3673</v>
      </c>
      <c r="DZ44" s="123">
        <v>2866</v>
      </c>
      <c r="EA44" s="123">
        <v>4698</v>
      </c>
      <c r="EB44" s="119">
        <v>3574</v>
      </c>
      <c r="EC44" s="123">
        <v>4146</v>
      </c>
      <c r="ED44" s="123">
        <v>4496</v>
      </c>
      <c r="EE44" s="123">
        <v>4133</v>
      </c>
      <c r="EF44" s="123">
        <v>3470</v>
      </c>
      <c r="EG44" s="123">
        <v>3818</v>
      </c>
      <c r="EH44" s="123">
        <v>2430</v>
      </c>
      <c r="EI44" s="123">
        <v>3819</v>
      </c>
      <c r="EJ44" s="124">
        <v>2114</v>
      </c>
      <c r="EK44" s="123">
        <v>2555</v>
      </c>
      <c r="EL44" s="123">
        <v>2557</v>
      </c>
      <c r="EM44" s="123">
        <v>2470</v>
      </c>
      <c r="EN44" s="126">
        <v>2051</v>
      </c>
      <c r="EO44" s="123">
        <v>1929</v>
      </c>
      <c r="EP44" s="123">
        <v>1625</v>
      </c>
      <c r="EQ44" s="123">
        <v>1097</v>
      </c>
      <c r="ER44" s="123">
        <v>1797</v>
      </c>
      <c r="ES44" s="123">
        <v>1767</v>
      </c>
      <c r="ET44" s="123">
        <v>1873</v>
      </c>
      <c r="EU44" s="123">
        <v>2278</v>
      </c>
      <c r="EV44" s="124">
        <v>1836</v>
      </c>
      <c r="EW44" s="123">
        <v>2342</v>
      </c>
      <c r="EX44" s="113">
        <v>3021</v>
      </c>
      <c r="EY44" s="123">
        <v>2513</v>
      </c>
      <c r="EZ44" s="126">
        <v>2591</v>
      </c>
      <c r="FA44" s="13">
        <v>2408</v>
      </c>
      <c r="FB44" s="13">
        <v>2930</v>
      </c>
      <c r="FC44" s="13">
        <v>2409</v>
      </c>
      <c r="FD44" s="13">
        <v>2333</v>
      </c>
      <c r="FE44" s="13">
        <v>2601</v>
      </c>
      <c r="FF44" s="13">
        <v>2503</v>
      </c>
      <c r="FG44" s="13">
        <v>3824</v>
      </c>
      <c r="FH44" s="13">
        <v>2414</v>
      </c>
      <c r="FI44" s="123">
        <f>'Average Sunday-Holiday Boarding'!FI44*6</f>
        <v>3830</v>
      </c>
      <c r="FJ44" s="113">
        <f>'Average Sunday-Holiday Boarding'!FJ44*4</f>
        <v>2368</v>
      </c>
      <c r="FK44" s="123">
        <f>'Average Sunday-Holiday Boarding'!FK44*5</f>
        <v>3096</v>
      </c>
      <c r="FL44" s="126">
        <v>2834</v>
      </c>
      <c r="FM44" s="13">
        <v>2431</v>
      </c>
      <c r="FN44" s="13">
        <v>2739</v>
      </c>
      <c r="FO44" s="13">
        <v>3245</v>
      </c>
      <c r="FP44" s="13">
        <v>2118</v>
      </c>
      <c r="FQ44" s="13">
        <v>2312</v>
      </c>
      <c r="FR44" s="13">
        <v>2768</v>
      </c>
      <c r="FS44" s="13">
        <v>2771</v>
      </c>
      <c r="FT44" s="16">
        <v>2148</v>
      </c>
      <c r="FU44" s="169">
        <v>3174</v>
      </c>
      <c r="FV44" s="169">
        <v>2916</v>
      </c>
      <c r="FW44" s="169">
        <v>2517</v>
      </c>
      <c r="FX44" s="169">
        <v>2729</v>
      </c>
      <c r="FY44" s="169">
        <v>2722</v>
      </c>
      <c r="FZ44" s="169">
        <v>3324</v>
      </c>
      <c r="GA44" s="169">
        <v>3086</v>
      </c>
      <c r="GB44" s="18">
        <v>2454</v>
      </c>
      <c r="GC44" s="18">
        <v>2959</v>
      </c>
      <c r="GD44" s="18">
        <v>2213</v>
      </c>
      <c r="GE44" s="18">
        <v>2733</v>
      </c>
      <c r="GF44" s="52">
        <v>2962</v>
      </c>
      <c r="GG44" s="18">
        <v>2792</v>
      </c>
      <c r="GH44" s="18">
        <v>2219</v>
      </c>
      <c r="GI44" s="184">
        <v>3112</v>
      </c>
      <c r="GJ44" s="184">
        <v>2275</v>
      </c>
      <c r="GK44" s="184">
        <v>1994</v>
      </c>
      <c r="GL44" s="184">
        <v>2827</v>
      </c>
    </row>
    <row r="45" spans="1:194" x14ac:dyDescent="0.3">
      <c r="A45" s="4" t="s">
        <v>27</v>
      </c>
      <c r="B45" s="17"/>
      <c r="C45" s="18"/>
      <c r="D45" s="18"/>
      <c r="E45" s="18"/>
      <c r="F45" s="18"/>
      <c r="G45" s="18"/>
      <c r="H45" s="19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9"/>
      <c r="U45" s="17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9"/>
      <c r="AG45" s="17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9"/>
      <c r="AS45" s="17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9"/>
      <c r="BE45" s="17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9"/>
      <c r="BQ45" s="17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9"/>
      <c r="CC45" s="20"/>
      <c r="CD45" s="18">
        <v>1085</v>
      </c>
      <c r="CE45" s="18">
        <v>3138</v>
      </c>
      <c r="CF45" s="18">
        <v>2825</v>
      </c>
      <c r="CG45" s="18">
        <v>5994</v>
      </c>
      <c r="CH45" s="18">
        <v>4391</v>
      </c>
      <c r="CI45" s="18">
        <v>5382</v>
      </c>
      <c r="CJ45" s="18">
        <v>4065</v>
      </c>
      <c r="CK45" s="18">
        <v>3008</v>
      </c>
      <c r="CL45" s="18">
        <v>3038</v>
      </c>
      <c r="CM45" s="18">
        <v>4109</v>
      </c>
      <c r="CN45" s="21">
        <v>2684</v>
      </c>
      <c r="CO45" s="17">
        <v>4350</v>
      </c>
      <c r="CP45" s="18">
        <v>3024</v>
      </c>
      <c r="CQ45" s="18">
        <v>3549</v>
      </c>
      <c r="CR45" s="18">
        <v>3776</v>
      </c>
      <c r="CS45" s="18">
        <v>6869</v>
      </c>
      <c r="CT45" s="18">
        <v>6187</v>
      </c>
      <c r="CU45" s="18">
        <v>5774</v>
      </c>
      <c r="CV45" s="18">
        <v>4155</v>
      </c>
      <c r="CW45" s="18">
        <v>3198</v>
      </c>
      <c r="CX45" s="18">
        <v>4444</v>
      </c>
      <c r="CY45" s="18">
        <v>4111</v>
      </c>
      <c r="CZ45" s="19">
        <v>3286</v>
      </c>
      <c r="DA45" s="17">
        <v>4752</v>
      </c>
      <c r="DB45" s="18">
        <v>3122</v>
      </c>
      <c r="DC45" s="18">
        <v>4060</v>
      </c>
      <c r="DD45" s="18">
        <v>3952</v>
      </c>
      <c r="DE45" s="18">
        <v>6082</v>
      </c>
      <c r="DF45" s="18">
        <v>4593</v>
      </c>
      <c r="DG45" s="18">
        <v>5198</v>
      </c>
      <c r="DH45" s="18">
        <v>4484</v>
      </c>
      <c r="DI45" s="18">
        <v>3261</v>
      </c>
      <c r="DJ45" s="18">
        <v>3883</v>
      </c>
      <c r="DK45" s="18">
        <v>3804</v>
      </c>
      <c r="DL45" s="19">
        <v>3052</v>
      </c>
      <c r="DM45" s="17">
        <v>4809</v>
      </c>
      <c r="DN45" s="18">
        <v>3297</v>
      </c>
      <c r="DO45" s="127">
        <v>4930</v>
      </c>
      <c r="DP45" s="127">
        <v>3287</v>
      </c>
      <c r="DQ45" s="127">
        <v>4120</v>
      </c>
      <c r="DR45" s="127">
        <v>4522</v>
      </c>
      <c r="DS45" s="127">
        <v>4074</v>
      </c>
      <c r="DT45" s="127">
        <v>3107</v>
      </c>
      <c r="DU45" s="127">
        <v>4055</v>
      </c>
      <c r="DV45" s="127">
        <v>2874</v>
      </c>
      <c r="DW45" s="127">
        <v>3784</v>
      </c>
      <c r="DX45" s="128">
        <v>3836</v>
      </c>
      <c r="DY45" s="119">
        <v>3766</v>
      </c>
      <c r="DZ45" s="127">
        <v>2875</v>
      </c>
      <c r="EA45" s="127">
        <v>4544</v>
      </c>
      <c r="EB45" s="119">
        <v>3340</v>
      </c>
      <c r="EC45" s="127">
        <v>4240</v>
      </c>
      <c r="ED45" s="127">
        <v>4397</v>
      </c>
      <c r="EE45" s="127">
        <v>3819</v>
      </c>
      <c r="EF45" s="127">
        <v>3400</v>
      </c>
      <c r="EG45" s="127">
        <v>3761</v>
      </c>
      <c r="EH45" s="127">
        <v>2280</v>
      </c>
      <c r="EI45" s="127">
        <v>3346</v>
      </c>
      <c r="EJ45" s="128">
        <v>1899</v>
      </c>
      <c r="EK45" s="119">
        <v>2326</v>
      </c>
      <c r="EL45" s="127">
        <v>2276</v>
      </c>
      <c r="EM45" s="127">
        <v>2274</v>
      </c>
      <c r="EN45" s="119">
        <v>1886</v>
      </c>
      <c r="EO45" s="127">
        <v>1715</v>
      </c>
      <c r="EP45" s="127">
        <v>1487</v>
      </c>
      <c r="EQ45" s="127">
        <v>918</v>
      </c>
      <c r="ER45" s="127">
        <v>1607</v>
      </c>
      <c r="ES45" s="127">
        <v>1596</v>
      </c>
      <c r="ET45" s="127">
        <v>1759</v>
      </c>
      <c r="EU45" s="127">
        <v>2285</v>
      </c>
      <c r="EV45" s="128">
        <v>1687</v>
      </c>
      <c r="EW45" s="119">
        <v>2138</v>
      </c>
      <c r="EX45" s="114">
        <v>2699</v>
      </c>
      <c r="EY45" s="127">
        <v>2334</v>
      </c>
      <c r="EZ45" s="119">
        <v>2336</v>
      </c>
      <c r="FA45" s="18">
        <v>2149</v>
      </c>
      <c r="FB45" s="149">
        <v>2623</v>
      </c>
      <c r="FC45" s="18">
        <v>2031</v>
      </c>
      <c r="FD45" s="18">
        <v>2038</v>
      </c>
      <c r="FE45" s="149">
        <v>2201</v>
      </c>
      <c r="FF45" s="149">
        <v>2196</v>
      </c>
      <c r="FG45" s="149">
        <v>3367</v>
      </c>
      <c r="FH45" s="149">
        <v>1979</v>
      </c>
      <c r="FI45" s="119">
        <f>'Average Sunday-Holiday Boarding'!FI45*6</f>
        <v>2809</v>
      </c>
      <c r="FJ45" s="114">
        <f>'Average Sunday-Holiday Boarding'!FJ45*4</f>
        <v>1771</v>
      </c>
      <c r="FK45" s="127">
        <f>'Average Sunday-Holiday Boarding'!FK45*5</f>
        <v>2424</v>
      </c>
      <c r="FL45" s="119">
        <v>2559</v>
      </c>
      <c r="FM45" s="18">
        <v>1964</v>
      </c>
      <c r="FN45" s="149">
        <v>2308</v>
      </c>
      <c r="FO45" s="18">
        <v>2738</v>
      </c>
      <c r="FP45" s="18">
        <v>1939</v>
      </c>
      <c r="FQ45" s="149">
        <v>2230</v>
      </c>
      <c r="FR45" s="149">
        <v>2749</v>
      </c>
      <c r="FS45" s="149">
        <v>2488</v>
      </c>
      <c r="FT45" s="155">
        <v>1990</v>
      </c>
      <c r="FU45" s="169">
        <v>2837</v>
      </c>
      <c r="FV45" s="169">
        <v>2711</v>
      </c>
      <c r="FW45" s="169">
        <v>2356</v>
      </c>
      <c r="FX45" s="169">
        <v>2497</v>
      </c>
      <c r="FY45" s="169">
        <v>2449</v>
      </c>
      <c r="FZ45" s="169">
        <v>2947</v>
      </c>
      <c r="GA45" s="169">
        <v>2875</v>
      </c>
      <c r="GB45" s="18">
        <v>2196</v>
      </c>
      <c r="GC45" s="18">
        <v>2375</v>
      </c>
      <c r="GD45" s="18">
        <v>1960</v>
      </c>
      <c r="GE45" s="18">
        <v>2372</v>
      </c>
      <c r="GF45" s="52">
        <v>2486</v>
      </c>
      <c r="GG45" s="18">
        <v>2216</v>
      </c>
      <c r="GH45" s="18">
        <v>1836</v>
      </c>
      <c r="GI45" s="184">
        <v>2850</v>
      </c>
      <c r="GJ45" s="184">
        <v>1985</v>
      </c>
      <c r="GK45" s="184">
        <v>1789</v>
      </c>
      <c r="GL45" s="184">
        <v>2545</v>
      </c>
    </row>
    <row r="46" spans="1:194" x14ac:dyDescent="0.3">
      <c r="A46" s="4" t="s">
        <v>28</v>
      </c>
      <c r="B46" s="17"/>
      <c r="C46" s="18"/>
      <c r="D46" s="18"/>
      <c r="E46" s="18"/>
      <c r="F46" s="18"/>
      <c r="G46" s="18"/>
      <c r="H46" s="19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  <c r="U46" s="17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9"/>
      <c r="AG46" s="17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9"/>
      <c r="AS46" s="17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9"/>
      <c r="BE46" s="17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9"/>
      <c r="BQ46" s="17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9"/>
      <c r="CC46" s="20"/>
      <c r="CD46" s="18">
        <v>310</v>
      </c>
      <c r="CE46" s="18">
        <v>1016</v>
      </c>
      <c r="CF46" s="18">
        <v>1017</v>
      </c>
      <c r="CG46" s="18">
        <v>2503</v>
      </c>
      <c r="CH46" s="18">
        <v>1592</v>
      </c>
      <c r="CI46" s="18">
        <v>1938</v>
      </c>
      <c r="CJ46" s="18">
        <v>1203</v>
      </c>
      <c r="CK46" s="18">
        <v>1040</v>
      </c>
      <c r="CL46" s="18">
        <v>898</v>
      </c>
      <c r="CM46" s="18">
        <v>1322</v>
      </c>
      <c r="CN46" s="21">
        <v>915</v>
      </c>
      <c r="CO46" s="17">
        <v>1503</v>
      </c>
      <c r="CP46" s="18">
        <v>948</v>
      </c>
      <c r="CQ46" s="18">
        <v>1026</v>
      </c>
      <c r="CR46" s="18">
        <v>1259</v>
      </c>
      <c r="CS46" s="18">
        <v>2746</v>
      </c>
      <c r="CT46" s="18">
        <v>2055</v>
      </c>
      <c r="CU46" s="18">
        <v>2116</v>
      </c>
      <c r="CV46" s="18">
        <v>1307</v>
      </c>
      <c r="CW46" s="18">
        <v>1049</v>
      </c>
      <c r="CX46" s="18">
        <v>1598</v>
      </c>
      <c r="CY46" s="18">
        <v>1348</v>
      </c>
      <c r="CZ46" s="19">
        <v>1023</v>
      </c>
      <c r="DA46" s="17">
        <v>1841</v>
      </c>
      <c r="DB46" s="18">
        <v>1039</v>
      </c>
      <c r="DC46" s="18">
        <v>1174</v>
      </c>
      <c r="DD46" s="18">
        <v>1462</v>
      </c>
      <c r="DE46" s="18">
        <v>2425</v>
      </c>
      <c r="DF46" s="18">
        <v>1643</v>
      </c>
      <c r="DG46" s="18">
        <v>1746</v>
      </c>
      <c r="DH46" s="18">
        <v>1469</v>
      </c>
      <c r="DI46" s="18">
        <v>1234</v>
      </c>
      <c r="DJ46" s="18">
        <v>1229</v>
      </c>
      <c r="DK46" s="18">
        <v>1260</v>
      </c>
      <c r="DL46" s="19">
        <v>965</v>
      </c>
      <c r="DM46" s="17">
        <v>1790</v>
      </c>
      <c r="DN46" s="18">
        <v>1071</v>
      </c>
      <c r="DO46" s="127">
        <v>1647</v>
      </c>
      <c r="DP46" s="127">
        <v>1273</v>
      </c>
      <c r="DQ46" s="127">
        <v>1288</v>
      </c>
      <c r="DR46" s="127">
        <v>1514</v>
      </c>
      <c r="DS46" s="127">
        <v>1347</v>
      </c>
      <c r="DT46" s="127">
        <v>1011</v>
      </c>
      <c r="DU46" s="127">
        <v>1329</v>
      </c>
      <c r="DV46" s="127">
        <v>999</v>
      </c>
      <c r="DW46" s="127">
        <v>1192</v>
      </c>
      <c r="DX46" s="128">
        <v>1313</v>
      </c>
      <c r="DY46" s="119">
        <v>1681</v>
      </c>
      <c r="DZ46" s="127">
        <v>1153</v>
      </c>
      <c r="EA46" s="127">
        <v>1995</v>
      </c>
      <c r="EB46" s="119">
        <v>1545</v>
      </c>
      <c r="EC46" s="127">
        <v>1636</v>
      </c>
      <c r="ED46" s="127">
        <v>1923</v>
      </c>
      <c r="EE46" s="127">
        <v>1590</v>
      </c>
      <c r="EF46" s="127">
        <v>1426</v>
      </c>
      <c r="EG46" s="127">
        <v>1579</v>
      </c>
      <c r="EH46" s="127">
        <v>851</v>
      </c>
      <c r="EI46" s="127">
        <v>1232</v>
      </c>
      <c r="EJ46" s="128">
        <v>672</v>
      </c>
      <c r="EK46" s="119">
        <v>814</v>
      </c>
      <c r="EL46" s="127">
        <v>871</v>
      </c>
      <c r="EM46" s="127">
        <v>875</v>
      </c>
      <c r="EN46" s="121">
        <v>766</v>
      </c>
      <c r="EO46" s="127">
        <v>646</v>
      </c>
      <c r="EP46" s="127">
        <v>615</v>
      </c>
      <c r="EQ46" s="127">
        <v>412</v>
      </c>
      <c r="ER46" s="127">
        <v>711</v>
      </c>
      <c r="ES46" s="127">
        <v>770</v>
      </c>
      <c r="ET46" s="127">
        <v>702</v>
      </c>
      <c r="EU46" s="127">
        <v>841</v>
      </c>
      <c r="EV46" s="128">
        <v>675</v>
      </c>
      <c r="EW46" s="119">
        <v>842</v>
      </c>
      <c r="EX46" s="114">
        <v>989</v>
      </c>
      <c r="EY46" s="127">
        <v>789</v>
      </c>
      <c r="EZ46" s="121">
        <v>957</v>
      </c>
      <c r="FA46" s="18">
        <v>781</v>
      </c>
      <c r="FB46" s="149">
        <v>1101</v>
      </c>
      <c r="FC46" s="18">
        <v>775</v>
      </c>
      <c r="FD46" s="18">
        <v>744</v>
      </c>
      <c r="FE46" s="149">
        <v>920</v>
      </c>
      <c r="FF46" s="149">
        <v>768</v>
      </c>
      <c r="FG46" s="149">
        <v>1233</v>
      </c>
      <c r="FH46" s="149">
        <v>741</v>
      </c>
      <c r="FI46" s="119">
        <f>'Average Sunday-Holiday Boarding'!FI46*6</f>
        <v>1366</v>
      </c>
      <c r="FJ46" s="114">
        <f>'Average Sunday-Holiday Boarding'!FJ46*4</f>
        <v>754</v>
      </c>
      <c r="FK46" s="127">
        <f>'Average Sunday-Holiday Boarding'!FK46*5</f>
        <v>957</v>
      </c>
      <c r="FL46" s="121">
        <v>1156</v>
      </c>
      <c r="FM46" s="18">
        <v>853</v>
      </c>
      <c r="FN46" s="149">
        <v>932</v>
      </c>
      <c r="FO46" s="18">
        <v>1178</v>
      </c>
      <c r="FP46" s="18">
        <v>763</v>
      </c>
      <c r="FQ46" s="149">
        <v>849</v>
      </c>
      <c r="FR46" s="149">
        <v>1175</v>
      </c>
      <c r="FS46" s="149">
        <v>1204</v>
      </c>
      <c r="FT46" s="155">
        <v>848</v>
      </c>
      <c r="FU46" s="169">
        <v>1422</v>
      </c>
      <c r="FV46" s="169">
        <v>1096</v>
      </c>
      <c r="FW46" s="169">
        <v>984</v>
      </c>
      <c r="FX46" s="169">
        <v>1222</v>
      </c>
      <c r="FY46" s="169">
        <v>1033</v>
      </c>
      <c r="FZ46" s="169">
        <v>1223</v>
      </c>
      <c r="GA46" s="169">
        <v>1234</v>
      </c>
      <c r="GB46" s="18">
        <v>975</v>
      </c>
      <c r="GC46" s="18">
        <v>1108</v>
      </c>
      <c r="GD46" s="18">
        <v>872</v>
      </c>
      <c r="GE46" s="18">
        <v>1088</v>
      </c>
      <c r="GF46" s="52">
        <v>1028</v>
      </c>
      <c r="GG46" s="18">
        <v>1421</v>
      </c>
      <c r="GH46" s="18">
        <v>882</v>
      </c>
      <c r="GI46" s="184">
        <v>1356</v>
      </c>
      <c r="GJ46" s="184">
        <v>1078</v>
      </c>
      <c r="GK46" s="184">
        <v>894</v>
      </c>
      <c r="GL46" s="184">
        <v>1403</v>
      </c>
    </row>
    <row r="47" spans="1:194" ht="15" thickBot="1" x14ac:dyDescent="0.35">
      <c r="A47" s="11" t="s">
        <v>29</v>
      </c>
      <c r="B47" s="27"/>
      <c r="C47" s="28"/>
      <c r="D47" s="28"/>
      <c r="E47" s="28"/>
      <c r="F47" s="28"/>
      <c r="G47" s="28"/>
      <c r="H47" s="29"/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9"/>
      <c r="U47" s="27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9"/>
      <c r="AG47" s="27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9"/>
      <c r="AS47" s="27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9"/>
      <c r="BE47" s="27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9"/>
      <c r="BQ47" s="27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9"/>
      <c r="CC47" s="30"/>
      <c r="CD47" s="28">
        <v>2609</v>
      </c>
      <c r="CE47" s="28">
        <v>6828</v>
      </c>
      <c r="CF47" s="28">
        <v>5256</v>
      </c>
      <c r="CG47" s="28">
        <v>11191</v>
      </c>
      <c r="CH47" s="28">
        <v>8077</v>
      </c>
      <c r="CI47" s="28">
        <v>11063</v>
      </c>
      <c r="CJ47" s="28">
        <v>7889</v>
      </c>
      <c r="CK47" s="28">
        <v>6133</v>
      </c>
      <c r="CL47" s="28">
        <v>6611</v>
      </c>
      <c r="CM47" s="28">
        <v>8581</v>
      </c>
      <c r="CN47" s="31">
        <v>6080</v>
      </c>
      <c r="CO47" s="27">
        <v>9455</v>
      </c>
      <c r="CP47" s="28">
        <v>6177</v>
      </c>
      <c r="CQ47" s="28">
        <v>6886</v>
      </c>
      <c r="CR47" s="28">
        <v>6910</v>
      </c>
      <c r="CS47" s="28">
        <v>12961</v>
      </c>
      <c r="CT47" s="28">
        <v>11447</v>
      </c>
      <c r="CU47" s="28">
        <v>11154</v>
      </c>
      <c r="CV47" s="28">
        <v>8310</v>
      </c>
      <c r="CW47" s="28">
        <v>6539</v>
      </c>
      <c r="CX47" s="28">
        <v>10643</v>
      </c>
      <c r="CY47" s="28">
        <v>8330</v>
      </c>
      <c r="CZ47" s="29">
        <v>5769</v>
      </c>
      <c r="DA47" s="27">
        <v>9719</v>
      </c>
      <c r="DB47" s="28">
        <v>6400</v>
      </c>
      <c r="DC47" s="28">
        <v>7658</v>
      </c>
      <c r="DD47" s="28">
        <v>7287</v>
      </c>
      <c r="DE47" s="28">
        <v>11182</v>
      </c>
      <c r="DF47" s="28">
        <v>9231</v>
      </c>
      <c r="DG47" s="28">
        <v>9739</v>
      </c>
      <c r="DH47" s="28">
        <v>8321</v>
      </c>
      <c r="DI47" s="28">
        <v>7033</v>
      </c>
      <c r="DJ47" s="28">
        <v>7357</v>
      </c>
      <c r="DK47" s="28">
        <v>7916</v>
      </c>
      <c r="DL47" s="29">
        <v>5844</v>
      </c>
      <c r="DM47" s="27">
        <v>10096</v>
      </c>
      <c r="DN47" s="28">
        <v>6208</v>
      </c>
      <c r="DO47" s="28">
        <v>8915</v>
      </c>
      <c r="DP47" s="28">
        <v>6193</v>
      </c>
      <c r="DQ47" s="28">
        <v>7299</v>
      </c>
      <c r="DR47" s="28">
        <v>8768</v>
      </c>
      <c r="DS47" s="28">
        <v>8697</v>
      </c>
      <c r="DT47" s="28">
        <v>7038</v>
      </c>
      <c r="DU47" s="28">
        <v>9170</v>
      </c>
      <c r="DV47" s="28">
        <v>7544</v>
      </c>
      <c r="DW47" s="28">
        <v>5121</v>
      </c>
      <c r="DX47" s="29">
        <v>2679</v>
      </c>
      <c r="DY47" s="119">
        <v>2545</v>
      </c>
      <c r="DZ47" s="28">
        <v>2194</v>
      </c>
      <c r="EA47" s="28">
        <v>3329</v>
      </c>
      <c r="EB47" s="120">
        <v>2470</v>
      </c>
      <c r="EC47" s="28">
        <v>2748</v>
      </c>
      <c r="ED47" s="28">
        <v>3357</v>
      </c>
      <c r="EE47" s="28">
        <v>2565</v>
      </c>
      <c r="EF47" s="28">
        <v>2316</v>
      </c>
      <c r="EG47" s="28">
        <v>2611</v>
      </c>
      <c r="EH47" s="28">
        <v>1280</v>
      </c>
      <c r="EI47" s="28">
        <v>2008</v>
      </c>
      <c r="EJ47" s="29">
        <v>1097</v>
      </c>
      <c r="EK47" s="119">
        <v>1465</v>
      </c>
      <c r="EL47" s="28">
        <v>1426</v>
      </c>
      <c r="EM47" s="28">
        <v>1513</v>
      </c>
      <c r="EN47" s="122">
        <v>1362</v>
      </c>
      <c r="EO47" s="28">
        <v>1197</v>
      </c>
      <c r="EP47" s="28">
        <v>1073</v>
      </c>
      <c r="EQ47" s="28">
        <v>650</v>
      </c>
      <c r="ER47" s="28">
        <v>1008</v>
      </c>
      <c r="ES47" s="28">
        <v>1191</v>
      </c>
      <c r="ET47" s="28">
        <v>1097</v>
      </c>
      <c r="EU47" s="28">
        <v>1364</v>
      </c>
      <c r="EV47" s="29">
        <v>1155</v>
      </c>
      <c r="EW47" s="119">
        <v>1496</v>
      </c>
      <c r="EX47" s="115">
        <v>1767</v>
      </c>
      <c r="EY47" s="28">
        <v>1412</v>
      </c>
      <c r="EZ47" s="122">
        <v>1625</v>
      </c>
      <c r="FA47" s="28">
        <v>1415</v>
      </c>
      <c r="FB47" s="149">
        <v>1856</v>
      </c>
      <c r="FC47" s="28">
        <v>1435</v>
      </c>
      <c r="FD47" s="28">
        <v>1434</v>
      </c>
      <c r="FE47" s="28">
        <v>1695</v>
      </c>
      <c r="FF47" s="28">
        <v>1622</v>
      </c>
      <c r="FG47" s="28">
        <v>2354</v>
      </c>
      <c r="FH47" s="28">
        <v>1361</v>
      </c>
      <c r="FI47" s="119">
        <f>'Average Sunday-Holiday Boarding'!FI47*6</f>
        <v>2373</v>
      </c>
      <c r="FJ47" s="115">
        <f>'Average Sunday-Holiday Boarding'!FJ47*4</f>
        <v>1488</v>
      </c>
      <c r="FK47" s="28">
        <f>'Average Sunday-Holiday Boarding'!FK47*5</f>
        <v>1909</v>
      </c>
      <c r="FL47" s="122">
        <v>1853</v>
      </c>
      <c r="FM47" s="28">
        <v>1652</v>
      </c>
      <c r="FN47" s="149">
        <v>1917</v>
      </c>
      <c r="FO47" s="28">
        <v>2285</v>
      </c>
      <c r="FP47" s="28">
        <v>1466</v>
      </c>
      <c r="FQ47" s="28">
        <v>1642</v>
      </c>
      <c r="FR47" s="28">
        <v>2054</v>
      </c>
      <c r="FS47" s="28">
        <v>2030</v>
      </c>
      <c r="FT47" s="31">
        <v>1468</v>
      </c>
      <c r="FU47" s="169">
        <v>2235</v>
      </c>
      <c r="FV47" s="169">
        <v>2056</v>
      </c>
      <c r="FW47" s="169">
        <v>1811</v>
      </c>
      <c r="FX47" s="169">
        <v>1853</v>
      </c>
      <c r="FY47" s="169">
        <v>1657</v>
      </c>
      <c r="FZ47" s="169">
        <v>2340</v>
      </c>
      <c r="GA47" s="169">
        <v>2027</v>
      </c>
      <c r="GB47" s="18">
        <v>1582</v>
      </c>
      <c r="GC47" s="18">
        <v>2044</v>
      </c>
      <c r="GD47" s="18">
        <v>1457</v>
      </c>
      <c r="GE47" s="18">
        <v>1838</v>
      </c>
      <c r="GF47" s="52">
        <v>1759</v>
      </c>
      <c r="GG47" s="18">
        <v>1754</v>
      </c>
      <c r="GH47" s="18">
        <v>1376</v>
      </c>
      <c r="GI47" s="184">
        <v>2079</v>
      </c>
      <c r="GJ47" s="184">
        <v>1366</v>
      </c>
      <c r="GK47" s="184">
        <v>1212</v>
      </c>
      <c r="GL47" s="184">
        <v>5001</v>
      </c>
    </row>
    <row r="48" spans="1:194" x14ac:dyDescent="0.3">
      <c r="A48" s="93" t="s">
        <v>69</v>
      </c>
      <c r="B48" s="12"/>
      <c r="C48" s="13"/>
      <c r="D48" s="13"/>
      <c r="E48" s="13"/>
      <c r="F48" s="13"/>
      <c r="G48" s="13"/>
      <c r="H48" s="14"/>
      <c r="I48" s="1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6"/>
      <c r="U48" s="12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4"/>
      <c r="AS48" s="15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6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4"/>
      <c r="BQ48" s="15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6"/>
      <c r="CC48" s="12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4"/>
      <c r="CO48" s="15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4"/>
      <c r="DA48" s="12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4"/>
      <c r="DM48" s="12"/>
      <c r="DN48" s="13"/>
      <c r="DO48" s="13"/>
      <c r="DP48" s="13"/>
      <c r="DQ48" s="13"/>
      <c r="DR48" s="13"/>
      <c r="DS48" s="13"/>
      <c r="DT48" s="13"/>
      <c r="DU48" s="13"/>
      <c r="DV48" s="13"/>
      <c r="DW48" s="13">
        <v>743</v>
      </c>
      <c r="DX48" s="14">
        <v>1568</v>
      </c>
      <c r="DY48" s="13">
        <v>1753</v>
      </c>
      <c r="DZ48" s="13">
        <v>1335</v>
      </c>
      <c r="EA48" s="13">
        <v>2020</v>
      </c>
      <c r="EB48" s="120">
        <v>1625</v>
      </c>
      <c r="EC48" s="13">
        <v>2005</v>
      </c>
      <c r="ED48" s="13">
        <v>2042</v>
      </c>
      <c r="EE48" s="13">
        <v>1916</v>
      </c>
      <c r="EF48" s="13">
        <v>1737</v>
      </c>
      <c r="EG48" s="13">
        <v>2035</v>
      </c>
      <c r="EH48" s="13">
        <v>1151</v>
      </c>
      <c r="EI48" s="13">
        <v>1706</v>
      </c>
      <c r="EJ48" s="14">
        <v>1028</v>
      </c>
      <c r="EK48" s="13">
        <v>1179</v>
      </c>
      <c r="EL48" s="13">
        <v>1233</v>
      </c>
      <c r="EM48" s="13">
        <v>1315</v>
      </c>
      <c r="EN48" s="133">
        <v>1031</v>
      </c>
      <c r="EO48" s="13">
        <v>886</v>
      </c>
      <c r="EP48" s="13">
        <v>819</v>
      </c>
      <c r="EQ48" s="13">
        <v>562</v>
      </c>
      <c r="ER48" s="13">
        <v>984</v>
      </c>
      <c r="ES48" s="13">
        <v>394</v>
      </c>
      <c r="ET48" s="13">
        <v>968</v>
      </c>
      <c r="EU48" s="13">
        <v>1228</v>
      </c>
      <c r="EV48" s="14">
        <v>968</v>
      </c>
      <c r="EW48" s="13">
        <v>1129</v>
      </c>
      <c r="EX48" s="111">
        <v>1568</v>
      </c>
      <c r="EY48" s="13">
        <v>1387</v>
      </c>
      <c r="EZ48" s="133">
        <v>1535</v>
      </c>
      <c r="FA48" s="13">
        <v>1309</v>
      </c>
      <c r="FB48" s="13">
        <v>1784</v>
      </c>
      <c r="FC48" s="13">
        <v>1415</v>
      </c>
      <c r="FD48" s="13">
        <v>1406</v>
      </c>
      <c r="FE48" s="13">
        <v>1592</v>
      </c>
      <c r="FF48" s="13">
        <v>1559</v>
      </c>
      <c r="FG48" s="13">
        <v>1992</v>
      </c>
      <c r="FH48" s="13">
        <v>1273</v>
      </c>
      <c r="FI48" s="13">
        <f>'Average Sunday-Holiday Boarding'!FI48*6</f>
        <v>1761</v>
      </c>
      <c r="FJ48" s="111">
        <f>'Average Sunday-Holiday Boarding'!FJ48*4</f>
        <v>1204</v>
      </c>
      <c r="FK48" s="13">
        <f>'Average Sunday-Holiday Boarding'!FK48*5</f>
        <v>1567</v>
      </c>
      <c r="FL48" s="133">
        <v>1424</v>
      </c>
      <c r="FM48" s="13">
        <v>1329</v>
      </c>
      <c r="FN48" s="13">
        <v>1474</v>
      </c>
      <c r="FO48" s="13">
        <v>1981</v>
      </c>
      <c r="FP48" s="13">
        <v>1316</v>
      </c>
      <c r="FQ48" s="13">
        <v>1448</v>
      </c>
      <c r="FR48" s="13">
        <v>1768</v>
      </c>
      <c r="FS48" s="13">
        <v>1766</v>
      </c>
      <c r="FT48" s="16">
        <v>1337</v>
      </c>
      <c r="FU48" s="169">
        <v>2166</v>
      </c>
      <c r="FV48" s="169">
        <v>2004</v>
      </c>
      <c r="FW48" s="169">
        <v>1694</v>
      </c>
      <c r="FX48" s="169">
        <v>1687</v>
      </c>
      <c r="FY48" s="169">
        <v>1485</v>
      </c>
      <c r="FZ48" s="169">
        <v>1666</v>
      </c>
      <c r="GA48" s="169">
        <v>1768</v>
      </c>
      <c r="GB48" s="18">
        <v>1339</v>
      </c>
      <c r="GC48" s="18">
        <v>1591</v>
      </c>
      <c r="GD48" s="18">
        <v>1287</v>
      </c>
      <c r="GE48" s="18">
        <v>1575</v>
      </c>
      <c r="GF48" s="52">
        <v>1633</v>
      </c>
      <c r="GG48" s="18">
        <v>1677</v>
      </c>
      <c r="GH48" s="18">
        <v>1266</v>
      </c>
      <c r="GI48" s="184">
        <v>1934</v>
      </c>
      <c r="GJ48" s="184">
        <v>1334</v>
      </c>
      <c r="GK48" s="184">
        <v>1257</v>
      </c>
      <c r="GL48" s="184">
        <v>1683</v>
      </c>
    </row>
    <row r="49" spans="1:194" ht="15" thickBot="1" x14ac:dyDescent="0.35">
      <c r="A49" s="94" t="s">
        <v>70</v>
      </c>
      <c r="B49" s="27"/>
      <c r="C49" s="28"/>
      <c r="D49" s="28"/>
      <c r="E49" s="28"/>
      <c r="F49" s="28"/>
      <c r="G49" s="28"/>
      <c r="H49" s="29"/>
      <c r="I49" s="30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27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9"/>
      <c r="AS49" s="30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31"/>
      <c r="BE49" s="27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9"/>
      <c r="BQ49" s="30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31"/>
      <c r="CC49" s="27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9"/>
      <c r="CO49" s="30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9"/>
      <c r="DA49" s="27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9"/>
      <c r="DM49" s="27"/>
      <c r="DN49" s="28"/>
      <c r="DO49" s="28"/>
      <c r="DP49" s="28"/>
      <c r="DQ49" s="28"/>
      <c r="DR49" s="28"/>
      <c r="DS49" s="28"/>
      <c r="DT49" s="28"/>
      <c r="DU49" s="28"/>
      <c r="DV49" s="28"/>
      <c r="DW49" s="28">
        <v>4041</v>
      </c>
      <c r="DX49" s="29">
        <v>6297</v>
      </c>
      <c r="DY49" s="119">
        <v>7601</v>
      </c>
      <c r="DZ49" s="28">
        <v>5380</v>
      </c>
      <c r="EA49" s="28">
        <v>7701</v>
      </c>
      <c r="EB49" s="120">
        <v>5222</v>
      </c>
      <c r="EC49" s="28">
        <v>6869</v>
      </c>
      <c r="ED49" s="28">
        <v>8834</v>
      </c>
      <c r="EE49" s="28">
        <v>8391</v>
      </c>
      <c r="EF49" s="28">
        <v>6599</v>
      </c>
      <c r="EG49" s="28">
        <v>3613</v>
      </c>
      <c r="EH49" s="28">
        <v>2041</v>
      </c>
      <c r="EI49" s="28">
        <v>3062</v>
      </c>
      <c r="EJ49" s="29">
        <v>2176</v>
      </c>
      <c r="EK49" s="134">
        <v>2219</v>
      </c>
      <c r="EL49" s="28">
        <v>2565</v>
      </c>
      <c r="EM49" s="28">
        <v>2338</v>
      </c>
      <c r="EN49" s="122">
        <v>1536</v>
      </c>
      <c r="EO49" s="28">
        <v>3672</v>
      </c>
      <c r="EP49" s="28">
        <v>814</v>
      </c>
      <c r="EQ49" s="28">
        <v>1018</v>
      </c>
      <c r="ER49" s="28">
        <v>1718</v>
      </c>
      <c r="ES49" s="28">
        <v>1363</v>
      </c>
      <c r="ET49" s="28">
        <v>3409</v>
      </c>
      <c r="EU49" s="28">
        <v>4325</v>
      </c>
      <c r="EV49" s="29">
        <v>3800</v>
      </c>
      <c r="EW49" s="134">
        <v>4761</v>
      </c>
      <c r="EX49" s="112">
        <v>5245</v>
      </c>
      <c r="EY49" s="28">
        <v>4463</v>
      </c>
      <c r="EZ49" s="122">
        <v>4359</v>
      </c>
      <c r="FA49" s="28">
        <v>4353</v>
      </c>
      <c r="FB49" s="28">
        <v>6296</v>
      </c>
      <c r="FC49" s="28">
        <v>4833</v>
      </c>
      <c r="FD49" s="28">
        <v>4527</v>
      </c>
      <c r="FE49" s="28">
        <v>5451</v>
      </c>
      <c r="FF49" s="28">
        <v>4364</v>
      </c>
      <c r="FG49" s="28">
        <v>7087</v>
      </c>
      <c r="FH49" s="28">
        <v>4008</v>
      </c>
      <c r="FI49" s="134">
        <f>'Average Sunday-Holiday Boarding'!FI49*6</f>
        <v>5806</v>
      </c>
      <c r="FJ49" s="112">
        <f>'Average Sunday-Holiday Boarding'!FJ49*4</f>
        <v>3712</v>
      </c>
      <c r="FK49" s="28">
        <f>'Average Sunday-Holiday Boarding'!FK49*5</f>
        <v>5418</v>
      </c>
      <c r="FL49" s="122">
        <v>4550</v>
      </c>
      <c r="FM49" s="28">
        <v>4364</v>
      </c>
      <c r="FN49" s="28">
        <v>4847</v>
      </c>
      <c r="FO49" s="28">
        <v>6097</v>
      </c>
      <c r="FP49" s="28">
        <v>560</v>
      </c>
      <c r="FQ49" s="28">
        <v>4887</v>
      </c>
      <c r="FR49" s="28">
        <v>6024</v>
      </c>
      <c r="FS49" s="28">
        <v>6348</v>
      </c>
      <c r="FT49" s="31">
        <v>4836</v>
      </c>
      <c r="FU49" s="169">
        <v>7033</v>
      </c>
      <c r="FV49" s="169">
        <v>5827</v>
      </c>
      <c r="FW49" s="169">
        <v>5779</v>
      </c>
      <c r="FX49" s="169">
        <v>5791</v>
      </c>
      <c r="FY49" s="169">
        <v>5946</v>
      </c>
      <c r="FZ49" s="169">
        <v>7544</v>
      </c>
      <c r="GA49" s="169">
        <v>6761</v>
      </c>
      <c r="GB49" s="18">
        <v>4936</v>
      </c>
      <c r="GC49" s="18">
        <v>5952</v>
      </c>
      <c r="GD49" s="18">
        <v>5160</v>
      </c>
      <c r="GE49" s="89">
        <v>6868</v>
      </c>
      <c r="GF49" s="52">
        <v>6213</v>
      </c>
      <c r="GG49" s="18">
        <v>7153</v>
      </c>
      <c r="GH49" s="18">
        <v>5402</v>
      </c>
      <c r="GI49" s="184">
        <v>7865</v>
      </c>
      <c r="GJ49" s="184">
        <v>5367</v>
      </c>
      <c r="GK49" s="184">
        <v>5726</v>
      </c>
      <c r="GL49" s="184">
        <v>7046</v>
      </c>
    </row>
    <row r="50" spans="1:194" s="5" customFormat="1" x14ac:dyDescent="0.3">
      <c r="A50" s="45" t="s">
        <v>53</v>
      </c>
      <c r="B50" s="47"/>
      <c r="C50" s="48">
        <f t="shared" ref="C50:H50" si="0">SUM(C10:C43)</f>
        <v>137047</v>
      </c>
      <c r="D50" s="48">
        <f t="shared" si="0"/>
        <v>108673</v>
      </c>
      <c r="E50" s="48">
        <f t="shared" si="0"/>
        <v>115921</v>
      </c>
      <c r="F50" s="48">
        <f t="shared" si="0"/>
        <v>93267</v>
      </c>
      <c r="G50" s="48">
        <f t="shared" si="0"/>
        <v>117958</v>
      </c>
      <c r="H50" s="49">
        <f t="shared" si="0"/>
        <v>64897</v>
      </c>
      <c r="I50" s="47">
        <f t="shared" ref="I50:AF50" si="1">SUM(I10:I43)</f>
        <v>108020</v>
      </c>
      <c r="J50" s="48">
        <f t="shared" si="1"/>
        <v>77120</v>
      </c>
      <c r="K50" s="48">
        <f t="shared" si="1"/>
        <v>95085</v>
      </c>
      <c r="L50" s="48">
        <f t="shared" si="1"/>
        <v>75718</v>
      </c>
      <c r="M50" s="48">
        <f t="shared" si="1"/>
        <v>175514</v>
      </c>
      <c r="N50" s="48">
        <f t="shared" si="1"/>
        <v>75497</v>
      </c>
      <c r="O50" s="48">
        <f>SUM(O10:O43)</f>
        <v>135639</v>
      </c>
      <c r="P50" s="48">
        <f t="shared" si="1"/>
        <v>104438</v>
      </c>
      <c r="Q50" s="48">
        <f t="shared" si="1"/>
        <v>104676</v>
      </c>
      <c r="R50" s="48">
        <f t="shared" si="1"/>
        <v>86885</v>
      </c>
      <c r="S50" s="48">
        <f>SUM(S10:S43)</f>
        <v>124459</v>
      </c>
      <c r="T50" s="49">
        <f t="shared" si="1"/>
        <v>71809</v>
      </c>
      <c r="U50" s="47">
        <f t="shared" si="1"/>
        <v>91240</v>
      </c>
      <c r="V50" s="48">
        <f t="shared" si="1"/>
        <v>82895</v>
      </c>
      <c r="W50" s="48">
        <f t="shared" si="1"/>
        <v>102532</v>
      </c>
      <c r="X50" s="48">
        <f t="shared" si="1"/>
        <v>103609</v>
      </c>
      <c r="Y50" s="48">
        <f t="shared" si="1"/>
        <v>160774</v>
      </c>
      <c r="Z50" s="48">
        <f t="shared" si="1"/>
        <v>82673</v>
      </c>
      <c r="AA50" s="48">
        <f t="shared" si="1"/>
        <v>121619</v>
      </c>
      <c r="AB50" s="48">
        <f t="shared" si="1"/>
        <v>108399</v>
      </c>
      <c r="AC50" s="48">
        <f t="shared" si="1"/>
        <v>100117</v>
      </c>
      <c r="AD50" s="48">
        <f t="shared" si="1"/>
        <v>85401</v>
      </c>
      <c r="AE50" s="48">
        <f t="shared" si="1"/>
        <v>120974</v>
      </c>
      <c r="AF50" s="49">
        <f t="shared" si="1"/>
        <v>75233</v>
      </c>
      <c r="AG50" s="47">
        <f>SUM(AG10:AG43)</f>
        <v>142816</v>
      </c>
      <c r="AH50" s="48">
        <f t="shared" ref="AH50:AR50" si="2">SUM(AH10:AH43)</f>
        <v>79091</v>
      </c>
      <c r="AI50" s="48">
        <f t="shared" si="2"/>
        <v>99435</v>
      </c>
      <c r="AJ50" s="48">
        <f t="shared" si="2"/>
        <v>111881</v>
      </c>
      <c r="AK50" s="48">
        <f t="shared" si="2"/>
        <v>146693</v>
      </c>
      <c r="AL50" s="48">
        <f t="shared" si="2"/>
        <v>91126</v>
      </c>
      <c r="AM50" s="48">
        <f t="shared" si="2"/>
        <v>161337</v>
      </c>
      <c r="AN50" s="48">
        <f t="shared" si="2"/>
        <v>121314</v>
      </c>
      <c r="AO50" s="48">
        <f t="shared" si="2"/>
        <v>89944</v>
      </c>
      <c r="AP50" s="48">
        <f t="shared" si="2"/>
        <v>118306</v>
      </c>
      <c r="AQ50" s="48">
        <f t="shared" si="2"/>
        <v>110373</v>
      </c>
      <c r="AR50" s="49">
        <f t="shared" si="2"/>
        <v>83215</v>
      </c>
      <c r="AS50" s="47">
        <f>SUM(AS10:AS43)</f>
        <v>153512</v>
      </c>
      <c r="AT50" s="48">
        <f t="shared" ref="AT50:BD50" si="3">SUM(AT10:AT43)</f>
        <v>84553</v>
      </c>
      <c r="AU50" s="48">
        <f t="shared" si="3"/>
        <v>130850</v>
      </c>
      <c r="AV50" s="48">
        <f t="shared" si="3"/>
        <v>101919</v>
      </c>
      <c r="AW50" s="48">
        <f t="shared" si="3"/>
        <v>140278</v>
      </c>
      <c r="AX50" s="48">
        <f t="shared" si="3"/>
        <v>128434</v>
      </c>
      <c r="AY50" s="48">
        <f t="shared" si="3"/>
        <v>145846</v>
      </c>
      <c r="AZ50" s="48">
        <f t="shared" si="3"/>
        <v>130070</v>
      </c>
      <c r="BA50" s="48">
        <f t="shared" si="3"/>
        <v>132547</v>
      </c>
      <c r="BB50" s="48">
        <f t="shared" si="3"/>
        <v>109391</v>
      </c>
      <c r="BC50" s="48">
        <f t="shared" si="3"/>
        <v>133691</v>
      </c>
      <c r="BD50" s="49">
        <f t="shared" si="3"/>
        <v>108587</v>
      </c>
      <c r="BE50" s="47">
        <f>SUM(BE10:BE43)</f>
        <v>128025</v>
      </c>
      <c r="BF50" s="48">
        <f t="shared" ref="BF50:BP50" si="4">SUM(BF10:BF43)</f>
        <v>81319</v>
      </c>
      <c r="BG50" s="48">
        <f t="shared" si="4"/>
        <v>138475</v>
      </c>
      <c r="BH50" s="48">
        <f t="shared" si="4"/>
        <v>95125</v>
      </c>
      <c r="BI50" s="48">
        <f t="shared" si="4"/>
        <v>141027</v>
      </c>
      <c r="BJ50" s="48">
        <f t="shared" si="4"/>
        <v>153244</v>
      </c>
      <c r="BK50" s="48">
        <f t="shared" si="4"/>
        <v>160338</v>
      </c>
      <c r="BL50" s="48">
        <f t="shared" si="4"/>
        <v>140252</v>
      </c>
      <c r="BM50" s="48">
        <f t="shared" si="4"/>
        <v>138902</v>
      </c>
      <c r="BN50" s="48">
        <f t="shared" si="4"/>
        <v>100733</v>
      </c>
      <c r="BO50" s="48">
        <f t="shared" si="4"/>
        <v>116277</v>
      </c>
      <c r="BP50" s="49">
        <f t="shared" si="4"/>
        <v>118226</v>
      </c>
      <c r="BQ50" s="47">
        <f>SUM(BQ10:BQ43)</f>
        <v>123861</v>
      </c>
      <c r="BR50" s="48">
        <f t="shared" ref="BR50:CC50" si="5">SUM(BR10:BR43)</f>
        <v>117072</v>
      </c>
      <c r="BS50" s="48">
        <f t="shared" si="5"/>
        <v>119173</v>
      </c>
      <c r="BT50" s="48">
        <f t="shared" si="5"/>
        <v>97082</v>
      </c>
      <c r="BU50" s="48">
        <f t="shared" si="5"/>
        <v>196643</v>
      </c>
      <c r="BV50" s="48">
        <f t="shared" si="5"/>
        <v>130456</v>
      </c>
      <c r="BW50" s="48">
        <f t="shared" si="5"/>
        <v>168094</v>
      </c>
      <c r="BX50" s="48">
        <f t="shared" si="5"/>
        <v>157353</v>
      </c>
      <c r="BY50" s="48">
        <f t="shared" si="5"/>
        <v>130457</v>
      </c>
      <c r="BZ50" s="48">
        <f t="shared" si="5"/>
        <v>98871</v>
      </c>
      <c r="CA50" s="48">
        <f t="shared" si="5"/>
        <v>145877</v>
      </c>
      <c r="CB50" s="49">
        <f t="shared" si="5"/>
        <v>89760</v>
      </c>
      <c r="CC50" s="50">
        <f t="shared" si="5"/>
        <v>118681</v>
      </c>
      <c r="CD50" s="48">
        <f>SUM(CD10:CD47)</f>
        <v>111636</v>
      </c>
      <c r="CE50" s="48">
        <f t="shared" ref="CE50:CJ50" si="6">SUM(CE10:CE47)</f>
        <v>135113</v>
      </c>
      <c r="CF50" s="48">
        <f t="shared" si="6"/>
        <v>112507</v>
      </c>
      <c r="CG50" s="48">
        <f t="shared" si="6"/>
        <v>221951</v>
      </c>
      <c r="CH50" s="48">
        <f t="shared" si="6"/>
        <v>148511</v>
      </c>
      <c r="CI50" s="48">
        <f t="shared" si="6"/>
        <v>209054</v>
      </c>
      <c r="CJ50" s="48">
        <f t="shared" si="6"/>
        <v>145254</v>
      </c>
      <c r="CK50" s="48">
        <f>SUM(CK7:CK47)</f>
        <v>114456</v>
      </c>
      <c r="CL50" s="48">
        <f t="shared" ref="CL50:DL50" si="7">SUM(CL7:CL47)</f>
        <v>131094</v>
      </c>
      <c r="CM50" s="48">
        <f t="shared" si="7"/>
        <v>175803</v>
      </c>
      <c r="CN50" s="51">
        <f t="shared" si="7"/>
        <v>116708</v>
      </c>
      <c r="CO50" s="47">
        <f t="shared" si="7"/>
        <v>182223</v>
      </c>
      <c r="CP50" s="48">
        <f t="shared" si="7"/>
        <v>116465</v>
      </c>
      <c r="CQ50" s="48">
        <f t="shared" si="7"/>
        <v>141010</v>
      </c>
      <c r="CR50" s="48">
        <f t="shared" si="7"/>
        <v>145582</v>
      </c>
      <c r="CS50" s="48">
        <f t="shared" si="7"/>
        <v>255453</v>
      </c>
      <c r="CT50" s="48">
        <f t="shared" si="7"/>
        <v>210656</v>
      </c>
      <c r="CU50" s="48">
        <f t="shared" si="7"/>
        <v>217159</v>
      </c>
      <c r="CV50" s="48">
        <f t="shared" si="7"/>
        <v>157484</v>
      </c>
      <c r="CW50" s="48">
        <f>SUM(CW7:CW47)</f>
        <v>123538</v>
      </c>
      <c r="CX50" s="48">
        <f t="shared" si="7"/>
        <v>206759</v>
      </c>
      <c r="CY50" s="48">
        <f t="shared" si="7"/>
        <v>150496</v>
      </c>
      <c r="CZ50" s="49">
        <f t="shared" si="7"/>
        <v>108681</v>
      </c>
      <c r="DA50" s="47">
        <f t="shared" si="7"/>
        <v>177904</v>
      </c>
      <c r="DB50" s="48">
        <f t="shared" si="7"/>
        <v>114970</v>
      </c>
      <c r="DC50" s="48">
        <f t="shared" si="7"/>
        <v>141063</v>
      </c>
      <c r="DD50" s="48">
        <f t="shared" si="7"/>
        <v>151194</v>
      </c>
      <c r="DE50" s="48">
        <f t="shared" si="7"/>
        <v>213002</v>
      </c>
      <c r="DF50" s="48">
        <f t="shared" si="7"/>
        <v>159984</v>
      </c>
      <c r="DG50" s="48">
        <f t="shared" si="7"/>
        <v>182567</v>
      </c>
      <c r="DH50" s="48">
        <f t="shared" si="7"/>
        <v>153977</v>
      </c>
      <c r="DI50" s="48">
        <f t="shared" si="7"/>
        <v>123744</v>
      </c>
      <c r="DJ50" s="48">
        <f t="shared" si="7"/>
        <v>140128</v>
      </c>
      <c r="DK50" s="48">
        <f t="shared" si="7"/>
        <v>145406</v>
      </c>
      <c r="DL50" s="49">
        <f t="shared" si="7"/>
        <v>105361</v>
      </c>
      <c r="DM50" s="47">
        <f t="shared" ref="DM50:DV50" si="8">SUM(DM7:DM47)</f>
        <v>175523</v>
      </c>
      <c r="DN50" s="48">
        <f t="shared" si="8"/>
        <v>109075</v>
      </c>
      <c r="DO50" s="48">
        <f t="shared" si="8"/>
        <v>164186</v>
      </c>
      <c r="DP50" s="48">
        <f t="shared" si="8"/>
        <v>110223</v>
      </c>
      <c r="DQ50" s="48">
        <f t="shared" si="8"/>
        <v>131818</v>
      </c>
      <c r="DR50" s="48">
        <f t="shared" si="8"/>
        <v>149448</v>
      </c>
      <c r="DS50" s="48">
        <f t="shared" si="8"/>
        <v>137746</v>
      </c>
      <c r="DT50" s="48">
        <f t="shared" si="8"/>
        <v>108112</v>
      </c>
      <c r="DU50" s="48">
        <f t="shared" si="8"/>
        <v>150551</v>
      </c>
      <c r="DV50" s="48">
        <f t="shared" si="8"/>
        <v>107548</v>
      </c>
      <c r="DW50" s="48">
        <f t="shared" ref="DW50:EE50" si="9">SUM(DW7:DW49)</f>
        <v>137895</v>
      </c>
      <c r="DX50" s="49">
        <f t="shared" si="9"/>
        <v>129159</v>
      </c>
      <c r="DY50" s="48">
        <f t="shared" ref="DY50:ED50" si="10">SUM(DY7:DY49)</f>
        <v>136504</v>
      </c>
      <c r="DZ50" s="48">
        <f t="shared" si="10"/>
        <v>111133</v>
      </c>
      <c r="EA50" s="48">
        <f t="shared" si="10"/>
        <v>161662</v>
      </c>
      <c r="EB50" s="48">
        <f t="shared" si="10"/>
        <v>112417</v>
      </c>
      <c r="EC50" s="48">
        <f t="shared" si="10"/>
        <v>137817</v>
      </c>
      <c r="ED50" s="48">
        <f t="shared" si="10"/>
        <v>152219</v>
      </c>
      <c r="EE50" s="48">
        <f t="shared" si="9"/>
        <v>139061</v>
      </c>
      <c r="EF50" s="48">
        <v>117178</v>
      </c>
      <c r="EG50" s="48">
        <v>119935</v>
      </c>
      <c r="EH50" s="48">
        <v>62498</v>
      </c>
      <c r="EI50" s="48">
        <v>92769</v>
      </c>
      <c r="EJ50" s="49">
        <v>57277</v>
      </c>
      <c r="EK50" s="48">
        <v>69307</v>
      </c>
      <c r="EL50" s="48">
        <v>70874</v>
      </c>
      <c r="EM50" s="48">
        <v>73203</v>
      </c>
      <c r="EN50" s="102">
        <v>56853</v>
      </c>
      <c r="EO50" s="48">
        <v>61876</v>
      </c>
      <c r="EP50" s="48">
        <v>47944</v>
      </c>
      <c r="EQ50" s="48">
        <v>32044</v>
      </c>
      <c r="ER50" s="48">
        <v>53670</v>
      </c>
      <c r="ES50" s="48">
        <v>55334</v>
      </c>
      <c r="ET50" s="48">
        <v>60190</v>
      </c>
      <c r="EU50" s="48">
        <v>61876</v>
      </c>
      <c r="EV50" s="49">
        <v>61194</v>
      </c>
      <c r="EW50" s="48">
        <v>76923</v>
      </c>
      <c r="EX50" s="116">
        <v>93653</v>
      </c>
      <c r="EY50" s="48">
        <v>76824</v>
      </c>
      <c r="EZ50" s="102">
        <v>78237</v>
      </c>
      <c r="FA50" s="48">
        <v>76867</v>
      </c>
      <c r="FB50" s="48">
        <v>100015</v>
      </c>
      <c r="FC50" s="48">
        <v>77293</v>
      </c>
      <c r="FD50" s="48">
        <v>75369</v>
      </c>
      <c r="FE50" s="48">
        <v>85946</v>
      </c>
      <c r="FF50" s="48">
        <v>85946</v>
      </c>
      <c r="FG50" s="48">
        <v>117816</v>
      </c>
      <c r="FH50" s="48">
        <v>64882</v>
      </c>
      <c r="FI50" s="48">
        <v>101136</v>
      </c>
      <c r="FJ50" s="116">
        <v>66582</v>
      </c>
      <c r="FK50" s="48">
        <v>94661</v>
      </c>
      <c r="FL50" s="102">
        <v>93380</v>
      </c>
      <c r="FM50" s="48">
        <v>81665</v>
      </c>
      <c r="FN50" s="48">
        <v>86973</v>
      </c>
      <c r="FO50" s="48">
        <v>107229</v>
      </c>
      <c r="FP50" s="48">
        <v>76170</v>
      </c>
      <c r="FQ50" s="48">
        <v>87222</v>
      </c>
      <c r="FR50" s="48">
        <v>106877</v>
      </c>
      <c r="FS50" s="48">
        <v>105755</v>
      </c>
      <c r="FT50" s="51">
        <v>82367</v>
      </c>
      <c r="FU50" s="179">
        <f>SUM(FU7:FU49)</f>
        <v>121199</v>
      </c>
      <c r="FV50" s="179">
        <f t="shared" ref="FV50:FZ50" si="11">SUM(FV7:FV49)</f>
        <v>108158</v>
      </c>
      <c r="FW50" s="179">
        <f t="shared" si="11"/>
        <v>100618</v>
      </c>
      <c r="FX50" s="179">
        <f t="shared" si="11"/>
        <v>102698</v>
      </c>
      <c r="FY50" s="179">
        <f t="shared" si="11"/>
        <v>93241</v>
      </c>
      <c r="FZ50" s="179">
        <f t="shared" si="11"/>
        <v>115556</v>
      </c>
      <c r="GA50" s="179">
        <f t="shared" ref="GA50:GF50" si="12">SUM(GA4:GA49)</f>
        <v>113327</v>
      </c>
      <c r="GB50" s="180">
        <f t="shared" si="12"/>
        <v>93922</v>
      </c>
      <c r="GC50" s="180">
        <f t="shared" si="12"/>
        <v>110054</v>
      </c>
      <c r="GD50" s="180">
        <f t="shared" si="12"/>
        <v>93755</v>
      </c>
      <c r="GE50" s="180">
        <f t="shared" si="12"/>
        <v>108314</v>
      </c>
      <c r="GF50" s="176">
        <f t="shared" si="12"/>
        <v>104295</v>
      </c>
      <c r="GG50" s="180">
        <f t="shared" ref="GG50:GL50" si="13">SUM(GG4:GG49)</f>
        <v>97827</v>
      </c>
      <c r="GH50" s="180">
        <f t="shared" si="13"/>
        <v>79967</v>
      </c>
      <c r="GI50" s="185">
        <f t="shared" si="13"/>
        <v>127343</v>
      </c>
      <c r="GJ50" s="185">
        <f t="shared" si="13"/>
        <v>84858</v>
      </c>
      <c r="GK50" s="185">
        <f t="shared" si="13"/>
        <v>92682</v>
      </c>
      <c r="GL50" s="185">
        <f t="shared" si="13"/>
        <v>112763</v>
      </c>
    </row>
    <row r="51" spans="1:194" s="5" customFormat="1" x14ac:dyDescent="0.3">
      <c r="A51" s="45" t="s">
        <v>56</v>
      </c>
      <c r="B51" s="198">
        <f>AVERAGE(C50:H50)</f>
        <v>106293.83333333333</v>
      </c>
      <c r="C51" s="199"/>
      <c r="D51" s="199"/>
      <c r="E51" s="199"/>
      <c r="F51" s="199"/>
      <c r="G51" s="199"/>
      <c r="H51" s="200"/>
      <c r="I51" s="198">
        <f t="shared" ref="I51" si="14">AVERAGE(I50:T50)</f>
        <v>102905</v>
      </c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200"/>
      <c r="U51" s="198">
        <f>AVERAGE(U50:AF50)</f>
        <v>102955.5</v>
      </c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200"/>
      <c r="AG51" s="198">
        <f>AVERAGE(AG50:AR50)</f>
        <v>112960.91666666667</v>
      </c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200"/>
      <c r="AS51" s="198">
        <f>AVERAGE(AS50:BD50)</f>
        <v>124973.16666666667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200"/>
      <c r="BE51" s="198">
        <f>AVERAGE(BE50:BP50)</f>
        <v>125995.25</v>
      </c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200"/>
      <c r="BQ51" s="198">
        <f>AVERAGE(BQ50:CB50)</f>
        <v>131224.91666666666</v>
      </c>
      <c r="BR51" s="199"/>
      <c r="BS51" s="199"/>
      <c r="BT51" s="199"/>
      <c r="BU51" s="199"/>
      <c r="BV51" s="199"/>
      <c r="BW51" s="199"/>
      <c r="BX51" s="199"/>
      <c r="BY51" s="199"/>
      <c r="BZ51" s="199"/>
      <c r="CA51" s="199"/>
      <c r="CB51" s="200"/>
      <c r="CC51" s="198">
        <f>AVERAGE(CC50:CN50)</f>
        <v>145064</v>
      </c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200"/>
      <c r="CO51" s="198">
        <f>AVERAGE(CO50:CZ50)</f>
        <v>167958.83333333334</v>
      </c>
      <c r="CP51" s="199"/>
      <c r="CQ51" s="199"/>
      <c r="CR51" s="199"/>
      <c r="CS51" s="199"/>
      <c r="CT51" s="199"/>
      <c r="CU51" s="199"/>
      <c r="CV51" s="199"/>
      <c r="CW51" s="199"/>
      <c r="CX51" s="199"/>
      <c r="CY51" s="199"/>
      <c r="CZ51" s="200"/>
      <c r="DA51" s="198">
        <f>AVERAGE(DA50:DL50)</f>
        <v>150775</v>
      </c>
      <c r="DB51" s="199"/>
      <c r="DC51" s="199"/>
      <c r="DD51" s="199"/>
      <c r="DE51" s="199"/>
      <c r="DF51" s="199"/>
      <c r="DG51" s="199"/>
      <c r="DH51" s="199"/>
      <c r="DI51" s="199"/>
      <c r="DJ51" s="199"/>
      <c r="DK51" s="199"/>
      <c r="DL51" s="200"/>
      <c r="DM51" s="198">
        <f>AVERAGE(DM50:DX50)</f>
        <v>134273.66666666666</v>
      </c>
      <c r="DN51" s="199"/>
      <c r="DO51" s="199"/>
      <c r="DP51" s="199"/>
      <c r="DQ51" s="199"/>
      <c r="DR51" s="199"/>
      <c r="DS51" s="199"/>
      <c r="DT51" s="199"/>
      <c r="DU51" s="199"/>
      <c r="DV51" s="199"/>
      <c r="DW51" s="199"/>
      <c r="DX51" s="200"/>
      <c r="DY51" s="198">
        <f>AVERAGE(DY50:EJ50)</f>
        <v>116705.83333333333</v>
      </c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200"/>
      <c r="EK51" s="198">
        <f>AVERAGE(EK50:EV50)</f>
        <v>58697.083333333336</v>
      </c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200"/>
      <c r="EW51" s="198">
        <f>AVERAGE(EW50:FH50)</f>
        <v>84147.583333333328</v>
      </c>
      <c r="EX51" s="199"/>
      <c r="EY51" s="199"/>
      <c r="EZ51" s="199"/>
      <c r="FA51" s="199"/>
      <c r="FB51" s="199"/>
      <c r="FC51" s="199"/>
      <c r="FD51" s="199"/>
      <c r="FE51" s="199"/>
      <c r="FF51" s="199"/>
      <c r="FG51" s="199"/>
      <c r="FH51" s="200"/>
      <c r="FI51" s="198">
        <f>AVERAGE(FI50:FT50)</f>
        <v>90834.75</v>
      </c>
      <c r="FJ51" s="199"/>
      <c r="FK51" s="199"/>
      <c r="FL51" s="199"/>
      <c r="FM51" s="199"/>
      <c r="FN51" s="199"/>
      <c r="FO51" s="199"/>
      <c r="FP51" s="199"/>
      <c r="FQ51" s="199"/>
      <c r="FR51" s="199"/>
      <c r="FS51" s="199"/>
      <c r="FT51" s="199"/>
      <c r="FU51" s="207">
        <f>AVERAGE(FU50:GA50)</f>
        <v>107828.14285714286</v>
      </c>
      <c r="FV51" s="207"/>
      <c r="FW51" s="207"/>
      <c r="FX51" s="207"/>
      <c r="FY51" s="207"/>
      <c r="FZ51" s="207"/>
      <c r="GA51" s="207"/>
      <c r="GB51" s="207"/>
      <c r="GC51" s="207"/>
      <c r="GD51" s="207"/>
      <c r="GE51" s="207"/>
      <c r="GF51" s="207"/>
      <c r="GI51" s="187"/>
    </row>
    <row r="52" spans="1:194" x14ac:dyDescent="0.3">
      <c r="DY52" s="135"/>
      <c r="DZ52" s="135"/>
      <c r="EA52" s="135"/>
      <c r="EB52" s="135"/>
      <c r="EC52" s="135"/>
      <c r="ED52" s="135"/>
      <c r="EE52" s="135"/>
      <c r="EF52" s="135"/>
      <c r="EG52" s="135"/>
      <c r="EH52" s="135"/>
      <c r="EI52" s="135"/>
      <c r="EJ52" s="135"/>
      <c r="EK52" s="135"/>
    </row>
    <row r="54" spans="1:194" x14ac:dyDescent="0.3">
      <c r="DA54" s="89"/>
      <c r="FG54" s="206"/>
      <c r="FH54" s="206"/>
      <c r="FI54" s="206"/>
      <c r="FJ54" s="206"/>
      <c r="FK54" s="206"/>
      <c r="FL54" s="206"/>
      <c r="FM54" s="206"/>
      <c r="FN54" s="206"/>
      <c r="FO54" s="206"/>
      <c r="FP54" s="206"/>
      <c r="FQ54" s="206"/>
      <c r="FR54" s="206"/>
      <c r="FS54" s="206"/>
      <c r="FT54" s="206"/>
    </row>
    <row r="55" spans="1:194" ht="15" thickBot="1" x14ac:dyDescent="0.35">
      <c r="DA55" s="90"/>
      <c r="FG55" s="152"/>
      <c r="FH55" s="152"/>
      <c r="FI55" s="152"/>
      <c r="FJ55" s="152"/>
      <c r="FK55" s="152"/>
      <c r="FL55" s="152"/>
      <c r="FM55" s="152"/>
      <c r="FN55" s="152"/>
      <c r="FO55" s="172">
        <v>44949</v>
      </c>
      <c r="FP55" s="172">
        <v>44980</v>
      </c>
      <c r="FQ55" s="172">
        <v>45008</v>
      </c>
      <c r="FR55" s="172">
        <v>45039</v>
      </c>
      <c r="FS55" s="172">
        <v>45069</v>
      </c>
      <c r="FT55" s="172">
        <v>45100</v>
      </c>
      <c r="FU55" s="173">
        <v>45130</v>
      </c>
      <c r="FV55" s="173">
        <v>45161</v>
      </c>
      <c r="FW55" s="173">
        <v>45192</v>
      </c>
      <c r="FX55" s="173">
        <v>45222</v>
      </c>
      <c r="FY55" s="173">
        <v>45253</v>
      </c>
      <c r="FZ55" s="173">
        <v>45283</v>
      </c>
      <c r="GA55" s="173">
        <v>45315</v>
      </c>
      <c r="GB55" s="173">
        <v>45345</v>
      </c>
      <c r="GC55" s="173">
        <v>45374</v>
      </c>
      <c r="GD55" s="173">
        <v>45405</v>
      </c>
      <c r="GE55" s="173">
        <v>45435</v>
      </c>
      <c r="GF55" s="173">
        <v>45466</v>
      </c>
      <c r="GG55" s="173">
        <v>45496</v>
      </c>
      <c r="GH55" s="173">
        <v>45527</v>
      </c>
      <c r="GI55" s="188">
        <v>45559</v>
      </c>
      <c r="GJ55" s="188">
        <v>45590</v>
      </c>
      <c r="GK55" s="188">
        <v>45622</v>
      </c>
      <c r="GL55" s="188">
        <v>45653</v>
      </c>
    </row>
    <row r="56" spans="1:194" x14ac:dyDescent="0.3">
      <c r="A56" s="156" t="s">
        <v>80</v>
      </c>
      <c r="FO56" s="174">
        <v>386</v>
      </c>
      <c r="FP56" s="174">
        <v>316</v>
      </c>
      <c r="FQ56" s="145">
        <v>569</v>
      </c>
      <c r="FR56" s="169">
        <v>525</v>
      </c>
      <c r="FS56" s="169">
        <v>660</v>
      </c>
      <c r="FT56" s="169">
        <v>529</v>
      </c>
      <c r="FU56" s="52">
        <v>611</v>
      </c>
      <c r="FV56" s="52">
        <v>548</v>
      </c>
      <c r="FW56" s="52">
        <v>519</v>
      </c>
      <c r="FX56" s="52">
        <v>537</v>
      </c>
      <c r="FY56" s="52">
        <v>461</v>
      </c>
      <c r="FZ56" s="52">
        <v>588</v>
      </c>
      <c r="GA56" s="52">
        <v>471</v>
      </c>
      <c r="GB56" s="169">
        <v>379</v>
      </c>
      <c r="GC56" s="171">
        <v>311.77195685670267</v>
      </c>
      <c r="GD56" s="171">
        <v>448</v>
      </c>
      <c r="GE56" s="169">
        <v>531</v>
      </c>
      <c r="GF56" s="169">
        <v>482</v>
      </c>
      <c r="GG56" s="169">
        <v>522</v>
      </c>
      <c r="GH56" s="169">
        <v>332</v>
      </c>
      <c r="GI56" s="184">
        <v>818</v>
      </c>
      <c r="GJ56" s="52">
        <v>480</v>
      </c>
      <c r="GK56" s="184">
        <v>331</v>
      </c>
      <c r="GL56" s="52">
        <v>464</v>
      </c>
    </row>
    <row r="57" spans="1:194" x14ac:dyDescent="0.3">
      <c r="A57" s="157" t="s">
        <v>81</v>
      </c>
      <c r="DA57" s="89"/>
      <c r="FO57" s="174">
        <v>171</v>
      </c>
      <c r="FP57" s="174">
        <v>195</v>
      </c>
      <c r="FQ57" s="145">
        <v>361</v>
      </c>
      <c r="FR57" s="169">
        <v>283</v>
      </c>
      <c r="FS57" s="169">
        <v>484</v>
      </c>
      <c r="FT57" s="169">
        <v>342</v>
      </c>
      <c r="FU57" s="52">
        <v>462</v>
      </c>
      <c r="FV57" s="52">
        <v>318</v>
      </c>
      <c r="FW57" s="52">
        <v>332</v>
      </c>
      <c r="FX57" s="52">
        <v>179</v>
      </c>
      <c r="FY57" s="52">
        <v>120</v>
      </c>
      <c r="FZ57" s="52">
        <v>165</v>
      </c>
      <c r="GA57" s="52">
        <v>104</v>
      </c>
      <c r="GB57" s="169">
        <v>148</v>
      </c>
      <c r="GC57" s="171">
        <v>163.11248073959939</v>
      </c>
      <c r="GD57" s="171">
        <v>124</v>
      </c>
      <c r="GE57" s="169">
        <v>189</v>
      </c>
      <c r="GF57" s="169">
        <v>126</v>
      </c>
      <c r="GG57" s="169">
        <v>164</v>
      </c>
      <c r="GH57" s="169">
        <v>111</v>
      </c>
      <c r="GI57" s="184">
        <v>201</v>
      </c>
      <c r="GJ57" s="52">
        <v>173</v>
      </c>
      <c r="GK57" s="184">
        <v>88</v>
      </c>
      <c r="GL57" s="52">
        <v>126</v>
      </c>
    </row>
    <row r="58" spans="1:194" x14ac:dyDescent="0.3">
      <c r="A58" s="157" t="s">
        <v>82</v>
      </c>
      <c r="DA58" s="89"/>
      <c r="DD58" s="89"/>
      <c r="FO58" s="174">
        <v>62</v>
      </c>
      <c r="FP58" s="174">
        <v>170</v>
      </c>
      <c r="FQ58" s="145">
        <v>233</v>
      </c>
      <c r="FR58" s="169">
        <v>160</v>
      </c>
      <c r="FS58" s="169">
        <v>219</v>
      </c>
      <c r="FT58" s="169">
        <v>155</v>
      </c>
      <c r="FU58" s="52">
        <v>194</v>
      </c>
      <c r="FV58" s="52">
        <v>148</v>
      </c>
      <c r="FW58" s="52">
        <v>195</v>
      </c>
      <c r="FX58" s="52">
        <v>158</v>
      </c>
      <c r="FY58" s="52">
        <v>87</v>
      </c>
      <c r="FZ58" s="52">
        <v>125</v>
      </c>
      <c r="GA58" s="52">
        <v>91</v>
      </c>
      <c r="GB58" s="169">
        <v>121</v>
      </c>
      <c r="GC58" s="171">
        <v>132.14175654853622</v>
      </c>
      <c r="GD58" s="171">
        <v>130</v>
      </c>
      <c r="GE58" s="169">
        <v>279</v>
      </c>
      <c r="GF58" s="169">
        <v>92</v>
      </c>
      <c r="GG58" s="169">
        <v>144</v>
      </c>
      <c r="GH58" s="169">
        <v>119</v>
      </c>
      <c r="GI58" s="184">
        <v>288</v>
      </c>
      <c r="GJ58" s="52">
        <v>198</v>
      </c>
      <c r="GK58" s="184">
        <v>65</v>
      </c>
      <c r="GL58" s="52">
        <v>110</v>
      </c>
    </row>
    <row r="59" spans="1:194" x14ac:dyDescent="0.3">
      <c r="A59" s="157" t="s">
        <v>83</v>
      </c>
      <c r="FO59" s="174">
        <v>67</v>
      </c>
      <c r="FP59" s="174">
        <v>70</v>
      </c>
      <c r="FQ59" s="145">
        <v>147</v>
      </c>
      <c r="FR59" s="169">
        <v>95</v>
      </c>
      <c r="FS59" s="169">
        <v>183</v>
      </c>
      <c r="FT59" s="169">
        <v>98</v>
      </c>
      <c r="FU59" s="52">
        <v>159</v>
      </c>
      <c r="FV59" s="52">
        <v>121</v>
      </c>
      <c r="FW59" s="52">
        <v>186</v>
      </c>
      <c r="FX59" s="52">
        <v>118</v>
      </c>
      <c r="FY59" s="52">
        <v>81</v>
      </c>
      <c r="FZ59" s="52">
        <v>111</v>
      </c>
      <c r="GA59" s="52">
        <v>85</v>
      </c>
      <c r="GB59" s="169">
        <v>289</v>
      </c>
      <c r="GC59" s="171">
        <v>110.462249614792</v>
      </c>
      <c r="GD59" s="171">
        <v>109</v>
      </c>
      <c r="GE59" s="169">
        <v>42</v>
      </c>
      <c r="GF59" s="169">
        <v>260</v>
      </c>
      <c r="GG59" s="169">
        <v>903</v>
      </c>
      <c r="GH59" s="169">
        <v>573</v>
      </c>
      <c r="GI59" s="184">
        <v>897</v>
      </c>
      <c r="GJ59" s="52">
        <v>149</v>
      </c>
      <c r="GK59" s="184">
        <v>127</v>
      </c>
      <c r="GL59" s="52">
        <v>161</v>
      </c>
    </row>
    <row r="60" spans="1:194" x14ac:dyDescent="0.3">
      <c r="A60" s="157" t="s">
        <v>84</v>
      </c>
      <c r="DA60" s="91"/>
      <c r="FO60" s="174">
        <v>106</v>
      </c>
      <c r="FP60" s="174">
        <v>73</v>
      </c>
      <c r="FQ60" s="145">
        <v>190</v>
      </c>
      <c r="FR60" s="169">
        <v>146</v>
      </c>
      <c r="FS60" s="169">
        <v>220</v>
      </c>
      <c r="FT60" s="169">
        <v>168</v>
      </c>
      <c r="FU60" s="52">
        <v>173</v>
      </c>
      <c r="FV60" s="52">
        <v>220</v>
      </c>
      <c r="FW60" s="52">
        <v>261</v>
      </c>
      <c r="FX60" s="52">
        <v>204</v>
      </c>
      <c r="FY60" s="52">
        <v>135</v>
      </c>
      <c r="FZ60" s="52">
        <v>120</v>
      </c>
      <c r="GA60" s="52">
        <v>130</v>
      </c>
      <c r="GB60" s="169">
        <v>182</v>
      </c>
      <c r="GC60" s="171">
        <v>146.59476117103236</v>
      </c>
      <c r="GD60" s="171">
        <v>167</v>
      </c>
      <c r="GE60" s="169">
        <v>168</v>
      </c>
      <c r="GF60" s="169">
        <v>113</v>
      </c>
      <c r="GG60" s="169">
        <v>171</v>
      </c>
      <c r="GH60" s="169">
        <v>141</v>
      </c>
      <c r="GI60" s="184">
        <v>300</v>
      </c>
      <c r="GJ60" s="52">
        <v>198</v>
      </c>
      <c r="GK60" s="184">
        <v>125</v>
      </c>
      <c r="GL60" s="52">
        <v>107</v>
      </c>
    </row>
    <row r="61" spans="1:194" x14ac:dyDescent="0.3">
      <c r="A61" s="157" t="s">
        <v>85</v>
      </c>
      <c r="FO61" s="174">
        <v>160</v>
      </c>
      <c r="FP61" s="174">
        <v>136</v>
      </c>
      <c r="FQ61" s="145">
        <v>273</v>
      </c>
      <c r="FR61" s="169">
        <v>278</v>
      </c>
      <c r="FS61" s="169">
        <v>303</v>
      </c>
      <c r="FT61" s="169">
        <v>187</v>
      </c>
      <c r="FU61" s="52">
        <v>298</v>
      </c>
      <c r="FV61" s="52">
        <v>315</v>
      </c>
      <c r="FW61" s="52">
        <v>337</v>
      </c>
      <c r="FX61" s="52">
        <v>340</v>
      </c>
      <c r="FY61" s="52">
        <v>214</v>
      </c>
      <c r="FZ61" s="52">
        <v>155</v>
      </c>
      <c r="GA61" s="52">
        <v>182</v>
      </c>
      <c r="GB61" s="169">
        <v>268</v>
      </c>
      <c r="GC61" s="171">
        <v>518.24345146379051</v>
      </c>
      <c r="GD61" s="171">
        <v>244</v>
      </c>
      <c r="GE61" s="169">
        <v>238</v>
      </c>
      <c r="GF61" s="169">
        <v>165</v>
      </c>
      <c r="GG61" s="169">
        <v>155</v>
      </c>
      <c r="GH61" s="169">
        <v>120</v>
      </c>
      <c r="GI61" s="184">
        <v>378</v>
      </c>
      <c r="GJ61" s="52">
        <v>270</v>
      </c>
      <c r="GK61" s="184">
        <v>155</v>
      </c>
      <c r="GL61" s="52">
        <v>183</v>
      </c>
    </row>
    <row r="62" spans="1:194" x14ac:dyDescent="0.3">
      <c r="A62" s="157" t="s">
        <v>86</v>
      </c>
      <c r="FO62" s="174">
        <v>695</v>
      </c>
      <c r="FP62" s="174">
        <v>641</v>
      </c>
      <c r="FQ62" s="145">
        <v>756</v>
      </c>
      <c r="FR62" s="169">
        <v>1397</v>
      </c>
      <c r="FS62" s="169">
        <v>735</v>
      </c>
      <c r="FT62" s="169">
        <v>565</v>
      </c>
      <c r="FU62" s="52">
        <v>723</v>
      </c>
      <c r="FV62" s="52">
        <v>806</v>
      </c>
      <c r="FW62" s="52">
        <v>1078</v>
      </c>
      <c r="FX62" s="52">
        <v>905</v>
      </c>
      <c r="FY62" s="52">
        <v>893</v>
      </c>
      <c r="FZ62" s="52">
        <v>978</v>
      </c>
      <c r="GA62" s="52">
        <v>969</v>
      </c>
      <c r="GB62" s="169">
        <v>709</v>
      </c>
      <c r="GC62" s="171">
        <v>839.30662557781204</v>
      </c>
      <c r="GD62" s="171">
        <v>790</v>
      </c>
      <c r="GE62" s="169">
        <v>688</v>
      </c>
      <c r="GF62" s="169">
        <v>501</v>
      </c>
      <c r="GG62" s="169">
        <v>496</v>
      </c>
      <c r="GH62" s="169">
        <v>574</v>
      </c>
      <c r="GI62" s="184">
        <v>1152</v>
      </c>
      <c r="GJ62" s="52">
        <v>747</v>
      </c>
      <c r="GK62" s="184">
        <v>1040</v>
      </c>
      <c r="GL62" s="52">
        <v>804</v>
      </c>
    </row>
    <row r="63" spans="1:194" x14ac:dyDescent="0.3">
      <c r="A63" s="157" t="s">
        <v>87</v>
      </c>
      <c r="FO63" s="174">
        <v>358</v>
      </c>
      <c r="FP63" s="174">
        <v>324</v>
      </c>
      <c r="FQ63" s="145">
        <v>445</v>
      </c>
      <c r="FR63" s="169">
        <v>710</v>
      </c>
      <c r="FS63" s="169">
        <v>404</v>
      </c>
      <c r="FT63" s="169">
        <v>324</v>
      </c>
      <c r="FU63" s="52">
        <v>344</v>
      </c>
      <c r="FV63" s="52">
        <v>431</v>
      </c>
      <c r="FW63" s="52">
        <v>589</v>
      </c>
      <c r="FX63" s="52">
        <v>472</v>
      </c>
      <c r="FY63" s="52">
        <v>423</v>
      </c>
      <c r="FZ63" s="52">
        <v>318</v>
      </c>
      <c r="GA63" s="52">
        <v>429</v>
      </c>
      <c r="GB63" s="169">
        <v>446</v>
      </c>
      <c r="GC63" s="171">
        <v>465.59322033898309</v>
      </c>
      <c r="GD63" s="171">
        <v>408</v>
      </c>
      <c r="GE63" s="169">
        <v>240</v>
      </c>
      <c r="GF63" s="169">
        <v>196</v>
      </c>
      <c r="GG63" s="169">
        <v>225</v>
      </c>
      <c r="GH63" s="169">
        <v>310</v>
      </c>
      <c r="GI63" s="184">
        <v>668</v>
      </c>
      <c r="GJ63" s="52">
        <v>325</v>
      </c>
      <c r="GK63" s="184">
        <v>512</v>
      </c>
      <c r="GL63" s="52">
        <v>406</v>
      </c>
    </row>
    <row r="64" spans="1:194" x14ac:dyDescent="0.3">
      <c r="A64" s="157" t="s">
        <v>88</v>
      </c>
      <c r="FO64" s="174">
        <v>379</v>
      </c>
      <c r="FP64" s="174">
        <v>415</v>
      </c>
      <c r="FQ64" s="145">
        <v>548</v>
      </c>
      <c r="FR64" s="169">
        <v>845</v>
      </c>
      <c r="FS64" s="169">
        <v>444</v>
      </c>
      <c r="FT64" s="169">
        <v>311</v>
      </c>
      <c r="FU64" s="52">
        <v>422</v>
      </c>
      <c r="FV64" s="52">
        <v>523</v>
      </c>
      <c r="FW64" s="52">
        <v>791</v>
      </c>
      <c r="FX64" s="52">
        <v>575</v>
      </c>
      <c r="FY64" s="52">
        <v>438</v>
      </c>
      <c r="FZ64" s="52">
        <v>324</v>
      </c>
      <c r="GA64" s="52">
        <v>364</v>
      </c>
      <c r="GB64" s="169">
        <v>464</v>
      </c>
      <c r="GC64" s="171">
        <v>468.69029275808941</v>
      </c>
      <c r="GD64" s="171">
        <v>486</v>
      </c>
      <c r="GE64" s="169">
        <v>302</v>
      </c>
      <c r="GF64" s="169">
        <v>268</v>
      </c>
      <c r="GG64" s="169">
        <v>292</v>
      </c>
      <c r="GH64" s="169">
        <v>472</v>
      </c>
      <c r="GI64" s="184">
        <v>717</v>
      </c>
      <c r="GJ64" s="52">
        <v>454</v>
      </c>
      <c r="GK64" s="184">
        <v>388</v>
      </c>
      <c r="GL64" s="52">
        <v>311</v>
      </c>
    </row>
    <row r="65" spans="1:194" x14ac:dyDescent="0.3">
      <c r="A65" s="157" t="s">
        <v>89</v>
      </c>
      <c r="FO65" s="174">
        <v>693</v>
      </c>
      <c r="FP65" s="174">
        <v>697</v>
      </c>
      <c r="FQ65" s="145">
        <v>901</v>
      </c>
      <c r="FR65" s="169">
        <v>1631</v>
      </c>
      <c r="FS65" s="169">
        <v>563</v>
      </c>
      <c r="FT65" s="169">
        <v>402</v>
      </c>
      <c r="FU65" s="52">
        <v>412</v>
      </c>
      <c r="FV65" s="52">
        <v>853</v>
      </c>
      <c r="FW65" s="52">
        <v>1263</v>
      </c>
      <c r="FX65" s="52">
        <v>1040</v>
      </c>
      <c r="FY65" s="52">
        <v>879</v>
      </c>
      <c r="FZ65" s="52">
        <v>494</v>
      </c>
      <c r="GA65" s="52">
        <v>873</v>
      </c>
      <c r="GB65" s="169">
        <v>742</v>
      </c>
      <c r="GC65" s="171">
        <v>1004.4838212634824</v>
      </c>
      <c r="GD65" s="171">
        <v>982</v>
      </c>
      <c r="GE65" s="169">
        <v>363</v>
      </c>
      <c r="GF65" s="169">
        <v>277</v>
      </c>
      <c r="GG65" s="169">
        <v>260</v>
      </c>
      <c r="GH65" s="169">
        <v>445</v>
      </c>
      <c r="GI65" s="184">
        <v>1298</v>
      </c>
      <c r="GJ65" s="52">
        <v>745</v>
      </c>
      <c r="GK65" s="184">
        <v>895</v>
      </c>
      <c r="GL65" s="52">
        <v>531</v>
      </c>
    </row>
    <row r="66" spans="1:194" x14ac:dyDescent="0.3">
      <c r="A66" s="157" t="s">
        <v>90</v>
      </c>
      <c r="FO66" s="174">
        <v>940</v>
      </c>
      <c r="FP66" s="174">
        <v>853</v>
      </c>
      <c r="FQ66" s="145">
        <v>1095</v>
      </c>
      <c r="FR66" s="169">
        <v>1350</v>
      </c>
      <c r="FS66" s="169">
        <v>1059</v>
      </c>
      <c r="FT66" s="169">
        <v>768</v>
      </c>
      <c r="FU66" s="52">
        <v>1049</v>
      </c>
      <c r="FV66" s="52">
        <v>1163</v>
      </c>
      <c r="FW66" s="52">
        <v>1717</v>
      </c>
      <c r="FX66" s="52">
        <v>1274</v>
      </c>
      <c r="FY66" s="52">
        <v>1090</v>
      </c>
      <c r="FZ66" s="52">
        <v>884</v>
      </c>
      <c r="GA66" s="52">
        <v>1024</v>
      </c>
      <c r="GB66" s="169">
        <v>947</v>
      </c>
      <c r="GC66" s="171">
        <v>1003.451463790447</v>
      </c>
      <c r="GD66" s="171">
        <v>1078</v>
      </c>
      <c r="GE66" s="169">
        <v>890</v>
      </c>
      <c r="GF66" s="169">
        <v>617</v>
      </c>
      <c r="GG66" s="169">
        <v>641</v>
      </c>
      <c r="GH66" s="169">
        <v>675</v>
      </c>
      <c r="GI66" s="184">
        <v>1458</v>
      </c>
      <c r="GJ66" s="52">
        <v>860</v>
      </c>
      <c r="GK66" s="184">
        <v>1005</v>
      </c>
      <c r="GL66" s="52">
        <v>760</v>
      </c>
    </row>
    <row r="67" spans="1:194" x14ac:dyDescent="0.3">
      <c r="A67" s="157" t="s">
        <v>91</v>
      </c>
      <c r="FO67" s="174">
        <v>843</v>
      </c>
      <c r="FP67" s="174">
        <v>566</v>
      </c>
      <c r="FQ67" s="145">
        <v>884</v>
      </c>
      <c r="FR67" s="169">
        <v>1326</v>
      </c>
      <c r="FS67" s="169">
        <v>1094</v>
      </c>
      <c r="FT67" s="169">
        <v>706</v>
      </c>
      <c r="FU67" s="52">
        <v>965</v>
      </c>
      <c r="FV67" s="52">
        <v>1195</v>
      </c>
      <c r="FW67" s="52">
        <v>1379</v>
      </c>
      <c r="FX67" s="52">
        <v>1133</v>
      </c>
      <c r="FY67" s="52">
        <v>1038</v>
      </c>
      <c r="FZ67" s="52">
        <v>1005</v>
      </c>
      <c r="GA67" s="52">
        <v>925</v>
      </c>
      <c r="GB67" s="169">
        <v>818</v>
      </c>
      <c r="GC67" s="171">
        <v>855.82434514637907</v>
      </c>
      <c r="GD67" s="171">
        <v>734</v>
      </c>
      <c r="GE67" s="169">
        <v>780</v>
      </c>
      <c r="GF67" s="169">
        <v>712</v>
      </c>
      <c r="GG67" s="169">
        <v>677</v>
      </c>
      <c r="GH67" s="169">
        <v>800</v>
      </c>
      <c r="GI67" s="184">
        <v>1398</v>
      </c>
      <c r="GJ67" s="52">
        <v>955</v>
      </c>
      <c r="GK67" s="184">
        <v>1105</v>
      </c>
      <c r="GL67" s="52">
        <v>1046</v>
      </c>
    </row>
    <row r="68" spans="1:194" x14ac:dyDescent="0.3">
      <c r="A68" s="157" t="s">
        <v>92</v>
      </c>
      <c r="FO68" s="174">
        <v>92</v>
      </c>
      <c r="FP68" s="174">
        <v>83</v>
      </c>
      <c r="FQ68" s="145">
        <v>178</v>
      </c>
      <c r="FR68" s="169">
        <v>153</v>
      </c>
      <c r="FS68" s="169">
        <v>215</v>
      </c>
      <c r="FT68" s="169">
        <v>141</v>
      </c>
      <c r="FU68" s="52">
        <v>178</v>
      </c>
      <c r="FV68" s="52">
        <v>142</v>
      </c>
      <c r="FW68" s="52">
        <v>153</v>
      </c>
      <c r="FX68" s="52">
        <v>160</v>
      </c>
      <c r="FY68" s="52">
        <v>85</v>
      </c>
      <c r="FZ68" s="52">
        <v>113</v>
      </c>
      <c r="GA68" s="52">
        <v>81</v>
      </c>
      <c r="GB68" s="169">
        <v>96</v>
      </c>
      <c r="GC68" s="171">
        <v>110.462249614792</v>
      </c>
      <c r="GD68" s="171">
        <v>102</v>
      </c>
      <c r="GE68" s="169">
        <v>122</v>
      </c>
      <c r="GF68" s="169">
        <v>97</v>
      </c>
      <c r="GG68" s="169">
        <v>124</v>
      </c>
      <c r="GH68" s="169">
        <v>86</v>
      </c>
      <c r="GI68" s="184">
        <v>171</v>
      </c>
      <c r="GJ68" s="52">
        <v>119</v>
      </c>
      <c r="GK68" s="184">
        <v>55</v>
      </c>
      <c r="GL68" s="52">
        <v>89</v>
      </c>
    </row>
    <row r="69" spans="1:194" x14ac:dyDescent="0.3">
      <c r="A69" s="157" t="s">
        <v>93</v>
      </c>
      <c r="FO69" s="174">
        <v>70</v>
      </c>
      <c r="FP69" s="174">
        <v>69</v>
      </c>
      <c r="FQ69" s="145">
        <v>129</v>
      </c>
      <c r="FR69" s="169">
        <v>122</v>
      </c>
      <c r="FS69" s="169">
        <v>167</v>
      </c>
      <c r="FT69" s="169">
        <v>117</v>
      </c>
      <c r="FU69" s="52">
        <v>187</v>
      </c>
      <c r="FV69" s="52">
        <v>130</v>
      </c>
      <c r="FW69" s="52">
        <v>195</v>
      </c>
      <c r="FX69" s="52">
        <v>97</v>
      </c>
      <c r="FY69" s="52">
        <v>97</v>
      </c>
      <c r="FZ69" s="52">
        <v>129</v>
      </c>
      <c r="GA69" s="52">
        <v>104</v>
      </c>
      <c r="GB69" s="169">
        <v>123</v>
      </c>
      <c r="GC69" s="171">
        <v>88.782742681047779</v>
      </c>
      <c r="GD69" s="171">
        <v>101</v>
      </c>
      <c r="GE69" s="169">
        <v>121</v>
      </c>
      <c r="GF69" s="169">
        <v>113</v>
      </c>
      <c r="GG69" s="169">
        <v>114</v>
      </c>
      <c r="GH69" s="169">
        <v>93</v>
      </c>
      <c r="GI69" s="184">
        <v>180</v>
      </c>
      <c r="GJ69" s="52">
        <v>128</v>
      </c>
      <c r="GK69" s="184">
        <v>87</v>
      </c>
      <c r="GL69" s="52">
        <v>85</v>
      </c>
    </row>
    <row r="70" spans="1:194" ht="15" thickBot="1" x14ac:dyDescent="0.35">
      <c r="A70" s="158" t="s">
        <v>95</v>
      </c>
      <c r="FO70" s="145">
        <f t="shared" ref="FO70:GB70" si="15">SUM(FO56:FO69)</f>
        <v>5022</v>
      </c>
      <c r="FP70" s="145">
        <f t="shared" si="15"/>
        <v>4608</v>
      </c>
      <c r="FQ70" s="145">
        <f t="shared" si="15"/>
        <v>6709</v>
      </c>
      <c r="FR70" s="145">
        <f t="shared" si="15"/>
        <v>9021</v>
      </c>
      <c r="FS70" s="145">
        <f t="shared" si="15"/>
        <v>6750</v>
      </c>
      <c r="FT70" s="145">
        <f t="shared" si="15"/>
        <v>4813</v>
      </c>
      <c r="FU70" s="145">
        <f t="shared" si="15"/>
        <v>6177</v>
      </c>
      <c r="FV70" s="145">
        <f t="shared" si="15"/>
        <v>6913</v>
      </c>
      <c r="FW70" s="145">
        <f t="shared" si="15"/>
        <v>8995</v>
      </c>
      <c r="FX70" s="145">
        <f t="shared" si="15"/>
        <v>7192</v>
      </c>
      <c r="FY70" s="145">
        <f t="shared" si="15"/>
        <v>6041</v>
      </c>
      <c r="FZ70" s="145">
        <f t="shared" si="15"/>
        <v>5509</v>
      </c>
      <c r="GA70" s="145">
        <f t="shared" si="15"/>
        <v>5832</v>
      </c>
      <c r="GB70" s="145">
        <f t="shared" si="15"/>
        <v>5732</v>
      </c>
      <c r="GC70" s="145">
        <f t="shared" ref="GC70:GH70" si="16">SUM(GC56:GC69)</f>
        <v>6218.921417565487</v>
      </c>
      <c r="GD70" s="145">
        <f t="shared" si="16"/>
        <v>5903</v>
      </c>
      <c r="GE70" s="145">
        <f t="shared" si="16"/>
        <v>4953</v>
      </c>
      <c r="GF70" s="145">
        <f t="shared" si="16"/>
        <v>4019</v>
      </c>
      <c r="GG70" s="145">
        <f t="shared" si="16"/>
        <v>4888</v>
      </c>
      <c r="GH70" s="145">
        <f t="shared" si="16"/>
        <v>4851</v>
      </c>
      <c r="GI70" s="191">
        <f>SUM(GI56:GI69)</f>
        <v>9924</v>
      </c>
      <c r="GJ70" s="145">
        <f>SUM(GJ56:GJ69)</f>
        <v>5801</v>
      </c>
      <c r="GK70" s="145">
        <f>SUM(GK56:GK69)</f>
        <v>5978</v>
      </c>
      <c r="GL70" s="52">
        <f>SUM(GL56:GL69)</f>
        <v>5183</v>
      </c>
    </row>
    <row r="71" spans="1:194" x14ac:dyDescent="0.3">
      <c r="A71" s="153"/>
    </row>
  </sheetData>
  <mergeCells count="35">
    <mergeCell ref="AS2:BD2"/>
    <mergeCell ref="BE51:BP51"/>
    <mergeCell ref="BQ51:CB51"/>
    <mergeCell ref="CC51:CN51"/>
    <mergeCell ref="A2:A3"/>
    <mergeCell ref="B2:H2"/>
    <mergeCell ref="I2:T2"/>
    <mergeCell ref="U2:AF2"/>
    <mergeCell ref="AG2:AR2"/>
    <mergeCell ref="B51:H51"/>
    <mergeCell ref="I51:T51"/>
    <mergeCell ref="U51:AF51"/>
    <mergeCell ref="AG51:AR51"/>
    <mergeCell ref="AS51:BD51"/>
    <mergeCell ref="BE2:BP2"/>
    <mergeCell ref="BQ2:CB2"/>
    <mergeCell ref="CC2:CN2"/>
    <mergeCell ref="EW2:FH2"/>
    <mergeCell ref="EW51:FH51"/>
    <mergeCell ref="CO51:CZ51"/>
    <mergeCell ref="DM2:DX2"/>
    <mergeCell ref="DM51:DX51"/>
    <mergeCell ref="EK2:EV2"/>
    <mergeCell ref="EK51:EV51"/>
    <mergeCell ref="DY2:EJ2"/>
    <mergeCell ref="DY51:EJ51"/>
    <mergeCell ref="CO2:CZ2"/>
    <mergeCell ref="DA2:DL2"/>
    <mergeCell ref="DA51:DL51"/>
    <mergeCell ref="FI2:FT2"/>
    <mergeCell ref="FI51:FT51"/>
    <mergeCell ref="FG54:FH54"/>
    <mergeCell ref="FI54:FT54"/>
    <mergeCell ref="FU51:GF51"/>
    <mergeCell ref="FU2:GF2"/>
  </mergeCells>
  <pageMargins left="0.7" right="0.7" top="0.75" bottom="0.75" header="0.3" footer="0.3"/>
  <pageSetup orientation="portrait" r:id="rId1"/>
  <ignoredErrors>
    <ignoredError sqref="EK51" formulaRang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GL72"/>
  <sheetViews>
    <sheetView zoomScale="69" zoomScaleNormal="100" workbookViewId="0">
      <pane xSplit="1" ySplit="3" topLeftCell="FL4" activePane="bottomRight" state="frozen"/>
      <selection activeCell="FJ74" sqref="FJ74"/>
      <selection pane="topRight" activeCell="FJ74" sqref="FJ74"/>
      <selection pane="bottomLeft" activeCell="FJ74" sqref="FJ74"/>
      <selection pane="bottomRight" activeCell="GK4" sqref="GK4"/>
    </sheetView>
  </sheetViews>
  <sheetFormatPr defaultRowHeight="14.4" x14ac:dyDescent="0.3"/>
  <cols>
    <col min="1" max="1" width="40.33203125" bestFit="1" customWidth="1"/>
    <col min="2" max="128" width="11.109375" customWidth="1"/>
  </cols>
  <sheetData>
    <row r="1" spans="1:194" s="5" customFormat="1" x14ac:dyDescent="0.3">
      <c r="A1" s="43" t="s">
        <v>52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</row>
    <row r="2" spans="1:194" s="5" customFormat="1" x14ac:dyDescent="0.3">
      <c r="A2" s="208"/>
      <c r="B2" s="196" t="s">
        <v>49</v>
      </c>
      <c r="C2" s="196"/>
      <c r="D2" s="196"/>
      <c r="E2" s="196"/>
      <c r="F2" s="196"/>
      <c r="G2" s="196"/>
      <c r="H2" s="197"/>
      <c r="I2" s="195" t="s">
        <v>48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95" t="s">
        <v>47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7"/>
      <c r="AG2" s="192" t="s">
        <v>46</v>
      </c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 t="s">
        <v>45</v>
      </c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 t="s">
        <v>44</v>
      </c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 t="s">
        <v>2</v>
      </c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 t="s">
        <v>1</v>
      </c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 t="s">
        <v>0</v>
      </c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 t="s">
        <v>50</v>
      </c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 t="s">
        <v>72</v>
      </c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 t="s">
        <v>75</v>
      </c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 t="s">
        <v>76</v>
      </c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 t="s">
        <v>77</v>
      </c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 t="s">
        <v>79</v>
      </c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5"/>
      <c r="FU2" s="192" t="s">
        <v>99</v>
      </c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</row>
    <row r="3" spans="1:194" s="1" customFormat="1" ht="15" thickBot="1" x14ac:dyDescent="0.35">
      <c r="A3" s="209"/>
      <c r="B3" s="57">
        <v>39783</v>
      </c>
      <c r="C3" s="38">
        <v>39814</v>
      </c>
      <c r="D3" s="38">
        <v>39845</v>
      </c>
      <c r="E3" s="37">
        <v>39873</v>
      </c>
      <c r="F3" s="38">
        <v>39904</v>
      </c>
      <c r="G3" s="38">
        <v>39934</v>
      </c>
      <c r="H3" s="41">
        <v>39965</v>
      </c>
      <c r="I3" s="40">
        <v>39995</v>
      </c>
      <c r="J3" s="38">
        <v>40026</v>
      </c>
      <c r="K3" s="38">
        <v>40057</v>
      </c>
      <c r="L3" s="38">
        <v>40087</v>
      </c>
      <c r="M3" s="37">
        <v>40118</v>
      </c>
      <c r="N3" s="38">
        <v>40148</v>
      </c>
      <c r="O3" s="38">
        <v>40179</v>
      </c>
      <c r="P3" s="38">
        <v>40210</v>
      </c>
      <c r="Q3" s="37">
        <v>40238</v>
      </c>
      <c r="R3" s="38">
        <v>40269</v>
      </c>
      <c r="S3" s="38">
        <v>40299</v>
      </c>
      <c r="T3" s="41">
        <v>40330</v>
      </c>
      <c r="U3" s="40">
        <v>40360</v>
      </c>
      <c r="V3" s="38">
        <v>40391</v>
      </c>
      <c r="W3" s="38">
        <v>40422</v>
      </c>
      <c r="X3" s="38">
        <v>40452</v>
      </c>
      <c r="Y3" s="37">
        <v>40483</v>
      </c>
      <c r="Z3" s="38">
        <v>40513</v>
      </c>
      <c r="AA3" s="38">
        <v>40544</v>
      </c>
      <c r="AB3" s="38">
        <v>40575</v>
      </c>
      <c r="AC3" s="37">
        <v>40603</v>
      </c>
      <c r="AD3" s="38">
        <v>40634</v>
      </c>
      <c r="AE3" s="38">
        <v>40664</v>
      </c>
      <c r="AF3" s="41">
        <v>40695</v>
      </c>
      <c r="AG3" s="40">
        <v>40725</v>
      </c>
      <c r="AH3" s="38">
        <v>40756</v>
      </c>
      <c r="AI3" s="38">
        <v>40787</v>
      </c>
      <c r="AJ3" s="38">
        <v>40817</v>
      </c>
      <c r="AK3" s="37">
        <v>40848</v>
      </c>
      <c r="AL3" s="38">
        <v>40878</v>
      </c>
      <c r="AM3" s="38">
        <v>40909</v>
      </c>
      <c r="AN3" s="38">
        <v>40940</v>
      </c>
      <c r="AO3" s="37">
        <v>40969</v>
      </c>
      <c r="AP3" s="38">
        <v>41000</v>
      </c>
      <c r="AQ3" s="38">
        <v>41030</v>
      </c>
      <c r="AR3" s="41">
        <v>41061</v>
      </c>
      <c r="AS3" s="40">
        <v>41091</v>
      </c>
      <c r="AT3" s="38">
        <v>41122</v>
      </c>
      <c r="AU3" s="38">
        <v>41153</v>
      </c>
      <c r="AV3" s="38">
        <v>41183</v>
      </c>
      <c r="AW3" s="37">
        <v>41214</v>
      </c>
      <c r="AX3" s="38">
        <v>41244</v>
      </c>
      <c r="AY3" s="38">
        <v>41275</v>
      </c>
      <c r="AZ3" s="38">
        <v>41306</v>
      </c>
      <c r="BA3" s="37">
        <v>41334</v>
      </c>
      <c r="BB3" s="38">
        <v>41365</v>
      </c>
      <c r="BC3" s="38">
        <v>41395</v>
      </c>
      <c r="BD3" s="41">
        <v>41426</v>
      </c>
      <c r="BE3" s="40">
        <v>41456</v>
      </c>
      <c r="BF3" s="38">
        <v>41487</v>
      </c>
      <c r="BG3" s="38">
        <v>41518</v>
      </c>
      <c r="BH3" s="38">
        <v>41548</v>
      </c>
      <c r="BI3" s="37">
        <v>41579</v>
      </c>
      <c r="BJ3" s="38">
        <v>41609</v>
      </c>
      <c r="BK3" s="38">
        <v>41640</v>
      </c>
      <c r="BL3" s="38">
        <v>41671</v>
      </c>
      <c r="BM3" s="37">
        <v>41699</v>
      </c>
      <c r="BN3" s="38">
        <v>41730</v>
      </c>
      <c r="BO3" s="38">
        <v>41760</v>
      </c>
      <c r="BP3" s="41">
        <v>41791</v>
      </c>
      <c r="BQ3" s="40">
        <v>41821</v>
      </c>
      <c r="BR3" s="38">
        <v>41852</v>
      </c>
      <c r="BS3" s="38">
        <v>41883</v>
      </c>
      <c r="BT3" s="38">
        <v>41913</v>
      </c>
      <c r="BU3" s="37">
        <v>41944</v>
      </c>
      <c r="BV3" s="38">
        <v>41974</v>
      </c>
      <c r="BW3" s="38">
        <v>42005</v>
      </c>
      <c r="BX3" s="38">
        <v>42036</v>
      </c>
      <c r="BY3" s="37">
        <v>42064</v>
      </c>
      <c r="BZ3" s="38">
        <v>42095</v>
      </c>
      <c r="CA3" s="38">
        <v>42125</v>
      </c>
      <c r="CB3" s="41">
        <v>42156</v>
      </c>
      <c r="CC3" s="42">
        <v>42186</v>
      </c>
      <c r="CD3" s="38">
        <v>42217</v>
      </c>
      <c r="CE3" s="38">
        <v>42248</v>
      </c>
      <c r="CF3" s="38">
        <v>42278</v>
      </c>
      <c r="CG3" s="37">
        <v>42309</v>
      </c>
      <c r="CH3" s="38">
        <v>42339</v>
      </c>
      <c r="CI3" s="38">
        <v>42370</v>
      </c>
      <c r="CJ3" s="38">
        <v>42401</v>
      </c>
      <c r="CK3" s="37">
        <v>42430</v>
      </c>
      <c r="CL3" s="38">
        <v>42461</v>
      </c>
      <c r="CM3" s="38">
        <v>42491</v>
      </c>
      <c r="CN3" s="39">
        <v>42522</v>
      </c>
      <c r="CO3" s="40">
        <v>42552</v>
      </c>
      <c r="CP3" s="38">
        <v>42583</v>
      </c>
      <c r="CQ3" s="38">
        <v>42614</v>
      </c>
      <c r="CR3" s="38">
        <v>42644</v>
      </c>
      <c r="CS3" s="37">
        <v>42675</v>
      </c>
      <c r="CT3" s="38">
        <v>42705</v>
      </c>
      <c r="CU3" s="38">
        <v>42736</v>
      </c>
      <c r="CV3" s="38">
        <v>42767</v>
      </c>
      <c r="CW3" s="37">
        <v>42795</v>
      </c>
      <c r="CX3" s="38">
        <v>42826</v>
      </c>
      <c r="CY3" s="38">
        <v>42856</v>
      </c>
      <c r="CZ3" s="41">
        <v>42887</v>
      </c>
      <c r="DA3" s="40">
        <v>42917</v>
      </c>
      <c r="DB3" s="38">
        <v>42948</v>
      </c>
      <c r="DC3" s="38">
        <v>42979</v>
      </c>
      <c r="DD3" s="38">
        <v>43009</v>
      </c>
      <c r="DE3" s="37">
        <v>43040</v>
      </c>
      <c r="DF3" s="38">
        <v>43070</v>
      </c>
      <c r="DG3" s="38">
        <v>43101</v>
      </c>
      <c r="DH3" s="38">
        <v>43132</v>
      </c>
      <c r="DI3" s="37">
        <v>43160</v>
      </c>
      <c r="DJ3" s="38">
        <v>43191</v>
      </c>
      <c r="DK3" s="38">
        <v>43221</v>
      </c>
      <c r="DL3" s="41">
        <v>43252</v>
      </c>
      <c r="DM3" s="40">
        <v>43282</v>
      </c>
      <c r="DN3" s="38">
        <v>43313</v>
      </c>
      <c r="DO3" s="38">
        <v>43344</v>
      </c>
      <c r="DP3" s="38">
        <v>43374</v>
      </c>
      <c r="DQ3" s="37">
        <v>43405</v>
      </c>
      <c r="DR3" s="38">
        <v>43435</v>
      </c>
      <c r="DS3" s="38">
        <v>43466</v>
      </c>
      <c r="DT3" s="38">
        <v>43497</v>
      </c>
      <c r="DU3" s="37">
        <v>43525</v>
      </c>
      <c r="DV3" s="38">
        <v>43556</v>
      </c>
      <c r="DW3" s="38">
        <v>43586</v>
      </c>
      <c r="DX3" s="41">
        <v>43617</v>
      </c>
      <c r="DY3" s="40">
        <v>43647</v>
      </c>
      <c r="DZ3" s="38">
        <v>43678</v>
      </c>
      <c r="EA3" s="38">
        <v>43709</v>
      </c>
      <c r="EB3" s="38">
        <v>43739</v>
      </c>
      <c r="EC3" s="37">
        <v>43770</v>
      </c>
      <c r="ED3" s="38">
        <v>43800</v>
      </c>
      <c r="EE3" s="38">
        <v>43831</v>
      </c>
      <c r="EF3" s="38">
        <v>43862</v>
      </c>
      <c r="EG3" s="37">
        <v>43891</v>
      </c>
      <c r="EH3" s="38">
        <v>43922</v>
      </c>
      <c r="EI3" s="38">
        <v>43952</v>
      </c>
      <c r="EJ3" s="41">
        <v>43983</v>
      </c>
      <c r="EK3" s="40">
        <v>44013</v>
      </c>
      <c r="EL3" s="38">
        <v>44044</v>
      </c>
      <c r="EM3" s="38">
        <v>44075</v>
      </c>
      <c r="EN3" s="38">
        <v>44105</v>
      </c>
      <c r="EO3" s="37">
        <v>44136</v>
      </c>
      <c r="EP3" s="38">
        <v>44166</v>
      </c>
      <c r="EQ3" s="38">
        <v>44197</v>
      </c>
      <c r="ER3" s="38">
        <v>44228</v>
      </c>
      <c r="ES3" s="37">
        <v>44256</v>
      </c>
      <c r="ET3" s="38">
        <v>44287</v>
      </c>
      <c r="EU3" s="38">
        <v>44317</v>
      </c>
      <c r="EV3" s="41">
        <v>44348</v>
      </c>
      <c r="EW3" s="40">
        <v>44378</v>
      </c>
      <c r="EX3" s="38">
        <v>44409</v>
      </c>
      <c r="EY3" s="38">
        <v>44440</v>
      </c>
      <c r="EZ3" s="38">
        <v>44470</v>
      </c>
      <c r="FA3" s="37">
        <v>44501</v>
      </c>
      <c r="FB3" s="38">
        <v>44531</v>
      </c>
      <c r="FC3" s="38">
        <v>44562</v>
      </c>
      <c r="FD3" s="38">
        <v>44593</v>
      </c>
      <c r="FE3" s="37">
        <v>44621</v>
      </c>
      <c r="FF3" s="38">
        <v>44652</v>
      </c>
      <c r="FG3" s="38">
        <v>44682</v>
      </c>
      <c r="FH3" s="41">
        <v>44713</v>
      </c>
      <c r="FI3" s="40">
        <v>44764</v>
      </c>
      <c r="FJ3" s="38">
        <v>44795</v>
      </c>
      <c r="FK3" s="38">
        <v>44826</v>
      </c>
      <c r="FL3" s="38">
        <v>44856</v>
      </c>
      <c r="FM3" s="37">
        <v>44887</v>
      </c>
      <c r="FN3" s="38">
        <v>44917</v>
      </c>
      <c r="FO3" s="38">
        <v>44949</v>
      </c>
      <c r="FP3" s="38">
        <v>44980</v>
      </c>
      <c r="FQ3" s="37">
        <v>45008</v>
      </c>
      <c r="FR3" s="38">
        <v>45039</v>
      </c>
      <c r="FS3" s="38">
        <v>45069</v>
      </c>
      <c r="FT3" s="39">
        <v>45100</v>
      </c>
      <c r="FU3" s="40">
        <v>45130</v>
      </c>
      <c r="FV3" s="38">
        <v>45161</v>
      </c>
      <c r="FW3" s="38">
        <v>45192</v>
      </c>
      <c r="FX3" s="38">
        <v>45222</v>
      </c>
      <c r="FY3" s="37">
        <v>45253</v>
      </c>
      <c r="FZ3" s="38">
        <v>45283</v>
      </c>
      <c r="GA3" s="38">
        <v>45315</v>
      </c>
      <c r="GB3" s="38">
        <v>45345</v>
      </c>
      <c r="GC3" s="37">
        <v>45374</v>
      </c>
      <c r="GD3" s="38">
        <v>45405</v>
      </c>
      <c r="GE3" s="38">
        <v>45435</v>
      </c>
      <c r="GF3" s="38">
        <v>45466</v>
      </c>
      <c r="GG3" s="38">
        <v>45496</v>
      </c>
      <c r="GH3" s="38">
        <v>45527</v>
      </c>
      <c r="GI3" s="38">
        <v>45558</v>
      </c>
      <c r="GJ3" s="38">
        <v>45588</v>
      </c>
      <c r="GK3" s="38">
        <v>45619</v>
      </c>
      <c r="GL3" s="38">
        <v>45649</v>
      </c>
    </row>
    <row r="4" spans="1:194" s="1" customFormat="1" ht="15" thickBot="1" x14ac:dyDescent="0.35">
      <c r="A4" s="168" t="s">
        <v>96</v>
      </c>
      <c r="B4" s="170"/>
      <c r="C4" s="161"/>
      <c r="D4" s="161"/>
      <c r="E4" s="162"/>
      <c r="F4" s="161"/>
      <c r="G4" s="161"/>
      <c r="H4" s="163"/>
      <c r="I4" s="165"/>
      <c r="J4" s="161"/>
      <c r="K4" s="161"/>
      <c r="L4" s="161"/>
      <c r="M4" s="162"/>
      <c r="N4" s="161"/>
      <c r="O4" s="161"/>
      <c r="P4" s="161"/>
      <c r="Q4" s="162"/>
      <c r="R4" s="161"/>
      <c r="S4" s="161"/>
      <c r="T4" s="166"/>
      <c r="U4" s="164"/>
      <c r="V4" s="161"/>
      <c r="W4" s="161"/>
      <c r="X4" s="161"/>
      <c r="Y4" s="162"/>
      <c r="Z4" s="161"/>
      <c r="AA4" s="161"/>
      <c r="AB4" s="161"/>
      <c r="AC4" s="162"/>
      <c r="AD4" s="161"/>
      <c r="AE4" s="161"/>
      <c r="AF4" s="163"/>
      <c r="AG4" s="165"/>
      <c r="AH4" s="161"/>
      <c r="AI4" s="161"/>
      <c r="AJ4" s="161"/>
      <c r="AK4" s="162"/>
      <c r="AL4" s="161"/>
      <c r="AM4" s="161"/>
      <c r="AN4" s="161"/>
      <c r="AO4" s="162"/>
      <c r="AP4" s="161"/>
      <c r="AQ4" s="161"/>
      <c r="AR4" s="166"/>
      <c r="AS4" s="164"/>
      <c r="AT4" s="161"/>
      <c r="AU4" s="161"/>
      <c r="AV4" s="161"/>
      <c r="AW4" s="162"/>
      <c r="AX4" s="161"/>
      <c r="AY4" s="161"/>
      <c r="AZ4" s="161"/>
      <c r="BA4" s="162"/>
      <c r="BB4" s="161"/>
      <c r="BC4" s="161"/>
      <c r="BD4" s="163"/>
      <c r="BE4" s="165"/>
      <c r="BF4" s="161"/>
      <c r="BG4" s="161"/>
      <c r="BH4" s="161"/>
      <c r="BI4" s="162"/>
      <c r="BJ4" s="161"/>
      <c r="BK4" s="161"/>
      <c r="BL4" s="161"/>
      <c r="BM4" s="162"/>
      <c r="BN4" s="161"/>
      <c r="BO4" s="161"/>
      <c r="BP4" s="166"/>
      <c r="BQ4" s="164"/>
      <c r="BR4" s="161"/>
      <c r="BS4" s="161"/>
      <c r="BT4" s="161"/>
      <c r="BU4" s="162"/>
      <c r="BV4" s="161"/>
      <c r="BW4" s="161"/>
      <c r="BX4" s="161"/>
      <c r="BY4" s="162"/>
      <c r="BZ4" s="161"/>
      <c r="CA4" s="161"/>
      <c r="CB4" s="163"/>
      <c r="CC4" s="165"/>
      <c r="CD4" s="161"/>
      <c r="CE4" s="161"/>
      <c r="CF4" s="161"/>
      <c r="CG4" s="162"/>
      <c r="CH4" s="161"/>
      <c r="CI4" s="161"/>
      <c r="CJ4" s="161"/>
      <c r="CK4" s="162"/>
      <c r="CL4" s="161"/>
      <c r="CM4" s="161"/>
      <c r="CN4" s="166"/>
      <c r="CO4" s="164"/>
      <c r="CP4" s="161"/>
      <c r="CQ4" s="161"/>
      <c r="CR4" s="161"/>
      <c r="CS4" s="162"/>
      <c r="CT4" s="161"/>
      <c r="CU4" s="161"/>
      <c r="CV4" s="161"/>
      <c r="CW4" s="162"/>
      <c r="CX4" s="161"/>
      <c r="CY4" s="161"/>
      <c r="CZ4" s="163"/>
      <c r="DA4" s="164"/>
      <c r="DB4" s="161"/>
      <c r="DC4" s="161"/>
      <c r="DD4" s="161"/>
      <c r="DE4" s="162"/>
      <c r="DF4" s="161"/>
      <c r="DG4" s="161"/>
      <c r="DH4" s="161"/>
      <c r="DI4" s="162"/>
      <c r="DJ4" s="161"/>
      <c r="DK4" s="161"/>
      <c r="DL4" s="163"/>
      <c r="DM4" s="164"/>
      <c r="DN4" s="161"/>
      <c r="DO4" s="161"/>
      <c r="DP4" s="161"/>
      <c r="DQ4" s="162"/>
      <c r="DR4" s="161"/>
      <c r="DS4" s="161"/>
      <c r="DT4" s="161"/>
      <c r="DU4" s="162"/>
      <c r="DV4" s="161"/>
      <c r="DW4" s="161"/>
      <c r="DX4" s="163"/>
      <c r="DY4" s="164"/>
      <c r="DZ4" s="161"/>
      <c r="EA4" s="161"/>
      <c r="EB4" s="161"/>
      <c r="EC4" s="162"/>
      <c r="ED4" s="161"/>
      <c r="EE4" s="161"/>
      <c r="EF4" s="161"/>
      <c r="EG4" s="162"/>
      <c r="EH4" s="161"/>
      <c r="EI4" s="161"/>
      <c r="EJ4" s="163"/>
      <c r="EK4" s="164"/>
      <c r="EL4" s="161"/>
      <c r="EM4" s="161"/>
      <c r="EN4" s="161"/>
      <c r="EO4" s="162"/>
      <c r="EP4" s="161"/>
      <c r="EQ4" s="161"/>
      <c r="ER4" s="161"/>
      <c r="ES4" s="162"/>
      <c r="ET4" s="161"/>
      <c r="EU4" s="161"/>
      <c r="EV4" s="163"/>
      <c r="EW4" s="164"/>
      <c r="EX4" s="161"/>
      <c r="EY4" s="161"/>
      <c r="EZ4" s="161"/>
      <c r="FA4" s="162"/>
      <c r="FB4" s="161"/>
      <c r="FC4" s="161"/>
      <c r="FD4" s="161"/>
      <c r="FE4" s="162"/>
      <c r="FF4" s="161"/>
      <c r="FG4" s="161"/>
      <c r="FH4" s="163"/>
      <c r="FI4" s="164"/>
      <c r="FJ4" s="161"/>
      <c r="FK4" s="161"/>
      <c r="FL4" s="161"/>
      <c r="FM4" s="162"/>
      <c r="FN4" s="161"/>
      <c r="FO4" s="161"/>
      <c r="FP4" s="161"/>
      <c r="FQ4" s="162"/>
      <c r="FR4" s="161"/>
      <c r="FS4" s="161"/>
      <c r="FT4" s="166"/>
      <c r="FU4" s="164"/>
      <c r="FV4" s="161"/>
      <c r="FW4" s="161"/>
      <c r="FX4" s="161"/>
      <c r="FY4" s="162"/>
      <c r="FZ4" s="161"/>
      <c r="GA4" s="13">
        <f>'Total Weekday Boardings'!GA4/23</f>
        <v>296.73913043478262</v>
      </c>
      <c r="GB4" s="13">
        <f>'Total Weekday Boardings'!GB4/21</f>
        <v>1563.0952380952381</v>
      </c>
      <c r="GC4" s="13">
        <f>'Total Weekday Boardings'!GC4/21</f>
        <v>1441</v>
      </c>
      <c r="GD4" s="13">
        <f>'Total Weekday Boardings'!GD4/22</f>
        <v>1481.7272727272727</v>
      </c>
      <c r="GE4" s="13">
        <f>'Total Weekday Boardings'!GE4/23</f>
        <v>1385.5652173913043</v>
      </c>
      <c r="GF4" s="13">
        <f>'Total Weekday Boardings'!GF4/20</f>
        <v>1379.35</v>
      </c>
      <c r="GG4" s="13">
        <f>'Total Weekday Boardings'!GG4/22</f>
        <v>1583.8181818181818</v>
      </c>
      <c r="GH4" s="13">
        <f>'Total Weekday Boardings'!GH4/23</f>
        <v>1557.8260869565217</v>
      </c>
      <c r="GI4" s="13">
        <f>'Total Weekday Boardings'!GI4/21</f>
        <v>545.85714285714289</v>
      </c>
      <c r="GJ4" s="13">
        <f>'Total Weekday Boardings'!GJ4/23</f>
        <v>1668.4347826086957</v>
      </c>
      <c r="GK4" s="13">
        <f>'Total Weekday Boardings'!GK4/21</f>
        <v>1386.7619047619048</v>
      </c>
      <c r="GL4" s="13">
        <f>'Total Weekday Boardings'!GL4/22</f>
        <v>1517.6363636363637</v>
      </c>
    </row>
    <row r="5" spans="1:194" s="1" customFormat="1" ht="15" thickBot="1" x14ac:dyDescent="0.35">
      <c r="A5" s="168" t="s">
        <v>97</v>
      </c>
      <c r="B5" s="170"/>
      <c r="C5" s="161"/>
      <c r="D5" s="161"/>
      <c r="E5" s="162"/>
      <c r="F5" s="161"/>
      <c r="G5" s="161"/>
      <c r="H5" s="163"/>
      <c r="I5" s="165"/>
      <c r="J5" s="161"/>
      <c r="K5" s="161"/>
      <c r="L5" s="161"/>
      <c r="M5" s="162"/>
      <c r="N5" s="161"/>
      <c r="O5" s="161"/>
      <c r="P5" s="161"/>
      <c r="Q5" s="162"/>
      <c r="R5" s="161"/>
      <c r="S5" s="161"/>
      <c r="T5" s="166"/>
      <c r="U5" s="164"/>
      <c r="V5" s="161"/>
      <c r="W5" s="161"/>
      <c r="X5" s="161"/>
      <c r="Y5" s="162"/>
      <c r="Z5" s="161"/>
      <c r="AA5" s="161"/>
      <c r="AB5" s="161"/>
      <c r="AC5" s="162"/>
      <c r="AD5" s="161"/>
      <c r="AE5" s="161"/>
      <c r="AF5" s="163"/>
      <c r="AG5" s="165"/>
      <c r="AH5" s="161"/>
      <c r="AI5" s="161"/>
      <c r="AJ5" s="161"/>
      <c r="AK5" s="162"/>
      <c r="AL5" s="161"/>
      <c r="AM5" s="161"/>
      <c r="AN5" s="161"/>
      <c r="AO5" s="162"/>
      <c r="AP5" s="161"/>
      <c r="AQ5" s="161"/>
      <c r="AR5" s="166"/>
      <c r="AS5" s="164"/>
      <c r="AT5" s="161"/>
      <c r="AU5" s="161"/>
      <c r="AV5" s="161"/>
      <c r="AW5" s="162"/>
      <c r="AX5" s="161"/>
      <c r="AY5" s="161"/>
      <c r="AZ5" s="161"/>
      <c r="BA5" s="162"/>
      <c r="BB5" s="161"/>
      <c r="BC5" s="161"/>
      <c r="BD5" s="163"/>
      <c r="BE5" s="165"/>
      <c r="BF5" s="161"/>
      <c r="BG5" s="161"/>
      <c r="BH5" s="161"/>
      <c r="BI5" s="162"/>
      <c r="BJ5" s="161"/>
      <c r="BK5" s="161"/>
      <c r="BL5" s="161"/>
      <c r="BM5" s="162"/>
      <c r="BN5" s="161"/>
      <c r="BO5" s="161"/>
      <c r="BP5" s="166"/>
      <c r="BQ5" s="164"/>
      <c r="BR5" s="161"/>
      <c r="BS5" s="161"/>
      <c r="BT5" s="161"/>
      <c r="BU5" s="162"/>
      <c r="BV5" s="161"/>
      <c r="BW5" s="161"/>
      <c r="BX5" s="161"/>
      <c r="BY5" s="162"/>
      <c r="BZ5" s="161"/>
      <c r="CA5" s="161"/>
      <c r="CB5" s="163"/>
      <c r="CC5" s="165"/>
      <c r="CD5" s="161"/>
      <c r="CE5" s="161"/>
      <c r="CF5" s="161"/>
      <c r="CG5" s="162"/>
      <c r="CH5" s="161"/>
      <c r="CI5" s="161"/>
      <c r="CJ5" s="161"/>
      <c r="CK5" s="162"/>
      <c r="CL5" s="161"/>
      <c r="CM5" s="161"/>
      <c r="CN5" s="166"/>
      <c r="CO5" s="164"/>
      <c r="CP5" s="161"/>
      <c r="CQ5" s="161"/>
      <c r="CR5" s="161"/>
      <c r="CS5" s="162"/>
      <c r="CT5" s="161"/>
      <c r="CU5" s="161"/>
      <c r="CV5" s="161"/>
      <c r="CW5" s="162"/>
      <c r="CX5" s="161"/>
      <c r="CY5" s="161"/>
      <c r="CZ5" s="163"/>
      <c r="DA5" s="164"/>
      <c r="DB5" s="161"/>
      <c r="DC5" s="161"/>
      <c r="DD5" s="161"/>
      <c r="DE5" s="162"/>
      <c r="DF5" s="161"/>
      <c r="DG5" s="161"/>
      <c r="DH5" s="161"/>
      <c r="DI5" s="162"/>
      <c r="DJ5" s="161"/>
      <c r="DK5" s="161"/>
      <c r="DL5" s="163"/>
      <c r="DM5" s="164"/>
      <c r="DN5" s="161"/>
      <c r="DO5" s="161"/>
      <c r="DP5" s="161"/>
      <c r="DQ5" s="162"/>
      <c r="DR5" s="161"/>
      <c r="DS5" s="161"/>
      <c r="DT5" s="161"/>
      <c r="DU5" s="162"/>
      <c r="DV5" s="161"/>
      <c r="DW5" s="161"/>
      <c r="DX5" s="163"/>
      <c r="DY5" s="164"/>
      <c r="DZ5" s="161"/>
      <c r="EA5" s="161"/>
      <c r="EB5" s="161"/>
      <c r="EC5" s="162"/>
      <c r="ED5" s="161"/>
      <c r="EE5" s="161"/>
      <c r="EF5" s="161"/>
      <c r="EG5" s="162"/>
      <c r="EH5" s="161"/>
      <c r="EI5" s="161"/>
      <c r="EJ5" s="163"/>
      <c r="EK5" s="164"/>
      <c r="EL5" s="161"/>
      <c r="EM5" s="161"/>
      <c r="EN5" s="161"/>
      <c r="EO5" s="162"/>
      <c r="EP5" s="161"/>
      <c r="EQ5" s="161"/>
      <c r="ER5" s="161"/>
      <c r="ES5" s="162"/>
      <c r="ET5" s="161"/>
      <c r="EU5" s="161"/>
      <c r="EV5" s="163"/>
      <c r="EW5" s="164"/>
      <c r="EX5" s="161"/>
      <c r="EY5" s="161"/>
      <c r="EZ5" s="161"/>
      <c r="FA5" s="162"/>
      <c r="FB5" s="161"/>
      <c r="FC5" s="161"/>
      <c r="FD5" s="161"/>
      <c r="FE5" s="162"/>
      <c r="FF5" s="161"/>
      <c r="FG5" s="161"/>
      <c r="FH5" s="163"/>
      <c r="FI5" s="164"/>
      <c r="FJ5" s="161"/>
      <c r="FK5" s="161"/>
      <c r="FL5" s="161"/>
      <c r="FM5" s="162"/>
      <c r="FN5" s="161"/>
      <c r="FO5" s="161"/>
      <c r="FP5" s="161"/>
      <c r="FQ5" s="162"/>
      <c r="FR5" s="161"/>
      <c r="FS5" s="161"/>
      <c r="FT5" s="166"/>
      <c r="FU5" s="164"/>
      <c r="FV5" s="161"/>
      <c r="FW5" s="161"/>
      <c r="FX5" s="161"/>
      <c r="FY5" s="162"/>
      <c r="FZ5" s="161"/>
      <c r="GA5" s="13">
        <f>'Total Weekday Boardings'!GA5/23</f>
        <v>17.217391304347824</v>
      </c>
      <c r="GB5" s="13">
        <f>'Total Weekday Boardings'!GB5/21</f>
        <v>120.9047619047619</v>
      </c>
      <c r="GC5" s="13">
        <f>'Total Weekday Boardings'!GC5/21</f>
        <v>126.95238095238095</v>
      </c>
      <c r="GD5" s="13">
        <f>'Total Weekday Boardings'!GD5/22</f>
        <v>130.95454545454547</v>
      </c>
      <c r="GE5" s="13">
        <f>'Total Weekday Boardings'!GE5/23</f>
        <v>96.782608695652172</v>
      </c>
      <c r="GF5" s="13">
        <f>'Total Weekday Boardings'!GF5/20</f>
        <v>111.05</v>
      </c>
      <c r="GG5" s="13">
        <f>'Total Weekday Boardings'!GG5/22</f>
        <v>121.5</v>
      </c>
      <c r="GH5" s="13">
        <f>'Total Weekday Boardings'!GH5/23</f>
        <v>135.69565217391303</v>
      </c>
      <c r="GI5" s="13">
        <f>'Total Weekday Boardings'!GI5/21</f>
        <v>29.904761904761905</v>
      </c>
      <c r="GJ5" s="13">
        <f>'Total Weekday Boardings'!GJ5/23</f>
        <v>163.34782608695653</v>
      </c>
      <c r="GK5" s="13">
        <f>'Total Weekday Boardings'!GK5/21</f>
        <v>154.66666666666666</v>
      </c>
      <c r="GL5" s="13">
        <f>'Total Weekday Boardings'!GL5/22</f>
        <v>134.86363636363637</v>
      </c>
    </row>
    <row r="6" spans="1:194" s="1" customFormat="1" ht="15" thickBot="1" x14ac:dyDescent="0.35">
      <c r="A6" s="168" t="s">
        <v>98</v>
      </c>
      <c r="B6" s="170"/>
      <c r="C6" s="161"/>
      <c r="D6" s="161"/>
      <c r="E6" s="162"/>
      <c r="F6" s="161"/>
      <c r="G6" s="161"/>
      <c r="H6" s="163"/>
      <c r="I6" s="165"/>
      <c r="J6" s="161"/>
      <c r="K6" s="161"/>
      <c r="L6" s="161"/>
      <c r="M6" s="162"/>
      <c r="N6" s="161"/>
      <c r="O6" s="161"/>
      <c r="P6" s="161"/>
      <c r="Q6" s="162"/>
      <c r="R6" s="161"/>
      <c r="S6" s="161"/>
      <c r="T6" s="166"/>
      <c r="U6" s="164"/>
      <c r="V6" s="161"/>
      <c r="W6" s="161"/>
      <c r="X6" s="161"/>
      <c r="Y6" s="162"/>
      <c r="Z6" s="161"/>
      <c r="AA6" s="161"/>
      <c r="AB6" s="161"/>
      <c r="AC6" s="162"/>
      <c r="AD6" s="161"/>
      <c r="AE6" s="161"/>
      <c r="AF6" s="163"/>
      <c r="AG6" s="165"/>
      <c r="AH6" s="161"/>
      <c r="AI6" s="161"/>
      <c r="AJ6" s="161"/>
      <c r="AK6" s="162"/>
      <c r="AL6" s="161"/>
      <c r="AM6" s="161"/>
      <c r="AN6" s="161"/>
      <c r="AO6" s="162"/>
      <c r="AP6" s="161"/>
      <c r="AQ6" s="161"/>
      <c r="AR6" s="166"/>
      <c r="AS6" s="164"/>
      <c r="AT6" s="161"/>
      <c r="AU6" s="161"/>
      <c r="AV6" s="161"/>
      <c r="AW6" s="162"/>
      <c r="AX6" s="161"/>
      <c r="AY6" s="161"/>
      <c r="AZ6" s="161"/>
      <c r="BA6" s="162"/>
      <c r="BB6" s="161"/>
      <c r="BC6" s="161"/>
      <c r="BD6" s="163"/>
      <c r="BE6" s="165"/>
      <c r="BF6" s="161"/>
      <c r="BG6" s="161"/>
      <c r="BH6" s="161"/>
      <c r="BI6" s="162"/>
      <c r="BJ6" s="161"/>
      <c r="BK6" s="161"/>
      <c r="BL6" s="161"/>
      <c r="BM6" s="162"/>
      <c r="BN6" s="161"/>
      <c r="BO6" s="161"/>
      <c r="BP6" s="166"/>
      <c r="BQ6" s="164"/>
      <c r="BR6" s="161"/>
      <c r="BS6" s="161"/>
      <c r="BT6" s="161"/>
      <c r="BU6" s="162"/>
      <c r="BV6" s="161"/>
      <c r="BW6" s="161"/>
      <c r="BX6" s="161"/>
      <c r="BY6" s="162"/>
      <c r="BZ6" s="161"/>
      <c r="CA6" s="161"/>
      <c r="CB6" s="163"/>
      <c r="CC6" s="165"/>
      <c r="CD6" s="161"/>
      <c r="CE6" s="161"/>
      <c r="CF6" s="161"/>
      <c r="CG6" s="162"/>
      <c r="CH6" s="161"/>
      <c r="CI6" s="161"/>
      <c r="CJ6" s="161"/>
      <c r="CK6" s="162"/>
      <c r="CL6" s="161"/>
      <c r="CM6" s="161"/>
      <c r="CN6" s="166"/>
      <c r="CO6" s="164"/>
      <c r="CP6" s="161"/>
      <c r="CQ6" s="161"/>
      <c r="CR6" s="161"/>
      <c r="CS6" s="162"/>
      <c r="CT6" s="161"/>
      <c r="CU6" s="161"/>
      <c r="CV6" s="161"/>
      <c r="CW6" s="162"/>
      <c r="CX6" s="161"/>
      <c r="CY6" s="161"/>
      <c r="CZ6" s="163"/>
      <c r="DA6" s="164"/>
      <c r="DB6" s="161"/>
      <c r="DC6" s="161"/>
      <c r="DD6" s="161"/>
      <c r="DE6" s="162"/>
      <c r="DF6" s="161"/>
      <c r="DG6" s="161"/>
      <c r="DH6" s="161"/>
      <c r="DI6" s="162"/>
      <c r="DJ6" s="161"/>
      <c r="DK6" s="161"/>
      <c r="DL6" s="163"/>
      <c r="DM6" s="164"/>
      <c r="DN6" s="161"/>
      <c r="DO6" s="161"/>
      <c r="DP6" s="161"/>
      <c r="DQ6" s="162"/>
      <c r="DR6" s="161"/>
      <c r="DS6" s="161"/>
      <c r="DT6" s="161"/>
      <c r="DU6" s="162"/>
      <c r="DV6" s="161"/>
      <c r="DW6" s="161"/>
      <c r="DX6" s="163"/>
      <c r="DY6" s="164"/>
      <c r="DZ6" s="161"/>
      <c r="EA6" s="161"/>
      <c r="EB6" s="161"/>
      <c r="EC6" s="162"/>
      <c r="ED6" s="161"/>
      <c r="EE6" s="161"/>
      <c r="EF6" s="161"/>
      <c r="EG6" s="162"/>
      <c r="EH6" s="161"/>
      <c r="EI6" s="161"/>
      <c r="EJ6" s="163"/>
      <c r="EK6" s="164"/>
      <c r="EL6" s="161"/>
      <c r="EM6" s="161"/>
      <c r="EN6" s="161"/>
      <c r="EO6" s="162"/>
      <c r="EP6" s="161"/>
      <c r="EQ6" s="161"/>
      <c r="ER6" s="161"/>
      <c r="ES6" s="162"/>
      <c r="ET6" s="161"/>
      <c r="EU6" s="161"/>
      <c r="EV6" s="163"/>
      <c r="EW6" s="164"/>
      <c r="EX6" s="161"/>
      <c r="EY6" s="161"/>
      <c r="EZ6" s="161"/>
      <c r="FA6" s="162"/>
      <c r="FB6" s="161"/>
      <c r="FC6" s="161"/>
      <c r="FD6" s="161"/>
      <c r="FE6" s="162"/>
      <c r="FF6" s="161"/>
      <c r="FG6" s="161"/>
      <c r="FH6" s="163"/>
      <c r="FI6" s="164"/>
      <c r="FJ6" s="161"/>
      <c r="FK6" s="161"/>
      <c r="FL6" s="161"/>
      <c r="FM6" s="162"/>
      <c r="FN6" s="161"/>
      <c r="FO6" s="161"/>
      <c r="FP6" s="161"/>
      <c r="FQ6" s="162"/>
      <c r="FR6" s="161"/>
      <c r="FS6" s="161"/>
      <c r="FT6" s="166"/>
      <c r="FU6" s="164"/>
      <c r="FV6" s="161"/>
      <c r="FW6" s="161"/>
      <c r="FX6" s="161"/>
      <c r="FY6" s="162"/>
      <c r="FZ6" s="161"/>
      <c r="GA6" s="13">
        <f>'Total Weekday Boardings'!GA6/23</f>
        <v>22.217391304347824</v>
      </c>
      <c r="GB6" s="13">
        <f>'Total Weekday Boardings'!GB6/21</f>
        <v>193.57142857142858</v>
      </c>
      <c r="GC6" s="13">
        <f>'Total Weekday Boardings'!GC6/21</f>
        <v>191.1904761904762</v>
      </c>
      <c r="GD6" s="13">
        <f>'Total Weekday Boardings'!GD6/22</f>
        <v>173.40909090909091</v>
      </c>
      <c r="GE6" s="13">
        <f>'Total Weekday Boardings'!GE6/23</f>
        <v>160.47826086956522</v>
      </c>
      <c r="GF6" s="13">
        <f>'Total Weekday Boardings'!GF6/20</f>
        <v>180.1</v>
      </c>
      <c r="GG6" s="186">
        <f>'Total Weekday Boardings'!GG6/22</f>
        <v>192.18181818181819</v>
      </c>
      <c r="GH6" s="13">
        <f>'Total Weekday Boardings'!GH6/23</f>
        <v>198.08695652173913</v>
      </c>
      <c r="GI6" s="13">
        <f>'Total Weekday Boardings'!GI6/21</f>
        <v>48.476190476190474</v>
      </c>
      <c r="GJ6" s="13">
        <f>'Total Weekday Boardings'!GJ6/23</f>
        <v>206.13043478260869</v>
      </c>
      <c r="GK6" s="13">
        <f>'Total Weekday Boardings'!GK6/21</f>
        <v>204.95238095238096</v>
      </c>
      <c r="GL6" s="13">
        <f>'Total Weekday Boardings'!GL6/22</f>
        <v>184.5</v>
      </c>
    </row>
    <row r="7" spans="1:194" ht="15" thickBot="1" x14ac:dyDescent="0.35">
      <c r="A7" s="6" t="s">
        <v>32</v>
      </c>
      <c r="B7" s="12"/>
      <c r="C7" s="13"/>
      <c r="D7" s="13"/>
      <c r="E7" s="13"/>
      <c r="F7" s="13"/>
      <c r="G7" s="13"/>
      <c r="H7" s="14"/>
      <c r="I7" s="15"/>
      <c r="J7" s="13"/>
      <c r="K7" s="13"/>
      <c r="L7" s="13"/>
      <c r="M7" s="13"/>
      <c r="N7" s="13"/>
      <c r="O7" s="13"/>
      <c r="P7" s="13"/>
      <c r="Q7" s="13"/>
      <c r="R7" s="13"/>
      <c r="S7" s="13"/>
      <c r="T7" s="16"/>
      <c r="U7" s="12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5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6"/>
      <c r="AS7" s="12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4"/>
      <c r="BE7" s="15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6"/>
      <c r="BQ7" s="12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4"/>
      <c r="CC7" s="15"/>
      <c r="CD7" s="13"/>
      <c r="CE7" s="13"/>
      <c r="CF7" s="13"/>
      <c r="CG7" s="13"/>
      <c r="CH7" s="13"/>
      <c r="CI7" s="13"/>
      <c r="CJ7" s="13"/>
      <c r="CK7" s="13">
        <f>'Total Weekday Boardings'!CK7/'Service Days per Month'!CK$8</f>
        <v>2131.1111111111113</v>
      </c>
      <c r="CL7" s="13">
        <f>'Total Weekday Boardings'!CL7/'Service Days per Month'!CL$4</f>
        <v>2350.5714285714284</v>
      </c>
      <c r="CM7" s="13">
        <f>'Total Weekday Boardings'!CM7/'Service Days per Month'!CM$4</f>
        <v>2337.0952380952381</v>
      </c>
      <c r="CN7" s="16">
        <f>'Total Weekday Boardings'!CN7/'Service Days per Month'!CN$4</f>
        <v>2517.090909090909</v>
      </c>
      <c r="CO7" s="12">
        <f>'Total Weekday Boardings'!CO7/'Service Days per Month'!CO$4</f>
        <v>2513.9</v>
      </c>
      <c r="CP7" s="13">
        <f>'Total Weekday Boardings'!CP7/'Service Days per Month'!CP$4</f>
        <v>2594.521739130435</v>
      </c>
      <c r="CQ7" s="13">
        <f>'Total Weekday Boardings'!CQ7/'Service Days per Month'!CQ$4</f>
        <v>2538.3333333333335</v>
      </c>
      <c r="CR7" s="13">
        <f>'Total Weekday Boardings'!CR7/'Service Days per Month'!CR$4</f>
        <v>2552.6190476190477</v>
      </c>
      <c r="CS7" s="13">
        <f>'Total Weekday Boardings'!CS7/'Service Days per Month'!CS$4</f>
        <v>2566.7894736842104</v>
      </c>
      <c r="CT7" s="13">
        <f>'Total Weekday Boardings'!CT7/'Service Days per Month'!CT$4</f>
        <v>2516.8095238095239</v>
      </c>
      <c r="CU7" s="13">
        <f>'Total Weekday Boardings'!CU7/'Service Days per Month'!CU$4</f>
        <v>2641.5</v>
      </c>
      <c r="CV7" s="13">
        <f>'Total Weekday Boardings'!CV7/'Service Days per Month'!CV$4</f>
        <v>2814.8421052631579</v>
      </c>
      <c r="CW7" s="13">
        <f>'Total Weekday Boardings'!CW7/'Service Days per Month'!CW$4</f>
        <v>2706.608695652174</v>
      </c>
      <c r="CX7" s="13">
        <f>'Total Weekday Boardings'!CX7/'Service Days per Month'!CX$4</f>
        <v>2670.15</v>
      </c>
      <c r="CY7" s="13">
        <f>'Total Weekday Boardings'!CY7/'Service Days per Month'!CY$4</f>
        <v>2836.7727272727275</v>
      </c>
      <c r="CZ7" s="14">
        <f>'Total Weekday Boardings'!CZ7/'Service Days per Month'!CZ$4</f>
        <v>2741.4545454545455</v>
      </c>
      <c r="DA7" s="12">
        <f>'Total Weekday Boardings'!DA7/'Service Days per Month'!DA$4</f>
        <v>2816.5</v>
      </c>
      <c r="DB7" s="13">
        <f>'Total Weekday Boardings'!DB7/'Service Days per Month'!DB$4</f>
        <v>3063.608695652174</v>
      </c>
      <c r="DC7" s="13">
        <f>'Total Weekday Boardings'!DC7/'Service Days per Month'!DC$4</f>
        <v>3106.6</v>
      </c>
      <c r="DD7" s="13">
        <f>'Total Weekday Boardings'!DD7/'Service Days per Month'!DD$4</f>
        <v>3058.181818181818</v>
      </c>
      <c r="DE7" s="13">
        <f>'Total Weekday Boardings'!DE7/'Service Days per Month'!DE$4</f>
        <v>2871.7894736842104</v>
      </c>
      <c r="DF7" s="13">
        <f>'Total Weekday Boardings'!DF7/'Service Days per Month'!DF$4</f>
        <v>2982.35</v>
      </c>
      <c r="DG7" s="13">
        <f>'Total Weekday Boardings'!DG7/'Service Days per Month'!DG$4</f>
        <v>2936.2857142857142</v>
      </c>
      <c r="DH7" s="13">
        <f>'Total Weekday Boardings'!DH7/'Service Days per Month'!DH$4</f>
        <v>3081.8947368421054</v>
      </c>
      <c r="DI7" s="13">
        <f>'Total Weekday Boardings'!DI7/'Service Days per Month'!DI$4</f>
        <v>3041.7727272727275</v>
      </c>
      <c r="DJ7" s="13">
        <f>'Total Weekday Boardings'!DJ7/'Service Days per Month'!DJ$4</f>
        <v>3074.2380952380954</v>
      </c>
      <c r="DK7" s="13">
        <f>'Total Weekday Boardings'!DK7/'Service Days per Month'!DK$4</f>
        <v>2912.4545454545455</v>
      </c>
      <c r="DL7" s="14">
        <f>'Total Weekday Boardings'!DL7/'Service Days per Month'!DL$4</f>
        <v>2857.3333333333335</v>
      </c>
      <c r="DM7" s="12">
        <f>'Total Weekday Boardings'!DM7/'Service Days per Month'!DM$4</f>
        <v>2843.5238095238096</v>
      </c>
      <c r="DN7" s="13">
        <f>'Total Weekday Boardings'!DN7/'Service Days per Month'!DN$4</f>
        <v>2930.9565217391305</v>
      </c>
      <c r="DO7" s="13">
        <f>'Total Weekday Boardings'!DO7/'Service Days per Month'!DO$4</f>
        <v>3142.5263157894738</v>
      </c>
      <c r="DP7" s="13">
        <f>'Total Weekday Boardings'!DP7/'Service Days per Month'!DP$4</f>
        <v>2935.1304347826085</v>
      </c>
      <c r="DQ7" s="13">
        <f>'Total Weekday Boardings'!DQ7/'Service Days per Month'!DQ$4</f>
        <v>2931.9523809523807</v>
      </c>
      <c r="DR7" s="13">
        <f>'Total Weekday Boardings'!DR7/'Service Days per Month'!DR$4</f>
        <v>2941</v>
      </c>
      <c r="DS7" s="13">
        <f>'Total Weekday Boardings'!DS7/'Service Days per Month'!DS$4</f>
        <v>2860.1363636363635</v>
      </c>
      <c r="DT7" s="13">
        <f>'Total Weekday Boardings'!DT7/'Service Days per Month'!DT$4</f>
        <v>2839.1</v>
      </c>
      <c r="DU7" s="13">
        <f>'Total Weekday Boardings'!DU7/'Service Days per Month'!DU$4</f>
        <v>2835.6190476190477</v>
      </c>
      <c r="DV7" s="13">
        <f>'Total Weekday Boardings'!DV7/'Service Days per Month'!DV$4</f>
        <v>2842.681818181818</v>
      </c>
      <c r="DW7" s="13">
        <f>'Total Weekday Boardings'!DW7/'Service Days per Month'!DW$4</f>
        <v>2905.5</v>
      </c>
      <c r="DX7" s="14">
        <f>'Total Weekday Boardings'!DX7/'Service Days per Month'!DX$4</f>
        <v>2776.8</v>
      </c>
      <c r="DY7" s="12">
        <f>'Total Weekday Boardings'!DY7/'Service Days per Month'!DY$4</f>
        <v>2768.3636363636365</v>
      </c>
      <c r="DZ7" s="13">
        <f>'Total Weekday Boardings'!DZ7/'Service Days per Month'!DZ$4</f>
        <v>2882.681818181818</v>
      </c>
      <c r="EA7" s="13">
        <f>'Total Weekday Boardings'!EA7/'Service Days per Month'!EA$4</f>
        <v>2927.65</v>
      </c>
      <c r="EB7" s="13">
        <f>'Total Weekday Boardings'!EB7/'Service Days per Month'!EB$4</f>
        <v>2865.2608695652175</v>
      </c>
      <c r="EC7" s="13">
        <f>'Total Weekday Boardings'!EC7/'Service Days per Month'!EC$4</f>
        <v>2876.2</v>
      </c>
      <c r="ED7" s="13">
        <f>'Total Weekday Boardings'!ED7/'Service Days per Month'!ED$4</f>
        <v>2885.5714285714284</v>
      </c>
      <c r="EE7" s="13">
        <f>'Total Weekday Boardings'!EE7/'Service Days per Month'!EE$4</f>
        <v>2906</v>
      </c>
      <c r="EF7" s="13">
        <f>'Total Weekday Boardings'!EF7/'Service Days per Month'!EF$4</f>
        <v>3127.25</v>
      </c>
      <c r="EG7" s="13">
        <f>'Total Weekday Boardings'!EG7/'Service Days per Month'!EG$4</f>
        <v>2606.1363636363635</v>
      </c>
      <c r="EH7" s="13">
        <f>'Total Weekday Boardings'!EH7/'Service Days per Month'!EH$4</f>
        <v>1833.090909090909</v>
      </c>
      <c r="EI7" s="13">
        <f>'Total Weekday Boardings'!EI7/'Service Days per Month'!EI$4</f>
        <v>1743.85</v>
      </c>
      <c r="EJ7" s="14">
        <f>'Total Weekday Boardings'!EJ7/'Service Days per Month'!EJ$4</f>
        <v>1600</v>
      </c>
      <c r="EK7" s="12">
        <f>'Total Weekday Boardings'!EK7/'Service Days per Month'!EK$4</f>
        <v>1601.7727272727273</v>
      </c>
      <c r="EL7" s="13">
        <f>'Total Weekday Boardings'!EL7/'Service Days per Month'!EL$4</f>
        <v>1651.6666666666667</v>
      </c>
      <c r="EM7" s="13">
        <f>'Total Weekday Boardings'!EM7/'Service Days per Month'!EM$4</f>
        <v>1577.8571428571429</v>
      </c>
      <c r="EN7" s="13">
        <f>'Total Weekday Boardings'!EN7/'Service Days per Month'!EN$4</f>
        <v>1549.590909090909</v>
      </c>
      <c r="EO7" s="13">
        <f>'Total Weekday Boardings'!EO7/'Service Days per Month'!EO$4</f>
        <v>1621.6</v>
      </c>
      <c r="EP7" s="13">
        <f>'Total Weekday Boardings'!EP7/'Service Days per Month'!EP$4</f>
        <v>1302.1363636363637</v>
      </c>
      <c r="EQ7" s="13">
        <f>'Total Weekday Boardings'!EQ7/'Service Days per Month'!EQ$4</f>
        <v>662.95238095238096</v>
      </c>
      <c r="ER7" s="13">
        <f>'Total Weekday Boardings'!ER7/'Service Days per Month'!ER$4</f>
        <v>1487.5</v>
      </c>
      <c r="ES7" s="13">
        <f>'Total Weekday Boardings'!ES7/'Service Days per Month'!ES$4</f>
        <v>1454.9130434782608</v>
      </c>
      <c r="ET7" s="13">
        <f>'Total Weekday Boardings'!ET7/'Service Days per Month'!ET$4</f>
        <v>1511.2727272727273</v>
      </c>
      <c r="EU7" s="13">
        <f>'Total Weekday Boardings'!EU7/'Service Days per Month'!EU$4</f>
        <v>1468.3</v>
      </c>
      <c r="EV7" s="14">
        <f>'Total Weekday Boardings'!EV7/'Service Days per Month'!EV$4</f>
        <v>1464.590909090909</v>
      </c>
      <c r="EW7" s="12">
        <f>'Total Weekday Boardings'!EW7/'Service Days per Month'!EW$4</f>
        <v>1480.8095238095239</v>
      </c>
      <c r="EX7" s="13">
        <f>'Total Weekday Boardings'!EX7/'Service Days per Month'!EX$4</f>
        <v>1417.6363636363637</v>
      </c>
      <c r="EY7" s="13">
        <f>'Total Weekday Boardings'!EY7/'Service Days per Month'!EY$4</f>
        <v>1476.952380952381</v>
      </c>
      <c r="EZ7" s="13">
        <f>'Total Weekday Boardings'!EZ7/'Service Days per Month'!EZ$4</f>
        <v>1522.5714285714287</v>
      </c>
      <c r="FA7" s="13">
        <f>'Total Weekday Boardings'!FA7/'Service Days per Month'!FA$4</f>
        <v>1485.8095238095239</v>
      </c>
      <c r="FB7" s="13">
        <f>'Total Weekday Boardings'!FB7/'Service Days per Month'!FB$4</f>
        <v>1533.6818181818182</v>
      </c>
      <c r="FC7" s="13">
        <f>'Total Weekday Boardings'!FC7/'Service Days per Month'!FC$4</f>
        <v>1528.047619047619</v>
      </c>
      <c r="FD7" s="13">
        <f>'Total Weekday Boardings'!FD7/'Service Days per Month'!FD$4</f>
        <v>1870.9</v>
      </c>
      <c r="FE7" s="13">
        <f>'Total Weekday Boardings'!FE7/'Service Days per Month'!FE$4</f>
        <v>1801.6521739130435</v>
      </c>
      <c r="FF7" s="13">
        <f>'Total Weekday Boardings'!FF7/'Service Days per Month'!FF$4</f>
        <v>1705</v>
      </c>
      <c r="FG7" s="13">
        <f>'Total Weekday Boardings'!FG7/'Service Days per Month'!FG$4</f>
        <v>1670.5714285714287</v>
      </c>
      <c r="FH7" s="14">
        <f>'Total Weekday Boardings'!FH7/'Service Days per Month'!FH$4</f>
        <v>1508.5454545454545</v>
      </c>
      <c r="FI7" s="12">
        <v>1645.85</v>
      </c>
      <c r="FJ7" s="13">
        <v>1748.6521739130435</v>
      </c>
      <c r="FK7" s="13">
        <v>1867.6666666666667</v>
      </c>
      <c r="FL7" s="13">
        <v>1752.8571428571429</v>
      </c>
      <c r="FM7" s="13">
        <v>1615.952380952381</v>
      </c>
      <c r="FN7" s="13">
        <v>1585.2857142857142</v>
      </c>
      <c r="FO7" s="13">
        <v>1651.2857142857142</v>
      </c>
      <c r="FP7" s="13">
        <v>942.2</v>
      </c>
      <c r="FQ7" s="13">
        <v>1798.391304347826</v>
      </c>
      <c r="FR7" s="13">
        <f>'Total Weekday Boardings'!FR7/20</f>
        <v>1912.2</v>
      </c>
      <c r="FS7" s="13">
        <f>'Total Weekday Boardings'!FS7/22</f>
        <v>1780.0454545454545</v>
      </c>
      <c r="FT7" s="16">
        <f>'Total Weekday Boardings'!FT7/23</f>
        <v>1573.0434782608695</v>
      </c>
      <c r="FU7" s="12">
        <f>'Total Weekday Boardings'!FU7/21</f>
        <v>1731.2380952380952</v>
      </c>
      <c r="FV7" s="13">
        <f>'Total Weekday Boardings'!FV7/23</f>
        <v>1815</v>
      </c>
      <c r="FW7" s="13">
        <f>'Total Weekday Boardings'!FW7/21</f>
        <v>1600.5238095238096</v>
      </c>
      <c r="FX7" s="13">
        <f>'Total Weekday Boardings'!FX7/22</f>
        <v>1969.6363636363637</v>
      </c>
      <c r="FY7" s="13">
        <f>'Total Weekday Boardings'!FY7/22</f>
        <v>1914.909090909091</v>
      </c>
      <c r="FZ7" s="13">
        <f>'Total Weekday Boardings'!FZ7/21</f>
        <v>1977.7619047619048</v>
      </c>
      <c r="GA7" s="13">
        <f>'Total Weekday Boardings'!GA7/23</f>
        <v>1913.4347826086957</v>
      </c>
      <c r="GB7" s="13">
        <f>'Total Weekday Boardings'!GB7/21</f>
        <v>943.47619047619048</v>
      </c>
      <c r="GC7" s="13">
        <f>'Total Weekday Boardings'!GC7/21</f>
        <v>1001.952380952381</v>
      </c>
      <c r="GD7" s="13">
        <f>'Total Weekday Boardings'!GD7/22</f>
        <v>832.5454545454545</v>
      </c>
      <c r="GE7" s="13">
        <f>'Total Weekday Boardings'!GE7/23</f>
        <v>775.04347826086962</v>
      </c>
      <c r="GF7" s="13">
        <f>'Total Weekday Boardings'!GF7/20</f>
        <v>830</v>
      </c>
      <c r="GG7" s="21">
        <f>'Total Weekday Boardings'!GG7/22</f>
        <v>795.86363636363637</v>
      </c>
      <c r="GH7" s="13">
        <f>'Total Weekday Boardings'!GH7/23</f>
        <v>795.86956521739125</v>
      </c>
      <c r="GI7" s="13">
        <f>'Total Weekday Boardings'!GI7/21</f>
        <v>2186.2380952380954</v>
      </c>
      <c r="GJ7" s="13">
        <f>'Total Weekday Boardings'!GJ7/23</f>
        <v>798.26086956521738</v>
      </c>
      <c r="GK7" s="13">
        <f>'Total Weekday Boardings'!GK7/21</f>
        <v>889.61904761904759</v>
      </c>
      <c r="GL7" s="13">
        <f>'Total Weekday Boardings'!GL7/22</f>
        <v>710.31818181818187</v>
      </c>
    </row>
    <row r="8" spans="1:194" ht="15" thickBot="1" x14ac:dyDescent="0.35">
      <c r="A8" s="2" t="s">
        <v>30</v>
      </c>
      <c r="B8" s="17"/>
      <c r="C8" s="18"/>
      <c r="D8" s="18"/>
      <c r="E8" s="18"/>
      <c r="F8" s="18"/>
      <c r="G8" s="18"/>
      <c r="H8" s="19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7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7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  <c r="AS8" s="1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9"/>
      <c r="BE8" s="17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9"/>
      <c r="BQ8" s="17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9"/>
      <c r="CC8" s="20"/>
      <c r="CD8" s="18"/>
      <c r="CE8" s="18"/>
      <c r="CF8" s="18"/>
      <c r="CG8" s="18"/>
      <c r="CH8" s="18"/>
      <c r="CI8" s="18"/>
      <c r="CJ8" s="18"/>
      <c r="CK8" s="18">
        <f>'Total Weekday Boardings'!CK8/'Service Days per Month'!CK$8</f>
        <v>847.77777777777783</v>
      </c>
      <c r="CL8" s="18">
        <f>'Total Weekday Boardings'!CL8/'Service Days per Month'!CL$4</f>
        <v>968.90476190476193</v>
      </c>
      <c r="CM8" s="18">
        <f>'Total Weekday Boardings'!CM8/'Service Days per Month'!CM$4</f>
        <v>1024.4285714285713</v>
      </c>
      <c r="CN8" s="21">
        <f>'Total Weekday Boardings'!CN8/'Service Days per Month'!CN$4</f>
        <v>1018.1818181818181</v>
      </c>
      <c r="CO8" s="17">
        <f>'Total Weekday Boardings'!CO8/'Service Days per Month'!CO$4</f>
        <v>1039.25</v>
      </c>
      <c r="CP8" s="18">
        <f>'Total Weekday Boardings'!CP8/'Service Days per Month'!CP$4</f>
        <v>1078.695652173913</v>
      </c>
      <c r="CQ8" s="18">
        <f>'Total Weekday Boardings'!CQ8/'Service Days per Month'!CQ$4</f>
        <v>1079.5714285714287</v>
      </c>
      <c r="CR8" s="18">
        <f>'Total Weekday Boardings'!CR8/'Service Days per Month'!CR$4</f>
        <v>1120.8571428571429</v>
      </c>
      <c r="CS8" s="18">
        <f>'Total Weekday Boardings'!CS8/'Service Days per Month'!CS$4</f>
        <v>1122.2105263157894</v>
      </c>
      <c r="CT8" s="18">
        <f>'Total Weekday Boardings'!CT8/'Service Days per Month'!CT$4</f>
        <v>1093.4761904761904</v>
      </c>
      <c r="CU8" s="18">
        <f>'Total Weekday Boardings'!CU8/'Service Days per Month'!CU$4</f>
        <v>1168.3</v>
      </c>
      <c r="CV8" s="18">
        <f>'Total Weekday Boardings'!CV8/'Service Days per Month'!CV$4</f>
        <v>1242.9473684210527</v>
      </c>
      <c r="CW8" s="18">
        <f>'Total Weekday Boardings'!CW8/'Service Days per Month'!CW$4</f>
        <v>1187</v>
      </c>
      <c r="CX8" s="18">
        <f>'Total Weekday Boardings'!CX8/'Service Days per Month'!CX$4</f>
        <v>1200.3499999999999</v>
      </c>
      <c r="CY8" s="18">
        <f>'Total Weekday Boardings'!CY8/'Service Days per Month'!CY$4</f>
        <v>1163.8636363636363</v>
      </c>
      <c r="CZ8" s="19">
        <f>'Total Weekday Boardings'!CZ8/'Service Days per Month'!CZ$4</f>
        <v>1119.8181818181818</v>
      </c>
      <c r="DA8" s="17">
        <f>'Total Weekday Boardings'!DA8/'Service Days per Month'!DA$4</f>
        <v>1085.95</v>
      </c>
      <c r="DB8" s="18">
        <f>'Total Weekday Boardings'!DB8/'Service Days per Month'!DB$4</f>
        <v>1194.0434782608695</v>
      </c>
      <c r="DC8" s="18">
        <f>'Total Weekday Boardings'!DC8/'Service Days per Month'!DC$4</f>
        <v>1211.5</v>
      </c>
      <c r="DD8" s="18">
        <f>'Total Weekday Boardings'!DD8/'Service Days per Month'!DD$4</f>
        <v>1219.5454545454545</v>
      </c>
      <c r="DE8" s="18">
        <f>'Total Weekday Boardings'!DE8/'Service Days per Month'!DE$4</f>
        <v>1251.421052631579</v>
      </c>
      <c r="DF8" s="18">
        <f>'Total Weekday Boardings'!DF8/'Service Days per Month'!DF$4</f>
        <v>1215.6500000000001</v>
      </c>
      <c r="DG8" s="18">
        <f>'Total Weekday Boardings'!DG8/'Service Days per Month'!DG$4</f>
        <v>1284.3333333333333</v>
      </c>
      <c r="DH8" s="18">
        <f>'Total Weekday Boardings'!DH8/'Service Days per Month'!DH$4</f>
        <v>1300.8421052631579</v>
      </c>
      <c r="DI8" s="18">
        <f>'Total Weekday Boardings'!DI8/'Service Days per Month'!DI$4</f>
        <v>1256.4545454545455</v>
      </c>
      <c r="DJ8" s="18">
        <f>'Total Weekday Boardings'!DJ8/'Service Days per Month'!DJ$4</f>
        <v>1243.0952380952381</v>
      </c>
      <c r="DK8" s="18">
        <f>'Total Weekday Boardings'!DK8/'Service Days per Month'!DK$4</f>
        <v>1168</v>
      </c>
      <c r="DL8" s="19">
        <f>'Total Weekday Boardings'!DL8/'Service Days per Month'!DL$4</f>
        <v>1125.6666666666667</v>
      </c>
      <c r="DM8" s="17">
        <f>'Total Weekday Boardings'!DM8/'Service Days per Month'!DM$4</f>
        <v>1116.1904761904761</v>
      </c>
      <c r="DN8" s="18">
        <f>'Total Weekday Boardings'!DN8/'Service Days per Month'!DN$4</f>
        <v>1205.8260869565217</v>
      </c>
      <c r="DO8" s="18">
        <f>'Total Weekday Boardings'!DO8/'Service Days per Month'!DO$4</f>
        <v>1236</v>
      </c>
      <c r="DP8" s="18">
        <f>'Total Weekday Boardings'!DP8/'Service Days per Month'!DP$4</f>
        <v>1261.5217391304348</v>
      </c>
      <c r="DQ8" s="18">
        <f>'Total Weekday Boardings'!DQ8/'Service Days per Month'!DQ$4</f>
        <v>1245.952380952381</v>
      </c>
      <c r="DR8" s="18">
        <f>'Total Weekday Boardings'!DR8/'Service Days per Month'!DR$4</f>
        <v>1170.8499999999999</v>
      </c>
      <c r="DS8" s="18">
        <f>'Total Weekday Boardings'!DS8/'Service Days per Month'!DS$4</f>
        <v>1209.909090909091</v>
      </c>
      <c r="DT8" s="18">
        <f>'Total Weekday Boardings'!DT8/'Service Days per Month'!DT$4</f>
        <v>1218.2</v>
      </c>
      <c r="DU8" s="18">
        <f>'Total Weekday Boardings'!DU8/'Service Days per Month'!DU$4</f>
        <v>1153.3333333333333</v>
      </c>
      <c r="DV8" s="18">
        <f>'Total Weekday Boardings'!DV8/'Service Days per Month'!DV$4</f>
        <v>1098.9545454545455</v>
      </c>
      <c r="DW8" s="18">
        <f>'Total Weekday Boardings'!DW8/'Service Days per Month'!DW$4</f>
        <v>1127.6363636363637</v>
      </c>
      <c r="DX8" s="19">
        <f>'Total Weekday Boardings'!DX8/'Service Days per Month'!DX$4</f>
        <v>1071.8</v>
      </c>
      <c r="DY8" s="17">
        <f>'Total Weekday Boardings'!DY8/'Service Days per Month'!DY$4</f>
        <v>1009.6818181818181</v>
      </c>
      <c r="DZ8" s="18">
        <f>'Total Weekday Boardings'!DZ8/'Service Days per Month'!DZ$4</f>
        <v>1000.6818181818181</v>
      </c>
      <c r="EA8" s="18">
        <f>'Total Weekday Boardings'!EA8/'Service Days per Month'!EA$4</f>
        <v>1080.25</v>
      </c>
      <c r="EB8" s="18">
        <f>'Total Weekday Boardings'!EB8/'Service Days per Month'!EB$4</f>
        <v>1130.9130434782608</v>
      </c>
      <c r="EC8" s="18">
        <f>'Total Weekday Boardings'!EC8/'Service Days per Month'!EC$4</f>
        <v>1142</v>
      </c>
      <c r="ED8" s="18">
        <f>'Total Weekday Boardings'!ED8/'Service Days per Month'!ED$4</f>
        <v>1119.9047619047619</v>
      </c>
      <c r="EE8" s="18">
        <f>'Total Weekday Boardings'!EE8/'Service Days per Month'!EE$4</f>
        <v>1090.9130434782608</v>
      </c>
      <c r="EF8" s="18">
        <f>'Total Weekday Boardings'!EF8/'Service Days per Month'!EF$4</f>
        <v>1174.9000000000001</v>
      </c>
      <c r="EG8" s="18">
        <f>'Total Weekday Boardings'!EG8/'Service Days per Month'!EG$4</f>
        <v>946.31818181818187</v>
      </c>
      <c r="EH8" s="18">
        <f>'Total Weekday Boardings'!EH8/'Service Days per Month'!EH$4</f>
        <v>620.5454545454545</v>
      </c>
      <c r="EI8" s="18">
        <f>'Total Weekday Boardings'!EI8/'Service Days per Month'!EI$4</f>
        <v>616.15</v>
      </c>
      <c r="EJ8" s="19">
        <f>'Total Weekday Boardings'!EJ8/'Service Days per Month'!EJ$4</f>
        <v>563.9545454545455</v>
      </c>
      <c r="EK8" s="17">
        <f>'Total Weekday Boardings'!EK8/'Service Days per Month'!EK$4</f>
        <v>520</v>
      </c>
      <c r="EL8" s="18">
        <f>'Total Weekday Boardings'!EL8/'Service Days per Month'!EL$4</f>
        <v>501.33333333333331</v>
      </c>
      <c r="EM8" s="18">
        <f>'Total Weekday Boardings'!EM8/'Service Days per Month'!EM$4</f>
        <v>509.38095238095241</v>
      </c>
      <c r="EN8" s="18">
        <f>'Total Weekday Boardings'!EN8/'Service Days per Month'!EN$4</f>
        <v>532.81818181818187</v>
      </c>
      <c r="EO8" s="18">
        <f>'Total Weekday Boardings'!EO8/'Service Days per Month'!EO$4</f>
        <v>514.20000000000005</v>
      </c>
      <c r="EP8" s="18">
        <f>'Total Weekday Boardings'!EP8/'Service Days per Month'!EP$4</f>
        <v>422.63636363636363</v>
      </c>
      <c r="EQ8" s="18">
        <f>'Total Weekday Boardings'!EQ8/'Service Days per Month'!EQ$4</f>
        <v>237.28571428571428</v>
      </c>
      <c r="ER8" s="18">
        <f>'Total Weekday Boardings'!ER8/'Service Days per Month'!ER$4</f>
        <v>455.1</v>
      </c>
      <c r="ES8" s="18">
        <f>'Total Weekday Boardings'!ES8/'Service Days per Month'!ES$4</f>
        <v>473.13043478260869</v>
      </c>
      <c r="ET8" s="18">
        <f>'Total Weekday Boardings'!ET8/'Service Days per Month'!ET$4</f>
        <v>509.59090909090907</v>
      </c>
      <c r="EU8" s="18">
        <f>'Total Weekday Boardings'!EU8/'Service Days per Month'!EU$4</f>
        <v>464.8</v>
      </c>
      <c r="EV8" s="19">
        <f>'Total Weekday Boardings'!EV8/'Service Days per Month'!EV$4</f>
        <v>469.36363636363637</v>
      </c>
      <c r="EW8" s="17">
        <f>'Total Weekday Boardings'!EW8/'Service Days per Month'!EW$4</f>
        <v>472.14285714285717</v>
      </c>
      <c r="EX8" s="18">
        <f>'Total Weekday Boardings'!EX8/'Service Days per Month'!EX$4</f>
        <v>498.90909090909093</v>
      </c>
      <c r="EY8" s="18">
        <f>'Total Weekday Boardings'!EY8/'Service Days per Month'!EY$4</f>
        <v>531.52380952380952</v>
      </c>
      <c r="EZ8" s="18">
        <f>'Total Weekday Boardings'!EZ8/'Service Days per Month'!EZ$4</f>
        <v>581.52380952380952</v>
      </c>
      <c r="FA8" s="18">
        <f>'Total Weekday Boardings'!FA8/'Service Days per Month'!FA$4</f>
        <v>619.04761904761904</v>
      </c>
      <c r="FB8" s="18">
        <f>'Total Weekday Boardings'!FB8/'Service Days per Month'!FB$4</f>
        <v>586.81818181818187</v>
      </c>
      <c r="FC8" s="18">
        <f>'Total Weekday Boardings'!FC8/'Service Days per Month'!FC$4</f>
        <v>558.47619047619048</v>
      </c>
      <c r="FD8" s="18">
        <f>'Total Weekday Boardings'!FD8/'Service Days per Month'!FD$4</f>
        <v>717.9</v>
      </c>
      <c r="FE8" s="18">
        <f>'Total Weekday Boardings'!FE8/'Service Days per Month'!FE$4</f>
        <v>741.60869565217388</v>
      </c>
      <c r="FF8" s="18">
        <f>'Total Weekday Boardings'!FF8/'Service Days per Month'!FF$4</f>
        <v>696.52380952380952</v>
      </c>
      <c r="FG8" s="18">
        <f>'Total Weekday Boardings'!FG8/'Service Days per Month'!FG$4</f>
        <v>690.28571428571433</v>
      </c>
      <c r="FH8" s="19">
        <f>'Total Weekday Boardings'!FH8/'Service Days per Month'!FH$4</f>
        <v>562.22727272727275</v>
      </c>
      <c r="FI8" s="17">
        <v>572.54999999999995</v>
      </c>
      <c r="FJ8" s="18">
        <v>648.17391304347825</v>
      </c>
      <c r="FK8" s="18">
        <v>725.33333333333337</v>
      </c>
      <c r="FL8" s="18">
        <v>737.09523809523807</v>
      </c>
      <c r="FM8" s="18">
        <v>678.28571428571433</v>
      </c>
      <c r="FN8" s="18">
        <v>689.85714285714289</v>
      </c>
      <c r="FO8" s="18">
        <v>724.09523809523807</v>
      </c>
      <c r="FP8" s="18">
        <v>695.4</v>
      </c>
      <c r="FQ8" s="18">
        <v>775.695652173913</v>
      </c>
      <c r="FR8" s="18">
        <f>'Total Weekday Boardings'!FR8/20</f>
        <v>816.4</v>
      </c>
      <c r="FS8" s="18">
        <f>'Total Weekday Boardings'!FS8/22</f>
        <v>796.9545454545455</v>
      </c>
      <c r="FT8" s="21">
        <f>'Total Weekday Boardings'!FT8/23</f>
        <v>693.91304347826087</v>
      </c>
      <c r="FU8" s="17">
        <f>'Total Weekday Boardings'!FU8/21</f>
        <v>724.80952380952385</v>
      </c>
      <c r="FV8" s="18">
        <f>'Total Weekday Boardings'!FV8/23</f>
        <v>767.60869565217388</v>
      </c>
      <c r="FW8" s="18">
        <f>'Total Weekday Boardings'!FW8/21</f>
        <v>736.90476190476193</v>
      </c>
      <c r="FX8" s="18">
        <f>'Total Weekday Boardings'!FX8/22</f>
        <v>804.9545454545455</v>
      </c>
      <c r="FY8" s="18">
        <f>'Total Weekday Boardings'!FY8/22</f>
        <v>751.09090909090912</v>
      </c>
      <c r="FZ8" s="18">
        <f>'Total Weekday Boardings'!FZ8/21</f>
        <v>685.85714285714289</v>
      </c>
      <c r="GA8" s="18">
        <f>'Total Weekday Boardings'!GA8/23</f>
        <v>693.47826086956525</v>
      </c>
      <c r="GB8" s="18">
        <f>'Total Weekday Boardings'!GB8/21</f>
        <v>760</v>
      </c>
      <c r="GC8" s="18">
        <f>'Total Weekday Boardings'!GC8/21</f>
        <v>734.19047619047615</v>
      </c>
      <c r="GD8" s="18">
        <f>'Total Weekday Boardings'!GD8/22</f>
        <v>688.27272727272725</v>
      </c>
      <c r="GE8" s="13">
        <f>'Total Weekday Boardings'!GE8/23</f>
        <v>662.95652173913038</v>
      </c>
      <c r="GF8" s="13">
        <f>'Total Weekday Boardings'!GF8/20</f>
        <v>661.15</v>
      </c>
      <c r="GG8" s="21">
        <f>'Total Weekday Boardings'!GG8/22</f>
        <v>631.09090909090912</v>
      </c>
      <c r="GH8" s="13">
        <f>'Total Weekday Boardings'!GH8/23</f>
        <v>679</v>
      </c>
      <c r="GI8" s="13">
        <f>'Total Weekday Boardings'!GI8/21</f>
        <v>718.76190476190482</v>
      </c>
      <c r="GJ8" s="13">
        <f>'Total Weekday Boardings'!GJ8/23</f>
        <v>726</v>
      </c>
      <c r="GK8" s="13">
        <f>'Total Weekday Boardings'!GK8/21</f>
        <v>688.28571428571433</v>
      </c>
      <c r="GL8" s="13">
        <f>'Total Weekday Boardings'!GL8/22</f>
        <v>655.72727272727275</v>
      </c>
    </row>
    <row r="9" spans="1:194" ht="15" thickBot="1" x14ac:dyDescent="0.35">
      <c r="A9" s="7" t="s">
        <v>31</v>
      </c>
      <c r="B9" s="22"/>
      <c r="C9" s="23"/>
      <c r="D9" s="23"/>
      <c r="E9" s="23"/>
      <c r="F9" s="23"/>
      <c r="G9" s="23"/>
      <c r="H9" s="24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2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22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4"/>
      <c r="AS9" s="22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4"/>
      <c r="BE9" s="22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4"/>
      <c r="BQ9" s="22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4"/>
      <c r="CC9" s="25"/>
      <c r="CD9" s="23"/>
      <c r="CE9" s="23"/>
      <c r="CF9" s="23"/>
      <c r="CG9" s="23"/>
      <c r="CH9" s="23"/>
      <c r="CI9" s="23"/>
      <c r="CJ9" s="23"/>
      <c r="CK9" s="23">
        <f>'Total Weekday Boardings'!CK9/'Service Days per Month'!CK$8</f>
        <v>1123.3333333333333</v>
      </c>
      <c r="CL9" s="23">
        <f>'Total Weekday Boardings'!CL9/'Service Days per Month'!CL$4</f>
        <v>1273.8095238095239</v>
      </c>
      <c r="CM9" s="23">
        <f>'Total Weekday Boardings'!CM9/'Service Days per Month'!CM$4</f>
        <v>1315.0952380952381</v>
      </c>
      <c r="CN9" s="26">
        <f>'Total Weekday Boardings'!CN9/'Service Days per Month'!CN$4</f>
        <v>1310.909090909091</v>
      </c>
      <c r="CO9" s="22">
        <f>'Total Weekday Boardings'!CO9/'Service Days per Month'!CO$4</f>
        <v>1360.1</v>
      </c>
      <c r="CP9" s="23">
        <f>'Total Weekday Boardings'!CP9/'Service Days per Month'!CP$4</f>
        <v>1429.608695652174</v>
      </c>
      <c r="CQ9" s="23">
        <f>'Total Weekday Boardings'!CQ9/'Service Days per Month'!CQ$4</f>
        <v>1466.4285714285713</v>
      </c>
      <c r="CR9" s="23">
        <f>'Total Weekday Boardings'!CR9/'Service Days per Month'!CR$4</f>
        <v>1511.7619047619048</v>
      </c>
      <c r="CS9" s="23">
        <f>'Total Weekday Boardings'!CS9/'Service Days per Month'!CS$4</f>
        <v>1455.6842105263158</v>
      </c>
      <c r="CT9" s="23">
        <f>'Total Weekday Boardings'!CT9/'Service Days per Month'!CT$4</f>
        <v>1461.8571428571429</v>
      </c>
      <c r="CU9" s="23">
        <f>'Total Weekday Boardings'!CU9/'Service Days per Month'!CU$4</f>
        <v>1521.9</v>
      </c>
      <c r="CV9" s="23">
        <f>'Total Weekday Boardings'!CV9/'Service Days per Month'!CV$4</f>
        <v>1578.1578947368421</v>
      </c>
      <c r="CW9" s="23">
        <f>'Total Weekday Boardings'!CW9/'Service Days per Month'!CW$4</f>
        <v>1498.9130434782608</v>
      </c>
      <c r="CX9" s="23">
        <f>'Total Weekday Boardings'!CX9/'Service Days per Month'!CX$4</f>
        <v>1522.3</v>
      </c>
      <c r="CY9" s="23">
        <f>'Total Weekday Boardings'!CY9/'Service Days per Month'!CY$4</f>
        <v>1426.7727272727273</v>
      </c>
      <c r="CZ9" s="24">
        <f>'Total Weekday Boardings'!CZ9/'Service Days per Month'!CZ$4</f>
        <v>1319.1363636363637</v>
      </c>
      <c r="DA9" s="22">
        <f>'Total Weekday Boardings'!DA9/'Service Days per Month'!DA$4</f>
        <v>1318.4</v>
      </c>
      <c r="DB9" s="23">
        <f>'Total Weekday Boardings'!DB9/'Service Days per Month'!DB$4</f>
        <v>1458.8260869565217</v>
      </c>
      <c r="DC9" s="23">
        <f>'Total Weekday Boardings'!DC9/'Service Days per Month'!DC$4</f>
        <v>1530.85</v>
      </c>
      <c r="DD9" s="23">
        <f>'Total Weekday Boardings'!DD9/'Service Days per Month'!DD$4</f>
        <v>1549.7727272727273</v>
      </c>
      <c r="DE9" s="23">
        <f>'Total Weekday Boardings'!DE9/'Service Days per Month'!DE$4</f>
        <v>1570.1578947368421</v>
      </c>
      <c r="DF9" s="23">
        <f>'Total Weekday Boardings'!DF9/'Service Days per Month'!DF$4</f>
        <v>1505.2</v>
      </c>
      <c r="DG9" s="23">
        <f>'Total Weekday Boardings'!DG9/'Service Days per Month'!DG$4</f>
        <v>1572.1428571428571</v>
      </c>
      <c r="DH9" s="23">
        <f>'Total Weekday Boardings'!DH9/'Service Days per Month'!DH$4</f>
        <v>1619.421052631579</v>
      </c>
      <c r="DI9" s="23">
        <f>'Total Weekday Boardings'!DI9/'Service Days per Month'!DI$4</f>
        <v>1564.8181818181818</v>
      </c>
      <c r="DJ9" s="23">
        <f>'Total Weekday Boardings'!DJ9/'Service Days per Month'!DJ$4</f>
        <v>1551.7142857142858</v>
      </c>
      <c r="DK9" s="23">
        <f>'Total Weekday Boardings'!DK9/'Service Days per Month'!DK$4</f>
        <v>1470.6818181818182</v>
      </c>
      <c r="DL9" s="24">
        <f>'Total Weekday Boardings'!DL9/'Service Days per Month'!DL$4</f>
        <v>1409.1904761904761</v>
      </c>
      <c r="DM9" s="22">
        <f>'Total Weekday Boardings'!DM9/'Service Days per Month'!DM$4</f>
        <v>1317.3809523809523</v>
      </c>
      <c r="DN9" s="23">
        <f>'Total Weekday Boardings'!DN9/'Service Days per Month'!DN$4</f>
        <v>1446.391304347826</v>
      </c>
      <c r="DO9" s="23">
        <f>'Total Weekday Boardings'!DO9/'Service Days per Month'!DO$4</f>
        <v>1479.3684210526317</v>
      </c>
      <c r="DP9" s="23">
        <f>'Total Weekday Boardings'!DP9/'Service Days per Month'!DP$4</f>
        <v>1535.0869565217392</v>
      </c>
      <c r="DQ9" s="23">
        <f>'Total Weekday Boardings'!DQ9/'Service Days per Month'!DQ$4</f>
        <v>1565.4761904761904</v>
      </c>
      <c r="DR9" s="23">
        <f>'Total Weekday Boardings'!DR9/'Service Days per Month'!DR$4</f>
        <v>1469.25</v>
      </c>
      <c r="DS9" s="23">
        <f>'Total Weekday Boardings'!DS9/'Service Days per Month'!DS$4</f>
        <v>1463.6363636363637</v>
      </c>
      <c r="DT9" s="23">
        <f>'Total Weekday Boardings'!DT9/'Service Days per Month'!DT$4</f>
        <v>1470.15</v>
      </c>
      <c r="DU9" s="23">
        <f>'Total Weekday Boardings'!DU9/'Service Days per Month'!DU$4</f>
        <v>1433.952380952381</v>
      </c>
      <c r="DV9" s="23">
        <f>'Total Weekday Boardings'!DV9/'Service Days per Month'!DV$4</f>
        <v>1410.909090909091</v>
      </c>
      <c r="DW9" s="23">
        <f>'Total Weekday Boardings'!DW9/'Service Days per Month'!DW$4</f>
        <v>1417</v>
      </c>
      <c r="DX9" s="24">
        <f>'Total Weekday Boardings'!DX9/'Service Days per Month'!DX$4</f>
        <v>1265.05</v>
      </c>
      <c r="DY9" s="22">
        <f>'Total Weekday Boardings'!DY9/'Service Days per Month'!DY$4</f>
        <v>1209.7727272727273</v>
      </c>
      <c r="DZ9" s="23">
        <f>'Total Weekday Boardings'!DZ9/'Service Days per Month'!DZ$4</f>
        <v>1310.2272727272727</v>
      </c>
      <c r="EA9" s="23">
        <f>'Total Weekday Boardings'!EA9/'Service Days per Month'!EA$4</f>
        <v>1381.4</v>
      </c>
      <c r="EB9" s="23">
        <f>'Total Weekday Boardings'!EB9/'Service Days per Month'!EB$4</f>
        <v>1457.9130434782608</v>
      </c>
      <c r="EC9" s="23">
        <f>'Total Weekday Boardings'!EC9/'Service Days per Month'!EC$4</f>
        <v>1464.45</v>
      </c>
      <c r="ED9" s="23">
        <f>'Total Weekday Boardings'!ED9/'Service Days per Month'!ED$4</f>
        <v>1355.5714285714287</v>
      </c>
      <c r="EE9" s="23">
        <f>'Total Weekday Boardings'!EE9/'Service Days per Month'!EE$4</f>
        <v>1318.7391304347825</v>
      </c>
      <c r="EF9" s="23">
        <f>'Total Weekday Boardings'!EF9/'Service Days per Month'!EF$4</f>
        <v>1439.6</v>
      </c>
      <c r="EG9" s="23">
        <f>'Total Weekday Boardings'!EG9/'Service Days per Month'!EG$4</f>
        <v>1134.8636363636363</v>
      </c>
      <c r="EH9" s="23">
        <f>'Total Weekday Boardings'!EH9/'Service Days per Month'!EH$4</f>
        <v>779.90909090909088</v>
      </c>
      <c r="EI9" s="23">
        <f>'Total Weekday Boardings'!EI9/'Service Days per Month'!EI$4</f>
        <v>735.1</v>
      </c>
      <c r="EJ9" s="24">
        <f>'Total Weekday Boardings'!EJ9/'Service Days per Month'!EJ$4</f>
        <v>666.18181818181813</v>
      </c>
      <c r="EK9" s="22">
        <f>'Total Weekday Boardings'!EK9/'Service Days per Month'!EK$4</f>
        <v>645.72727272727275</v>
      </c>
      <c r="EL9" s="23">
        <f>'Total Weekday Boardings'!EL9/'Service Days per Month'!EL$4</f>
        <v>625.61904761904759</v>
      </c>
      <c r="EM9" s="23">
        <f>'Total Weekday Boardings'!EM9/'Service Days per Month'!EM$4</f>
        <v>647.57142857142856</v>
      </c>
      <c r="EN9" s="23">
        <f>'Total Weekday Boardings'!EN9/'Service Days per Month'!EN$4</f>
        <v>701.77272727272725</v>
      </c>
      <c r="EO9" s="23">
        <f>'Total Weekday Boardings'!EO9/'Service Days per Month'!EO$4</f>
        <v>632.5</v>
      </c>
      <c r="EP9" s="23">
        <f>'Total Weekday Boardings'!EP9/'Service Days per Month'!EP$4</f>
        <v>532.13636363636363</v>
      </c>
      <c r="EQ9" s="23">
        <f>'Total Weekday Boardings'!EQ9/'Service Days per Month'!EQ$4</f>
        <v>307.71428571428572</v>
      </c>
      <c r="ER9" s="23">
        <f>'Total Weekday Boardings'!ER9/'Service Days per Month'!ER$4</f>
        <v>597.29999999999995</v>
      </c>
      <c r="ES9" s="23">
        <f>'Total Weekday Boardings'!ES9/'Service Days per Month'!ES$4</f>
        <v>618</v>
      </c>
      <c r="ET9" s="23">
        <f>'Total Weekday Boardings'!ET9/'Service Days per Month'!ET$4</f>
        <v>654.59090909090912</v>
      </c>
      <c r="EU9" s="23">
        <f>'Total Weekday Boardings'!EU9/'Service Days per Month'!EU$4</f>
        <v>618.65</v>
      </c>
      <c r="EV9" s="24">
        <f>'Total Weekday Boardings'!EV9/'Service Days per Month'!EV$4</f>
        <v>591.5</v>
      </c>
      <c r="EW9" s="22">
        <f>'Total Weekday Boardings'!EW9/'Service Days per Month'!EW$4</f>
        <v>578.42857142857144</v>
      </c>
      <c r="EX9" s="23">
        <f>'Total Weekday Boardings'!EX9/'Service Days per Month'!EX$4</f>
        <v>626.86363636363637</v>
      </c>
      <c r="EY9" s="23">
        <f>'Total Weekday Boardings'!EY9/'Service Days per Month'!EY$4</f>
        <v>689.95238095238096</v>
      </c>
      <c r="EZ9" s="23">
        <f>'Total Weekday Boardings'!EZ9/'Service Days per Month'!EZ$4</f>
        <v>754.90476190476193</v>
      </c>
      <c r="FA9" s="23">
        <f>'Total Weekday Boardings'!FA9/'Service Days per Month'!FA$4</f>
        <v>735.90476190476193</v>
      </c>
      <c r="FB9" s="23">
        <f>'Total Weekday Boardings'!FB9/'Service Days per Month'!FB$4</f>
        <v>708.72727272727275</v>
      </c>
      <c r="FC9" s="23">
        <f>'Total Weekday Boardings'!FC9/'Service Days per Month'!FC$4</f>
        <v>701.90476190476193</v>
      </c>
      <c r="FD9" s="23">
        <f>'Total Weekday Boardings'!FD9/'Service Days per Month'!FD$4</f>
        <v>909.35</v>
      </c>
      <c r="FE9" s="23">
        <f>'Total Weekday Boardings'!FE9/'Service Days per Month'!FE$4</f>
        <v>932.304347826087</v>
      </c>
      <c r="FF9" s="23">
        <f>'Total Weekday Boardings'!FF9/'Service Days per Month'!FF$4</f>
        <v>896.33333333333337</v>
      </c>
      <c r="FG9" s="23">
        <f>'Total Weekday Boardings'!FG9/'Service Days per Month'!FG$4</f>
        <v>847.09523809523807</v>
      </c>
      <c r="FH9" s="24">
        <f>'Total Weekday Boardings'!FH9/'Service Days per Month'!FH$4</f>
        <v>710.40909090909088</v>
      </c>
      <c r="FI9" s="22">
        <v>709.7</v>
      </c>
      <c r="FJ9" s="23">
        <v>864.86956521739125</v>
      </c>
      <c r="FK9" s="23">
        <v>968.04761904761904</v>
      </c>
      <c r="FL9" s="23">
        <v>943.09523809523807</v>
      </c>
      <c r="FM9" s="23">
        <v>934.90476190476193</v>
      </c>
      <c r="FN9" s="23">
        <v>919.14285714285711</v>
      </c>
      <c r="FO9" s="23">
        <v>971.80952380952385</v>
      </c>
      <c r="FP9" s="23">
        <v>889.4</v>
      </c>
      <c r="FQ9" s="23">
        <v>999.95652173913038</v>
      </c>
      <c r="FR9" s="23">
        <f>'Total Weekday Boardings'!FR9/20</f>
        <v>1071.8499999999999</v>
      </c>
      <c r="FS9" s="23">
        <f>'Total Weekday Boardings'!FS9/22</f>
        <v>1044.7272727272727</v>
      </c>
      <c r="FT9" s="26">
        <f>'Total Weekday Boardings'!FT9/23</f>
        <v>858.52173913043475</v>
      </c>
      <c r="FU9" s="22">
        <f>'Total Weekday Boardings'!FU9/21</f>
        <v>864.66666666666663</v>
      </c>
      <c r="FV9" s="23">
        <f>'Total Weekday Boardings'!FV9/23</f>
        <v>963.78260869565213</v>
      </c>
      <c r="FW9" s="23">
        <f>'Total Weekday Boardings'!FW9/21</f>
        <v>952.66666666666663</v>
      </c>
      <c r="FX9" s="23">
        <f>'Total Weekday Boardings'!FX9/22</f>
        <v>979.27272727272725</v>
      </c>
      <c r="FY9" s="23">
        <f>'Total Weekday Boardings'!FY9/22</f>
        <v>951.77272727272725</v>
      </c>
      <c r="FZ9" s="23">
        <f>'Total Weekday Boardings'!FZ9/21</f>
        <v>897.80952380952385</v>
      </c>
      <c r="GA9" s="23">
        <f>'Total Weekday Boardings'!GA9/23</f>
        <v>863.95652173913038</v>
      </c>
      <c r="GB9" s="23">
        <f>'Total Weekday Boardings'!GB9/21</f>
        <v>946.76190476190482</v>
      </c>
      <c r="GC9" s="23">
        <f>'Total Weekday Boardings'!GC9/21</f>
        <v>966.95238095238096</v>
      </c>
      <c r="GD9" s="23">
        <f>'Total Weekday Boardings'!GD9/22</f>
        <v>907.5454545454545</v>
      </c>
      <c r="GE9" s="13">
        <f>'Total Weekday Boardings'!GE9/23</f>
        <v>892.43478260869563</v>
      </c>
      <c r="GF9" s="13">
        <f>'Total Weekday Boardings'!GF9/20</f>
        <v>868.6</v>
      </c>
      <c r="GG9" s="21">
        <f>'Total Weekday Boardings'!GG9/22</f>
        <v>852.9545454545455</v>
      </c>
      <c r="GH9" s="13">
        <f>'Total Weekday Boardings'!GH9/23</f>
        <v>812.13043478260875</v>
      </c>
      <c r="GI9" s="13">
        <f>'Total Weekday Boardings'!GI9/21</f>
        <v>861.19047619047615</v>
      </c>
      <c r="GJ9" s="13">
        <f>'Total Weekday Boardings'!GJ9/23</f>
        <v>845.08695652173913</v>
      </c>
      <c r="GK9" s="13">
        <f>'Total Weekday Boardings'!GK9/21</f>
        <v>824.85714285714289</v>
      </c>
      <c r="GL9" s="13">
        <f>'Total Weekday Boardings'!GL9/22</f>
        <v>775.40909090909088</v>
      </c>
    </row>
    <row r="10" spans="1:194" ht="15" thickBot="1" x14ac:dyDescent="0.35">
      <c r="A10" s="8" t="s">
        <v>3</v>
      </c>
      <c r="B10" s="12"/>
      <c r="C10" s="13">
        <f>'Total Weekday Boardings'!C10/'Service Days per Month'!C$4</f>
        <v>2956.5238095238096</v>
      </c>
      <c r="D10" s="13">
        <f>'Total Weekday Boardings'!D10/'Service Days per Month'!D$4</f>
        <v>3476.3</v>
      </c>
      <c r="E10" s="13">
        <f>'Total Weekday Boardings'!E10/'Service Days per Month'!E$4</f>
        <v>3457.6363636363635</v>
      </c>
      <c r="F10" s="13">
        <f>'Total Weekday Boardings'!F10/'Service Days per Month'!F$4</f>
        <v>3331.5</v>
      </c>
      <c r="G10" s="13">
        <f>'Total Weekday Boardings'!G10/'Service Days per Month'!G$4</f>
        <v>3255.35</v>
      </c>
      <c r="H10" s="14">
        <f>'Total Weekday Boardings'!H10/'Service Days per Month'!H$4</f>
        <v>2899.2727272727275</v>
      </c>
      <c r="I10" s="12">
        <f>'Total Weekday Boardings'!I10/'Service Days per Month'!I$4</f>
        <v>2177.1739130434785</v>
      </c>
      <c r="J10" s="13">
        <f>'Total Weekday Boardings'!J10/'Service Days per Month'!J$4</f>
        <v>2742.9047619047619</v>
      </c>
      <c r="K10" s="13">
        <f>'Total Weekday Boardings'!K10/'Service Days per Month'!K$4</f>
        <v>3005.3809523809523</v>
      </c>
      <c r="L10" s="13">
        <f>'Total Weekday Boardings'!L10/'Service Days per Month'!L$4</f>
        <v>3253.818181818182</v>
      </c>
      <c r="M10" s="13">
        <f>'Total Weekday Boardings'!M10/'Service Days per Month'!M$4</f>
        <v>3401.05</v>
      </c>
      <c r="N10" s="13">
        <f>'Total Weekday Boardings'!N10/'Service Days per Month'!N$4</f>
        <v>2868.7727272727275</v>
      </c>
      <c r="O10" s="13">
        <f>'Total Weekday Boardings'!O10/'Service Days per Month'!O$4</f>
        <v>3123.35</v>
      </c>
      <c r="P10" s="13">
        <f>'Total Weekday Boardings'!P10/'Service Days per Month'!P$4</f>
        <v>3227</v>
      </c>
      <c r="Q10" s="13">
        <f>'Total Weekday Boardings'!Q10/'Service Days per Month'!Q$4</f>
        <v>3267.6521739130435</v>
      </c>
      <c r="R10" s="13">
        <f>'Total Weekday Boardings'!R10/'Service Days per Month'!R$4</f>
        <v>3777.5454545454545</v>
      </c>
      <c r="S10" s="13">
        <f>'Total Weekday Boardings'!S10/'Service Days per Month'!S$4</f>
        <v>3121.95</v>
      </c>
      <c r="T10" s="14">
        <f>'Total Weekday Boardings'!T10/'Service Days per Month'!T$4</f>
        <v>3366.9545454545455</v>
      </c>
      <c r="U10" s="12">
        <f>'Total Weekday Boardings'!U10/'Service Days per Month'!U$4</f>
        <v>2972.1904761904761</v>
      </c>
      <c r="V10" s="13">
        <f>'Total Weekday Boardings'!V10/'Service Days per Month'!V$4</f>
        <v>3388.6363636363635</v>
      </c>
      <c r="W10" s="13">
        <f>'Total Weekday Boardings'!W10/'Service Days per Month'!W$4</f>
        <v>3679.4761904761904</v>
      </c>
      <c r="X10" s="13">
        <f>'Total Weekday Boardings'!X10/'Service Days per Month'!X$4</f>
        <v>3673.1428571428573</v>
      </c>
      <c r="Y10" s="13">
        <f>'Total Weekday Boardings'!Y10/'Service Days per Month'!Y$4</f>
        <v>3521.2631578947367</v>
      </c>
      <c r="Z10" s="13">
        <f>'Total Weekday Boardings'!Z10/'Service Days per Month'!Z$4</f>
        <v>3469</v>
      </c>
      <c r="AA10" s="13">
        <f>'Total Weekday Boardings'!AA10/'Service Days per Month'!AA$4</f>
        <v>3585.1</v>
      </c>
      <c r="AB10" s="13">
        <f>'Total Weekday Boardings'!AB10/'Service Days per Month'!AB$4</f>
        <v>3714.8947368421054</v>
      </c>
      <c r="AC10" s="13">
        <f>'Total Weekday Boardings'!AC10/'Service Days per Month'!AC$4</f>
        <v>3478.478260869565</v>
      </c>
      <c r="AD10" s="13">
        <f>'Total Weekday Boardings'!AD10/'Service Days per Month'!AD$4</f>
        <v>3587.8095238095239</v>
      </c>
      <c r="AE10" s="13">
        <f>'Total Weekday Boardings'!AE10/'Service Days per Month'!AE$4</f>
        <v>3273.8571428571427</v>
      </c>
      <c r="AF10" s="14">
        <f>'Total Weekday Boardings'!AF10/'Service Days per Month'!AF$4</f>
        <v>3219.909090909091</v>
      </c>
      <c r="AG10" s="12">
        <f>'Total Weekday Boardings'!AG10/'Service Days per Month'!AG$4</f>
        <v>3168.25</v>
      </c>
      <c r="AH10" s="13">
        <f>'Total Weekday Boardings'!AH10/'Service Days per Month'!AH$4</f>
        <v>3402.217391304348</v>
      </c>
      <c r="AI10" s="13">
        <f>'Total Weekday Boardings'!AI10/'Service Days per Month'!AI$4</f>
        <v>3736.9047619047619</v>
      </c>
      <c r="AJ10" s="13">
        <f>'Total Weekday Boardings'!AJ10/'Service Days per Month'!AJ$4</f>
        <v>3747.1904761904761</v>
      </c>
      <c r="AK10" s="13">
        <f>'Total Weekday Boardings'!AK10/'Service Days per Month'!AK$4</f>
        <v>3500.3157894736842</v>
      </c>
      <c r="AL10" s="13">
        <f>'Total Weekday Boardings'!AL10/'Service Days per Month'!AL$4</f>
        <v>3468.6190476190477</v>
      </c>
      <c r="AM10" s="13">
        <f>'Total Weekday Boardings'!AM10/'Service Days per Month'!AM$4</f>
        <v>3643.85</v>
      </c>
      <c r="AN10" s="13">
        <f>'Total Weekday Boardings'!AN10/'Service Days per Month'!AN$4</f>
        <v>3657.55</v>
      </c>
      <c r="AO10" s="13">
        <f>'Total Weekday Boardings'!AO10/'Service Days per Month'!AO$4</f>
        <v>3528.181818181818</v>
      </c>
      <c r="AP10" s="13">
        <f>'Total Weekday Boardings'!AP10/'Service Days per Month'!AP$4</f>
        <v>3647.9047619047619</v>
      </c>
      <c r="AQ10" s="13">
        <f>'Total Weekday Boardings'!AQ10/'Service Days per Month'!AQ$4</f>
        <v>3509.0454545454545</v>
      </c>
      <c r="AR10" s="14">
        <f>'Total Weekday Boardings'!AR10/'Service Days per Month'!AR$4</f>
        <v>3211.0952380952381</v>
      </c>
      <c r="AS10" s="12">
        <f>'Total Weekday Boardings'!AS10/'Service Days per Month'!AS$4</f>
        <v>3083.9523809523807</v>
      </c>
      <c r="AT10" s="13">
        <f>'Total Weekday Boardings'!AT10/'Service Days per Month'!AT$4</f>
        <v>3541.8695652173915</v>
      </c>
      <c r="AU10" s="13">
        <f>'Total Weekday Boardings'!AU10/'Service Days per Month'!AU$4</f>
        <v>3800.9473684210525</v>
      </c>
      <c r="AV10" s="13">
        <f>'Total Weekday Boardings'!AV10/'Service Days per Month'!AV$4</f>
        <v>3736.3478260869565</v>
      </c>
      <c r="AW10" s="13">
        <f>'Total Weekday Boardings'!AW10/'Service Days per Month'!AW$4</f>
        <v>3959.0526315789475</v>
      </c>
      <c r="AX10" s="13">
        <f>'Total Weekday Boardings'!AX10/'Service Days per Month'!AX$4</f>
        <v>3850.1052631578946</v>
      </c>
      <c r="AY10" s="13">
        <f>'Total Weekday Boardings'!AY10/'Service Days per Month'!AY$4</f>
        <v>3639.0476190476193</v>
      </c>
      <c r="AZ10" s="13">
        <f>'Total Weekday Boardings'!AZ10/'Service Days per Month'!AZ$4</f>
        <v>4169.2105263157891</v>
      </c>
      <c r="BA10" s="13">
        <f>'Total Weekday Boardings'!BA10/'Service Days per Month'!BA$4</f>
        <v>3946.3809523809523</v>
      </c>
      <c r="BB10" s="13">
        <f>'Total Weekday Boardings'!BB10/'Service Days per Month'!BB$4</f>
        <v>4016.2272727272725</v>
      </c>
      <c r="BC10" s="13">
        <f>'Total Weekday Boardings'!BC10/'Service Days per Month'!BC$4</f>
        <v>3800.409090909091</v>
      </c>
      <c r="BD10" s="14">
        <f>'Total Weekday Boardings'!BD10/'Service Days per Month'!BD$4</f>
        <v>3444.3</v>
      </c>
      <c r="BE10" s="12">
        <f>'Total Weekday Boardings'!BE10/'Service Days per Month'!BE$4</f>
        <v>3255.5</v>
      </c>
      <c r="BF10" s="13">
        <f>'Total Weekday Boardings'!BF10/'Service Days per Month'!BF$4</f>
        <v>3997.5454545454545</v>
      </c>
      <c r="BG10" s="13">
        <f>'Total Weekday Boardings'!BG10/'Service Days per Month'!BG$4</f>
        <v>4108.25</v>
      </c>
      <c r="BH10" s="13">
        <f>'Total Weekday Boardings'!BH10/'Service Days per Month'!BH$4</f>
        <v>3898.2608695652175</v>
      </c>
      <c r="BI10" s="13">
        <f>'Total Weekday Boardings'!BI10/'Service Days per Month'!BI$4</f>
        <v>4151.8759954480738</v>
      </c>
      <c r="BJ10" s="13">
        <f>'Total Weekday Boardings'!BJ10/'Service Days per Month'!BJ$4</f>
        <v>3839.35</v>
      </c>
      <c r="BK10" s="13">
        <f>'Total Weekday Boardings'!BK10/'Service Days per Month'!BK$4</f>
        <v>4170.5238095238092</v>
      </c>
      <c r="BL10" s="13">
        <f>'Total Weekday Boardings'!BL10/'Service Days per Month'!BL$4</f>
        <v>4151.4210526315792</v>
      </c>
      <c r="BM10" s="13">
        <f>'Total Weekday Boardings'!BM10/'Service Days per Month'!BM$4</f>
        <v>4036.4285714285716</v>
      </c>
      <c r="BN10" s="13">
        <f>'Total Weekday Boardings'!BN10/'Service Days per Month'!BN$4</f>
        <v>3874.818181818182</v>
      </c>
      <c r="BO10" s="13">
        <f>'Total Weekday Boardings'!BO10/'Service Days per Month'!BO$4</f>
        <v>3616.0476190476193</v>
      </c>
      <c r="BP10" s="14">
        <f>'Total Weekday Boardings'!BP10/'Service Days per Month'!BP$4</f>
        <v>3417.9047619047619</v>
      </c>
      <c r="BQ10" s="12">
        <f>'Total Weekday Boardings'!BQ10/'Service Days per Month'!BQ$4</f>
        <v>3206.2272727272725</v>
      </c>
      <c r="BR10" s="13">
        <f>'Total Weekday Boardings'!BR10/'Service Days per Month'!BR$4</f>
        <v>3571.5714285714284</v>
      </c>
      <c r="BS10" s="13">
        <f>'Total Weekday Boardings'!BS10/'Service Days per Month'!BS$4</f>
        <v>3721.6666666666665</v>
      </c>
      <c r="BT10" s="13">
        <f>'Total Weekday Boardings'!BT10/'Service Days per Month'!BT$4</f>
        <v>3752.913043478261</v>
      </c>
      <c r="BU10" s="13">
        <f>'Total Weekday Boardings'!BU10/'Service Days per Month'!BU$4</f>
        <v>3832.8235294117649</v>
      </c>
      <c r="BV10" s="13">
        <f>'Total Weekday Boardings'!BV10/'Service Days per Month'!BV$4</f>
        <v>3759.4761904761904</v>
      </c>
      <c r="BW10" s="13">
        <f>'Total Weekday Boardings'!BW10/'Service Days per Month'!BW$4</f>
        <v>4334.8500000000004</v>
      </c>
      <c r="BX10" s="13">
        <f>'Total Weekday Boardings'!BX10/'Service Days per Month'!BX$4</f>
        <v>4030.2631578947367</v>
      </c>
      <c r="BY10" s="13">
        <f>'Total Weekday Boardings'!BY10/'Service Days per Month'!BY$4</f>
        <v>3879.8636363636365</v>
      </c>
      <c r="BZ10" s="13">
        <f>'Total Weekday Boardings'!BZ10/'Service Days per Month'!BZ$4</f>
        <v>3848.9545454545455</v>
      </c>
      <c r="CA10" s="13">
        <f>'Total Weekday Boardings'!CA10/'Service Days per Month'!CA$4</f>
        <v>3739.05</v>
      </c>
      <c r="CB10" s="14">
        <f>'Total Weekday Boardings'!CB10/'Service Days per Month'!CB$4</f>
        <v>3698.181818181818</v>
      </c>
      <c r="CC10" s="15">
        <f>'Total Weekday Boardings'!CC10/'Service Days per Month'!CC$4</f>
        <v>3507.2272727272725</v>
      </c>
      <c r="CD10" s="13">
        <f>'Total Weekday Boardings'!CD10/'Service Days per Month'!CD$4</f>
        <v>3932.5714285714284</v>
      </c>
      <c r="CE10" s="13">
        <f>'Total Weekday Boardings'!CE10/'Service Days per Month'!CE$4</f>
        <v>3969.1428571428573</v>
      </c>
      <c r="CF10" s="13">
        <f>'Total Weekday Boardings'!CF10/'Service Days per Month'!CF$4</f>
        <v>3856.181818181818</v>
      </c>
      <c r="CG10" s="13">
        <f>'Total Weekday Boardings'!CG10/'Service Days per Month'!CG$4</f>
        <v>3592.1666666666665</v>
      </c>
      <c r="CH10" s="13">
        <f>'Total Weekday Boardings'!CH10/'Service Days per Month'!CH$4</f>
        <v>3561.9047619047619</v>
      </c>
      <c r="CI10" s="13">
        <f>'Total Weekday Boardings'!CI10/'Service Days per Month'!CI$4</f>
        <v>3704.0526315789475</v>
      </c>
      <c r="CJ10" s="13">
        <f>'Total Weekday Boardings'!CJ10/'Service Days per Month'!CJ$4</f>
        <v>3782.65</v>
      </c>
      <c r="CK10" s="13">
        <f>'Total Weekday Boardings'!CK10/'Service Days per Month'!CK$4</f>
        <v>3181.913043478261</v>
      </c>
      <c r="CL10" s="13">
        <f>'Total Weekday Boardings'!CL10/'Service Days per Month'!CL$4</f>
        <v>2360.4761904761904</v>
      </c>
      <c r="CM10" s="13">
        <f>'Total Weekday Boardings'!CM10/'Service Days per Month'!CM$4</f>
        <v>2249.2380952380954</v>
      </c>
      <c r="CN10" s="16">
        <f>'Total Weekday Boardings'!CN10/'Service Days per Month'!CN$4</f>
        <v>2154.4545454545455</v>
      </c>
      <c r="CO10" s="12">
        <f>'Total Weekday Boardings'!CO10/'Service Days per Month'!CO$4</f>
        <v>2103.35</v>
      </c>
      <c r="CP10" s="13">
        <f>'Total Weekday Boardings'!CP10/'Service Days per Month'!CP$4</f>
        <v>2292.5652173913045</v>
      </c>
      <c r="CQ10" s="13">
        <f>'Total Weekday Boardings'!CQ10/'Service Days per Month'!CQ$4</f>
        <v>2335.6666666666665</v>
      </c>
      <c r="CR10" s="13">
        <f>'Total Weekday Boardings'!CR10/'Service Days per Month'!CR$4</f>
        <v>2306.7142857142858</v>
      </c>
      <c r="CS10" s="13">
        <f>'Total Weekday Boardings'!CS10/'Service Days per Month'!CS$4</f>
        <v>2251.4736842105262</v>
      </c>
      <c r="CT10" s="13">
        <f>'Total Weekday Boardings'!CT10/'Service Days per Month'!CT$4</f>
        <v>2262.9047619047619</v>
      </c>
      <c r="CU10" s="13">
        <f>'Total Weekday Boardings'!CU10/'Service Days per Month'!CU$4</f>
        <v>2265</v>
      </c>
      <c r="CV10" s="13">
        <f>'Total Weekday Boardings'!CV10/'Service Days per Month'!CV$4</f>
        <v>2368.5789473684213</v>
      </c>
      <c r="CW10" s="13">
        <f>'Total Weekday Boardings'!CW10/'Service Days per Month'!CW$4</f>
        <v>2273.4347826086955</v>
      </c>
      <c r="CX10" s="13">
        <f>'Total Weekday Boardings'!CX10/'Service Days per Month'!CX$4</f>
        <v>2289.4</v>
      </c>
      <c r="CY10" s="13">
        <f>'Total Weekday Boardings'!CY10/'Service Days per Month'!CY$4</f>
        <v>2123.2727272727275</v>
      </c>
      <c r="CZ10" s="14">
        <f>'Total Weekday Boardings'!CZ10/'Service Days per Month'!CZ$4</f>
        <v>1905.1363636363637</v>
      </c>
      <c r="DA10" s="12">
        <f>'Total Weekday Boardings'!DA10/'Service Days per Month'!DA$4</f>
        <v>1852.4</v>
      </c>
      <c r="DB10" s="13">
        <f>'Total Weekday Boardings'!DB10/'Service Days per Month'!DB$4</f>
        <v>2078.6521739130435</v>
      </c>
      <c r="DC10" s="13">
        <f>'Total Weekday Boardings'!DC10/'Service Days per Month'!DC$4</f>
        <v>2154.1999999999998</v>
      </c>
      <c r="DD10" s="13">
        <f>'Total Weekday Boardings'!DD10/'Service Days per Month'!DD$4</f>
        <v>2171.0454545454545</v>
      </c>
      <c r="DE10" s="13">
        <f>'Total Weekday Boardings'!DE10/'Service Days per Month'!DE$4</f>
        <v>2184.5263157894738</v>
      </c>
      <c r="DF10" s="13">
        <f>'Total Weekday Boardings'!DF10/'Service Days per Month'!DF$4</f>
        <v>2204.5</v>
      </c>
      <c r="DG10" s="13">
        <f>'Total Weekday Boardings'!DG10/'Service Days per Month'!DG$4</f>
        <v>2139.8095238095239</v>
      </c>
      <c r="DH10" s="13">
        <f>'Total Weekday Boardings'!DH10/'Service Days per Month'!DH$4</f>
        <v>2200.4736842105262</v>
      </c>
      <c r="DI10" s="13">
        <f>'Total Weekday Boardings'!DI10/'Service Days per Month'!DI$4</f>
        <v>2195.318181818182</v>
      </c>
      <c r="DJ10" s="13">
        <f>'Total Weekday Boardings'!DJ10/'Service Days per Month'!DJ$4</f>
        <v>2167.7142857142858</v>
      </c>
      <c r="DK10" s="13">
        <f>'Total Weekday Boardings'!DK10/'Service Days per Month'!DK$4</f>
        <v>1977.6818181818182</v>
      </c>
      <c r="DL10" s="14">
        <f>'Total Weekday Boardings'!DL10/'Service Days per Month'!DL$4</f>
        <v>1829.1904761904761</v>
      </c>
      <c r="DM10" s="12">
        <f>'Total Weekday Boardings'!DM10/'Service Days per Month'!DM$4</f>
        <v>1693.7619047619048</v>
      </c>
      <c r="DN10" s="13">
        <f>'Total Weekday Boardings'!DN10/'Service Days per Month'!DN$4</f>
        <v>1934.695652173913</v>
      </c>
      <c r="DO10" s="13">
        <f>'Total Weekday Boardings'!DO10/'Service Days per Month'!DO$4</f>
        <v>1994.9473684210527</v>
      </c>
      <c r="DP10" s="13">
        <f>'Total Weekday Boardings'!DP10/'Service Days per Month'!DP$4</f>
        <v>2070.0434782608695</v>
      </c>
      <c r="DQ10" s="13">
        <f>'Total Weekday Boardings'!DQ10/'Service Days per Month'!DQ$4</f>
        <v>2057.2380952380954</v>
      </c>
      <c r="DR10" s="13">
        <f>'Total Weekday Boardings'!DR10/'Service Days per Month'!DR$4</f>
        <v>1996.45</v>
      </c>
      <c r="DS10" s="13">
        <f>'Total Weekday Boardings'!DS10/'Service Days per Month'!DS$4</f>
        <v>1919.3636363636363</v>
      </c>
      <c r="DT10" s="13">
        <f>'Total Weekday Boardings'!DT10/'Service Days per Month'!DT$4</f>
        <v>1929.35</v>
      </c>
      <c r="DU10" s="13">
        <f>'Total Weekday Boardings'!DU10/'Service Days per Month'!DU$4</f>
        <v>1958.7142857142858</v>
      </c>
      <c r="DV10" s="13">
        <f>'Total Weekday Boardings'!DV10/'Service Days per Month'!DV$4</f>
        <v>1878.590909090909</v>
      </c>
      <c r="DW10" s="13">
        <f>'Total Weekday Boardings'!DW10/'Service Days per Month'!DW$4</f>
        <v>1775.1363636363637</v>
      </c>
      <c r="DX10" s="14">
        <f>'Total Weekday Boardings'!DX10/'Service Days per Month'!DX$4</f>
        <v>1663.5</v>
      </c>
      <c r="DY10" s="12">
        <f>'Total Weekday Boardings'!DY10/'Service Days per Month'!DY$4</f>
        <v>1544.8181818181818</v>
      </c>
      <c r="DZ10" s="13">
        <f>'Total Weekday Boardings'!DZ10/'Service Days per Month'!DZ$4</f>
        <v>1767.1818181818182</v>
      </c>
      <c r="EA10" s="13">
        <f>'Total Weekday Boardings'!EA10/'Service Days per Month'!EA$4</f>
        <v>1814.65</v>
      </c>
      <c r="EB10" s="13">
        <f>'Total Weekday Boardings'!EB10/'Service Days per Month'!EB$4</f>
        <v>1873.5217391304348</v>
      </c>
      <c r="EC10" s="13">
        <f>'Total Weekday Boardings'!EC10/'Service Days per Month'!EC$4</f>
        <v>1894.1</v>
      </c>
      <c r="ED10" s="13">
        <f>'Total Weekday Boardings'!ED10/'Service Days per Month'!ED$4</f>
        <v>1793.0952380952381</v>
      </c>
      <c r="EE10" s="13">
        <f>'Total Weekday Boardings'!EE10/'Service Days per Month'!EE$4</f>
        <v>1662.1304347826087</v>
      </c>
      <c r="EF10" s="13">
        <f>'Total Weekday Boardings'!EF10/'Service Days per Month'!EF$4</f>
        <v>1843.65</v>
      </c>
      <c r="EG10" s="13">
        <f>'Total Weekday Boardings'!EG10/'Service Days per Month'!EG$4</f>
        <v>1435.2727272727273</v>
      </c>
      <c r="EH10" s="13">
        <f>'Total Weekday Boardings'!EH10/'Service Days per Month'!EH$4</f>
        <v>933.09090909090912</v>
      </c>
      <c r="EI10" s="13">
        <f>'Total Weekday Boardings'!EI10/'Service Days per Month'!EI$4</f>
        <v>972.25</v>
      </c>
      <c r="EJ10" s="14">
        <f>'Total Weekday Boardings'!EJ10/'Service Days per Month'!EJ$4</f>
        <v>880.0454545454545</v>
      </c>
      <c r="EK10" s="12">
        <f>'Total Weekday Boardings'!EK10/'Service Days per Month'!EK$4</f>
        <v>811.59090909090912</v>
      </c>
      <c r="EL10" s="13">
        <f>'Total Weekday Boardings'!EL10/'Service Days per Month'!EL$4</f>
        <v>771.19047619047615</v>
      </c>
      <c r="EM10" s="13">
        <f>'Total Weekday Boardings'!EM10/'Service Days per Month'!EM$4</f>
        <v>799.61904761904759</v>
      </c>
      <c r="EN10" s="13">
        <f>'Total Weekday Boardings'!EN10/'Service Days per Month'!EN$4</f>
        <v>836</v>
      </c>
      <c r="EO10" s="13">
        <f>'Total Weekday Boardings'!EO10/'Service Days per Month'!EO$4</f>
        <v>829.1</v>
      </c>
      <c r="EP10" s="13">
        <f>'Total Weekday Boardings'!EP10/'Service Days per Month'!EP$4</f>
        <v>629.36363636363637</v>
      </c>
      <c r="EQ10" s="13">
        <f>'Total Weekday Boardings'!EQ10/'Service Days per Month'!EQ$4</f>
        <v>354.14285714285717</v>
      </c>
      <c r="ER10" s="13">
        <f>'Total Weekday Boardings'!ER10/'Service Days per Month'!ER$4</f>
        <v>712.35</v>
      </c>
      <c r="ES10" s="13">
        <f>'Total Weekday Boardings'!ES10/'Service Days per Month'!ES$4</f>
        <v>750.21739130434787</v>
      </c>
      <c r="ET10" s="13">
        <f>'Total Weekday Boardings'!ET10/'Service Days per Month'!ET$4</f>
        <v>842.31818181818187</v>
      </c>
      <c r="EU10" s="13">
        <f>'Total Weekday Boardings'!EU10/'Service Days per Month'!EU$4</f>
        <v>784.75</v>
      </c>
      <c r="EV10" s="14">
        <f>'Total Weekday Boardings'!EV10/'Service Days per Month'!EV$4</f>
        <v>740.18181818181813</v>
      </c>
      <c r="EW10" s="12">
        <f>'Total Weekday Boardings'!EW10/'Service Days per Month'!EW$4</f>
        <v>757.61904761904759</v>
      </c>
      <c r="EX10" s="13">
        <f>'Total Weekday Boardings'!EX10/'Service Days per Month'!EX$4</f>
        <v>797.81818181818187</v>
      </c>
      <c r="EY10" s="13">
        <f>'Total Weekday Boardings'!EY10/'Service Days per Month'!EY$4</f>
        <v>873.42857142857144</v>
      </c>
      <c r="EZ10" s="13">
        <f>'Total Weekday Boardings'!EZ10/'Service Days per Month'!EZ$4</f>
        <v>955.23809523809518</v>
      </c>
      <c r="FA10" s="13">
        <f>'Total Weekday Boardings'!FA10/'Service Days per Month'!FA$4</f>
        <v>1013.7619047619048</v>
      </c>
      <c r="FB10" s="13">
        <f>'Total Weekday Boardings'!FB10/'Service Days per Month'!FB$4</f>
        <v>990.09090909090912</v>
      </c>
      <c r="FC10" s="13">
        <f>'Total Weekday Boardings'!FC10/'Service Days per Month'!FC$4</f>
        <v>923.38095238095241</v>
      </c>
      <c r="FD10" s="13">
        <f>'Total Weekday Boardings'!FD10/'Service Days per Month'!FD$4</f>
        <v>1185.5</v>
      </c>
      <c r="FE10" s="13">
        <f>'Total Weekday Boardings'!FE10/'Service Days per Month'!FE$4</f>
        <v>1255.3478260869565</v>
      </c>
      <c r="FF10" s="13">
        <f>'Total Weekday Boardings'!FF10/'Service Days per Month'!FF$4</f>
        <v>1253.8095238095239</v>
      </c>
      <c r="FG10" s="13">
        <f>'Total Weekday Boardings'!FG10/'Service Days per Month'!FG$4</f>
        <v>1182.4285714285713</v>
      </c>
      <c r="FH10" s="14">
        <f>'Total Weekday Boardings'!FH10/'Service Days per Month'!FH$4</f>
        <v>935.72727272727275</v>
      </c>
      <c r="FI10" s="12">
        <v>964.5</v>
      </c>
      <c r="FJ10" s="13">
        <v>1142.8695652173913</v>
      </c>
      <c r="FK10" s="13">
        <v>1291.8571428571429</v>
      </c>
      <c r="FL10" s="13">
        <v>1324.6190476190477</v>
      </c>
      <c r="FM10" s="13">
        <v>1271.8095238095239</v>
      </c>
      <c r="FN10" s="13">
        <v>1298.1428571428571</v>
      </c>
      <c r="FO10" s="13">
        <v>1336.6190476190477</v>
      </c>
      <c r="FP10" s="13">
        <v>1212.9000000000001</v>
      </c>
      <c r="FQ10" s="13">
        <v>1345.0869565217392</v>
      </c>
      <c r="FR10" s="13">
        <f>'Total Weekday Boardings'!FR10/20</f>
        <v>1430.2</v>
      </c>
      <c r="FS10" s="13">
        <f>'Total Weekday Boardings'!FS10/22</f>
        <v>1372.909090909091</v>
      </c>
      <c r="FT10" s="16">
        <f>'Total Weekday Boardings'!FT10/23</f>
        <v>1062.8695652173913</v>
      </c>
      <c r="FU10" s="12">
        <f>'Total Weekday Boardings'!FU10/21</f>
        <v>974.47619047619048</v>
      </c>
      <c r="FV10" s="13">
        <f>'Total Weekday Boardings'!FV10/23</f>
        <v>1101.8695652173913</v>
      </c>
      <c r="FW10" s="13">
        <f>'Total Weekday Boardings'!FW10/21</f>
        <v>1103.6666666666667</v>
      </c>
      <c r="FX10" s="13">
        <f>'Total Weekday Boardings'!FX10/22</f>
        <v>1195.9545454545455</v>
      </c>
      <c r="FY10" s="13">
        <f>'Total Weekday Boardings'!FY10/22</f>
        <v>1096.090909090909</v>
      </c>
      <c r="FZ10" s="13">
        <f>'Total Weekday Boardings'!FZ10/21</f>
        <v>1078.2380952380952</v>
      </c>
      <c r="GA10" s="13">
        <f>'Total Weekday Boardings'!GA10/23</f>
        <v>1059.0434782608695</v>
      </c>
      <c r="GB10" s="13">
        <f>'Total Weekday Boardings'!GB10/21</f>
        <v>1171.7142857142858</v>
      </c>
      <c r="GC10" s="13">
        <f>'Total Weekday Boardings'!GC10/21</f>
        <v>1144.1428571428571</v>
      </c>
      <c r="GD10" s="13">
        <f>'Total Weekday Boardings'!GD10/22</f>
        <v>1093.3636363636363</v>
      </c>
      <c r="GE10" s="13">
        <f>'Total Weekday Boardings'!GE10/23</f>
        <v>1046.6521739130435</v>
      </c>
      <c r="GF10" s="13">
        <f>'Total Weekday Boardings'!GF10/20</f>
        <v>970.5</v>
      </c>
      <c r="GG10" s="21">
        <f>'Total Weekday Boardings'!GG10/22</f>
        <v>909.27272727272725</v>
      </c>
      <c r="GH10" s="13">
        <f>'Total Weekday Boardings'!GH10/23</f>
        <v>1025.304347826087</v>
      </c>
      <c r="GI10" s="13">
        <f>'Total Weekday Boardings'!GI10/21</f>
        <v>1084.9047619047619</v>
      </c>
      <c r="GJ10" s="13">
        <f>'Total Weekday Boardings'!GJ10/23</f>
        <v>1088.5652173913043</v>
      </c>
      <c r="GK10" s="13">
        <f>'Total Weekday Boardings'!GK10/21</f>
        <v>1056.8095238095239</v>
      </c>
      <c r="GL10" s="13">
        <f>'Total Weekday Boardings'!GL10/22</f>
        <v>1000.6818181818181</v>
      </c>
    </row>
    <row r="11" spans="1:194" ht="15" thickBot="1" x14ac:dyDescent="0.35">
      <c r="A11" s="3" t="s">
        <v>4</v>
      </c>
      <c r="B11" s="17"/>
      <c r="C11" s="18">
        <f>'Total Weekday Boardings'!C11/'Service Days per Month'!C$4</f>
        <v>794.95238095238096</v>
      </c>
      <c r="D11" s="18">
        <f>'Total Weekday Boardings'!D11/'Service Days per Month'!D$4</f>
        <v>1003.25</v>
      </c>
      <c r="E11" s="18">
        <f>'Total Weekday Boardings'!E11/'Service Days per Month'!E$4</f>
        <v>962.72727272727275</v>
      </c>
      <c r="F11" s="18">
        <f>'Total Weekday Boardings'!F11/'Service Days per Month'!F$4</f>
        <v>1121.3181818181818</v>
      </c>
      <c r="G11" s="18">
        <f>'Total Weekday Boardings'!G11/'Service Days per Month'!G$4</f>
        <v>1008.9</v>
      </c>
      <c r="H11" s="19">
        <f>'Total Weekday Boardings'!H11/'Service Days per Month'!H$4</f>
        <v>1005.1363636363636</v>
      </c>
      <c r="I11" s="17">
        <f>'Total Weekday Boardings'!I11/'Service Days per Month'!I$4</f>
        <v>968.60869565217388</v>
      </c>
      <c r="J11" s="18">
        <f>'Total Weekday Boardings'!J11/'Service Days per Month'!J$4</f>
        <v>1262.6666666666667</v>
      </c>
      <c r="K11" s="18">
        <f>'Total Weekday Boardings'!K11/'Service Days per Month'!K$4</f>
        <v>1320.8095238095239</v>
      </c>
      <c r="L11" s="18">
        <f>'Total Weekday Boardings'!L11/'Service Days per Month'!L$4</f>
        <v>1438.2727272727273</v>
      </c>
      <c r="M11" s="18">
        <f>'Total Weekday Boardings'!M11/'Service Days per Month'!M$4</f>
        <v>1411.05</v>
      </c>
      <c r="N11" s="18">
        <f>'Total Weekday Boardings'!N11/'Service Days per Month'!N$4</f>
        <v>1367.7272727272727</v>
      </c>
      <c r="O11" s="18">
        <f>'Total Weekday Boardings'!O11/'Service Days per Month'!O$4</f>
        <v>1380.95</v>
      </c>
      <c r="P11" s="18">
        <f>'Total Weekday Boardings'!P11/'Service Days per Month'!P$4</f>
        <v>1538.5</v>
      </c>
      <c r="Q11" s="18">
        <f>'Total Weekday Boardings'!Q11/'Service Days per Month'!Q$4</f>
        <v>1541.4782608695652</v>
      </c>
      <c r="R11" s="18">
        <f>'Total Weekday Boardings'!R11/'Service Days per Month'!R$4</f>
        <v>1652.1363636363637</v>
      </c>
      <c r="S11" s="18">
        <f>'Total Weekday Boardings'!S11/'Service Days per Month'!S$4</f>
        <v>1831.45</v>
      </c>
      <c r="T11" s="19">
        <f>'Total Weekday Boardings'!T11/'Service Days per Month'!T$4</f>
        <v>1488.1818181818182</v>
      </c>
      <c r="U11" s="17">
        <f>'Total Weekday Boardings'!U11/'Service Days per Month'!U$4</f>
        <v>1270.6666666666667</v>
      </c>
      <c r="V11" s="18">
        <f>'Total Weekday Boardings'!V11/'Service Days per Month'!V$4</f>
        <v>1725.5</v>
      </c>
      <c r="W11" s="18">
        <f>'Total Weekday Boardings'!W11/'Service Days per Month'!W$4</f>
        <v>1834.047619047619</v>
      </c>
      <c r="X11" s="18">
        <f>'Total Weekday Boardings'!X11/'Service Days per Month'!X$4</f>
        <v>1931.2380952380952</v>
      </c>
      <c r="Y11" s="18">
        <f>'Total Weekday Boardings'!Y11/'Service Days per Month'!Y$4</f>
        <v>1766.9473684210527</v>
      </c>
      <c r="Z11" s="18">
        <f>'Total Weekday Boardings'!Z11/'Service Days per Month'!Z$4</f>
        <v>1568.9047619047619</v>
      </c>
      <c r="AA11" s="18">
        <f>'Total Weekday Boardings'!AA11/'Service Days per Month'!AA$4</f>
        <v>1732.6</v>
      </c>
      <c r="AB11" s="18">
        <f>'Total Weekday Boardings'!AB11/'Service Days per Month'!AB$4</f>
        <v>1705.3157894736842</v>
      </c>
      <c r="AC11" s="18">
        <f>'Total Weekday Boardings'!AC11/'Service Days per Month'!AC$4</f>
        <v>1596.8260869565217</v>
      </c>
      <c r="AD11" s="18">
        <f>'Total Weekday Boardings'!AD11/'Service Days per Month'!AD$4</f>
        <v>1724.2380952380952</v>
      </c>
      <c r="AE11" s="18">
        <f>'Total Weekday Boardings'!AE11/'Service Days per Month'!AE$4</f>
        <v>1621</v>
      </c>
      <c r="AF11" s="19">
        <f>'Total Weekday Boardings'!AF11/'Service Days per Month'!AF$4</f>
        <v>1450.6363636363637</v>
      </c>
      <c r="AG11" s="17">
        <f>'Total Weekday Boardings'!AG11/'Service Days per Month'!AG$4</f>
        <v>1415.45</v>
      </c>
      <c r="AH11" s="18">
        <f>'Total Weekday Boardings'!AH11/'Service Days per Month'!AH$4</f>
        <v>1692.9565217391305</v>
      </c>
      <c r="AI11" s="18">
        <f>'Total Weekday Boardings'!AI11/'Service Days per Month'!AI$4</f>
        <v>1973.8095238095239</v>
      </c>
      <c r="AJ11" s="18">
        <f>'Total Weekday Boardings'!AJ11/'Service Days per Month'!AJ$4</f>
        <v>1915.8571428571429</v>
      </c>
      <c r="AK11" s="18">
        <f>'Total Weekday Boardings'!AK11/'Service Days per Month'!AK$4</f>
        <v>1868.5263157894738</v>
      </c>
      <c r="AL11" s="18">
        <f>'Total Weekday Boardings'!AL11/'Service Days per Month'!AL$4</f>
        <v>1745.7619047619048</v>
      </c>
      <c r="AM11" s="18">
        <f>'Total Weekday Boardings'!AM11/'Service Days per Month'!AM$4</f>
        <v>1811.7</v>
      </c>
      <c r="AN11" s="18">
        <f>'Total Weekday Boardings'!AN11/'Service Days per Month'!AN$4</f>
        <v>1851.95</v>
      </c>
      <c r="AO11" s="18">
        <f>'Total Weekday Boardings'!AO11/'Service Days per Month'!AO$4</f>
        <v>1841.9545454545455</v>
      </c>
      <c r="AP11" s="18">
        <f>'Total Weekday Boardings'!AP11/'Service Days per Month'!AP$4</f>
        <v>2046.4285714285713</v>
      </c>
      <c r="AQ11" s="18">
        <f>'Total Weekday Boardings'!AQ11/'Service Days per Month'!AQ$4</f>
        <v>1943</v>
      </c>
      <c r="AR11" s="19">
        <f>'Total Weekday Boardings'!AR11/'Service Days per Month'!AR$4</f>
        <v>1673.952380952381</v>
      </c>
      <c r="AS11" s="17">
        <f>'Total Weekday Boardings'!AS11/'Service Days per Month'!AS$4</f>
        <v>1570.1428571428571</v>
      </c>
      <c r="AT11" s="18">
        <f>'Total Weekday Boardings'!AT11/'Service Days per Month'!AT$4</f>
        <v>2063.913043478261</v>
      </c>
      <c r="AU11" s="18">
        <f>'Total Weekday Boardings'!AU11/'Service Days per Month'!AU$4</f>
        <v>2209.1578947368421</v>
      </c>
      <c r="AV11" s="18">
        <f>'Total Weekday Boardings'!AV11/'Service Days per Month'!AV$4</f>
        <v>2213.478260869565</v>
      </c>
      <c r="AW11" s="18">
        <f>'Total Weekday Boardings'!AW11/'Service Days per Month'!AW$4</f>
        <v>2418</v>
      </c>
      <c r="AX11" s="18">
        <f>'Total Weekday Boardings'!AX11/'Service Days per Month'!AX$4</f>
        <v>2168.2105263157896</v>
      </c>
      <c r="AY11" s="18">
        <f>'Total Weekday Boardings'!AY11/'Service Days per Month'!AY$4</f>
        <v>2094.6190476190477</v>
      </c>
      <c r="AZ11" s="18">
        <f>'Total Weekday Boardings'!AZ11/'Service Days per Month'!AZ$4</f>
        <v>2269.4736842105262</v>
      </c>
      <c r="BA11" s="18">
        <f>'Total Weekday Boardings'!BA11/'Service Days per Month'!BA$4</f>
        <v>2139.1904761904761</v>
      </c>
      <c r="BB11" s="18">
        <f>'Total Weekday Boardings'!BB11/'Service Days per Month'!BB$4</f>
        <v>2190.6363636363635</v>
      </c>
      <c r="BC11" s="18">
        <f>'Total Weekday Boardings'!BC11/'Service Days per Month'!BC$4</f>
        <v>2050.7272727272725</v>
      </c>
      <c r="BD11" s="19">
        <f>'Total Weekday Boardings'!BD11/'Service Days per Month'!BD$4</f>
        <v>1797.7</v>
      </c>
      <c r="BE11" s="17">
        <f>'Total Weekday Boardings'!BE11/'Service Days per Month'!BE$4</f>
        <v>1718.8181818181818</v>
      </c>
      <c r="BF11" s="18">
        <f>'Total Weekday Boardings'!BF11/'Service Days per Month'!BF$4</f>
        <v>2162.2272727272725</v>
      </c>
      <c r="BG11" s="18">
        <f>'Total Weekday Boardings'!BG11/'Service Days per Month'!BG$4</f>
        <v>2259</v>
      </c>
      <c r="BH11" s="18">
        <f>'Total Weekday Boardings'!BH11/'Service Days per Month'!BH$4</f>
        <v>2118.4347826086955</v>
      </c>
      <c r="BI11" s="18">
        <f>'Total Weekday Boardings'!BI11/'Service Days per Month'!BI$4</f>
        <v>2263.0495679504629</v>
      </c>
      <c r="BJ11" s="18">
        <f>'Total Weekday Boardings'!BJ11/'Service Days per Month'!BJ$4</f>
        <v>1955.45</v>
      </c>
      <c r="BK11" s="18">
        <f>'Total Weekday Boardings'!BK11/'Service Days per Month'!BK$4</f>
        <v>2137</v>
      </c>
      <c r="BL11" s="18">
        <f>'Total Weekday Boardings'!BL11/'Service Days per Month'!BL$4</f>
        <v>2211.1578947368421</v>
      </c>
      <c r="BM11" s="18">
        <f>'Total Weekday Boardings'!BM11/'Service Days per Month'!BM$4</f>
        <v>2140.4761904761904</v>
      </c>
      <c r="BN11" s="18">
        <f>'Total Weekday Boardings'!BN11/'Service Days per Month'!BN$4</f>
        <v>2154.181818181818</v>
      </c>
      <c r="BO11" s="18">
        <f>'Total Weekday Boardings'!BO11/'Service Days per Month'!BO$4</f>
        <v>2028.5714285714287</v>
      </c>
      <c r="BP11" s="19">
        <f>'Total Weekday Boardings'!BP11/'Service Days per Month'!BP$4</f>
        <v>1723.7619047619048</v>
      </c>
      <c r="BQ11" s="17">
        <f>'Total Weekday Boardings'!BQ11/'Service Days per Month'!BQ$4</f>
        <v>1604.090909090909</v>
      </c>
      <c r="BR11" s="18">
        <f>'Total Weekday Boardings'!BR11/'Service Days per Month'!BR$4</f>
        <v>1984.6190476190477</v>
      </c>
      <c r="BS11" s="18">
        <f>'Total Weekday Boardings'!BS11/'Service Days per Month'!BS$4</f>
        <v>2121.2857142857142</v>
      </c>
      <c r="BT11" s="18">
        <f>'Total Weekday Boardings'!BT11/'Service Days per Month'!BT$4</f>
        <v>2108.1739130434785</v>
      </c>
      <c r="BU11" s="18">
        <f>'Total Weekday Boardings'!BU11/'Service Days per Month'!BU$4</f>
        <v>2188.5882352941176</v>
      </c>
      <c r="BV11" s="18">
        <f>'Total Weekday Boardings'!BV11/'Service Days per Month'!BV$4</f>
        <v>1995.8571428571429</v>
      </c>
      <c r="BW11" s="18">
        <f>'Total Weekday Boardings'!BW11/'Service Days per Month'!BW$4</f>
        <v>2194.5500000000002</v>
      </c>
      <c r="BX11" s="18">
        <f>'Total Weekday Boardings'!BX11/'Service Days per Month'!BX$4</f>
        <v>2130.3684210526317</v>
      </c>
      <c r="BY11" s="18">
        <f>'Total Weekday Boardings'!BY11/'Service Days per Month'!BY$4</f>
        <v>1984.8181818181818</v>
      </c>
      <c r="BZ11" s="18">
        <f>'Total Weekday Boardings'!BZ11/'Service Days per Month'!BZ$4</f>
        <v>2104.1363636363635</v>
      </c>
      <c r="CA11" s="18">
        <f>'Total Weekday Boardings'!CA11/'Service Days per Month'!CA$4</f>
        <v>1955.55</v>
      </c>
      <c r="CB11" s="19">
        <f>'Total Weekday Boardings'!CB11/'Service Days per Month'!CB$4</f>
        <v>1763.090909090909</v>
      </c>
      <c r="CC11" s="20">
        <f>'Total Weekday Boardings'!CC11/'Service Days per Month'!CC$4</f>
        <v>1723.3181818181818</v>
      </c>
      <c r="CD11" s="18">
        <f>'Total Weekday Boardings'!CD11/'Service Days per Month'!CD$4</f>
        <v>2079.0476190476193</v>
      </c>
      <c r="CE11" s="18">
        <f>'Total Weekday Boardings'!CE11/'Service Days per Month'!CE$4</f>
        <v>2245.4761904761904</v>
      </c>
      <c r="CF11" s="18">
        <f>'Total Weekday Boardings'!CF11/'Service Days per Month'!CF$4</f>
        <v>2258.0454545454545</v>
      </c>
      <c r="CG11" s="18">
        <f>'Total Weekday Boardings'!CG11/'Service Days per Month'!CG$4</f>
        <v>2264.1666666666665</v>
      </c>
      <c r="CH11" s="18">
        <f>'Total Weekday Boardings'!CH11/'Service Days per Month'!CH$4</f>
        <v>1958.1904761904761</v>
      </c>
      <c r="CI11" s="18">
        <f>'Total Weekday Boardings'!CI11/'Service Days per Month'!CI$4</f>
        <v>2135.7368421052633</v>
      </c>
      <c r="CJ11" s="18">
        <f>'Total Weekday Boardings'!CJ11/'Service Days per Month'!CJ$4</f>
        <v>2142.65</v>
      </c>
      <c r="CK11" s="18">
        <f>'Total Weekday Boardings'!CK11/'Service Days per Month'!CK$4</f>
        <v>2088.478260869565</v>
      </c>
      <c r="CL11" s="18">
        <f>'Total Weekday Boardings'!CL11/'Service Days per Month'!CL$4</f>
        <v>2291.6190476190477</v>
      </c>
      <c r="CM11" s="18">
        <f>'Total Weekday Boardings'!CM11/'Service Days per Month'!CM$4</f>
        <v>2101.7142857142858</v>
      </c>
      <c r="CN11" s="21">
        <f>'Total Weekday Boardings'!CN11/'Service Days per Month'!CN$4</f>
        <v>1949.8181818181818</v>
      </c>
      <c r="CO11" s="17">
        <f>'Total Weekday Boardings'!CO11/'Service Days per Month'!CO$4</f>
        <v>1885.9</v>
      </c>
      <c r="CP11" s="18">
        <f>'Total Weekday Boardings'!CP11/'Service Days per Month'!CP$4</f>
        <v>2218.6521739130435</v>
      </c>
      <c r="CQ11" s="18">
        <f>'Total Weekday Boardings'!CQ11/'Service Days per Month'!CQ$4</f>
        <v>2316.4285714285716</v>
      </c>
      <c r="CR11" s="18">
        <f>'Total Weekday Boardings'!CR11/'Service Days per Month'!CR$4</f>
        <v>2281.2857142857142</v>
      </c>
      <c r="CS11" s="18">
        <f>'Total Weekday Boardings'!CS11/'Service Days per Month'!CS$4</f>
        <v>2217.9473684210525</v>
      </c>
      <c r="CT11" s="18">
        <f>'Total Weekday Boardings'!CT11/'Service Days per Month'!CT$4</f>
        <v>2095.3809523809523</v>
      </c>
      <c r="CU11" s="18">
        <f>'Total Weekday Boardings'!CU11/'Service Days per Month'!CU$4</f>
        <v>2261.6</v>
      </c>
      <c r="CV11" s="18">
        <f>'Total Weekday Boardings'!CV11/'Service Days per Month'!CV$4</f>
        <v>2419.1052631578946</v>
      </c>
      <c r="CW11" s="18">
        <f>'Total Weekday Boardings'!CW11/'Service Days per Month'!CW$4</f>
        <v>2234.086956521739</v>
      </c>
      <c r="CX11" s="18">
        <f>'Total Weekday Boardings'!CX11/'Service Days per Month'!CX$4</f>
        <v>2347.4</v>
      </c>
      <c r="CY11" s="18">
        <f>'Total Weekday Boardings'!CY11/'Service Days per Month'!CY$4</f>
        <v>2285.681818181818</v>
      </c>
      <c r="CZ11" s="19">
        <f>'Total Weekday Boardings'!CZ11/'Service Days per Month'!CZ$4</f>
        <v>1916.7727272727273</v>
      </c>
      <c r="DA11" s="17">
        <f>'Total Weekday Boardings'!DA11/'Service Days per Month'!DA$4</f>
        <v>1855.95</v>
      </c>
      <c r="DB11" s="18">
        <f>'Total Weekday Boardings'!DB11/'Service Days per Month'!DB$4</f>
        <v>2237.086956521739</v>
      </c>
      <c r="DC11" s="18">
        <f>'Total Weekday Boardings'!DC11/'Service Days per Month'!DC$4</f>
        <v>2411.4</v>
      </c>
      <c r="DD11" s="18">
        <f>'Total Weekday Boardings'!DD11/'Service Days per Month'!DD$4</f>
        <v>2312.818181818182</v>
      </c>
      <c r="DE11" s="18">
        <f>'Total Weekday Boardings'!DE11/'Service Days per Month'!DE$4</f>
        <v>2276.2631578947367</v>
      </c>
      <c r="DF11" s="18">
        <f>'Total Weekday Boardings'!DF11/'Service Days per Month'!DF$4</f>
        <v>2144.1</v>
      </c>
      <c r="DG11" s="18">
        <f>'Total Weekday Boardings'!DG11/'Service Days per Month'!DG$4</f>
        <v>2251.3809523809523</v>
      </c>
      <c r="DH11" s="18">
        <f>'Total Weekday Boardings'!DH11/'Service Days per Month'!DH$4</f>
        <v>2305.1578947368421</v>
      </c>
      <c r="DI11" s="18">
        <f>'Total Weekday Boardings'!DI11/'Service Days per Month'!DI$4</f>
        <v>2118.0454545454545</v>
      </c>
      <c r="DJ11" s="18">
        <f>'Total Weekday Boardings'!DJ11/'Service Days per Month'!DJ$4</f>
        <v>2171.4761904761904</v>
      </c>
      <c r="DK11" s="18">
        <f>'Total Weekday Boardings'!DK11/'Service Days per Month'!DK$4</f>
        <v>2007.9545454545455</v>
      </c>
      <c r="DL11" s="19">
        <f>'Total Weekday Boardings'!DL11/'Service Days per Month'!DL$4</f>
        <v>1772.0952380952381</v>
      </c>
      <c r="DM11" s="17">
        <f>'Total Weekday Boardings'!DM11/'Service Days per Month'!DM$4</f>
        <v>1685.6190476190477</v>
      </c>
      <c r="DN11" s="18">
        <f>'Total Weekday Boardings'!DN11/'Service Days per Month'!DN$4</f>
        <v>2024.7826086956522</v>
      </c>
      <c r="DO11" s="18">
        <f>'Total Weekday Boardings'!DO11/'Service Days per Month'!DO$4</f>
        <v>2160</v>
      </c>
      <c r="DP11" s="18">
        <f>'Total Weekday Boardings'!DP11/'Service Days per Month'!DP$4</f>
        <v>2122.304347826087</v>
      </c>
      <c r="DQ11" s="18">
        <f>'Total Weekday Boardings'!DQ11/'Service Days per Month'!DQ$4</f>
        <v>2136.7142857142858</v>
      </c>
      <c r="DR11" s="18">
        <f>'Total Weekday Boardings'!DR11/'Service Days per Month'!DR$4</f>
        <v>1963.25</v>
      </c>
      <c r="DS11" s="18">
        <f>'Total Weekday Boardings'!DS11/'Service Days per Month'!DS$4</f>
        <v>1976.1818181818182</v>
      </c>
      <c r="DT11" s="18">
        <f>'Total Weekday Boardings'!DT11/'Service Days per Month'!DT$4</f>
        <v>1994.7</v>
      </c>
      <c r="DU11" s="18">
        <f>'Total Weekday Boardings'!DU11/'Service Days per Month'!DU$4</f>
        <v>1917.7142857142858</v>
      </c>
      <c r="DV11" s="18">
        <f>'Total Weekday Boardings'!DV11/'Service Days per Month'!DV$4</f>
        <v>1830.1363636363637</v>
      </c>
      <c r="DW11" s="18">
        <f>'Total Weekday Boardings'!DW11/'Service Days per Month'!DW$4</f>
        <v>1649.090909090909</v>
      </c>
      <c r="DX11" s="19">
        <f>'Total Weekday Boardings'!DX11/'Service Days per Month'!DX$4</f>
        <v>1601.2</v>
      </c>
      <c r="DY11" s="17">
        <f>'Total Weekday Boardings'!DY11/'Service Days per Month'!DY$4</f>
        <v>1473.1818181818182</v>
      </c>
      <c r="DZ11" s="18">
        <f>'Total Weekday Boardings'!DZ11/'Service Days per Month'!DZ$4</f>
        <v>1770.8181818181818</v>
      </c>
      <c r="EA11" s="18">
        <f>'Total Weekday Boardings'!EA11/'Service Days per Month'!EA$4</f>
        <v>1903.1</v>
      </c>
      <c r="EB11" s="18">
        <f>'Total Weekday Boardings'!EB11/'Service Days per Month'!EB$4</f>
        <v>1934.5652173913043</v>
      </c>
      <c r="EC11" s="18">
        <f>'Total Weekday Boardings'!EC11/'Service Days per Month'!EC$4</f>
        <v>1867.9</v>
      </c>
      <c r="ED11" s="18">
        <f>'Total Weekday Boardings'!ED11/'Service Days per Month'!ED$4</f>
        <v>1700.1904761904761</v>
      </c>
      <c r="EE11" s="18">
        <f>'Total Weekday Boardings'!EE11/'Service Days per Month'!EE$4</f>
        <v>1684.7391304347825</v>
      </c>
      <c r="EF11" s="18">
        <f>'Total Weekday Boardings'!EF11/'Service Days per Month'!EF$4</f>
        <v>1878.4</v>
      </c>
      <c r="EG11" s="18">
        <f>'Total Weekday Boardings'!EG11/'Service Days per Month'!EG$4</f>
        <v>1328.6818181818182</v>
      </c>
      <c r="EH11" s="18">
        <f>'Total Weekday Boardings'!EH11/'Service Days per Month'!EH$4</f>
        <v>798.86363636363637</v>
      </c>
      <c r="EI11" s="18">
        <f>'Total Weekday Boardings'!EI11/'Service Days per Month'!EI$4</f>
        <v>808.35</v>
      </c>
      <c r="EJ11" s="19">
        <f>'Total Weekday Boardings'!EJ11/'Service Days per Month'!EJ$4</f>
        <v>744.31818181818187</v>
      </c>
      <c r="EK11" s="17">
        <f>'Total Weekday Boardings'!EK11/'Service Days per Month'!EK$4</f>
        <v>711.4545454545455</v>
      </c>
      <c r="EL11" s="18">
        <f>'Total Weekday Boardings'!EL11/'Service Days per Month'!EL$4</f>
        <v>717.33333333333337</v>
      </c>
      <c r="EM11" s="18">
        <f>'Total Weekday Boardings'!EM11/'Service Days per Month'!EM$4</f>
        <v>735.90476190476193</v>
      </c>
      <c r="EN11" s="18">
        <f>'Total Weekday Boardings'!EN11/'Service Days per Month'!EN$4</f>
        <v>787.68181818181813</v>
      </c>
      <c r="EO11" s="18">
        <f>'Total Weekday Boardings'!EO11/'Service Days per Month'!EO$4</f>
        <v>731.85</v>
      </c>
      <c r="EP11" s="18">
        <f>'Total Weekday Boardings'!EP11/'Service Days per Month'!EP$4</f>
        <v>545.4545454545455</v>
      </c>
      <c r="EQ11" s="18">
        <f>'Total Weekday Boardings'!EQ11/'Service Days per Month'!EQ$4</f>
        <v>310.04761904761904</v>
      </c>
      <c r="ER11" s="18">
        <f>'Total Weekday Boardings'!ER11/'Service Days per Month'!ER$4</f>
        <v>625.6</v>
      </c>
      <c r="ES11" s="18">
        <f>'Total Weekday Boardings'!ES11/'Service Days per Month'!ES$4</f>
        <v>662.04347826086962</v>
      </c>
      <c r="ET11" s="18">
        <f>'Total Weekday Boardings'!ET11/'Service Days per Month'!ET$4</f>
        <v>770.27272727272725</v>
      </c>
      <c r="EU11" s="18">
        <f>'Total Weekday Boardings'!EU11/'Service Days per Month'!EU$4</f>
        <v>706.8</v>
      </c>
      <c r="EV11" s="19">
        <f>'Total Weekday Boardings'!EV11/'Service Days per Month'!EV$4</f>
        <v>693.27272727272725</v>
      </c>
      <c r="EW11" s="17">
        <f>'Total Weekday Boardings'!EW11/'Service Days per Month'!EW$4</f>
        <v>669.19047619047615</v>
      </c>
      <c r="EX11" s="18">
        <f>'Total Weekday Boardings'!EX11/'Service Days per Month'!EX$4</f>
        <v>856.90909090909088</v>
      </c>
      <c r="EY11" s="18">
        <f>'Total Weekday Boardings'!EY11/'Service Days per Month'!EY$4</f>
        <v>876.28571428571433</v>
      </c>
      <c r="EZ11" s="18">
        <f>'Total Weekday Boardings'!EZ11/'Service Days per Month'!EZ$4</f>
        <v>872.95238095238096</v>
      </c>
      <c r="FA11" s="18">
        <f>'Total Weekday Boardings'!FA11/'Service Days per Month'!FA$4</f>
        <v>963.47619047619048</v>
      </c>
      <c r="FB11" s="18">
        <f>'Total Weekday Boardings'!FB11/'Service Days per Month'!FB$4</f>
        <v>866.77272727272725</v>
      </c>
      <c r="FC11" s="18">
        <f>'Total Weekday Boardings'!FC11/'Service Days per Month'!FC$4</f>
        <v>839.61904761904759</v>
      </c>
      <c r="FD11" s="18">
        <f>'Total Weekday Boardings'!FD11/'Service Days per Month'!FD$4</f>
        <v>1062.7</v>
      </c>
      <c r="FE11" s="18">
        <f>'Total Weekday Boardings'!FE11/'Service Days per Month'!FE$4</f>
        <v>1090.6521739130435</v>
      </c>
      <c r="FF11" s="18">
        <f>'Total Weekday Boardings'!FF11/'Service Days per Month'!FF$4</f>
        <v>1084.5714285714287</v>
      </c>
      <c r="FG11" s="18">
        <f>'Total Weekday Boardings'!FG11/'Service Days per Month'!FG$4</f>
        <v>991.85714285714289</v>
      </c>
      <c r="FH11" s="19">
        <f>'Total Weekday Boardings'!FH11/'Service Days per Month'!FH$4</f>
        <v>781.63636363636363</v>
      </c>
      <c r="FI11" s="17">
        <v>777.55</v>
      </c>
      <c r="FJ11" s="18">
        <v>996.17391304347825</v>
      </c>
      <c r="FK11" s="18">
        <v>1181.8571428571429</v>
      </c>
      <c r="FL11" s="18">
        <v>1149.1904761904761</v>
      </c>
      <c r="FM11" s="18">
        <v>1108.047619047619</v>
      </c>
      <c r="FN11" s="18">
        <v>1096.2380952380952</v>
      </c>
      <c r="FO11" s="18">
        <v>1195.1904761904761</v>
      </c>
      <c r="FP11" s="18">
        <v>1149.8</v>
      </c>
      <c r="FQ11" s="18">
        <v>1267.1739130434783</v>
      </c>
      <c r="FR11" s="18">
        <f>'Total Weekday Boardings'!FR11/20</f>
        <v>1410.8</v>
      </c>
      <c r="FS11" s="18">
        <f>'Total Weekday Boardings'!FS11/22</f>
        <v>1329.5454545454545</v>
      </c>
      <c r="FT11" s="21">
        <f>'Total Weekday Boardings'!FT11/23</f>
        <v>1070.1739130434783</v>
      </c>
      <c r="FU11" s="17">
        <f>'Total Weekday Boardings'!FU11/21</f>
        <v>1008.4285714285714</v>
      </c>
      <c r="FV11" s="18">
        <f>'Total Weekday Boardings'!FV11/23</f>
        <v>1170.1739130434783</v>
      </c>
      <c r="FW11" s="18">
        <f>'Total Weekday Boardings'!FW11/21</f>
        <v>1166.2380952380952</v>
      </c>
      <c r="FX11" s="18">
        <f>'Total Weekday Boardings'!FX11/22</f>
        <v>1237.6363636363637</v>
      </c>
      <c r="FY11" s="18">
        <f>'Total Weekday Boardings'!FY11/22</f>
        <v>1153.5</v>
      </c>
      <c r="FZ11" s="18">
        <f>'Total Weekday Boardings'!FZ11/21</f>
        <v>1080.4285714285713</v>
      </c>
      <c r="GA11" s="18">
        <f>'Total Weekday Boardings'!GA11/23</f>
        <v>1132.5652173913043</v>
      </c>
      <c r="GB11" s="18">
        <f>'Total Weekday Boardings'!GB11/21</f>
        <v>1279.8095238095239</v>
      </c>
      <c r="GC11" s="18">
        <f>'Total Weekday Boardings'!GC11/21</f>
        <v>1186.8571428571429</v>
      </c>
      <c r="GD11" s="18">
        <f>'Total Weekday Boardings'!GD11/22</f>
        <v>1125.8181818181818</v>
      </c>
      <c r="GE11" s="13">
        <f>'Total Weekday Boardings'!GE11/23</f>
        <v>1041.304347826087</v>
      </c>
      <c r="GF11" s="13">
        <f>'Total Weekday Boardings'!GF11/20</f>
        <v>984.55</v>
      </c>
      <c r="GG11" s="21">
        <f>'Total Weekday Boardings'!GG11/22</f>
        <v>938.36363636363637</v>
      </c>
      <c r="GH11" s="13">
        <f>'Total Weekday Boardings'!GH11/23</f>
        <v>1123.7826086956522</v>
      </c>
      <c r="GI11" s="13">
        <f>'Total Weekday Boardings'!GI11/21</f>
        <v>1230.047619047619</v>
      </c>
      <c r="GJ11" s="13">
        <f>'Total Weekday Boardings'!GJ11/23</f>
        <v>1201.9565217391305</v>
      </c>
      <c r="GK11" s="13">
        <f>'Total Weekday Boardings'!GK11/21</f>
        <v>1161.7142857142858</v>
      </c>
      <c r="GL11" s="13">
        <f>'Total Weekday Boardings'!GL11/22</f>
        <v>1037.4545454545455</v>
      </c>
    </row>
    <row r="12" spans="1:194" ht="15" thickBot="1" x14ac:dyDescent="0.35">
      <c r="A12" s="3" t="s">
        <v>5</v>
      </c>
      <c r="B12" s="17"/>
      <c r="C12" s="18">
        <f>'Total Weekday Boardings'!C12/'Service Days per Month'!C$4</f>
        <v>509.42857142857144</v>
      </c>
      <c r="D12" s="18">
        <f>'Total Weekday Boardings'!D12/'Service Days per Month'!D$4</f>
        <v>754.85</v>
      </c>
      <c r="E12" s="18">
        <f>'Total Weekday Boardings'!E12/'Service Days per Month'!E$4</f>
        <v>584.27272727272725</v>
      </c>
      <c r="F12" s="18">
        <f>'Total Weekday Boardings'!F12/'Service Days per Month'!F$4</f>
        <v>669.22727272727275</v>
      </c>
      <c r="G12" s="18">
        <f>'Total Weekday Boardings'!G12/'Service Days per Month'!G$4</f>
        <v>730</v>
      </c>
      <c r="H12" s="19">
        <f>'Total Weekday Boardings'!H12/'Service Days per Month'!H$4</f>
        <v>614.22727272727275</v>
      </c>
      <c r="I12" s="17">
        <f>'Total Weekday Boardings'!I12/'Service Days per Month'!I$4</f>
        <v>597.17391304347825</v>
      </c>
      <c r="J12" s="18">
        <f>'Total Weekday Boardings'!J12/'Service Days per Month'!J$4</f>
        <v>778.47619047619048</v>
      </c>
      <c r="K12" s="18">
        <f>'Total Weekday Boardings'!K12/'Service Days per Month'!K$4</f>
        <v>833.04761904761904</v>
      </c>
      <c r="L12" s="18">
        <f>'Total Weekday Boardings'!L12/'Service Days per Month'!L$4</f>
        <v>893.4545454545455</v>
      </c>
      <c r="M12" s="18">
        <f>'Total Weekday Boardings'!M12/'Service Days per Month'!M$4</f>
        <v>983.6</v>
      </c>
      <c r="N12" s="18">
        <f>'Total Weekday Boardings'!N12/'Service Days per Month'!N$4</f>
        <v>861.81818181818187</v>
      </c>
      <c r="O12" s="18">
        <f>'Total Weekday Boardings'!O12/'Service Days per Month'!O$4</f>
        <v>857.6</v>
      </c>
      <c r="P12" s="18">
        <f>'Total Weekday Boardings'!P12/'Service Days per Month'!P$4</f>
        <v>969.4</v>
      </c>
      <c r="Q12" s="18">
        <f>'Total Weekday Boardings'!Q12/'Service Days per Month'!Q$4</f>
        <v>971.26086956521738</v>
      </c>
      <c r="R12" s="18">
        <f>'Total Weekday Boardings'!R12/'Service Days per Month'!R$4</f>
        <v>1026</v>
      </c>
      <c r="S12" s="18">
        <f>'Total Weekday Boardings'!S12/'Service Days per Month'!S$4</f>
        <v>839.8</v>
      </c>
      <c r="T12" s="19">
        <f>'Total Weekday Boardings'!T12/'Service Days per Month'!T$4</f>
        <v>880.36363636363637</v>
      </c>
      <c r="U12" s="17">
        <f>'Total Weekday Boardings'!U12/'Service Days per Month'!U$4</f>
        <v>742</v>
      </c>
      <c r="V12" s="18">
        <f>'Total Weekday Boardings'!V12/'Service Days per Month'!V$4</f>
        <v>1021.7272727272727</v>
      </c>
      <c r="W12" s="18">
        <f>'Total Weekday Boardings'!W12/'Service Days per Month'!W$4</f>
        <v>1057.6666666666667</v>
      </c>
      <c r="X12" s="18">
        <f>'Total Weekday Boardings'!X12/'Service Days per Month'!X$4</f>
        <v>967.28571428571433</v>
      </c>
      <c r="Y12" s="18">
        <f>'Total Weekday Boardings'!Y12/'Service Days per Month'!Y$4</f>
        <v>980.89473684210532</v>
      </c>
      <c r="Z12" s="18">
        <f>'Total Weekday Boardings'!Z12/'Service Days per Month'!Z$4</f>
        <v>960.38095238095241</v>
      </c>
      <c r="AA12" s="18">
        <f>'Total Weekday Boardings'!AA12/'Service Days per Month'!AA$4</f>
        <v>1044.2</v>
      </c>
      <c r="AB12" s="18">
        <f>'Total Weekday Boardings'!AB12/'Service Days per Month'!AB$4</f>
        <v>1005.421052631579</v>
      </c>
      <c r="AC12" s="18">
        <f>'Total Weekday Boardings'!AC12/'Service Days per Month'!AC$4</f>
        <v>960.78260869565213</v>
      </c>
      <c r="AD12" s="18">
        <f>'Total Weekday Boardings'!AD12/'Service Days per Month'!AD$4</f>
        <v>1049.952380952381</v>
      </c>
      <c r="AE12" s="18">
        <f>'Total Weekday Boardings'!AE12/'Service Days per Month'!AE$4</f>
        <v>944.42857142857144</v>
      </c>
      <c r="AF12" s="19">
        <f>'Total Weekday Boardings'!AF12/'Service Days per Month'!AF$4</f>
        <v>794.31818181818187</v>
      </c>
      <c r="AG12" s="17">
        <f>'Total Weekday Boardings'!AG12/'Service Days per Month'!AG$4</f>
        <v>799.05</v>
      </c>
      <c r="AH12" s="18">
        <f>'Total Weekday Boardings'!AH12/'Service Days per Month'!AH$4</f>
        <v>1004.5217391304348</v>
      </c>
      <c r="AI12" s="18">
        <f>'Total Weekday Boardings'!AI12/'Service Days per Month'!AI$4</f>
        <v>1115.1904761904761</v>
      </c>
      <c r="AJ12" s="18">
        <f>'Total Weekday Boardings'!AJ12/'Service Days per Month'!AJ$4</f>
        <v>1093</v>
      </c>
      <c r="AK12" s="18">
        <f>'Total Weekday Boardings'!AK12/'Service Days per Month'!AK$4</f>
        <v>1045.8947368421052</v>
      </c>
      <c r="AL12" s="18">
        <f>'Total Weekday Boardings'!AL12/'Service Days per Month'!AL$4</f>
        <v>1035.8571428571429</v>
      </c>
      <c r="AM12" s="18">
        <f>'Total Weekday Boardings'!AM12/'Service Days per Month'!AM$4</f>
        <v>1084.2</v>
      </c>
      <c r="AN12" s="18">
        <f>'Total Weekday Boardings'!AN12/'Service Days per Month'!AN$4</f>
        <v>1099.2</v>
      </c>
      <c r="AO12" s="18">
        <f>'Total Weekday Boardings'!AO12/'Service Days per Month'!AO$4</f>
        <v>1075.2272727272727</v>
      </c>
      <c r="AP12" s="18">
        <f>'Total Weekday Boardings'!AP12/'Service Days per Month'!AP$4</f>
        <v>1222.2857142857142</v>
      </c>
      <c r="AQ12" s="18">
        <f>'Total Weekday Boardings'!AQ12/'Service Days per Month'!AQ$4</f>
        <v>1150.3181818181818</v>
      </c>
      <c r="AR12" s="19">
        <f>'Total Weekday Boardings'!AR12/'Service Days per Month'!AR$4</f>
        <v>919.85714285714289</v>
      </c>
      <c r="AS12" s="17">
        <f>'Total Weekday Boardings'!AS12/'Service Days per Month'!AS$4</f>
        <v>901.71428571428567</v>
      </c>
      <c r="AT12" s="18">
        <f>'Total Weekday Boardings'!AT12/'Service Days per Month'!AT$4</f>
        <v>1219.391304347826</v>
      </c>
      <c r="AU12" s="18">
        <f>'Total Weekday Boardings'!AU12/'Service Days per Month'!AU$4</f>
        <v>1311.9473684210527</v>
      </c>
      <c r="AV12" s="18">
        <f>'Total Weekday Boardings'!AV12/'Service Days per Month'!AV$4</f>
        <v>1218.1739130434783</v>
      </c>
      <c r="AW12" s="18">
        <f>'Total Weekday Boardings'!AW12/'Service Days per Month'!AW$4</f>
        <v>1331.1052631578948</v>
      </c>
      <c r="AX12" s="18">
        <f>'Total Weekday Boardings'!AX12/'Service Days per Month'!AX$4</f>
        <v>1246.6315789473683</v>
      </c>
      <c r="AY12" s="18">
        <f>'Total Weekday Boardings'!AY12/'Service Days per Month'!AY$4</f>
        <v>1191.8095238095239</v>
      </c>
      <c r="AZ12" s="18">
        <f>'Total Weekday Boardings'!AZ12/'Service Days per Month'!AZ$4</f>
        <v>1273.7894736842106</v>
      </c>
      <c r="BA12" s="18">
        <f>'Total Weekday Boardings'!BA12/'Service Days per Month'!BA$4</f>
        <v>1157.0952380952381</v>
      </c>
      <c r="BB12" s="18">
        <f>'Total Weekday Boardings'!BB12/'Service Days per Month'!BB$4</f>
        <v>1294.1818181818182</v>
      </c>
      <c r="BC12" s="18">
        <f>'Total Weekday Boardings'!BC12/'Service Days per Month'!BC$4</f>
        <v>1224.6818181818182</v>
      </c>
      <c r="BD12" s="19">
        <f>'Total Weekday Boardings'!BD12/'Service Days per Month'!BD$4</f>
        <v>1051.5</v>
      </c>
      <c r="BE12" s="17">
        <f>'Total Weekday Boardings'!BE12/'Service Days per Month'!BE$4</f>
        <v>1006.0454545454545</v>
      </c>
      <c r="BF12" s="18">
        <f>'Total Weekday Boardings'!BF12/'Service Days per Month'!BF$4</f>
        <v>1248.5454545454545</v>
      </c>
      <c r="BG12" s="18">
        <f>'Total Weekday Boardings'!BG12/'Service Days per Month'!BG$4</f>
        <v>1300.45</v>
      </c>
      <c r="BH12" s="18">
        <f>'Total Weekday Boardings'!BH12/'Service Days per Month'!BH$4</f>
        <v>1179.6521739130435</v>
      </c>
      <c r="BI12" s="18">
        <f>'Total Weekday Boardings'!BI12/'Service Days per Month'!BI$4</f>
        <v>1282.7945542436526</v>
      </c>
      <c r="BJ12" s="18">
        <f>'Total Weekday Boardings'!BJ12/'Service Days per Month'!BJ$4</f>
        <v>1142.95</v>
      </c>
      <c r="BK12" s="18">
        <f>'Total Weekday Boardings'!BK12/'Service Days per Month'!BK$4</f>
        <v>1216.1904761904761</v>
      </c>
      <c r="BL12" s="18">
        <f>'Total Weekday Boardings'!BL12/'Service Days per Month'!BL$4</f>
        <v>1259.3684210526317</v>
      </c>
      <c r="BM12" s="18">
        <f>'Total Weekday Boardings'!BM12/'Service Days per Month'!BM$4</f>
        <v>1189.2380952380952</v>
      </c>
      <c r="BN12" s="18">
        <f>'Total Weekday Boardings'!BN12/'Service Days per Month'!BN$4</f>
        <v>1200.2727272727273</v>
      </c>
      <c r="BO12" s="18">
        <f>'Total Weekday Boardings'!BO12/'Service Days per Month'!BO$4</f>
        <v>1113.4761904761904</v>
      </c>
      <c r="BP12" s="19">
        <f>'Total Weekday Boardings'!BP12/'Service Days per Month'!BP$4</f>
        <v>933.61904761904759</v>
      </c>
      <c r="BQ12" s="17">
        <f>'Total Weekday Boardings'!BQ12/'Service Days per Month'!BQ$4</f>
        <v>892.27272727272725</v>
      </c>
      <c r="BR12" s="18">
        <f>'Total Weekday Boardings'!BR12/'Service Days per Month'!BR$4</f>
        <v>1139.5238095238096</v>
      </c>
      <c r="BS12" s="18">
        <f>'Total Weekday Boardings'!BS12/'Service Days per Month'!BS$4</f>
        <v>1224.3333333333333</v>
      </c>
      <c r="BT12" s="18">
        <f>'Total Weekday Boardings'!BT12/'Service Days per Month'!BT$4</f>
        <v>1196.2173913043478</v>
      </c>
      <c r="BU12" s="18">
        <f>'Total Weekday Boardings'!BU12/'Service Days per Month'!BU$4</f>
        <v>1211</v>
      </c>
      <c r="BV12" s="18">
        <f>'Total Weekday Boardings'!BV12/'Service Days per Month'!BV$4</f>
        <v>1118.3809523809523</v>
      </c>
      <c r="BW12" s="18">
        <f>'Total Weekday Boardings'!BW12/'Service Days per Month'!BW$4</f>
        <v>1195.8</v>
      </c>
      <c r="BX12" s="18">
        <f>'Total Weekday Boardings'!BX12/'Service Days per Month'!BX$4</f>
        <v>1169.3684210526317</v>
      </c>
      <c r="BY12" s="18">
        <f>'Total Weekday Boardings'!BY12/'Service Days per Month'!BY$4</f>
        <v>1087.8181818181818</v>
      </c>
      <c r="BZ12" s="18">
        <f>'Total Weekday Boardings'!BZ12/'Service Days per Month'!BZ$4</f>
        <v>1181.2272727272727</v>
      </c>
      <c r="CA12" s="18">
        <f>'Total Weekday Boardings'!CA12/'Service Days per Month'!CA$4</f>
        <v>1095.9000000000001</v>
      </c>
      <c r="CB12" s="19">
        <f>'Total Weekday Boardings'!CB12/'Service Days per Month'!CB$4</f>
        <v>1005.0454545454545</v>
      </c>
      <c r="CC12" s="20">
        <f>'Total Weekday Boardings'!CC12/'Service Days per Month'!CC$4</f>
        <v>1014.9545454545455</v>
      </c>
      <c r="CD12" s="18">
        <f>'Total Weekday Boardings'!CD12/'Service Days per Month'!CD$4</f>
        <v>1255.8571428571429</v>
      </c>
      <c r="CE12" s="18">
        <f>'Total Weekday Boardings'!CE12/'Service Days per Month'!CE$4</f>
        <v>1262.9047619047619</v>
      </c>
      <c r="CF12" s="18">
        <f>'Total Weekday Boardings'!CF12/'Service Days per Month'!CF$4</f>
        <v>1270.5454545454545</v>
      </c>
      <c r="CG12" s="18">
        <f>'Total Weekday Boardings'!CG12/'Service Days per Month'!CG$4</f>
        <v>1282.3888888888889</v>
      </c>
      <c r="CH12" s="18">
        <f>'Total Weekday Boardings'!CH12/'Service Days per Month'!CH$4</f>
        <v>1146.047619047619</v>
      </c>
      <c r="CI12" s="18">
        <f>'Total Weekday Boardings'!CI12/'Service Days per Month'!CI$4</f>
        <v>1279.3684210526317</v>
      </c>
      <c r="CJ12" s="18">
        <f>'Total Weekday Boardings'!CJ12/'Service Days per Month'!CJ$4</f>
        <v>1263.95</v>
      </c>
      <c r="CK12" s="18">
        <f>'Total Weekday Boardings'!CK12/'Service Days per Month'!CK$4</f>
        <v>1214.8695652173913</v>
      </c>
      <c r="CL12" s="18">
        <f>'Total Weekday Boardings'!CL12/'Service Days per Month'!CL$4</f>
        <v>1313</v>
      </c>
      <c r="CM12" s="18">
        <f>'Total Weekday Boardings'!CM12/'Service Days per Month'!CM$4</f>
        <v>1273.7142857142858</v>
      </c>
      <c r="CN12" s="21">
        <f>'Total Weekday Boardings'!CN12/'Service Days per Month'!CN$4</f>
        <v>1152.090909090909</v>
      </c>
      <c r="CO12" s="17">
        <f>'Total Weekday Boardings'!CO12/'Service Days per Month'!CO$4</f>
        <v>1106.5999999999999</v>
      </c>
      <c r="CP12" s="18">
        <f>'Total Weekday Boardings'!CP12/'Service Days per Month'!CP$4</f>
        <v>1290.8260869565217</v>
      </c>
      <c r="CQ12" s="18">
        <f>'Total Weekday Boardings'!CQ12/'Service Days per Month'!CQ$4</f>
        <v>1424.4761904761904</v>
      </c>
      <c r="CR12" s="18">
        <f>'Total Weekday Boardings'!CR12/'Service Days per Month'!CR$4</f>
        <v>1381.4761904761904</v>
      </c>
      <c r="CS12" s="18">
        <f>'Total Weekday Boardings'!CS12/'Service Days per Month'!CS$4</f>
        <v>1377.578947368421</v>
      </c>
      <c r="CT12" s="18">
        <f>'Total Weekday Boardings'!CT12/'Service Days per Month'!CT$4</f>
        <v>1289.952380952381</v>
      </c>
      <c r="CU12" s="18">
        <f>'Total Weekday Boardings'!CU12/'Service Days per Month'!CU$4</f>
        <v>1379.75</v>
      </c>
      <c r="CV12" s="18">
        <f>'Total Weekday Boardings'!CV12/'Service Days per Month'!CV$4</f>
        <v>1470.7368421052631</v>
      </c>
      <c r="CW12" s="18">
        <f>'Total Weekday Boardings'!CW12/'Service Days per Month'!CW$4</f>
        <v>1319.1739130434783</v>
      </c>
      <c r="CX12" s="18">
        <f>'Total Weekday Boardings'!CX12/'Service Days per Month'!CX$4</f>
        <v>1368.65</v>
      </c>
      <c r="CY12" s="18">
        <f>'Total Weekday Boardings'!CY12/'Service Days per Month'!CY$4</f>
        <v>1313.1363636363637</v>
      </c>
      <c r="CZ12" s="19">
        <f>'Total Weekday Boardings'!CZ12/'Service Days per Month'!CZ$4</f>
        <v>1079.9545454545455</v>
      </c>
      <c r="DA12" s="17">
        <f>'Total Weekday Boardings'!DA12/'Service Days per Month'!DA$4</f>
        <v>1047.9000000000001</v>
      </c>
      <c r="DB12" s="18">
        <f>'Total Weekday Boardings'!DB12/'Service Days per Month'!DB$4</f>
        <v>1233.9565217391305</v>
      </c>
      <c r="DC12" s="18">
        <f>'Total Weekday Boardings'!DC12/'Service Days per Month'!DC$4</f>
        <v>1345.9</v>
      </c>
      <c r="DD12" s="18">
        <f>'Total Weekday Boardings'!DD12/'Service Days per Month'!DD$4</f>
        <v>1328.3181818181818</v>
      </c>
      <c r="DE12" s="18">
        <f>'Total Weekday Boardings'!DE12/'Service Days per Month'!DE$4</f>
        <v>1310.9473684210527</v>
      </c>
      <c r="DF12" s="18">
        <f>'Total Weekday Boardings'!DF12/'Service Days per Month'!DF$4</f>
        <v>1188.1500000000001</v>
      </c>
      <c r="DG12" s="18">
        <f>'Total Weekday Boardings'!DG12/'Service Days per Month'!DG$4</f>
        <v>1183.6666666666667</v>
      </c>
      <c r="DH12" s="18">
        <f>'Total Weekday Boardings'!DH12/'Service Days per Month'!DH$4</f>
        <v>1213</v>
      </c>
      <c r="DI12" s="18">
        <f>'Total Weekday Boardings'!DI12/'Service Days per Month'!DI$4</f>
        <v>1081.6818181818182</v>
      </c>
      <c r="DJ12" s="18">
        <f>'Total Weekday Boardings'!DJ12/'Service Days per Month'!DJ$4</f>
        <v>1141.7619047619048</v>
      </c>
      <c r="DK12" s="18">
        <f>'Total Weekday Boardings'!DK12/'Service Days per Month'!DK$4</f>
        <v>1061.3181818181818</v>
      </c>
      <c r="DL12" s="19">
        <f>'Total Weekday Boardings'!DL12/'Service Days per Month'!DL$4</f>
        <v>978.66666666666663</v>
      </c>
      <c r="DM12" s="17">
        <f>'Total Weekday Boardings'!DM12/'Service Days per Month'!DM$4</f>
        <v>897.38095238095241</v>
      </c>
      <c r="DN12" s="18">
        <f>'Total Weekday Boardings'!DN12/'Service Days per Month'!DN$4</f>
        <v>1105.2608695652175</v>
      </c>
      <c r="DO12" s="18">
        <f>'Total Weekday Boardings'!DO12/'Service Days per Month'!DO$4</f>
        <v>1106.421052631579</v>
      </c>
      <c r="DP12" s="18">
        <f>'Total Weekday Boardings'!DP12/'Service Days per Month'!DP$4</f>
        <v>1063.4347826086957</v>
      </c>
      <c r="DQ12" s="18">
        <f>'Total Weekday Boardings'!DQ12/'Service Days per Month'!DQ$4</f>
        <v>1027.7619047619048</v>
      </c>
      <c r="DR12" s="18">
        <f>'Total Weekday Boardings'!DR12/'Service Days per Month'!DR$4</f>
        <v>1035.4000000000001</v>
      </c>
      <c r="DS12" s="18">
        <f>'Total Weekday Boardings'!DS12/'Service Days per Month'!DS$4</f>
        <v>1026.409090909091</v>
      </c>
      <c r="DT12" s="18">
        <f>'Total Weekday Boardings'!DT12/'Service Days per Month'!DT$4</f>
        <v>988.6</v>
      </c>
      <c r="DU12" s="18">
        <f>'Total Weekday Boardings'!DU12/'Service Days per Month'!DU$4</f>
        <v>986.85714285714289</v>
      </c>
      <c r="DV12" s="18">
        <f>'Total Weekday Boardings'!DV12/'Service Days per Month'!DV$4</f>
        <v>953.4545454545455</v>
      </c>
      <c r="DW12" s="18">
        <f>'Total Weekday Boardings'!DW12/'Service Days per Month'!DW$4</f>
        <v>950.5454545454545</v>
      </c>
      <c r="DX12" s="19">
        <f>'Total Weekday Boardings'!DX12/'Service Days per Month'!DX$4</f>
        <v>842.25</v>
      </c>
      <c r="DY12" s="17">
        <f>'Total Weekday Boardings'!DY12/'Service Days per Month'!DY$4</f>
        <v>789.31818181818187</v>
      </c>
      <c r="DZ12" s="18">
        <f>'Total Weekday Boardings'!DZ12/'Service Days per Month'!DZ$4</f>
        <v>945.90909090909088</v>
      </c>
      <c r="EA12" s="18">
        <f>'Total Weekday Boardings'!EA12/'Service Days per Month'!EA$4</f>
        <v>999.45</v>
      </c>
      <c r="EB12" s="18">
        <f>'Total Weekday Boardings'!EB12/'Service Days per Month'!EB$4</f>
        <v>971.17391304347825</v>
      </c>
      <c r="EC12" s="18">
        <f>'Total Weekday Boardings'!EC12/'Service Days per Month'!EC$4</f>
        <v>912.3</v>
      </c>
      <c r="ED12" s="18">
        <f>'Total Weekday Boardings'!ED12/'Service Days per Month'!ED$4</f>
        <v>823.66666666666663</v>
      </c>
      <c r="EE12" s="18">
        <f>'Total Weekday Boardings'!EE12/'Service Days per Month'!EE$4</f>
        <v>835.304347826087</v>
      </c>
      <c r="EF12" s="18">
        <f>'Total Weekday Boardings'!EF12/'Service Days per Month'!EF$4</f>
        <v>900.85</v>
      </c>
      <c r="EG12" s="18">
        <f>'Total Weekday Boardings'!EG12/'Service Days per Month'!EG$4</f>
        <v>650.4545454545455</v>
      </c>
      <c r="EH12" s="18">
        <f>'Total Weekday Boardings'!EH12/'Service Days per Month'!EH$4</f>
        <v>426.45454545454544</v>
      </c>
      <c r="EI12" s="18">
        <f>'Total Weekday Boardings'!EI12/'Service Days per Month'!EI$4</f>
        <v>438.65</v>
      </c>
      <c r="EJ12" s="19">
        <f>'Total Weekday Boardings'!EJ12/'Service Days per Month'!EJ$4</f>
        <v>387.27272727272725</v>
      </c>
      <c r="EK12" s="17">
        <f>'Total Weekday Boardings'!EK12/'Service Days per Month'!EK$4</f>
        <v>360.22727272727275</v>
      </c>
      <c r="EL12" s="18">
        <f>'Total Weekday Boardings'!EL12/'Service Days per Month'!EL$4</f>
        <v>359.1904761904762</v>
      </c>
      <c r="EM12" s="18">
        <f>'Total Weekday Boardings'!EM12/'Service Days per Month'!EM$4</f>
        <v>383.42857142857144</v>
      </c>
      <c r="EN12" s="18">
        <f>'Total Weekday Boardings'!EN12/'Service Days per Month'!EN$4</f>
        <v>382.54545454545456</v>
      </c>
      <c r="EO12" s="18">
        <f>'Total Weekday Boardings'!EO12/'Service Days per Month'!EO$4</f>
        <v>405.75</v>
      </c>
      <c r="EP12" s="18">
        <f>'Total Weekday Boardings'!EP12/'Service Days per Month'!EP$4</f>
        <v>292.5</v>
      </c>
      <c r="EQ12" s="18">
        <f>'Total Weekday Boardings'!EQ12/'Service Days per Month'!EQ$4</f>
        <v>154.28571428571428</v>
      </c>
      <c r="ER12" s="18">
        <f>'Total Weekday Boardings'!ER12/'Service Days per Month'!ER$4</f>
        <v>328.8</v>
      </c>
      <c r="ES12" s="18">
        <f>'Total Weekday Boardings'!ES12/'Service Days per Month'!ES$4</f>
        <v>375.13043478260869</v>
      </c>
      <c r="ET12" s="18">
        <f>'Total Weekday Boardings'!ET12/'Service Days per Month'!ET$4</f>
        <v>430.95454545454544</v>
      </c>
      <c r="EU12" s="18">
        <f>'Total Weekday Boardings'!EU12/'Service Days per Month'!EU$4</f>
        <v>398.45</v>
      </c>
      <c r="EV12" s="19">
        <f>'Total Weekday Boardings'!EV12/'Service Days per Month'!EV$4</f>
        <v>398.59090909090907</v>
      </c>
      <c r="EW12" s="17">
        <f>'Total Weekday Boardings'!EW12/'Service Days per Month'!EW$4</f>
        <v>369.23809523809524</v>
      </c>
      <c r="EX12" s="18">
        <f>'Total Weekday Boardings'!EX12/'Service Days per Month'!EX$4</f>
        <v>482.27272727272725</v>
      </c>
      <c r="EY12" s="18">
        <f>'Total Weekday Boardings'!EY12/'Service Days per Month'!EY$4</f>
        <v>520.47619047619048</v>
      </c>
      <c r="EZ12" s="18">
        <f>'Total Weekday Boardings'!EZ12/'Service Days per Month'!EZ$4</f>
        <v>504.1904761904762</v>
      </c>
      <c r="FA12" s="18">
        <f>'Total Weekday Boardings'!FA12/'Service Days per Month'!FA$4</f>
        <v>557</v>
      </c>
      <c r="FB12" s="18">
        <f>'Total Weekday Boardings'!FB12/'Service Days per Month'!FB$4</f>
        <v>499.04545454545456</v>
      </c>
      <c r="FC12" s="18">
        <f>'Total Weekday Boardings'!FC12/'Service Days per Month'!FC$4</f>
        <v>471</v>
      </c>
      <c r="FD12" s="18">
        <f>'Total Weekday Boardings'!FD12/'Service Days per Month'!FD$4</f>
        <v>585.85</v>
      </c>
      <c r="FE12" s="18">
        <f>'Total Weekday Boardings'!FE12/'Service Days per Month'!FE$4</f>
        <v>617.52173913043475</v>
      </c>
      <c r="FF12" s="18">
        <f>'Total Weekday Boardings'!FF12/'Service Days per Month'!FF$4</f>
        <v>620.14285714285711</v>
      </c>
      <c r="FG12" s="18">
        <f>'Total Weekday Boardings'!FG12/'Service Days per Month'!FG$4</f>
        <v>582.23809523809518</v>
      </c>
      <c r="FH12" s="19">
        <f>'Total Weekday Boardings'!FH12/'Service Days per Month'!FH$4</f>
        <v>443.77272727272725</v>
      </c>
      <c r="FI12" s="17">
        <v>457.95</v>
      </c>
      <c r="FJ12" s="18">
        <v>556.56521739130437</v>
      </c>
      <c r="FK12" s="18">
        <v>649.42857142857144</v>
      </c>
      <c r="FL12" s="18">
        <v>592.61904761904759</v>
      </c>
      <c r="FM12" s="18">
        <v>582.80952380952385</v>
      </c>
      <c r="FN12" s="18">
        <v>563.85714285714289</v>
      </c>
      <c r="FO12" s="18">
        <v>580.85714285714289</v>
      </c>
      <c r="FP12" s="18">
        <v>534.9</v>
      </c>
      <c r="FQ12" s="18">
        <v>595.95652173913038</v>
      </c>
      <c r="FR12" s="18">
        <f>'Total Weekday Boardings'!FR12/20</f>
        <v>646.85</v>
      </c>
      <c r="FS12" s="18">
        <f>'Total Weekday Boardings'!FS12/22</f>
        <v>680.40909090909088</v>
      </c>
      <c r="FT12" s="21">
        <f>'Total Weekday Boardings'!FT12/23</f>
        <v>544.6521739130435</v>
      </c>
      <c r="FU12" s="17">
        <f>'Total Weekday Boardings'!FU12/21</f>
        <v>499.14285714285717</v>
      </c>
      <c r="FV12" s="18">
        <f>'Total Weekday Boardings'!FV12/23</f>
        <v>598.86956521739125</v>
      </c>
      <c r="FW12" s="18">
        <f>'Total Weekday Boardings'!FW12/21</f>
        <v>643.28571428571433</v>
      </c>
      <c r="FX12" s="18">
        <f>'Total Weekday Boardings'!FX12/22</f>
        <v>681</v>
      </c>
      <c r="FY12" s="18">
        <f>'Total Weekday Boardings'!FY12/22</f>
        <v>620.72727272727275</v>
      </c>
      <c r="FZ12" s="18">
        <f>'Total Weekday Boardings'!FZ12/21</f>
        <v>569.23809523809518</v>
      </c>
      <c r="GA12" s="18">
        <f>'Total Weekday Boardings'!GA12/23</f>
        <v>624</v>
      </c>
      <c r="GB12" s="18">
        <f>'Total Weekday Boardings'!GB12/21</f>
        <v>689.38095238095241</v>
      </c>
      <c r="GC12" s="18">
        <f>'Total Weekday Boardings'!GC12/21</f>
        <v>646.52380952380952</v>
      </c>
      <c r="GD12" s="18">
        <f>'Total Weekday Boardings'!GD12/22</f>
        <v>656.4545454545455</v>
      </c>
      <c r="GE12" s="13">
        <f>'Total Weekday Boardings'!GE12/23</f>
        <v>599.17391304347825</v>
      </c>
      <c r="GF12" s="13">
        <f>'Total Weekday Boardings'!GF12/20</f>
        <v>551</v>
      </c>
      <c r="GG12" s="21">
        <f>'Total Weekday Boardings'!GG12/22</f>
        <v>492.40909090909093</v>
      </c>
      <c r="GH12" s="13">
        <f>'Total Weekday Boardings'!GH12/23</f>
        <v>588.47826086956525</v>
      </c>
      <c r="GI12" s="13">
        <f>'Total Weekday Boardings'!GI12/21</f>
        <v>628</v>
      </c>
      <c r="GJ12" s="13">
        <f>'Total Weekday Boardings'!GJ12/23</f>
        <v>580.82608695652175</v>
      </c>
      <c r="GK12" s="13">
        <f>'Total Weekday Boardings'!GK12/21</f>
        <v>561.90476190476193</v>
      </c>
      <c r="GL12" s="13">
        <f>'Total Weekday Boardings'!GL12/22</f>
        <v>536.9545454545455</v>
      </c>
    </row>
    <row r="13" spans="1:194" ht="15" thickBot="1" x14ac:dyDescent="0.35">
      <c r="A13" s="3" t="s">
        <v>6</v>
      </c>
      <c r="B13" s="17"/>
      <c r="C13" s="18">
        <f>'Total Weekday Boardings'!C13/'Service Days per Month'!C$4</f>
        <v>822.42857142857144</v>
      </c>
      <c r="D13" s="18">
        <f>'Total Weekday Boardings'!D13/'Service Days per Month'!D$4</f>
        <v>566.79999999999995</v>
      </c>
      <c r="E13" s="18">
        <f>'Total Weekday Boardings'!E13/'Service Days per Month'!E$4</f>
        <v>387.36363636363637</v>
      </c>
      <c r="F13" s="18">
        <f>'Total Weekday Boardings'!F13/'Service Days per Month'!F$4</f>
        <v>404.22727272727275</v>
      </c>
      <c r="G13" s="18">
        <f>'Total Weekday Boardings'!G13/'Service Days per Month'!G$4</f>
        <v>337.95</v>
      </c>
      <c r="H13" s="19">
        <f>'Total Weekday Boardings'!H13/'Service Days per Month'!H$4</f>
        <v>284.90909090909093</v>
      </c>
      <c r="I13" s="17">
        <f>'Total Weekday Boardings'!I13/'Service Days per Month'!I$4</f>
        <v>223.52173913043478</v>
      </c>
      <c r="J13" s="18">
        <f>'Total Weekday Boardings'!J13/'Service Days per Month'!J$4</f>
        <v>291.38095238095241</v>
      </c>
      <c r="K13" s="18">
        <f>'Total Weekday Boardings'!K13/'Service Days per Month'!K$4</f>
        <v>433.76190476190476</v>
      </c>
      <c r="L13" s="18">
        <f>'Total Weekday Boardings'!L13/'Service Days per Month'!L$4</f>
        <v>402.81818181818181</v>
      </c>
      <c r="M13" s="18">
        <f>'Total Weekday Boardings'!M13/'Service Days per Month'!M$4</f>
        <v>467.75</v>
      </c>
      <c r="N13" s="18">
        <f>'Total Weekday Boardings'!N13/'Service Days per Month'!N$4</f>
        <v>426.72727272727275</v>
      </c>
      <c r="O13" s="18">
        <f>'Total Weekday Boardings'!O13/'Service Days per Month'!O$4</f>
        <v>386.65</v>
      </c>
      <c r="P13" s="18">
        <f>'Total Weekday Boardings'!P13/'Service Days per Month'!P$4</f>
        <v>480</v>
      </c>
      <c r="Q13" s="18">
        <f>'Total Weekday Boardings'!Q13/'Service Days per Month'!Q$4</f>
        <v>563.52173913043475</v>
      </c>
      <c r="R13" s="18">
        <f>'Total Weekday Boardings'!R13/'Service Days per Month'!R$4</f>
        <v>462.59090909090907</v>
      </c>
      <c r="S13" s="18">
        <f>'Total Weekday Boardings'!S13/'Service Days per Month'!S$4</f>
        <v>394.85</v>
      </c>
      <c r="T13" s="19">
        <f>'Total Weekday Boardings'!T13/'Service Days per Month'!T$4</f>
        <v>911.40909090909088</v>
      </c>
      <c r="U13" s="17">
        <f>'Total Weekday Boardings'!U13/'Service Days per Month'!U$4</f>
        <v>758.85714285714289</v>
      </c>
      <c r="V13" s="18">
        <f>'Total Weekday Boardings'!V13/'Service Days per Month'!V$4</f>
        <v>1039.3636363636363</v>
      </c>
      <c r="W13" s="18">
        <f>'Total Weekday Boardings'!W13/'Service Days per Month'!W$4</f>
        <v>1022.1428571428571</v>
      </c>
      <c r="X13" s="18">
        <f>'Total Weekday Boardings'!X13/'Service Days per Month'!X$4</f>
        <v>1031.4761904761904</v>
      </c>
      <c r="Y13" s="18">
        <f>'Total Weekday Boardings'!Y13/'Service Days per Month'!Y$4</f>
        <v>1050.421052631579</v>
      </c>
      <c r="Z13" s="18">
        <f>'Total Weekday Boardings'!Z13/'Service Days per Month'!Z$4</f>
        <v>1072.5714285714287</v>
      </c>
      <c r="AA13" s="18">
        <f>'Total Weekday Boardings'!AA13/'Service Days per Month'!AA$4</f>
        <v>1119.25</v>
      </c>
      <c r="AB13" s="18">
        <f>'Total Weekday Boardings'!AB13/'Service Days per Month'!AB$4</f>
        <v>1107.4736842105262</v>
      </c>
      <c r="AC13" s="18">
        <f>'Total Weekday Boardings'!AC13/'Service Days per Month'!AC$4</f>
        <v>1106.0434782608695</v>
      </c>
      <c r="AD13" s="18">
        <f>'Total Weekday Boardings'!AD13/'Service Days per Month'!AD$4</f>
        <v>1174</v>
      </c>
      <c r="AE13" s="18">
        <f>'Total Weekday Boardings'!AE13/'Service Days per Month'!AE$4</f>
        <v>1012.952380952381</v>
      </c>
      <c r="AF13" s="19">
        <f>'Total Weekday Boardings'!AF13/'Service Days per Month'!AF$4</f>
        <v>909.36363636363637</v>
      </c>
      <c r="AG13" s="17">
        <f>'Total Weekday Boardings'!AG13/'Service Days per Month'!AG$4</f>
        <v>888.65</v>
      </c>
      <c r="AH13" s="18">
        <f>'Total Weekday Boardings'!AH13/'Service Days per Month'!AH$4</f>
        <v>1029.5217391304348</v>
      </c>
      <c r="AI13" s="18">
        <f>'Total Weekday Boardings'!AI13/'Service Days per Month'!AI$4</f>
        <v>1190.3333333333333</v>
      </c>
      <c r="AJ13" s="18">
        <f>'Total Weekday Boardings'!AJ13/'Service Days per Month'!AJ$4</f>
        <v>1130.3333333333333</v>
      </c>
      <c r="AK13" s="18">
        <f>'Total Weekday Boardings'!AK13/'Service Days per Month'!AK$4</f>
        <v>1082.3157894736842</v>
      </c>
      <c r="AL13" s="18">
        <f>'Total Weekday Boardings'!AL13/'Service Days per Month'!AL$4</f>
        <v>1027.7142857142858</v>
      </c>
      <c r="AM13" s="18">
        <f>'Total Weekday Boardings'!AM13/'Service Days per Month'!AM$4</f>
        <v>1118.9000000000001</v>
      </c>
      <c r="AN13" s="18">
        <f>'Total Weekday Boardings'!AN13/'Service Days per Month'!AN$4</f>
        <v>1135</v>
      </c>
      <c r="AO13" s="18">
        <f>'Total Weekday Boardings'!AO13/'Service Days per Month'!AO$4</f>
        <v>1116.2272727272727</v>
      </c>
      <c r="AP13" s="18">
        <f>'Total Weekday Boardings'!AP13/'Service Days per Month'!AP$4</f>
        <v>1237</v>
      </c>
      <c r="AQ13" s="18">
        <f>'Total Weekday Boardings'!AQ13/'Service Days per Month'!AQ$4</f>
        <v>1114.3636363636363</v>
      </c>
      <c r="AR13" s="19">
        <f>'Total Weekday Boardings'!AR13/'Service Days per Month'!AR$4</f>
        <v>928.14285714285711</v>
      </c>
      <c r="AS13" s="17">
        <f>'Total Weekday Boardings'!AS13/'Service Days per Month'!AS$4</f>
        <v>825.85714285714289</v>
      </c>
      <c r="AT13" s="18">
        <f>'Total Weekday Boardings'!AT13/'Service Days per Month'!AT$4</f>
        <v>1053.695652173913</v>
      </c>
      <c r="AU13" s="18">
        <f>'Total Weekday Boardings'!AU13/'Service Days per Month'!AU$4</f>
        <v>1173.4736842105262</v>
      </c>
      <c r="AV13" s="18">
        <f>'Total Weekday Boardings'!AV13/'Service Days per Month'!AV$4</f>
        <v>1214.1304347826087</v>
      </c>
      <c r="AW13" s="18">
        <f>'Total Weekday Boardings'!AW13/'Service Days per Month'!AW$4</f>
        <v>1275.6315789473683</v>
      </c>
      <c r="AX13" s="18">
        <f>'Total Weekday Boardings'!AX13/'Service Days per Month'!AX$4</f>
        <v>1122.7894736842106</v>
      </c>
      <c r="AY13" s="18">
        <f>'Total Weekday Boardings'!AY13/'Service Days per Month'!AY$4</f>
        <v>1130.952380952381</v>
      </c>
      <c r="AZ13" s="18">
        <f>'Total Weekday Boardings'!AZ13/'Service Days per Month'!AZ$4</f>
        <v>1222.4736842105262</v>
      </c>
      <c r="BA13" s="18">
        <f>'Total Weekday Boardings'!BA13/'Service Days per Month'!BA$4</f>
        <v>1117.2380952380952</v>
      </c>
      <c r="BB13" s="18">
        <f>'Total Weekday Boardings'!BB13/'Service Days per Month'!BB$4</f>
        <v>1185.3636363636363</v>
      </c>
      <c r="BC13" s="18">
        <f>'Total Weekday Boardings'!BC13/'Service Days per Month'!BC$4</f>
        <v>1073.5</v>
      </c>
      <c r="BD13" s="19">
        <f>'Total Weekday Boardings'!BD13/'Service Days per Month'!BD$4</f>
        <v>919.5</v>
      </c>
      <c r="BE13" s="17">
        <f>'Total Weekday Boardings'!BE13/'Service Days per Month'!BE$4</f>
        <v>852.4545454545455</v>
      </c>
      <c r="BF13" s="18">
        <f>'Total Weekday Boardings'!BF13/'Service Days per Month'!BF$4</f>
        <v>977.72727272727275</v>
      </c>
      <c r="BG13" s="18">
        <f>'Total Weekday Boardings'!BG13/'Service Days per Month'!BG$4</f>
        <v>1081.5999999999999</v>
      </c>
      <c r="BH13" s="18">
        <f>'Total Weekday Boardings'!BH13/'Service Days per Month'!BH$4</f>
        <v>1064.7826086956522</v>
      </c>
      <c r="BI13" s="18">
        <f>'Total Weekday Boardings'!BI13/'Service Days per Month'!BI$4</f>
        <v>1115.2152237128712</v>
      </c>
      <c r="BJ13" s="18">
        <f>'Total Weekday Boardings'!BJ13/'Service Days per Month'!BJ$4</f>
        <v>961.3</v>
      </c>
      <c r="BK13" s="18">
        <f>'Total Weekday Boardings'!BK13/'Service Days per Month'!BK$4</f>
        <v>1057.4761904761904</v>
      </c>
      <c r="BL13" s="18">
        <f>'Total Weekday Boardings'!BL13/'Service Days per Month'!BL$4</f>
        <v>1090.6315789473683</v>
      </c>
      <c r="BM13" s="18">
        <f>'Total Weekday Boardings'!BM13/'Service Days per Month'!BM$4</f>
        <v>1065.7142857142858</v>
      </c>
      <c r="BN13" s="18">
        <f>'Total Weekday Boardings'!BN13/'Service Days per Month'!BN$4</f>
        <v>1068.7727272727273</v>
      </c>
      <c r="BO13" s="18">
        <f>'Total Weekday Boardings'!BO13/'Service Days per Month'!BO$4</f>
        <v>980</v>
      </c>
      <c r="BP13" s="19">
        <f>'Total Weekday Boardings'!BP13/'Service Days per Month'!BP$4</f>
        <v>870.52380952380952</v>
      </c>
      <c r="BQ13" s="17">
        <f>'Total Weekday Boardings'!BQ13/'Service Days per Month'!BQ$4</f>
        <v>769.18181818181813</v>
      </c>
      <c r="BR13" s="18">
        <f>'Total Weekday Boardings'!BR13/'Service Days per Month'!BR$4</f>
        <v>902.95238095238096</v>
      </c>
      <c r="BS13" s="18">
        <f>'Total Weekday Boardings'!BS13/'Service Days per Month'!BS$4</f>
        <v>1013.2380952380952</v>
      </c>
      <c r="BT13" s="18">
        <f>'Total Weekday Boardings'!BT13/'Service Days per Month'!BT$4</f>
        <v>1031.0434782608695</v>
      </c>
      <c r="BU13" s="18">
        <f>'Total Weekday Boardings'!BU13/'Service Days per Month'!BU$4</f>
        <v>1044.7058823529412</v>
      </c>
      <c r="BV13" s="18">
        <f>'Total Weekday Boardings'!BV13/'Service Days per Month'!BV$4</f>
        <v>960.38095238095241</v>
      </c>
      <c r="BW13" s="18">
        <f>'Total Weekday Boardings'!BW13/'Service Days per Month'!BW$4</f>
        <v>1204.6500000000001</v>
      </c>
      <c r="BX13" s="18">
        <f>'Total Weekday Boardings'!BX13/'Service Days per Month'!BX$4</f>
        <v>1064.4736842105262</v>
      </c>
      <c r="BY13" s="18">
        <f>'Total Weekday Boardings'!BY13/'Service Days per Month'!BY$4</f>
        <v>1017.9545454545455</v>
      </c>
      <c r="BZ13" s="18">
        <f>'Total Weekday Boardings'!BZ13/'Service Days per Month'!BZ$4</f>
        <v>1063.5</v>
      </c>
      <c r="CA13" s="18">
        <f>'Total Weekday Boardings'!CA13/'Service Days per Month'!CA$4</f>
        <v>947.45</v>
      </c>
      <c r="CB13" s="19">
        <f>'Total Weekday Boardings'!CB13/'Service Days per Month'!CB$4</f>
        <v>770.77272727272725</v>
      </c>
      <c r="CC13" s="20">
        <f>'Total Weekday Boardings'!CC13/'Service Days per Month'!CC$4</f>
        <v>745.5454545454545</v>
      </c>
      <c r="CD13" s="18">
        <f>'Total Weekday Boardings'!CD13/'Service Days per Month'!CD$4</f>
        <v>899.28571428571433</v>
      </c>
      <c r="CE13" s="18">
        <f>'Total Weekday Boardings'!CE13/'Service Days per Month'!CE$4</f>
        <v>1021.2857142857143</v>
      </c>
      <c r="CF13" s="18">
        <f>'Total Weekday Boardings'!CF13/'Service Days per Month'!CF$4</f>
        <v>1032</v>
      </c>
      <c r="CG13" s="18">
        <f>'Total Weekday Boardings'!CG13/'Service Days per Month'!CG$4</f>
        <v>1000.5555555555555</v>
      </c>
      <c r="CH13" s="18">
        <f>'Total Weekday Boardings'!CH13/'Service Days per Month'!CH$4</f>
        <v>941.23809523809518</v>
      </c>
      <c r="CI13" s="18">
        <f>'Total Weekday Boardings'!CI13/'Service Days per Month'!CI$4</f>
        <v>1038.2105263157894</v>
      </c>
      <c r="CJ13" s="18">
        <f>'Total Weekday Boardings'!CJ13/'Service Days per Month'!CJ$4</f>
        <v>1006.7</v>
      </c>
      <c r="CK13" s="18">
        <f>'Total Weekday Boardings'!CK13/'Service Days per Month'!CK$4</f>
        <v>1005.2173913043479</v>
      </c>
      <c r="CL13" s="18">
        <f>'Total Weekday Boardings'!CL13/'Service Days per Month'!CL$4</f>
        <v>1106.7142857142858</v>
      </c>
      <c r="CM13" s="18">
        <f>'Total Weekday Boardings'!CM13/'Service Days per Month'!CM$4</f>
        <v>979.76190476190482</v>
      </c>
      <c r="CN13" s="21">
        <f>'Total Weekday Boardings'!CN13/'Service Days per Month'!CN$4</f>
        <v>869.31818181818187</v>
      </c>
      <c r="CO13" s="17">
        <f>'Total Weekday Boardings'!CO13/'Service Days per Month'!CO$4</f>
        <v>745</v>
      </c>
      <c r="CP13" s="18">
        <f>'Total Weekday Boardings'!CP13/'Service Days per Month'!CP$4</f>
        <v>921</v>
      </c>
      <c r="CQ13" s="18">
        <f>'Total Weekday Boardings'!CQ13/'Service Days per Month'!CQ$4</f>
        <v>1018.9047619047619</v>
      </c>
      <c r="CR13" s="18">
        <f>'Total Weekday Boardings'!CR13/'Service Days per Month'!CR$4</f>
        <v>997.95238095238096</v>
      </c>
      <c r="CS13" s="18">
        <f>'Total Weekday Boardings'!CS13/'Service Days per Month'!CS$4</f>
        <v>961.84210526315792</v>
      </c>
      <c r="CT13" s="18">
        <f>'Total Weekday Boardings'!CT13/'Service Days per Month'!CT$4</f>
        <v>925.90476190476193</v>
      </c>
      <c r="CU13" s="18">
        <f>'Total Weekday Boardings'!CU13/'Service Days per Month'!CU$4</f>
        <v>992.6</v>
      </c>
      <c r="CV13" s="18">
        <f>'Total Weekday Boardings'!CV13/'Service Days per Month'!CV$4</f>
        <v>1078.8421052631579</v>
      </c>
      <c r="CW13" s="18">
        <f>'Total Weekday Boardings'!CW13/'Service Days per Month'!CW$4</f>
        <v>1043.5217391304348</v>
      </c>
      <c r="CX13" s="18">
        <f>'Total Weekday Boardings'!CX13/'Service Days per Month'!CX$4</f>
        <v>1081.7</v>
      </c>
      <c r="CY13" s="18">
        <f>'Total Weekday Boardings'!CY13/'Service Days per Month'!CY$4</f>
        <v>980.59090909090912</v>
      </c>
      <c r="CZ13" s="19">
        <f>'Total Weekday Boardings'!CZ13/'Service Days per Month'!CZ$4</f>
        <v>809.81818181818187</v>
      </c>
      <c r="DA13" s="17">
        <f>'Total Weekday Boardings'!DA13/'Service Days per Month'!DA$4</f>
        <v>730.6</v>
      </c>
      <c r="DB13" s="18">
        <f>'Total Weekday Boardings'!DB13/'Service Days per Month'!DB$4</f>
        <v>976.60869565217388</v>
      </c>
      <c r="DC13" s="18">
        <f>'Total Weekday Boardings'!DC13/'Service Days per Month'!DC$4</f>
        <v>1000.85</v>
      </c>
      <c r="DD13" s="18">
        <f>'Total Weekday Boardings'!DD13/'Service Days per Month'!DD$4</f>
        <v>1045.909090909091</v>
      </c>
      <c r="DE13" s="18">
        <f>'Total Weekday Boardings'!DE13/'Service Days per Month'!DE$4</f>
        <v>1013.7894736842105</v>
      </c>
      <c r="DF13" s="18">
        <f>'Total Weekday Boardings'!DF13/'Service Days per Month'!DF$4</f>
        <v>926.15</v>
      </c>
      <c r="DG13" s="18">
        <f>'Total Weekday Boardings'!DG13/'Service Days per Month'!DG$4</f>
        <v>963.85714285714289</v>
      </c>
      <c r="DH13" s="18">
        <f>'Total Weekday Boardings'!DH13/'Service Days per Month'!DH$4</f>
        <v>1030.8947368421052</v>
      </c>
      <c r="DI13" s="18">
        <f>'Total Weekday Boardings'!DI13/'Service Days per Month'!DI$4</f>
        <v>983.5454545454545</v>
      </c>
      <c r="DJ13" s="18">
        <f>'Total Weekday Boardings'!DJ13/'Service Days per Month'!DJ$4</f>
        <v>1016.9047619047619</v>
      </c>
      <c r="DK13" s="18">
        <f>'Total Weekday Boardings'!DK13/'Service Days per Month'!DK$4</f>
        <v>908.5</v>
      </c>
      <c r="DL13" s="19">
        <f>'Total Weekday Boardings'!DL13/'Service Days per Month'!DL$4</f>
        <v>735.04761904761904</v>
      </c>
      <c r="DM13" s="17">
        <f>'Total Weekday Boardings'!DM13/'Service Days per Month'!DM$4</f>
        <v>650.95238095238096</v>
      </c>
      <c r="DN13" s="18">
        <f>'Total Weekday Boardings'!DN13/'Service Days per Month'!DN$4</f>
        <v>837.3478260869565</v>
      </c>
      <c r="DO13" s="18">
        <f>'Total Weekday Boardings'!DO13/'Service Days per Month'!DO$4</f>
        <v>871.15789473684208</v>
      </c>
      <c r="DP13" s="18">
        <f>'Total Weekday Boardings'!DP13/'Service Days per Month'!DP$4</f>
        <v>877.304347826087</v>
      </c>
      <c r="DQ13" s="18">
        <f>'Total Weekday Boardings'!DQ13/'Service Days per Month'!DQ$4</f>
        <v>890.33333333333337</v>
      </c>
      <c r="DR13" s="18">
        <f>'Total Weekday Boardings'!DR13/'Service Days per Month'!DR$4</f>
        <v>835.25</v>
      </c>
      <c r="DS13" s="18">
        <f>'Total Weekday Boardings'!DS13/'Service Days per Month'!DS$4</f>
        <v>839.9545454545455</v>
      </c>
      <c r="DT13" s="18">
        <f>'Total Weekday Boardings'!DT13/'Service Days per Month'!DT$4</f>
        <v>864.35</v>
      </c>
      <c r="DU13" s="18">
        <f>'Total Weekday Boardings'!DU13/'Service Days per Month'!DU$4</f>
        <v>878.04761904761904</v>
      </c>
      <c r="DV13" s="18">
        <f>'Total Weekday Boardings'!DV13/'Service Days per Month'!DV$4</f>
        <v>876.5454545454545</v>
      </c>
      <c r="DW13" s="18">
        <f>'Total Weekday Boardings'!DW13/'Service Days per Month'!DW$4</f>
        <v>860.81818181818187</v>
      </c>
      <c r="DX13" s="19">
        <f>'Total Weekday Boardings'!DX13/'Service Days per Month'!DX$4</f>
        <v>755.3</v>
      </c>
      <c r="DY13" s="17">
        <f>'Total Weekday Boardings'!DY13/'Service Days per Month'!DY$4</f>
        <v>647.5</v>
      </c>
      <c r="DZ13" s="18">
        <f>'Total Weekday Boardings'!DZ13/'Service Days per Month'!DZ$4</f>
        <v>769.22727272727275</v>
      </c>
      <c r="EA13" s="18">
        <f>'Total Weekday Boardings'!EA13/'Service Days per Month'!EA$4</f>
        <v>837.15</v>
      </c>
      <c r="EB13" s="18">
        <f>'Total Weekday Boardings'!EB13/'Service Days per Month'!EB$4</f>
        <v>821.73913043478262</v>
      </c>
      <c r="EC13" s="18">
        <f>'Total Weekday Boardings'!EC13/'Service Days per Month'!EC$4</f>
        <v>846.25</v>
      </c>
      <c r="ED13" s="18">
        <f>'Total Weekday Boardings'!ED13/'Service Days per Month'!ED$4</f>
        <v>698.61904761904759</v>
      </c>
      <c r="EE13" s="18">
        <f>'Total Weekday Boardings'!EE13/'Service Days per Month'!EE$4</f>
        <v>694.6521739130435</v>
      </c>
      <c r="EF13" s="18">
        <f>'Total Weekday Boardings'!EF13/'Service Days per Month'!EF$4</f>
        <v>791.15</v>
      </c>
      <c r="EG13" s="18">
        <f>'Total Weekday Boardings'!EG13/'Service Days per Month'!EG$4</f>
        <v>513</v>
      </c>
      <c r="EH13" s="18">
        <f>'Total Weekday Boardings'!EH13/'Service Days per Month'!EH$4</f>
        <v>268.59090909090907</v>
      </c>
      <c r="EI13" s="18">
        <f>'Total Weekday Boardings'!EI13/'Service Days per Month'!EI$4</f>
        <v>275.60000000000002</v>
      </c>
      <c r="EJ13" s="19">
        <f>'Total Weekday Boardings'!EJ13/'Service Days per Month'!EJ$4</f>
        <v>269.09090909090907</v>
      </c>
      <c r="EK13" s="17">
        <f>'Total Weekday Boardings'!EK13/'Service Days per Month'!EK$4</f>
        <v>260.13636363636363</v>
      </c>
      <c r="EL13" s="18">
        <f>'Total Weekday Boardings'!EL13/'Service Days per Month'!EL$4</f>
        <v>261.76190476190476</v>
      </c>
      <c r="EM13" s="18">
        <f>'Total Weekday Boardings'!EM13/'Service Days per Month'!EM$4</f>
        <v>271.33333333333331</v>
      </c>
      <c r="EN13" s="18">
        <f>'Total Weekday Boardings'!EN13/'Service Days per Month'!EN$4</f>
        <v>299.86363636363637</v>
      </c>
      <c r="EO13" s="18">
        <f>'Total Weekday Boardings'!EO13/'Service Days per Month'!EO$4</f>
        <v>330.1</v>
      </c>
      <c r="EP13" s="18">
        <f>'Total Weekday Boardings'!EP13/'Service Days per Month'!EP$4</f>
        <v>230.59090909090909</v>
      </c>
      <c r="EQ13" s="18">
        <f>'Total Weekday Boardings'!EQ13/'Service Days per Month'!EQ$4</f>
        <v>128.23809523809524</v>
      </c>
      <c r="ER13" s="18">
        <f>'Total Weekday Boardings'!ER13/'Service Days per Month'!ER$4</f>
        <v>257.05</v>
      </c>
      <c r="ES13" s="18">
        <f>'Total Weekday Boardings'!ES13/'Service Days per Month'!ES$4</f>
        <v>288.73913043478262</v>
      </c>
      <c r="ET13" s="18">
        <f>'Total Weekday Boardings'!ET13/'Service Days per Month'!ET$4</f>
        <v>334.09090909090907</v>
      </c>
      <c r="EU13" s="18">
        <f>'Total Weekday Boardings'!EU13/'Service Days per Month'!EU$4</f>
        <v>320.25</v>
      </c>
      <c r="EV13" s="19">
        <f>'Total Weekday Boardings'!EV13/'Service Days per Month'!EV$4</f>
        <v>312.72727272727275</v>
      </c>
      <c r="EW13" s="17">
        <f>'Total Weekday Boardings'!EW13/'Service Days per Month'!EW$4</f>
        <v>304.76190476190476</v>
      </c>
      <c r="EX13" s="18">
        <f>'Total Weekday Boardings'!EX13/'Service Days per Month'!EX$4</f>
        <v>339.45454545454544</v>
      </c>
      <c r="EY13" s="18">
        <f>'Total Weekday Boardings'!EY13/'Service Days per Month'!EY$4</f>
        <v>354.85714285714283</v>
      </c>
      <c r="EZ13" s="18">
        <f>'Total Weekday Boardings'!EZ13/'Service Days per Month'!EZ$4</f>
        <v>379.14285714285717</v>
      </c>
      <c r="FA13" s="18">
        <f>'Total Weekday Boardings'!FA13/'Service Days per Month'!FA$4</f>
        <v>407.95238095238096</v>
      </c>
      <c r="FB13" s="18">
        <f>'Total Weekday Boardings'!FB13/'Service Days per Month'!FB$4</f>
        <v>372.95454545454544</v>
      </c>
      <c r="FC13" s="18">
        <f>'Total Weekday Boardings'!FC13/'Service Days per Month'!FC$4</f>
        <v>349.33333333333331</v>
      </c>
      <c r="FD13" s="18">
        <f>'Total Weekday Boardings'!FD13/'Service Days per Month'!FD$4</f>
        <v>441.65</v>
      </c>
      <c r="FE13" s="18">
        <f>'Total Weekday Boardings'!FE13/'Service Days per Month'!FE$4</f>
        <v>486.78260869565219</v>
      </c>
      <c r="FF13" s="18">
        <f>'Total Weekday Boardings'!FF13/'Service Days per Month'!FF$4</f>
        <v>489.14285714285717</v>
      </c>
      <c r="FG13" s="18">
        <f>'Total Weekday Boardings'!FG13/'Service Days per Month'!FG$4</f>
        <v>450.85714285714283</v>
      </c>
      <c r="FH13" s="19">
        <f>'Total Weekday Boardings'!FH13/'Service Days per Month'!FH$4</f>
        <v>334.95454545454544</v>
      </c>
      <c r="FI13" s="17">
        <v>372.55</v>
      </c>
      <c r="FJ13" s="18">
        <v>381.30434782608694</v>
      </c>
      <c r="FK13" s="18">
        <v>451.90476190476193</v>
      </c>
      <c r="FL13" s="18">
        <v>452.1904761904762</v>
      </c>
      <c r="FM13" s="18">
        <v>462.61904761904759</v>
      </c>
      <c r="FN13" s="18">
        <v>428.47619047619048</v>
      </c>
      <c r="FO13" s="18">
        <v>468.42857142857144</v>
      </c>
      <c r="FP13" s="18">
        <v>516.95000000000005</v>
      </c>
      <c r="FQ13" s="18">
        <v>522.39130434782612</v>
      </c>
      <c r="FR13" s="18">
        <f>'Total Weekday Boardings'!FR13/20</f>
        <v>567.65</v>
      </c>
      <c r="FS13" s="18">
        <f>'Total Weekday Boardings'!FS13/22</f>
        <v>537.31818181818187</v>
      </c>
      <c r="FT13" s="21">
        <f>'Total Weekday Boardings'!FT13/23</f>
        <v>448.69565217391306</v>
      </c>
      <c r="FU13" s="17">
        <f>'Total Weekday Boardings'!FU13/21</f>
        <v>411.14285714285717</v>
      </c>
      <c r="FV13" s="18">
        <f>'Total Weekday Boardings'!FV13/23</f>
        <v>447.26086956521738</v>
      </c>
      <c r="FW13" s="18">
        <f>'Total Weekday Boardings'!FW13/21</f>
        <v>484.66666666666669</v>
      </c>
      <c r="FX13" s="18">
        <f>'Total Weekday Boardings'!FX13/22</f>
        <v>601.5454545454545</v>
      </c>
      <c r="FY13" s="18">
        <f>'Total Weekday Boardings'!FY13/22</f>
        <v>498.18181818181819</v>
      </c>
      <c r="FZ13" s="18">
        <f>'Total Weekday Boardings'!FZ13/21</f>
        <v>475.66666666666669</v>
      </c>
      <c r="GA13" s="18">
        <f>'Total Weekday Boardings'!GA13/23</f>
        <v>473</v>
      </c>
      <c r="GB13" s="18">
        <f>'Total Weekday Boardings'!GB13/21</f>
        <v>530.47619047619048</v>
      </c>
      <c r="GC13" s="18">
        <f>'Total Weekday Boardings'!GC13/21</f>
        <v>511.61904761904759</v>
      </c>
      <c r="GD13" s="18">
        <f>'Total Weekday Boardings'!GD13/22</f>
        <v>494.5</v>
      </c>
      <c r="GE13" s="13">
        <f>'Total Weekday Boardings'!GE13/23</f>
        <v>442.78260869565219</v>
      </c>
      <c r="GF13" s="13">
        <f>'Total Weekday Boardings'!GF13/20</f>
        <v>443.4</v>
      </c>
      <c r="GG13" s="21">
        <f>'Total Weekday Boardings'!GG13/22</f>
        <v>391.45454545454544</v>
      </c>
      <c r="GH13" s="13">
        <f>'Total Weekday Boardings'!GH13/23</f>
        <v>428.78260869565219</v>
      </c>
      <c r="GI13" s="13">
        <f>'Total Weekday Boardings'!GI13/21</f>
        <v>463.38095238095241</v>
      </c>
      <c r="GJ13" s="13">
        <f>'Total Weekday Boardings'!GJ13/23</f>
        <v>448.69565217391306</v>
      </c>
      <c r="GK13" s="13">
        <f>'Total Weekday Boardings'!GK13/21</f>
        <v>460.71428571428572</v>
      </c>
      <c r="GL13" s="13">
        <f>'Total Weekday Boardings'!GL13/22</f>
        <v>410.04545454545456</v>
      </c>
    </row>
    <row r="14" spans="1:194" ht="15" thickBot="1" x14ac:dyDescent="0.35">
      <c r="A14" s="3" t="s">
        <v>7</v>
      </c>
      <c r="B14" s="17"/>
      <c r="C14" s="18">
        <f>'Total Weekday Boardings'!C14/'Service Days per Month'!C$4</f>
        <v>663.76190476190482</v>
      </c>
      <c r="D14" s="18">
        <f>'Total Weekday Boardings'!D14/'Service Days per Month'!D$4</f>
        <v>951.05</v>
      </c>
      <c r="E14" s="18">
        <f>'Total Weekday Boardings'!E14/'Service Days per Month'!E$4</f>
        <v>781.90909090909088</v>
      </c>
      <c r="F14" s="18">
        <f>'Total Weekday Boardings'!F14/'Service Days per Month'!F$4</f>
        <v>934.27272727272725</v>
      </c>
      <c r="G14" s="18">
        <f>'Total Weekday Boardings'!G14/'Service Days per Month'!G$4</f>
        <v>685.15</v>
      </c>
      <c r="H14" s="19">
        <f>'Total Weekday Boardings'!H14/'Service Days per Month'!H$4</f>
        <v>367</v>
      </c>
      <c r="I14" s="17">
        <f>'Total Weekday Boardings'!I14/'Service Days per Month'!I$4</f>
        <v>449.30434782608694</v>
      </c>
      <c r="J14" s="18">
        <f>'Total Weekday Boardings'!J14/'Service Days per Month'!J$4</f>
        <v>585.66666666666663</v>
      </c>
      <c r="K14" s="18">
        <f>'Total Weekday Boardings'!K14/'Service Days per Month'!K$4</f>
        <v>1349.6666666666667</v>
      </c>
      <c r="L14" s="18">
        <f>'Total Weekday Boardings'!L14/'Service Days per Month'!L$4</f>
        <v>1362.590909090909</v>
      </c>
      <c r="M14" s="18">
        <f>'Total Weekday Boardings'!M14/'Service Days per Month'!M$4</f>
        <v>1299</v>
      </c>
      <c r="N14" s="18">
        <f>'Total Weekday Boardings'!N14/'Service Days per Month'!N$4</f>
        <v>1245.6363636363637</v>
      </c>
      <c r="O14" s="18">
        <f>'Total Weekday Boardings'!O14/'Service Days per Month'!O$4</f>
        <v>1307.95</v>
      </c>
      <c r="P14" s="18">
        <f>'Total Weekday Boardings'!P14/'Service Days per Month'!P$4</f>
        <v>1350.05</v>
      </c>
      <c r="Q14" s="18">
        <f>'Total Weekday Boardings'!Q14/'Service Days per Month'!Q$4</f>
        <v>1352.6521739130435</v>
      </c>
      <c r="R14" s="18">
        <f>'Total Weekday Boardings'!R14/'Service Days per Month'!R$4</f>
        <v>1564.7727272727273</v>
      </c>
      <c r="S14" s="18">
        <f>'Total Weekday Boardings'!S14/'Service Days per Month'!S$4</f>
        <v>1286.6500000000001</v>
      </c>
      <c r="T14" s="19">
        <f>'Total Weekday Boardings'!T14/'Service Days per Month'!T$4</f>
        <v>893</v>
      </c>
      <c r="U14" s="17">
        <f>'Total Weekday Boardings'!U14/'Service Days per Month'!U$4</f>
        <v>416.61904761904759</v>
      </c>
      <c r="V14" s="18">
        <f>'Total Weekday Boardings'!V14/'Service Days per Month'!V$4</f>
        <v>1351.2727272727273</v>
      </c>
      <c r="W14" s="18">
        <f>'Total Weekday Boardings'!W14/'Service Days per Month'!W$4</f>
        <v>1438.8095238095239</v>
      </c>
      <c r="X14" s="18">
        <f>'Total Weekday Boardings'!X14/'Service Days per Month'!X$4</f>
        <v>1181.9047619047619</v>
      </c>
      <c r="Y14" s="18">
        <f>'Total Weekday Boardings'!Y14/'Service Days per Month'!Y$4</f>
        <v>1364</v>
      </c>
      <c r="Z14" s="18">
        <f>'Total Weekday Boardings'!Z14/'Service Days per Month'!Z$4</f>
        <v>989.23809523809518</v>
      </c>
      <c r="AA14" s="18">
        <f>'Total Weekday Boardings'!AA14/'Service Days per Month'!AA$4</f>
        <v>1378.4</v>
      </c>
      <c r="AB14" s="18">
        <f>'Total Weekday Boardings'!AB14/'Service Days per Month'!AB$4</f>
        <v>1364.2105263157894</v>
      </c>
      <c r="AC14" s="18">
        <f>'Total Weekday Boardings'!AC14/'Service Days per Month'!AC$4</f>
        <v>1153.391304347826</v>
      </c>
      <c r="AD14" s="18">
        <f>'Total Weekday Boardings'!AD14/'Service Days per Month'!AD$4</f>
        <v>1299.3809523809523</v>
      </c>
      <c r="AE14" s="18">
        <f>'Total Weekday Boardings'!AE14/'Service Days per Month'!AE$4</f>
        <v>1055.1428571428571</v>
      </c>
      <c r="AF14" s="19">
        <f>'Total Weekday Boardings'!AF14/'Service Days per Month'!AF$4</f>
        <v>757.31818181818187</v>
      </c>
      <c r="AG14" s="17">
        <f>'Total Weekday Boardings'!AG14/'Service Days per Month'!AG$4</f>
        <v>445.6</v>
      </c>
      <c r="AH14" s="18">
        <f>'Total Weekday Boardings'!AH14/'Service Days per Month'!AH$4</f>
        <v>1195.3478260869565</v>
      </c>
      <c r="AI14" s="18">
        <f>'Total Weekday Boardings'!AI14/'Service Days per Month'!AI$4</f>
        <v>1471.8571428571429</v>
      </c>
      <c r="AJ14" s="18">
        <f>'Total Weekday Boardings'!AJ14/'Service Days per Month'!AJ$4</f>
        <v>1224.952380952381</v>
      </c>
      <c r="AK14" s="18">
        <f>'Total Weekday Boardings'!AK14/'Service Days per Month'!AK$4</f>
        <v>1358</v>
      </c>
      <c r="AL14" s="18">
        <f>'Total Weekday Boardings'!AL14/'Service Days per Month'!AL$4</f>
        <v>1101.6190476190477</v>
      </c>
      <c r="AM14" s="18">
        <f>'Total Weekday Boardings'!AM14/'Service Days per Month'!AM$4</f>
        <v>1196</v>
      </c>
      <c r="AN14" s="18">
        <f>'Total Weekday Boardings'!AN14/'Service Days per Month'!AN$4</f>
        <v>1320.95</v>
      </c>
      <c r="AO14" s="18">
        <f>'Total Weekday Boardings'!AO14/'Service Days per Month'!AO$4</f>
        <v>1133.6818181818182</v>
      </c>
      <c r="AP14" s="18">
        <f>'Total Weekday Boardings'!AP14/'Service Days per Month'!AP$4</f>
        <v>1383.047619047619</v>
      </c>
      <c r="AQ14" s="18">
        <f>'Total Weekday Boardings'!AQ14/'Service Days per Month'!AQ$4</f>
        <v>1220.909090909091</v>
      </c>
      <c r="AR14" s="19">
        <f>'Total Weekday Boardings'!AR14/'Service Days per Month'!AR$4</f>
        <v>714.85714285714289</v>
      </c>
      <c r="AS14" s="17">
        <f>'Total Weekday Boardings'!AS14/'Service Days per Month'!AS$4</f>
        <v>536.71428571428567</v>
      </c>
      <c r="AT14" s="18">
        <f>'Total Weekday Boardings'!AT14/'Service Days per Month'!AT$4</f>
        <v>1469.7826086956522</v>
      </c>
      <c r="AU14" s="18">
        <f>'Total Weekday Boardings'!AU14/'Service Days per Month'!AU$4</f>
        <v>1761.1578947368421</v>
      </c>
      <c r="AV14" s="18">
        <f>'Total Weekday Boardings'!AV14/'Service Days per Month'!AV$4</f>
        <v>1405.695652173913</v>
      </c>
      <c r="AW14" s="18">
        <f>'Total Weekday Boardings'!AW14/'Service Days per Month'!AW$4</f>
        <v>1620.6315789473683</v>
      </c>
      <c r="AX14" s="18">
        <f>'Total Weekday Boardings'!AX14/'Service Days per Month'!AX$4</f>
        <v>1281.4736842105262</v>
      </c>
      <c r="AY14" s="18">
        <f>'Total Weekday Boardings'!AY14/'Service Days per Month'!AY$4</f>
        <v>1323</v>
      </c>
      <c r="AZ14" s="18">
        <f>'Total Weekday Boardings'!AZ14/'Service Days per Month'!AZ$4</f>
        <v>1429.7894736842106</v>
      </c>
      <c r="BA14" s="18">
        <f>'Total Weekday Boardings'!BA14/'Service Days per Month'!BA$4</f>
        <v>1207</v>
      </c>
      <c r="BB14" s="18">
        <f>'Total Weekday Boardings'!BB14/'Service Days per Month'!BB$4</f>
        <v>1349.5</v>
      </c>
      <c r="BC14" s="18">
        <f>'Total Weekday Boardings'!BC14/'Service Days per Month'!BC$4</f>
        <v>1148.6363636363637</v>
      </c>
      <c r="BD14" s="19">
        <f>'Total Weekday Boardings'!BD14/'Service Days per Month'!BD$4</f>
        <v>747.65</v>
      </c>
      <c r="BE14" s="17">
        <f>'Total Weekday Boardings'!BE14/'Service Days per Month'!BE$4</f>
        <v>500.81818181818181</v>
      </c>
      <c r="BF14" s="18">
        <f>'Total Weekday Boardings'!BF14/'Service Days per Month'!BF$4</f>
        <v>1388.8636363636363</v>
      </c>
      <c r="BG14" s="18">
        <f>'Total Weekday Boardings'!BG14/'Service Days per Month'!BG$4</f>
        <v>1583.05</v>
      </c>
      <c r="BH14" s="18">
        <f>'Total Weekday Boardings'!BH14/'Service Days per Month'!BH$4</f>
        <v>1319.2173913043478</v>
      </c>
      <c r="BI14" s="18">
        <f>'Total Weekday Boardings'!BI14/'Service Days per Month'!BI$4</f>
        <v>1495.0430240496955</v>
      </c>
      <c r="BJ14" s="18">
        <f>'Total Weekday Boardings'!BJ14/'Service Days per Month'!BJ$4</f>
        <v>1094.5999999999999</v>
      </c>
      <c r="BK14" s="18">
        <f>'Total Weekday Boardings'!BK14/'Service Days per Month'!BK$4</f>
        <v>1321.6666666666667</v>
      </c>
      <c r="BL14" s="18">
        <f>'Total Weekday Boardings'!BL14/'Service Days per Month'!BL$4</f>
        <v>1398.5263157894738</v>
      </c>
      <c r="BM14" s="18">
        <f>'Total Weekday Boardings'!BM14/'Service Days per Month'!BM$4</f>
        <v>1134.6190476190477</v>
      </c>
      <c r="BN14" s="18">
        <f>'Total Weekday Boardings'!BN14/'Service Days per Month'!BN$4</f>
        <v>1321.9545454545455</v>
      </c>
      <c r="BO14" s="18">
        <f>'Total Weekday Boardings'!BO14/'Service Days per Month'!BO$4</f>
        <v>1150.6190476190477</v>
      </c>
      <c r="BP14" s="19">
        <f>'Total Weekday Boardings'!BP14/'Service Days per Month'!BP$4</f>
        <v>711.19047619047615</v>
      </c>
      <c r="BQ14" s="17">
        <f>'Total Weekday Boardings'!BQ14/'Service Days per Month'!BQ$4</f>
        <v>467.40909090909093</v>
      </c>
      <c r="BR14" s="18">
        <f>'Total Weekday Boardings'!BR14/'Service Days per Month'!BR$4</f>
        <v>1323.7619047619048</v>
      </c>
      <c r="BS14" s="18">
        <f>'Total Weekday Boardings'!BS14/'Service Days per Month'!BS$4</f>
        <v>1438.3809523809523</v>
      </c>
      <c r="BT14" s="18">
        <f>'Total Weekday Boardings'!BT14/'Service Days per Month'!BT$4</f>
        <v>1218.4782608695652</v>
      </c>
      <c r="BU14" s="18">
        <f>'Total Weekday Boardings'!BU14/'Service Days per Month'!BU$4</f>
        <v>1345.5294117647059</v>
      </c>
      <c r="BV14" s="18">
        <f>'Total Weekday Boardings'!BV14/'Service Days per Month'!BV$4</f>
        <v>1006.1904761904761</v>
      </c>
      <c r="BW14" s="18">
        <f>'Total Weekday Boardings'!BW14/'Service Days per Month'!BW$4</f>
        <v>1298.4000000000001</v>
      </c>
      <c r="BX14" s="18">
        <f>'Total Weekday Boardings'!BX14/'Service Days per Month'!BX$4</f>
        <v>1305.7894736842106</v>
      </c>
      <c r="BY14" s="18">
        <f>'Total Weekday Boardings'!BY14/'Service Days per Month'!BY$4</f>
        <v>1090.1818181818182</v>
      </c>
      <c r="BZ14" s="18">
        <f>'Total Weekday Boardings'!BZ14/'Service Days per Month'!BZ$4</f>
        <v>1238.909090909091</v>
      </c>
      <c r="CA14" s="18">
        <f>'Total Weekday Boardings'!CA14/'Service Days per Month'!CA$4</f>
        <v>1066</v>
      </c>
      <c r="CB14" s="19">
        <f>'Total Weekday Boardings'!CB14/'Service Days per Month'!CB$4</f>
        <v>719.9545454545455</v>
      </c>
      <c r="CC14" s="20">
        <f>'Total Weekday Boardings'!CC14/'Service Days per Month'!CC$4</f>
        <v>485.90909090909093</v>
      </c>
      <c r="CD14" s="18">
        <f>'Total Weekday Boardings'!CD14/'Service Days per Month'!CD$4</f>
        <v>1331.3809523809523</v>
      </c>
      <c r="CE14" s="18">
        <f>'Total Weekday Boardings'!CE14/'Service Days per Month'!CE$4</f>
        <v>1443.7619047619048</v>
      </c>
      <c r="CF14" s="18">
        <f>'Total Weekday Boardings'!CF14/'Service Days per Month'!CF$4</f>
        <v>1220.7272727272727</v>
      </c>
      <c r="CG14" s="18">
        <f>'Total Weekday Boardings'!CG14/'Service Days per Month'!CG$4</f>
        <v>1372.3333333333333</v>
      </c>
      <c r="CH14" s="18">
        <f>'Total Weekday Boardings'!CH14/'Service Days per Month'!CH$4</f>
        <v>977.90476190476193</v>
      </c>
      <c r="CI14" s="18">
        <f>'Total Weekday Boardings'!CI14/'Service Days per Month'!CI$4</f>
        <v>1306.9473684210527</v>
      </c>
      <c r="CJ14" s="18">
        <f>'Total Weekday Boardings'!CJ14/'Service Days per Month'!CJ$4</f>
        <v>1300.9000000000001</v>
      </c>
      <c r="CK14" s="18">
        <f>'Total Weekday Boardings'!CK14/'Service Days per Month'!CK$4</f>
        <v>1071.1304347826087</v>
      </c>
      <c r="CL14" s="18">
        <f>'Total Weekday Boardings'!CL14/'Service Days per Month'!CL$4</f>
        <v>1214.8571428571429</v>
      </c>
      <c r="CM14" s="18">
        <f>'Total Weekday Boardings'!CM14/'Service Days per Month'!CM$4</f>
        <v>973.95238095238096</v>
      </c>
      <c r="CN14" s="21">
        <f>'Total Weekday Boardings'!CN14/'Service Days per Month'!CN$4</f>
        <v>732.77272727272725</v>
      </c>
      <c r="CO14" s="17">
        <f>'Total Weekday Boardings'!CO14/'Service Days per Month'!CO$4</f>
        <v>427.75</v>
      </c>
      <c r="CP14" s="18">
        <f>'Total Weekday Boardings'!CP14/'Service Days per Month'!CP$4</f>
        <v>1209.695652173913</v>
      </c>
      <c r="CQ14" s="18">
        <f>'Total Weekday Boardings'!CQ14/'Service Days per Month'!CQ$4</f>
        <v>1381.7142857142858</v>
      </c>
      <c r="CR14" s="18">
        <f>'Total Weekday Boardings'!CR14/'Service Days per Month'!CR$4</f>
        <v>1157.2380952380952</v>
      </c>
      <c r="CS14" s="18">
        <f>'Total Weekday Boardings'!CS14/'Service Days per Month'!CS$4</f>
        <v>1392.7368421052631</v>
      </c>
      <c r="CT14" s="18">
        <f>'Total Weekday Boardings'!CT14/'Service Days per Month'!CT$4</f>
        <v>1107.8571428571429</v>
      </c>
      <c r="CU14" s="18">
        <f>'Total Weekday Boardings'!CU14/'Service Days per Month'!CU$4</f>
        <v>1162.05</v>
      </c>
      <c r="CV14" s="18">
        <f>'Total Weekday Boardings'!CV14/'Service Days per Month'!CV$4</f>
        <v>1339.6842105263158</v>
      </c>
      <c r="CW14" s="18">
        <f>'Total Weekday Boardings'!CW14/'Service Days per Month'!CW$4</f>
        <v>1094.8260869565217</v>
      </c>
      <c r="CX14" s="18">
        <f>'Total Weekday Boardings'!CX14/'Service Days per Month'!CX$4</f>
        <v>1249.55</v>
      </c>
      <c r="CY14" s="18">
        <f>'Total Weekday Boardings'!CY14/'Service Days per Month'!CY$4</f>
        <v>1087.909090909091</v>
      </c>
      <c r="CZ14" s="19">
        <f>'Total Weekday Boardings'!CZ14/'Service Days per Month'!CZ$4</f>
        <v>686.90909090909088</v>
      </c>
      <c r="DA14" s="17">
        <f>'Total Weekday Boardings'!DA14/'Service Days per Month'!DA$4</f>
        <v>464.75</v>
      </c>
      <c r="DB14" s="18">
        <f>'Total Weekday Boardings'!DB14/'Service Days per Month'!DB$4</f>
        <v>1204.695652173913</v>
      </c>
      <c r="DC14" s="18">
        <f>'Total Weekday Boardings'!DC14/'Service Days per Month'!DC$4</f>
        <v>1411.1</v>
      </c>
      <c r="DD14" s="18">
        <f>'Total Weekday Boardings'!DD14/'Service Days per Month'!DD$4</f>
        <v>1210.8636363636363</v>
      </c>
      <c r="DE14" s="18">
        <f>'Total Weekday Boardings'!DE14/'Service Days per Month'!DE$4</f>
        <v>1337.9473684210527</v>
      </c>
      <c r="DF14" s="18">
        <f>'Total Weekday Boardings'!DF14/'Service Days per Month'!DF$4</f>
        <v>1041.95</v>
      </c>
      <c r="DG14" s="18">
        <f>'Total Weekday Boardings'!DG14/'Service Days per Month'!DG$4</f>
        <v>1157.5238095238096</v>
      </c>
      <c r="DH14" s="18">
        <f>'Total Weekday Boardings'!DH14/'Service Days per Month'!DH$4</f>
        <v>1239.1578947368421</v>
      </c>
      <c r="DI14" s="18">
        <f>'Total Weekday Boardings'!DI14/'Service Days per Month'!DI$4</f>
        <v>985.77272727272725</v>
      </c>
      <c r="DJ14" s="18">
        <f>'Total Weekday Boardings'!DJ14/'Service Days per Month'!DJ$4</f>
        <v>1055.5714285714287</v>
      </c>
      <c r="DK14" s="18">
        <f>'Total Weekday Boardings'!DK14/'Service Days per Month'!DK$4</f>
        <v>886.27272727272725</v>
      </c>
      <c r="DL14" s="19">
        <f>'Total Weekday Boardings'!DL14/'Service Days per Month'!DL$4</f>
        <v>609.90476190476193</v>
      </c>
      <c r="DM14" s="17">
        <f>'Total Weekday Boardings'!DM14/'Service Days per Month'!DM$4</f>
        <v>393.28571428571428</v>
      </c>
      <c r="DN14" s="18">
        <f>'Total Weekday Boardings'!DN14/'Service Days per Month'!DN$4</f>
        <v>1174.4347826086957</v>
      </c>
      <c r="DO14" s="18">
        <f>'Total Weekday Boardings'!DO14/'Service Days per Month'!DO$4</f>
        <v>1304.6315789473683</v>
      </c>
      <c r="DP14" s="18">
        <f>'Total Weekday Boardings'!DP14/'Service Days per Month'!DP$4</f>
        <v>1128.8260869565217</v>
      </c>
      <c r="DQ14" s="18">
        <f>'Total Weekday Boardings'!DQ14/'Service Days per Month'!DQ$4</f>
        <v>1211.047619047619</v>
      </c>
      <c r="DR14" s="18">
        <f>'Total Weekday Boardings'!DR14/'Service Days per Month'!DR$4</f>
        <v>978.8</v>
      </c>
      <c r="DS14" s="18">
        <f>'Total Weekday Boardings'!DS14/'Service Days per Month'!DS$4</f>
        <v>1123</v>
      </c>
      <c r="DT14" s="18">
        <f>'Total Weekday Boardings'!DT14/'Service Days per Month'!DT$4</f>
        <v>1152.45</v>
      </c>
      <c r="DU14" s="18">
        <f>'Total Weekday Boardings'!DU14/'Service Days per Month'!DU$4</f>
        <v>1029.2857142857142</v>
      </c>
      <c r="DV14" s="18">
        <f>'Total Weekday Boardings'!DV14/'Service Days per Month'!DV$4</f>
        <v>1100</v>
      </c>
      <c r="DW14" s="18">
        <f>'Total Weekday Boardings'!DW14/'Service Days per Month'!DW$4</f>
        <v>894.81818181818187</v>
      </c>
      <c r="DX14" s="19">
        <f>'Total Weekday Boardings'!DX14/'Service Days per Month'!DX$4</f>
        <v>593.5</v>
      </c>
      <c r="DY14" s="17">
        <f>'Total Weekday Boardings'!DY14/'Service Days per Month'!DY$4</f>
        <v>390.13636363636363</v>
      </c>
      <c r="DZ14" s="18">
        <f>'Total Weekday Boardings'!DZ14/'Service Days per Month'!DZ$4</f>
        <v>1122.5</v>
      </c>
      <c r="EA14" s="18">
        <f>'Total Weekday Boardings'!EA14/'Service Days per Month'!EA$4</f>
        <v>1252.45</v>
      </c>
      <c r="EB14" s="18">
        <f>'Total Weekday Boardings'!EB14/'Service Days per Month'!EB$4</f>
        <v>1084.3478260869565</v>
      </c>
      <c r="EC14" s="18">
        <f>'Total Weekday Boardings'!EC14/'Service Days per Month'!EC$4</f>
        <v>1126.3499999999999</v>
      </c>
      <c r="ED14" s="18">
        <f>'Total Weekday Boardings'!ED14/'Service Days per Month'!ED$4</f>
        <v>887.09523809523807</v>
      </c>
      <c r="EE14" s="18">
        <f>'Total Weekday Boardings'!EE14/'Service Days per Month'!EE$4</f>
        <v>1036.4782608695652</v>
      </c>
      <c r="EF14" s="18">
        <f>'Total Weekday Boardings'!EF14/'Service Days per Month'!EF$4</f>
        <v>1076.3</v>
      </c>
      <c r="EG14" s="18">
        <f>'Total Weekday Boardings'!EG14/'Service Days per Month'!EG$4</f>
        <v>468.31818181818181</v>
      </c>
      <c r="EH14" s="18">
        <f>'Total Weekday Boardings'!EH14/'Service Days per Month'!EH$4</f>
        <v>152.40909090909091</v>
      </c>
      <c r="EI14" s="18">
        <f>'Total Weekday Boardings'!EI14/'Service Days per Month'!EI$4</f>
        <v>178.8</v>
      </c>
      <c r="EJ14" s="19">
        <f>'Total Weekday Boardings'!EJ14/'Service Days per Month'!EJ$4</f>
        <v>157.40909090909091</v>
      </c>
      <c r="EK14" s="17">
        <f>'Total Weekday Boardings'!EK14/'Service Days per Month'!EK$4</f>
        <v>153.45454545454547</v>
      </c>
      <c r="EL14" s="18">
        <f>'Total Weekday Boardings'!EL14/'Service Days per Month'!EL$4</f>
        <v>161.52380952380952</v>
      </c>
      <c r="EM14" s="18">
        <f>'Total Weekday Boardings'!EM14/'Service Days per Month'!EM$4</f>
        <v>182.04761904761904</v>
      </c>
      <c r="EN14" s="18">
        <f>'Total Weekday Boardings'!EN14/'Service Days per Month'!EN$4</f>
        <v>203.54545454545453</v>
      </c>
      <c r="EO14" s="18">
        <f>'Total Weekday Boardings'!EO14/'Service Days per Month'!EO$4</f>
        <v>206.25</v>
      </c>
      <c r="EP14" s="18">
        <f>'Total Weekday Boardings'!EP14/'Service Days per Month'!EP$4</f>
        <v>144.36363636363637</v>
      </c>
      <c r="EQ14" s="18">
        <f>'Total Weekday Boardings'!EQ14/'Service Days per Month'!EQ$4</f>
        <v>77.19047619047619</v>
      </c>
      <c r="ER14" s="18">
        <f>'Total Weekday Boardings'!ER14/'Service Days per Month'!ER$4</f>
        <v>147.85</v>
      </c>
      <c r="ES14" s="18">
        <f>'Total Weekday Boardings'!ES14/'Service Days per Month'!ES$4</f>
        <v>215.52173913043478</v>
      </c>
      <c r="ET14" s="18">
        <f>'Total Weekday Boardings'!ET14/'Service Days per Month'!ET$4</f>
        <v>419.27272727272725</v>
      </c>
      <c r="EU14" s="18">
        <f>'Total Weekday Boardings'!EU14/'Service Days per Month'!EU$4</f>
        <v>338.9</v>
      </c>
      <c r="EV14" s="19">
        <f>'Total Weekday Boardings'!EV14/'Service Days per Month'!EV$4</f>
        <v>256.54545454545456</v>
      </c>
      <c r="EW14" s="17">
        <f>'Total Weekday Boardings'!EW14/'Service Days per Month'!EW$4</f>
        <v>189.14285714285714</v>
      </c>
      <c r="EX14" s="18">
        <f>'Total Weekday Boardings'!EX14/'Service Days per Month'!EX$4</f>
        <v>658.86363636363637</v>
      </c>
      <c r="EY14" s="18">
        <f>'Total Weekday Boardings'!EY14/'Service Days per Month'!EY$4</f>
        <v>725.14285714285711</v>
      </c>
      <c r="EZ14" s="18">
        <f>'Total Weekday Boardings'!EZ14/'Service Days per Month'!EZ$4</f>
        <v>603.80952380952385</v>
      </c>
      <c r="FA14" s="18">
        <f>'Total Weekday Boardings'!FA14/'Service Days per Month'!FA$4</f>
        <v>654.76190476190482</v>
      </c>
      <c r="FB14" s="18">
        <f>'Total Weekday Boardings'!FB14/'Service Days per Month'!FB$4</f>
        <v>452.90909090909093</v>
      </c>
      <c r="FC14" s="18">
        <f>'Total Weekday Boardings'!FC14/'Service Days per Month'!FC$4</f>
        <v>508.76190476190476</v>
      </c>
      <c r="FD14" s="18">
        <f>'Total Weekday Boardings'!FD14/'Service Days per Month'!FD$4</f>
        <v>664.25</v>
      </c>
      <c r="FE14" s="18">
        <f>'Total Weekday Boardings'!FE14/'Service Days per Month'!FE$4</f>
        <v>651.56521739130437</v>
      </c>
      <c r="FF14" s="18">
        <f>'Total Weekday Boardings'!FF14/'Service Days per Month'!FF$4</f>
        <v>647.09523809523807</v>
      </c>
      <c r="FG14" s="18">
        <f>'Total Weekday Boardings'!FG14/'Service Days per Month'!FG$4</f>
        <v>551.14285714285711</v>
      </c>
      <c r="FH14" s="19">
        <f>'Total Weekday Boardings'!FH14/'Service Days per Month'!FH$4</f>
        <v>248.22727272727272</v>
      </c>
      <c r="FI14" s="17">
        <v>188.6</v>
      </c>
      <c r="FJ14" s="18">
        <v>535.73913043478262</v>
      </c>
      <c r="FK14" s="18">
        <v>663.52380952380952</v>
      </c>
      <c r="FL14" s="18">
        <v>578.66666666666663</v>
      </c>
      <c r="FM14" s="18">
        <v>618.47619047619048</v>
      </c>
      <c r="FN14" s="18">
        <v>505.52380952380952</v>
      </c>
      <c r="FO14" s="18">
        <v>594.23809523809518</v>
      </c>
      <c r="FP14" s="18">
        <v>613.85</v>
      </c>
      <c r="FQ14" s="18">
        <v>593.47826086956525</v>
      </c>
      <c r="FR14" s="18">
        <f>'Total Weekday Boardings'!FR14/20</f>
        <v>708.85</v>
      </c>
      <c r="FS14" s="18">
        <f>'Total Weekday Boardings'!FS14/22</f>
        <v>661.59090909090912</v>
      </c>
      <c r="FT14" s="21">
        <f>'Total Weekday Boardings'!FT14/23</f>
        <v>309.30434782608694</v>
      </c>
      <c r="FU14" s="17">
        <f>'Total Weekday Boardings'!FU14/21</f>
        <v>196.28571428571428</v>
      </c>
      <c r="FV14" s="18">
        <f>'Total Weekday Boardings'!FV14/23</f>
        <v>590.60869565217388</v>
      </c>
      <c r="FW14" s="18">
        <f>'Total Weekday Boardings'!FW14/21</f>
        <v>657.52380952380952</v>
      </c>
      <c r="FX14" s="18">
        <f>'Total Weekday Boardings'!FX14/22</f>
        <v>618.40909090909088</v>
      </c>
      <c r="FY14" s="18">
        <f>'Total Weekday Boardings'!FY14/22</f>
        <v>680.68181818181813</v>
      </c>
      <c r="FZ14" s="18">
        <f>'Total Weekday Boardings'!FZ14/21</f>
        <v>533.14285714285711</v>
      </c>
      <c r="GA14" s="18">
        <f>'Total Weekday Boardings'!GA14/23</f>
        <v>546.304347826087</v>
      </c>
      <c r="GB14" s="18">
        <f>'Total Weekday Boardings'!GB14/21</f>
        <v>712.09523809523807</v>
      </c>
      <c r="GC14" s="18">
        <f>'Total Weekday Boardings'!GC14/21</f>
        <v>566.57142857142856</v>
      </c>
      <c r="GD14" s="18">
        <f>'Total Weekday Boardings'!GD14/22</f>
        <v>638.13636363636363</v>
      </c>
      <c r="GE14" s="13">
        <f>'Total Weekday Boardings'!GE14/23</f>
        <v>549.695652173913</v>
      </c>
      <c r="GF14" s="13">
        <f>'Total Weekday Boardings'!GF14/20</f>
        <v>296.45</v>
      </c>
      <c r="GG14" s="21">
        <f>'Total Weekday Boardings'!GG14/22</f>
        <v>200.77272727272728</v>
      </c>
      <c r="GH14" s="13">
        <f>'Total Weekday Boardings'!GH14/23</f>
        <v>658.43478260869563</v>
      </c>
      <c r="GI14" s="13">
        <f>'Total Weekday Boardings'!GI14/21</f>
        <v>710.95238095238096</v>
      </c>
      <c r="GJ14" s="13">
        <f>'Total Weekday Boardings'!GJ14/23</f>
        <v>608.56521739130437</v>
      </c>
      <c r="GK14" s="13">
        <f>'Total Weekday Boardings'!GK14/21</f>
        <v>663.42857142857144</v>
      </c>
      <c r="GL14" s="13">
        <f>'Total Weekday Boardings'!GL14/22</f>
        <v>527.72727272727275</v>
      </c>
    </row>
    <row r="15" spans="1:194" ht="15" thickBot="1" x14ac:dyDescent="0.35">
      <c r="A15" s="3" t="s">
        <v>8</v>
      </c>
      <c r="B15" s="17"/>
      <c r="C15" s="18">
        <f>'Total Weekday Boardings'!C15/'Service Days per Month'!C$4</f>
        <v>959.90476190476193</v>
      </c>
      <c r="D15" s="18">
        <f>'Total Weekday Boardings'!D15/'Service Days per Month'!D$4</f>
        <v>1252.8499999999999</v>
      </c>
      <c r="E15" s="18">
        <f>'Total Weekday Boardings'!E15/'Service Days per Month'!E$4</f>
        <v>1166.5</v>
      </c>
      <c r="F15" s="18">
        <f>'Total Weekday Boardings'!F15/'Service Days per Month'!F$4</f>
        <v>1293.909090909091</v>
      </c>
      <c r="G15" s="18">
        <f>'Total Weekday Boardings'!G15/'Service Days per Month'!G$4</f>
        <v>1299.7</v>
      </c>
      <c r="H15" s="19">
        <f>'Total Weekday Boardings'!H15/'Service Days per Month'!H$4</f>
        <v>913.0454545454545</v>
      </c>
      <c r="I15" s="17">
        <f>'Total Weekday Boardings'!I15/'Service Days per Month'!I$4</f>
        <v>1050.608695652174</v>
      </c>
      <c r="J15" s="18">
        <f>'Total Weekday Boardings'!J15/'Service Days per Month'!J$4</f>
        <v>1369.5714285714287</v>
      </c>
      <c r="K15" s="18">
        <f>'Total Weekday Boardings'!K15/'Service Days per Month'!K$4</f>
        <v>1330.0952380952381</v>
      </c>
      <c r="L15" s="18">
        <f>'Total Weekday Boardings'!L15/'Service Days per Month'!L$4</f>
        <v>1370.3636363636363</v>
      </c>
      <c r="M15" s="18">
        <f>'Total Weekday Boardings'!M15/'Service Days per Month'!M$4</f>
        <v>1390.4</v>
      </c>
      <c r="N15" s="18">
        <f>'Total Weekday Boardings'!N15/'Service Days per Month'!N$4</f>
        <v>1277.6818181818182</v>
      </c>
      <c r="O15" s="18">
        <f>'Total Weekday Boardings'!O15/'Service Days per Month'!O$4</f>
        <v>1315.4</v>
      </c>
      <c r="P15" s="18">
        <f>'Total Weekday Boardings'!P15/'Service Days per Month'!P$4</f>
        <v>1437.25</v>
      </c>
      <c r="Q15" s="18">
        <f>'Total Weekday Boardings'!Q15/'Service Days per Month'!Q$4</f>
        <v>1440</v>
      </c>
      <c r="R15" s="18">
        <f>'Total Weekday Boardings'!R15/'Service Days per Month'!R$4</f>
        <v>1573.7272727272727</v>
      </c>
      <c r="S15" s="18">
        <f>'Total Weekday Boardings'!S15/'Service Days per Month'!S$4</f>
        <v>1316.45</v>
      </c>
      <c r="T15" s="19">
        <f>'Total Weekday Boardings'!T15/'Service Days per Month'!T$4</f>
        <v>1440</v>
      </c>
      <c r="U15" s="17">
        <f>'Total Weekday Boardings'!U15/'Service Days per Month'!U$4</f>
        <v>1217.952380952381</v>
      </c>
      <c r="V15" s="18">
        <f>'Total Weekday Boardings'!V15/'Service Days per Month'!V$4</f>
        <v>1522.2272727272727</v>
      </c>
      <c r="W15" s="18">
        <f>'Total Weekday Boardings'!W15/'Service Days per Month'!W$4</f>
        <v>1565.952380952381</v>
      </c>
      <c r="X15" s="18">
        <f>'Total Weekday Boardings'!X15/'Service Days per Month'!X$4</f>
        <v>1563.952380952381</v>
      </c>
      <c r="Y15" s="18">
        <f>'Total Weekday Boardings'!Y15/'Service Days per Month'!Y$4</f>
        <v>1587.3157894736842</v>
      </c>
      <c r="Z15" s="18">
        <f>'Total Weekday Boardings'!Z15/'Service Days per Month'!Z$4</f>
        <v>1450.2857142857142</v>
      </c>
      <c r="AA15" s="18">
        <f>'Total Weekday Boardings'!AA15/'Service Days per Month'!AA$4</f>
        <v>1618.85</v>
      </c>
      <c r="AB15" s="18">
        <f>'Total Weekday Boardings'!AB15/'Service Days per Month'!AB$4</f>
        <v>1676.1578947368421</v>
      </c>
      <c r="AC15" s="18">
        <f>'Total Weekday Boardings'!AC15/'Service Days per Month'!AC$4</f>
        <v>1574</v>
      </c>
      <c r="AD15" s="18">
        <f>'Total Weekday Boardings'!AD15/'Service Days per Month'!AD$4</f>
        <v>1644</v>
      </c>
      <c r="AE15" s="18">
        <f>'Total Weekday Boardings'!AE15/'Service Days per Month'!AE$4</f>
        <v>1563.4761904761904</v>
      </c>
      <c r="AF15" s="19">
        <f>'Total Weekday Boardings'!AF15/'Service Days per Month'!AF$4</f>
        <v>1360.409090909091</v>
      </c>
      <c r="AG15" s="17">
        <f>'Total Weekday Boardings'!AG15/'Service Days per Month'!AG$4</f>
        <v>1308.25</v>
      </c>
      <c r="AH15" s="18">
        <f>'Total Weekday Boardings'!AH15/'Service Days per Month'!AH$4</f>
        <v>1514.608695652174</v>
      </c>
      <c r="AI15" s="18">
        <f>'Total Weekday Boardings'!AI15/'Service Days per Month'!AI$4</f>
        <v>1666.6190476190477</v>
      </c>
      <c r="AJ15" s="18">
        <f>'Total Weekday Boardings'!AJ15/'Service Days per Month'!AJ$4</f>
        <v>1585.6666666666667</v>
      </c>
      <c r="AK15" s="18">
        <f>'Total Weekday Boardings'!AK15/'Service Days per Month'!AK$4</f>
        <v>1606.1052631578948</v>
      </c>
      <c r="AL15" s="18">
        <f>'Total Weekday Boardings'!AL15/'Service Days per Month'!AL$4</f>
        <v>1516.8571428571429</v>
      </c>
      <c r="AM15" s="18">
        <f>'Total Weekday Boardings'!AM15/'Service Days per Month'!AM$4</f>
        <v>1691.95</v>
      </c>
      <c r="AN15" s="18">
        <f>'Total Weekday Boardings'!AN15/'Service Days per Month'!AN$4</f>
        <v>1704.65</v>
      </c>
      <c r="AO15" s="18">
        <f>'Total Weekday Boardings'!AO15/'Service Days per Month'!AO$4</f>
        <v>1794.7727272727273</v>
      </c>
      <c r="AP15" s="18">
        <f>'Total Weekday Boardings'!AP15/'Service Days per Month'!AP$4</f>
        <v>1879.2380952380952</v>
      </c>
      <c r="AQ15" s="18">
        <f>'Total Weekday Boardings'!AQ15/'Service Days per Month'!AQ$4</f>
        <v>1769.6818181818182</v>
      </c>
      <c r="AR15" s="19">
        <f>'Total Weekday Boardings'!AR15/'Service Days per Month'!AR$4</f>
        <v>1500.7619047619048</v>
      </c>
      <c r="AS15" s="17">
        <f>'Total Weekday Boardings'!AS15/'Service Days per Month'!AS$4</f>
        <v>1439.4761904761904</v>
      </c>
      <c r="AT15" s="18">
        <f>'Total Weekday Boardings'!AT15/'Service Days per Month'!AT$4</f>
        <v>1761.5217391304348</v>
      </c>
      <c r="AU15" s="18">
        <f>'Total Weekday Boardings'!AU15/'Service Days per Month'!AU$4</f>
        <v>1811.1052631578948</v>
      </c>
      <c r="AV15" s="18">
        <f>'Total Weekday Boardings'!AV15/'Service Days per Month'!AV$4</f>
        <v>1857.6521739130435</v>
      </c>
      <c r="AW15" s="18">
        <f>'Total Weekday Boardings'!AW15/'Service Days per Month'!AW$4</f>
        <v>2007.9473684210527</v>
      </c>
      <c r="AX15" s="18">
        <f>'Total Weekday Boardings'!AX15/'Service Days per Month'!AX$4</f>
        <v>1828.1052631578948</v>
      </c>
      <c r="AY15" s="18">
        <f>'Total Weekday Boardings'!AY15/'Service Days per Month'!AY$4</f>
        <v>1767.0952380952381</v>
      </c>
      <c r="AZ15" s="18">
        <f>'Total Weekday Boardings'!AZ15/'Service Days per Month'!AZ$4</f>
        <v>1895.0526315789473</v>
      </c>
      <c r="BA15" s="18">
        <f>'Total Weekday Boardings'!BA15/'Service Days per Month'!BA$4</f>
        <v>1790.0952380952381</v>
      </c>
      <c r="BB15" s="18">
        <f>'Total Weekday Boardings'!BB15/'Service Days per Month'!BB$4</f>
        <v>1873.0454545454545</v>
      </c>
      <c r="BC15" s="18">
        <f>'Total Weekday Boardings'!BC15/'Service Days per Month'!BC$4</f>
        <v>1743.8636363636363</v>
      </c>
      <c r="BD15" s="19">
        <f>'Total Weekday Boardings'!BD15/'Service Days per Month'!BD$4</f>
        <v>1537.7</v>
      </c>
      <c r="BE15" s="17">
        <f>'Total Weekday Boardings'!BE15/'Service Days per Month'!BE$4</f>
        <v>1468</v>
      </c>
      <c r="BF15" s="18">
        <f>'Total Weekday Boardings'!BF15/'Service Days per Month'!BF$4</f>
        <v>1696</v>
      </c>
      <c r="BG15" s="18">
        <f>'Total Weekday Boardings'!BG15/'Service Days per Month'!BG$4</f>
        <v>1843.35</v>
      </c>
      <c r="BH15" s="18">
        <f>'Total Weekday Boardings'!BH15/'Service Days per Month'!BH$4</f>
        <v>1833</v>
      </c>
      <c r="BI15" s="18">
        <f>'Total Weekday Boardings'!BI15/'Service Days per Month'!BI$4</f>
        <v>1948.6281484595993</v>
      </c>
      <c r="BJ15" s="18">
        <f>'Total Weekday Boardings'!BJ15/'Service Days per Month'!BJ$4</f>
        <v>1701.8</v>
      </c>
      <c r="BK15" s="18">
        <f>'Total Weekday Boardings'!BK15/'Service Days per Month'!BK$4</f>
        <v>1906.952380952381</v>
      </c>
      <c r="BL15" s="18">
        <f>'Total Weekday Boardings'!BL15/'Service Days per Month'!BL$4</f>
        <v>1983.3684210526317</v>
      </c>
      <c r="BM15" s="18">
        <f>'Total Weekday Boardings'!BM15/'Service Days per Month'!BM$4</f>
        <v>1857.2380952380952</v>
      </c>
      <c r="BN15" s="18">
        <f>'Total Weekday Boardings'!BN15/'Service Days per Month'!BN$4</f>
        <v>1899.1818181818182</v>
      </c>
      <c r="BO15" s="18">
        <f>'Total Weekday Boardings'!BO15/'Service Days per Month'!BO$4</f>
        <v>1765.2380952380952</v>
      </c>
      <c r="BP15" s="19">
        <f>'Total Weekday Boardings'!BP15/'Service Days per Month'!BP$4</f>
        <v>1577.8571428571429</v>
      </c>
      <c r="BQ15" s="17">
        <f>'Total Weekday Boardings'!BQ15/'Service Days per Month'!BQ$4</f>
        <v>1492.090909090909</v>
      </c>
      <c r="BR15" s="18">
        <f>'Total Weekday Boardings'!BR15/'Service Days per Month'!BR$4</f>
        <v>1769.8095238095239</v>
      </c>
      <c r="BS15" s="18">
        <f>'Total Weekday Boardings'!BS15/'Service Days per Month'!BS$4</f>
        <v>1867.047619047619</v>
      </c>
      <c r="BT15" s="18">
        <f>'Total Weekday Boardings'!BT15/'Service Days per Month'!BT$4</f>
        <v>1899.8260869565217</v>
      </c>
      <c r="BU15" s="18">
        <f>'Total Weekday Boardings'!BU15/'Service Days per Month'!BU$4</f>
        <v>1988.9411764705883</v>
      </c>
      <c r="BV15" s="18">
        <f>'Total Weekday Boardings'!BV15/'Service Days per Month'!BV$4</f>
        <v>1820.1904761904761</v>
      </c>
      <c r="BW15" s="18">
        <f>'Total Weekday Boardings'!BW15/'Service Days per Month'!BW$4</f>
        <v>2007.9</v>
      </c>
      <c r="BX15" s="18">
        <f>'Total Weekday Boardings'!BX15/'Service Days per Month'!BX$4</f>
        <v>1921.578947368421</v>
      </c>
      <c r="BY15" s="18">
        <f>'Total Weekday Boardings'!BY15/'Service Days per Month'!BY$4</f>
        <v>1852.1818181818182</v>
      </c>
      <c r="BZ15" s="18">
        <f>'Total Weekday Boardings'!BZ15/'Service Days per Month'!BZ$4</f>
        <v>1899</v>
      </c>
      <c r="CA15" s="18">
        <f>'Total Weekday Boardings'!CA15/'Service Days per Month'!CA$4</f>
        <v>1747.05</v>
      </c>
      <c r="CB15" s="19">
        <f>'Total Weekday Boardings'!CB15/'Service Days per Month'!CB$4</f>
        <v>1538.2727272727273</v>
      </c>
      <c r="CC15" s="20">
        <f>'Total Weekday Boardings'!CC15/'Service Days per Month'!CC$4</f>
        <v>1485.7727272727273</v>
      </c>
      <c r="CD15" s="18">
        <f>'Total Weekday Boardings'!CD15/'Service Days per Month'!CD$4</f>
        <v>1802.8571428571429</v>
      </c>
      <c r="CE15" s="18">
        <f>'Total Weekday Boardings'!CE15/'Service Days per Month'!CE$4</f>
        <v>1909.047619047619</v>
      </c>
      <c r="CF15" s="18">
        <f>'Total Weekday Boardings'!CF15/'Service Days per Month'!CF$4</f>
        <v>1899.6363636363637</v>
      </c>
      <c r="CG15" s="18">
        <f>'Total Weekday Boardings'!CG15/'Service Days per Month'!CG$4</f>
        <v>1902</v>
      </c>
      <c r="CH15" s="18">
        <f>'Total Weekday Boardings'!CH15/'Service Days per Month'!CH$4</f>
        <v>1713.5238095238096</v>
      </c>
      <c r="CI15" s="18">
        <f>'Total Weekday Boardings'!CI15/'Service Days per Month'!CI$4</f>
        <v>2056.4210526315787</v>
      </c>
      <c r="CJ15" s="18">
        <f>'Total Weekday Boardings'!CJ15/'Service Days per Month'!CJ$4</f>
        <v>1951.8</v>
      </c>
      <c r="CK15" s="18">
        <f>'Total Weekday Boardings'!CK15/'Service Days per Month'!CK$4</f>
        <v>1850.2608695652175</v>
      </c>
      <c r="CL15" s="18">
        <f>'Total Weekday Boardings'!CL15/'Service Days per Month'!CL$4</f>
        <v>1986.6190476190477</v>
      </c>
      <c r="CM15" s="18">
        <f>'Total Weekday Boardings'!CM15/'Service Days per Month'!CM$4</f>
        <v>1867.1904761904761</v>
      </c>
      <c r="CN15" s="21">
        <f>'Total Weekday Boardings'!CN15/'Service Days per Month'!CN$4</f>
        <v>1713.590909090909</v>
      </c>
      <c r="CO15" s="17">
        <f>'Total Weekday Boardings'!CO15/'Service Days per Month'!CO$4</f>
        <v>1604.85</v>
      </c>
      <c r="CP15" s="18">
        <f>'Total Weekday Boardings'!CP15/'Service Days per Month'!CP$4</f>
        <v>1795.391304347826</v>
      </c>
      <c r="CQ15" s="18">
        <f>'Total Weekday Boardings'!CQ15/'Service Days per Month'!CQ$4</f>
        <v>1904.9047619047619</v>
      </c>
      <c r="CR15" s="18">
        <f>'Total Weekday Boardings'!CR15/'Service Days per Month'!CR$4</f>
        <v>1931.5238095238096</v>
      </c>
      <c r="CS15" s="18">
        <f>'Total Weekday Boardings'!CS15/'Service Days per Month'!CS$4</f>
        <v>1882.2631578947369</v>
      </c>
      <c r="CT15" s="18">
        <f>'Total Weekday Boardings'!CT15/'Service Days per Month'!CT$4</f>
        <v>1731.047619047619</v>
      </c>
      <c r="CU15" s="18">
        <f>'Total Weekday Boardings'!CU15/'Service Days per Month'!CU$4</f>
        <v>1870.8</v>
      </c>
      <c r="CV15" s="18">
        <f>'Total Weekday Boardings'!CV15/'Service Days per Month'!CV$4</f>
        <v>1969.6842105263158</v>
      </c>
      <c r="CW15" s="18">
        <f>'Total Weekday Boardings'!CW15/'Service Days per Month'!CW$4</f>
        <v>1847.9130434782608</v>
      </c>
      <c r="CX15" s="18">
        <f>'Total Weekday Boardings'!CX15/'Service Days per Month'!CX$4</f>
        <v>1851.95</v>
      </c>
      <c r="CY15" s="18">
        <f>'Total Weekday Boardings'!CY15/'Service Days per Month'!CY$4</f>
        <v>1760.7727272727273</v>
      </c>
      <c r="CZ15" s="19">
        <f>'Total Weekday Boardings'!CZ15/'Service Days per Month'!CZ$4</f>
        <v>1507.590909090909</v>
      </c>
      <c r="DA15" s="17">
        <f>'Total Weekday Boardings'!DA15/'Service Days per Month'!DA$4</f>
        <v>1452</v>
      </c>
      <c r="DB15" s="18">
        <f>'Total Weekday Boardings'!DB15/'Service Days per Month'!DB$4</f>
        <v>1641</v>
      </c>
      <c r="DC15" s="18">
        <f>'Total Weekday Boardings'!DC15/'Service Days per Month'!DC$4</f>
        <v>1700.25</v>
      </c>
      <c r="DD15" s="18">
        <f>'Total Weekday Boardings'!DD15/'Service Days per Month'!DD$4</f>
        <v>1821.090909090909</v>
      </c>
      <c r="DE15" s="18">
        <f>'Total Weekday Boardings'!DE15/'Service Days per Month'!DE$4</f>
        <v>1714.1052631578948</v>
      </c>
      <c r="DF15" s="18">
        <f>'Total Weekday Boardings'!DF15/'Service Days per Month'!DF$4</f>
        <v>1561.15</v>
      </c>
      <c r="DG15" s="18">
        <f>'Total Weekday Boardings'!DG15/'Service Days per Month'!DG$4</f>
        <v>1673.8571428571429</v>
      </c>
      <c r="DH15" s="18">
        <f>'Total Weekday Boardings'!DH15/'Service Days per Month'!DH$4</f>
        <v>1735</v>
      </c>
      <c r="DI15" s="18">
        <f>'Total Weekday Boardings'!DI15/'Service Days per Month'!DI$4</f>
        <v>1682.2727272727273</v>
      </c>
      <c r="DJ15" s="18">
        <f>'Total Weekday Boardings'!DJ15/'Service Days per Month'!DJ$4</f>
        <v>1698.7142857142858</v>
      </c>
      <c r="DK15" s="18">
        <f>'Total Weekday Boardings'!DK15/'Service Days per Month'!DK$4</f>
        <v>1580.8636363636363</v>
      </c>
      <c r="DL15" s="19">
        <f>'Total Weekday Boardings'!DL15/'Service Days per Month'!DL$4</f>
        <v>1435.4285714285713</v>
      </c>
      <c r="DM15" s="17">
        <f>'Total Weekday Boardings'!DM15/'Service Days per Month'!DM$4</f>
        <v>1271.1904761904761</v>
      </c>
      <c r="DN15" s="18">
        <f>'Total Weekday Boardings'!DN15/'Service Days per Month'!DN$4</f>
        <v>1489.2608695652175</v>
      </c>
      <c r="DO15" s="18">
        <f>'Total Weekday Boardings'!DO15/'Service Days per Month'!DO$4</f>
        <v>1574.1578947368421</v>
      </c>
      <c r="DP15" s="18">
        <f>'Total Weekday Boardings'!DP15/'Service Days per Month'!DP$4</f>
        <v>1545.7391304347825</v>
      </c>
      <c r="DQ15" s="18">
        <f>'Total Weekday Boardings'!DQ15/'Service Days per Month'!DQ$4</f>
        <v>1582.6666666666667</v>
      </c>
      <c r="DR15" s="18">
        <f>'Total Weekday Boardings'!DR15/'Service Days per Month'!DR$4</f>
        <v>1464.1</v>
      </c>
      <c r="DS15" s="18">
        <f>'Total Weekday Boardings'!DS15/'Service Days per Month'!DS$4</f>
        <v>1536.7727272727273</v>
      </c>
      <c r="DT15" s="18">
        <f>'Total Weekday Boardings'!DT15/'Service Days per Month'!DT$4</f>
        <v>1502.4</v>
      </c>
      <c r="DU15" s="18">
        <f>'Total Weekday Boardings'!DU15/'Service Days per Month'!DU$4</f>
        <v>1573.5714285714287</v>
      </c>
      <c r="DV15" s="18">
        <f>'Total Weekday Boardings'!DV15/'Service Days per Month'!DV$4</f>
        <v>1455</v>
      </c>
      <c r="DW15" s="18">
        <f>'Total Weekday Boardings'!DW15/'Service Days per Month'!DW$4</f>
        <v>1421.590909090909</v>
      </c>
      <c r="DX15" s="19">
        <f>'Total Weekday Boardings'!DX15/'Service Days per Month'!DX$4</f>
        <v>1295.95</v>
      </c>
      <c r="DY15" s="17">
        <f>'Total Weekday Boardings'!DY15/'Service Days per Month'!DY$4</f>
        <v>1166.7727272727273</v>
      </c>
      <c r="DZ15" s="18">
        <f>'Total Weekday Boardings'!DZ15/'Service Days per Month'!DZ$4</f>
        <v>1383.1363636363637</v>
      </c>
      <c r="EA15" s="18">
        <f>'Total Weekday Boardings'!EA15/'Service Days per Month'!EA$4</f>
        <v>1456.25</v>
      </c>
      <c r="EB15" s="18">
        <f>'Total Weekday Boardings'!EB15/'Service Days per Month'!EB$4</f>
        <v>1483.9130434782608</v>
      </c>
      <c r="EC15" s="18">
        <f>'Total Weekday Boardings'!EC15/'Service Days per Month'!EC$4</f>
        <v>1445.2</v>
      </c>
      <c r="ED15" s="18">
        <f>'Total Weekday Boardings'!ED15/'Service Days per Month'!ED$4</f>
        <v>1327.3333333333333</v>
      </c>
      <c r="EE15" s="18">
        <f>'Total Weekday Boardings'!EE15/'Service Days per Month'!EE$4</f>
        <v>1337.4347826086957</v>
      </c>
      <c r="EF15" s="18">
        <f>'Total Weekday Boardings'!EF15/'Service Days per Month'!EF$4</f>
        <v>1454.8</v>
      </c>
      <c r="EG15" s="18">
        <f>'Total Weekday Boardings'!EG15/'Service Days per Month'!EG$4</f>
        <v>1059.0454545454545</v>
      </c>
      <c r="EH15" s="18">
        <f>'Total Weekday Boardings'!EH15/'Service Days per Month'!EH$4</f>
        <v>612.9545454545455</v>
      </c>
      <c r="EI15" s="18">
        <f>'Total Weekday Boardings'!EI15/'Service Days per Month'!EI$4</f>
        <v>611.75</v>
      </c>
      <c r="EJ15" s="19">
        <f>'Total Weekday Boardings'!EJ15/'Service Days per Month'!EJ$4</f>
        <v>568.36363636363637</v>
      </c>
      <c r="EK15" s="17">
        <f>'Total Weekday Boardings'!EK15/'Service Days per Month'!EK$4</f>
        <v>552.36363636363637</v>
      </c>
      <c r="EL15" s="18">
        <f>'Total Weekday Boardings'!EL15/'Service Days per Month'!EL$4</f>
        <v>526.47619047619048</v>
      </c>
      <c r="EM15" s="18">
        <f>'Total Weekday Boardings'!EM15/'Service Days per Month'!EM$4</f>
        <v>587.23809523809518</v>
      </c>
      <c r="EN15" s="18">
        <f>'Total Weekday Boardings'!EN15/'Service Days per Month'!EN$4</f>
        <v>585.81818181818187</v>
      </c>
      <c r="EO15" s="18">
        <f>'Total Weekday Boardings'!EO15/'Service Days per Month'!EO$4</f>
        <v>551.25</v>
      </c>
      <c r="EP15" s="18">
        <f>'Total Weekday Boardings'!EP15/'Service Days per Month'!EP$4</f>
        <v>414.18181818181819</v>
      </c>
      <c r="EQ15" s="18">
        <f>'Total Weekday Boardings'!EQ15/'Service Days per Month'!EQ$4</f>
        <v>231.66666666666666</v>
      </c>
      <c r="ER15" s="18">
        <f>'Total Weekday Boardings'!ER15/'Service Days per Month'!ER$4</f>
        <v>469</v>
      </c>
      <c r="ES15" s="18">
        <f>'Total Weekday Boardings'!ES15/'Service Days per Month'!ES$4</f>
        <v>497.86956521739131</v>
      </c>
      <c r="ET15" s="18">
        <f>'Total Weekday Boardings'!ET15/'Service Days per Month'!ET$4</f>
        <v>576.5454545454545</v>
      </c>
      <c r="EU15" s="18">
        <f>'Total Weekday Boardings'!EU15/'Service Days per Month'!EU$4</f>
        <v>537.9</v>
      </c>
      <c r="EV15" s="19">
        <f>'Total Weekday Boardings'!EV15/'Service Days per Month'!EV$4</f>
        <v>542.72727272727275</v>
      </c>
      <c r="EW15" s="17">
        <f>'Total Weekday Boardings'!EW15/'Service Days per Month'!EW$4</f>
        <v>508.90476190476193</v>
      </c>
      <c r="EX15" s="18">
        <f>'Total Weekday Boardings'!EX15/'Service Days per Month'!EX$4</f>
        <v>592.72727272727275</v>
      </c>
      <c r="EY15" s="18">
        <f>'Total Weekday Boardings'!EY15/'Service Days per Month'!EY$4</f>
        <v>650.28571428571433</v>
      </c>
      <c r="EZ15" s="18">
        <f>'Total Weekday Boardings'!EZ15/'Service Days per Month'!EZ$4</f>
        <v>696.42857142857144</v>
      </c>
      <c r="FA15" s="18">
        <f>'Total Weekday Boardings'!FA15/'Service Days per Month'!FA$4</f>
        <v>720.19047619047615</v>
      </c>
      <c r="FB15" s="18">
        <f>'Total Weekday Boardings'!FB15/'Service Days per Month'!FB$4</f>
        <v>644.90909090909088</v>
      </c>
      <c r="FC15" s="18">
        <f>'Total Weekday Boardings'!FC15/'Service Days per Month'!FC$4</f>
        <v>599.52380952380952</v>
      </c>
      <c r="FD15" s="18">
        <f>'Total Weekday Boardings'!FD15/'Service Days per Month'!FD$4</f>
        <v>771.4</v>
      </c>
      <c r="FE15" s="18">
        <f>'Total Weekday Boardings'!FE15/'Service Days per Month'!FE$4</f>
        <v>813.13043478260875</v>
      </c>
      <c r="FF15" s="18">
        <f>'Total Weekday Boardings'!FF15/'Service Days per Month'!FF$4</f>
        <v>787.14285714285711</v>
      </c>
      <c r="FG15" s="18">
        <f>'Total Weekday Boardings'!FG15/'Service Days per Month'!FG$4</f>
        <v>727.09523809523807</v>
      </c>
      <c r="FH15" s="19">
        <f>'Total Weekday Boardings'!FH15/'Service Days per Month'!FH$4</f>
        <v>573.31818181818187</v>
      </c>
      <c r="FI15" s="17">
        <v>588.79999999999995</v>
      </c>
      <c r="FJ15" s="18">
        <v>647.43478260869563</v>
      </c>
      <c r="FK15" s="18">
        <v>783.95238095238096</v>
      </c>
      <c r="FL15" s="18">
        <v>778.09523809523807</v>
      </c>
      <c r="FM15" s="18">
        <v>719.80952380952385</v>
      </c>
      <c r="FN15" s="18">
        <v>701.19047619047615</v>
      </c>
      <c r="FO15" s="18">
        <v>777.61904761904759</v>
      </c>
      <c r="FP15" s="18">
        <v>757.45</v>
      </c>
      <c r="FQ15" s="18">
        <v>836.95652173913038</v>
      </c>
      <c r="FR15" s="18">
        <f>'Total Weekday Boardings'!FR15/20</f>
        <v>908.95</v>
      </c>
      <c r="FS15" s="18">
        <f>'Total Weekday Boardings'!FS15/22</f>
        <v>851.68181818181813</v>
      </c>
      <c r="FT15" s="21">
        <f>'Total Weekday Boardings'!FT15/23</f>
        <v>717.304347826087</v>
      </c>
      <c r="FU15" s="17">
        <f>'Total Weekday Boardings'!FU15/21</f>
        <v>706.57142857142856</v>
      </c>
      <c r="FV15" s="18">
        <f>'Total Weekday Boardings'!FV15/23</f>
        <v>801.04347826086962</v>
      </c>
      <c r="FW15" s="18">
        <f>'Total Weekday Boardings'!FW15/21</f>
        <v>793.33333333333337</v>
      </c>
      <c r="FX15" s="18">
        <f>'Total Weekday Boardings'!FX15/22</f>
        <v>868.68181818181813</v>
      </c>
      <c r="FY15" s="18">
        <f>'Total Weekday Boardings'!FY15/22</f>
        <v>826.5454545454545</v>
      </c>
      <c r="FZ15" s="18">
        <f>'Total Weekday Boardings'!FZ15/21</f>
        <v>786.04761904761904</v>
      </c>
      <c r="GA15" s="18">
        <f>'Total Weekday Boardings'!GA15/23</f>
        <v>786.78260869565213</v>
      </c>
      <c r="GB15" s="18">
        <f>'Total Weekday Boardings'!GB15/21</f>
        <v>918.76190476190482</v>
      </c>
      <c r="GC15" s="18">
        <f>'Total Weekday Boardings'!GC15/21</f>
        <v>939.90476190476193</v>
      </c>
      <c r="GD15" s="18">
        <f>'Total Weekday Boardings'!GD15/22</f>
        <v>888.4545454545455</v>
      </c>
      <c r="GE15" s="13">
        <f>'Total Weekday Boardings'!GE15/23</f>
        <v>830.86956521739125</v>
      </c>
      <c r="GF15" s="13">
        <f>'Total Weekday Boardings'!GF15/20</f>
        <v>801.65</v>
      </c>
      <c r="GG15" s="21">
        <f>'Total Weekday Boardings'!GG15/22</f>
        <v>761.5</v>
      </c>
      <c r="GH15" s="13">
        <f>'Total Weekday Boardings'!GH15/23</f>
        <v>810</v>
      </c>
      <c r="GI15" s="13">
        <f>'Total Weekday Boardings'!GI15/21</f>
        <v>846.71428571428567</v>
      </c>
      <c r="GJ15" s="13">
        <f>'Total Weekday Boardings'!GJ15/23</f>
        <v>842.91304347826087</v>
      </c>
      <c r="GK15" s="13">
        <f>'Total Weekday Boardings'!GK15/21</f>
        <v>786.80952380952385</v>
      </c>
      <c r="GL15" s="13">
        <f>'Total Weekday Boardings'!GL15/22</f>
        <v>736.4545454545455</v>
      </c>
    </row>
    <row r="16" spans="1:194" ht="15" thickBot="1" x14ac:dyDescent="0.35">
      <c r="A16" s="3" t="s">
        <v>9</v>
      </c>
      <c r="B16" s="17"/>
      <c r="C16" s="18">
        <f>'Total Weekday Boardings'!C16/'Service Days per Month'!C$4</f>
        <v>706.57142857142856</v>
      </c>
      <c r="D16" s="18">
        <f>'Total Weekday Boardings'!D16/'Service Days per Month'!D$4</f>
        <v>928.6</v>
      </c>
      <c r="E16" s="18">
        <f>'Total Weekday Boardings'!E16/'Service Days per Month'!E$4</f>
        <v>844.18181818181813</v>
      </c>
      <c r="F16" s="18">
        <f>'Total Weekday Boardings'!F16/'Service Days per Month'!F$4</f>
        <v>863.68181818181813</v>
      </c>
      <c r="G16" s="18">
        <f>'Total Weekday Boardings'!G16/'Service Days per Month'!G$4</f>
        <v>892.9</v>
      </c>
      <c r="H16" s="19">
        <f>'Total Weekday Boardings'!H16/'Service Days per Month'!H$4</f>
        <v>659.0454545454545</v>
      </c>
      <c r="I16" s="17">
        <f>'Total Weekday Boardings'!I16/'Service Days per Month'!I$4</f>
        <v>640.86956521739125</v>
      </c>
      <c r="J16" s="18">
        <f>'Total Weekday Boardings'!J16/'Service Days per Month'!J$4</f>
        <v>835.42857142857144</v>
      </c>
      <c r="K16" s="18">
        <f>'Total Weekday Boardings'!K16/'Service Days per Month'!K$4</f>
        <v>719.52380952380952</v>
      </c>
      <c r="L16" s="18">
        <f>'Total Weekday Boardings'!L16/'Service Days per Month'!L$4</f>
        <v>756.86363636363637</v>
      </c>
      <c r="M16" s="18">
        <f>'Total Weekday Boardings'!M16/'Service Days per Month'!M$4</f>
        <v>763.25</v>
      </c>
      <c r="N16" s="18">
        <f>'Total Weekday Boardings'!N16/'Service Days per Month'!N$4</f>
        <v>777.63636363636363</v>
      </c>
      <c r="O16" s="18">
        <f>'Total Weekday Boardings'!O16/'Service Days per Month'!O$4</f>
        <v>726.55</v>
      </c>
      <c r="P16" s="18">
        <f>'Total Weekday Boardings'!P16/'Service Days per Month'!P$4</f>
        <v>874.75</v>
      </c>
      <c r="Q16" s="18">
        <f>'Total Weekday Boardings'!Q16/'Service Days per Month'!Q$4</f>
        <v>876.43478260869563</v>
      </c>
      <c r="R16" s="18">
        <f>'Total Weekday Boardings'!R16/'Service Days per Month'!R$4</f>
        <v>869.18181818181813</v>
      </c>
      <c r="S16" s="18">
        <f>'Total Weekday Boardings'!S16/'Service Days per Month'!S$4</f>
        <v>709.75</v>
      </c>
      <c r="T16" s="19">
        <f>'Total Weekday Boardings'!T16/'Service Days per Month'!T$4</f>
        <v>851.68181818181813</v>
      </c>
      <c r="U16" s="17">
        <f>'Total Weekday Boardings'!U16/'Service Days per Month'!U$4</f>
        <v>719.71428571428567</v>
      </c>
      <c r="V16" s="18">
        <f>'Total Weekday Boardings'!V16/'Service Days per Month'!V$4</f>
        <v>849.40909090909088</v>
      </c>
      <c r="W16" s="18">
        <f>'Total Weekday Boardings'!W16/'Service Days per Month'!W$4</f>
        <v>894.33333333333337</v>
      </c>
      <c r="X16" s="18">
        <f>'Total Weekday Boardings'!X16/'Service Days per Month'!X$4</f>
        <v>877.90476190476193</v>
      </c>
      <c r="Y16" s="18">
        <f>'Total Weekday Boardings'!Y16/'Service Days per Month'!Y$4</f>
        <v>948.78947368421052</v>
      </c>
      <c r="Z16" s="18">
        <f>'Total Weekday Boardings'!Z16/'Service Days per Month'!Z$4</f>
        <v>824.23809523809518</v>
      </c>
      <c r="AA16" s="18">
        <f>'Total Weekday Boardings'!AA16/'Service Days per Month'!AA$4</f>
        <v>917.35</v>
      </c>
      <c r="AB16" s="18">
        <f>'Total Weekday Boardings'!AB16/'Service Days per Month'!AB$4</f>
        <v>938.21052631578948</v>
      </c>
      <c r="AC16" s="18">
        <f>'Total Weekday Boardings'!AC16/'Service Days per Month'!AC$4</f>
        <v>903.304347826087</v>
      </c>
      <c r="AD16" s="18">
        <f>'Total Weekday Boardings'!AD16/'Service Days per Month'!AD$4</f>
        <v>975.95238095238096</v>
      </c>
      <c r="AE16" s="18">
        <f>'Total Weekday Boardings'!AE16/'Service Days per Month'!AE$4</f>
        <v>935.23809523809518</v>
      </c>
      <c r="AF16" s="19">
        <f>'Total Weekday Boardings'!AF16/'Service Days per Month'!AF$4</f>
        <v>824.90909090909088</v>
      </c>
      <c r="AG16" s="17">
        <f>'Total Weekday Boardings'!AG16/'Service Days per Month'!AG$4</f>
        <v>829.9</v>
      </c>
      <c r="AH16" s="18">
        <f>'Total Weekday Boardings'!AH16/'Service Days per Month'!AH$4</f>
        <v>940.26086956521738</v>
      </c>
      <c r="AI16" s="18">
        <f>'Total Weekday Boardings'!AI16/'Service Days per Month'!AI$4</f>
        <v>999.61904761904759</v>
      </c>
      <c r="AJ16" s="18">
        <f>'Total Weekday Boardings'!AJ16/'Service Days per Month'!AJ$4</f>
        <v>1021.8095238095239</v>
      </c>
      <c r="AK16" s="18">
        <f>'Total Weekday Boardings'!AK16/'Service Days per Month'!AK$4</f>
        <v>979.15789473684208</v>
      </c>
      <c r="AL16" s="18">
        <f>'Total Weekday Boardings'!AL16/'Service Days per Month'!AL$4</f>
        <v>932.57142857142856</v>
      </c>
      <c r="AM16" s="18">
        <f>'Total Weekday Boardings'!AM16/'Service Days per Month'!AM$4</f>
        <v>1018.1</v>
      </c>
      <c r="AN16" s="18">
        <f>'Total Weekday Boardings'!AN16/'Service Days per Month'!AN$4</f>
        <v>1016.85</v>
      </c>
      <c r="AO16" s="18">
        <f>'Total Weekday Boardings'!AO16/'Service Days per Month'!AO$4</f>
        <v>1037.409090909091</v>
      </c>
      <c r="AP16" s="18">
        <f>'Total Weekday Boardings'!AP16/'Service Days per Month'!AP$4</f>
        <v>1093.2857142857142</v>
      </c>
      <c r="AQ16" s="18">
        <f>'Total Weekday Boardings'!AQ16/'Service Days per Month'!AQ$4</f>
        <v>1045.8636363636363</v>
      </c>
      <c r="AR16" s="19">
        <f>'Total Weekday Boardings'!AR16/'Service Days per Month'!AR$4</f>
        <v>942.47619047619048</v>
      </c>
      <c r="AS16" s="17">
        <f>'Total Weekday Boardings'!AS16/'Service Days per Month'!AS$4</f>
        <v>904.57142857142856</v>
      </c>
      <c r="AT16" s="18">
        <f>'Total Weekday Boardings'!AT16/'Service Days per Month'!AT$4</f>
        <v>1043.9565217391305</v>
      </c>
      <c r="AU16" s="18">
        <f>'Total Weekday Boardings'!AU16/'Service Days per Month'!AU$4</f>
        <v>1035.8947368421052</v>
      </c>
      <c r="AV16" s="18">
        <f>'Total Weekday Boardings'!AV16/'Service Days per Month'!AV$4</f>
        <v>1153.695652173913</v>
      </c>
      <c r="AW16" s="18">
        <f>'Total Weekday Boardings'!AW16/'Service Days per Month'!AW$4</f>
        <v>1208.2631578947369</v>
      </c>
      <c r="AX16" s="18">
        <f>'Total Weekday Boardings'!AX16/'Service Days per Month'!AX$4</f>
        <v>1071.6842105263158</v>
      </c>
      <c r="AY16" s="18">
        <f>'Total Weekday Boardings'!AY16/'Service Days per Month'!AY$4</f>
        <v>1080.0952380952381</v>
      </c>
      <c r="AZ16" s="18">
        <f>'Total Weekday Boardings'!AZ16/'Service Days per Month'!AZ$4</f>
        <v>1167.9473684210527</v>
      </c>
      <c r="BA16" s="18">
        <f>'Total Weekday Boardings'!BA16/'Service Days per Month'!BA$4</f>
        <v>1086.1428571428571</v>
      </c>
      <c r="BB16" s="18">
        <f>'Total Weekday Boardings'!BB16/'Service Days per Month'!BB$4</f>
        <v>1083.3181818181818</v>
      </c>
      <c r="BC16" s="18">
        <f>'Total Weekday Boardings'!BC16/'Service Days per Month'!BC$4</f>
        <v>1059.0454545454545</v>
      </c>
      <c r="BD16" s="19">
        <f>'Total Weekday Boardings'!BD16/'Service Days per Month'!BD$4</f>
        <v>897.8</v>
      </c>
      <c r="BE16" s="17">
        <f>'Total Weekday Boardings'!BE16/'Service Days per Month'!BE$4</f>
        <v>848.36363636363637</v>
      </c>
      <c r="BF16" s="18">
        <f>'Total Weekday Boardings'!BF16/'Service Days per Month'!BF$4</f>
        <v>961.68181818181813</v>
      </c>
      <c r="BG16" s="18">
        <f>'Total Weekday Boardings'!BG16/'Service Days per Month'!BG$4</f>
        <v>1033.8499999999999</v>
      </c>
      <c r="BH16" s="18">
        <f>'Total Weekday Boardings'!BH16/'Service Days per Month'!BH$4</f>
        <v>1026.2173913043478</v>
      </c>
      <c r="BI16" s="18">
        <f>'Total Weekday Boardings'!BI16/'Service Days per Month'!BI$4</f>
        <v>1074.1891133621916</v>
      </c>
      <c r="BJ16" s="18">
        <f>'Total Weekday Boardings'!BJ16/'Service Days per Month'!BJ$4</f>
        <v>931.55</v>
      </c>
      <c r="BK16" s="18">
        <f>'Total Weekday Boardings'!BK16/'Service Days per Month'!BK$4</f>
        <v>1034.2857142857142</v>
      </c>
      <c r="BL16" s="18">
        <f>'Total Weekday Boardings'!BL16/'Service Days per Month'!BL$4</f>
        <v>1071.6842105263158</v>
      </c>
      <c r="BM16" s="18">
        <f>'Total Weekday Boardings'!BM16/'Service Days per Month'!BM$4</f>
        <v>1107.7142857142858</v>
      </c>
      <c r="BN16" s="18">
        <f>'Total Weekday Boardings'!BN16/'Service Days per Month'!BN$4</f>
        <v>1048.9545454545455</v>
      </c>
      <c r="BO16" s="18">
        <f>'Total Weekday Boardings'!BO16/'Service Days per Month'!BO$4</f>
        <v>964.38095238095241</v>
      </c>
      <c r="BP16" s="19">
        <f>'Total Weekday Boardings'!BP16/'Service Days per Month'!BP$4</f>
        <v>922.04761904761904</v>
      </c>
      <c r="BQ16" s="17">
        <f>'Total Weekday Boardings'!BQ16/'Service Days per Month'!BQ$4</f>
        <v>875.59090909090912</v>
      </c>
      <c r="BR16" s="18">
        <f>'Total Weekday Boardings'!BR16/'Service Days per Month'!BR$4</f>
        <v>933.42857142857144</v>
      </c>
      <c r="BS16" s="18">
        <f>'Total Weekday Boardings'!BS16/'Service Days per Month'!BS$4</f>
        <v>993.71428571428567</v>
      </c>
      <c r="BT16" s="18">
        <f>'Total Weekday Boardings'!BT16/'Service Days per Month'!BT$4</f>
        <v>1015.5217391304348</v>
      </c>
      <c r="BU16" s="18">
        <f>'Total Weekday Boardings'!BU16/'Service Days per Month'!BU$4</f>
        <v>1039.2941176470588</v>
      </c>
      <c r="BV16" s="18">
        <f>'Total Weekday Boardings'!BV16/'Service Days per Month'!BV$4</f>
        <v>943.95238095238096</v>
      </c>
      <c r="BW16" s="18">
        <f>'Total Weekday Boardings'!BW16/'Service Days per Month'!BW$4</f>
        <v>1094.8499999999999</v>
      </c>
      <c r="BX16" s="18">
        <f>'Total Weekday Boardings'!BX16/'Service Days per Month'!BX$4</f>
        <v>1070.3157894736842</v>
      </c>
      <c r="BY16" s="18">
        <f>'Total Weekday Boardings'!BY16/'Service Days per Month'!BY$4</f>
        <v>1011.7272727272727</v>
      </c>
      <c r="BZ16" s="18">
        <f>'Total Weekday Boardings'!BZ16/'Service Days per Month'!BZ$4</f>
        <v>1015.5909090909091</v>
      </c>
      <c r="CA16" s="18">
        <f>'Total Weekday Boardings'!CA16/'Service Days per Month'!CA$4</f>
        <v>993.95</v>
      </c>
      <c r="CB16" s="19">
        <f>'Total Weekday Boardings'!CB16/'Service Days per Month'!CB$4</f>
        <v>897.9545454545455</v>
      </c>
      <c r="CC16" s="20">
        <f>'Total Weekday Boardings'!CC16/'Service Days per Month'!CC$4</f>
        <v>860.81818181818187</v>
      </c>
      <c r="CD16" s="18">
        <f>'Total Weekday Boardings'!CD16/'Service Days per Month'!CD$4</f>
        <v>935.42857142857144</v>
      </c>
      <c r="CE16" s="18">
        <f>'Total Weekday Boardings'!CE16/'Service Days per Month'!CE$4</f>
        <v>1029.3809523809523</v>
      </c>
      <c r="CF16" s="18">
        <f>'Total Weekday Boardings'!CF16/'Service Days per Month'!CF$4</f>
        <v>1098.5454545454545</v>
      </c>
      <c r="CG16" s="18">
        <f>'Total Weekday Boardings'!CG16/'Service Days per Month'!CG$4</f>
        <v>1082.6111111111111</v>
      </c>
      <c r="CH16" s="18">
        <f>'Total Weekday Boardings'!CH16/'Service Days per Month'!CH$4</f>
        <v>956.76190476190482</v>
      </c>
      <c r="CI16" s="18">
        <f>'Total Weekday Boardings'!CI16/'Service Days per Month'!CI$4</f>
        <v>1082.8947368421052</v>
      </c>
      <c r="CJ16" s="18">
        <f>'Total Weekday Boardings'!CJ16/'Service Days per Month'!CJ$4</f>
        <v>1112.7</v>
      </c>
      <c r="CK16" s="18">
        <f>'Total Weekday Boardings'!CK16/'Service Days per Month'!CK$4</f>
        <v>1118.2173913043478</v>
      </c>
      <c r="CL16" s="18">
        <f>'Total Weekday Boardings'!CL16/'Service Days per Month'!CL$4</f>
        <v>1193.7619047619048</v>
      </c>
      <c r="CM16" s="18">
        <f>'Total Weekday Boardings'!CM16/'Service Days per Month'!CM$4</f>
        <v>1114.4285714285713</v>
      </c>
      <c r="CN16" s="21">
        <f>'Total Weekday Boardings'!CN16/'Service Days per Month'!CN$4</f>
        <v>1044.8181818181818</v>
      </c>
      <c r="CO16" s="17">
        <f>'Total Weekday Boardings'!CO16/'Service Days per Month'!CO$4</f>
        <v>992.5</v>
      </c>
      <c r="CP16" s="18">
        <f>'Total Weekday Boardings'!CP16/'Service Days per Month'!CP$4</f>
        <v>1092.304347826087</v>
      </c>
      <c r="CQ16" s="18">
        <f>'Total Weekday Boardings'!CQ16/'Service Days per Month'!CQ$4</f>
        <v>1117.952380952381</v>
      </c>
      <c r="CR16" s="18">
        <f>'Total Weekday Boardings'!CR16/'Service Days per Month'!CR$4</f>
        <v>1197.4761904761904</v>
      </c>
      <c r="CS16" s="18">
        <f>'Total Weekday Boardings'!CS16/'Service Days per Month'!CS$4</f>
        <v>1190.4736842105262</v>
      </c>
      <c r="CT16" s="18">
        <f>'Total Weekday Boardings'!CT16/'Service Days per Month'!CT$4</f>
        <v>1095.8095238095239</v>
      </c>
      <c r="CU16" s="18">
        <f>'Total Weekday Boardings'!CU16/'Service Days per Month'!CU$4</f>
        <v>1149.05</v>
      </c>
      <c r="CV16" s="18">
        <f>'Total Weekday Boardings'!CV16/'Service Days per Month'!CV$4</f>
        <v>1189.1052631578948</v>
      </c>
      <c r="CW16" s="18">
        <f>'Total Weekday Boardings'!CW16/'Service Days per Month'!CW$4</f>
        <v>1103.608695652174</v>
      </c>
      <c r="CX16" s="18">
        <f>'Total Weekday Boardings'!CX16/'Service Days per Month'!CX$4</f>
        <v>1126.05</v>
      </c>
      <c r="CY16" s="18">
        <f>'Total Weekday Boardings'!CY16/'Service Days per Month'!CY$4</f>
        <v>1048.409090909091</v>
      </c>
      <c r="CZ16" s="19">
        <f>'Total Weekday Boardings'!CZ16/'Service Days per Month'!CZ$4</f>
        <v>966.4545454545455</v>
      </c>
      <c r="DA16" s="17">
        <f>'Total Weekday Boardings'!DA16/'Service Days per Month'!DA$4</f>
        <v>911.7</v>
      </c>
      <c r="DB16" s="18">
        <f>'Total Weekday Boardings'!DB16/'Service Days per Month'!DB$4</f>
        <v>976.17391304347825</v>
      </c>
      <c r="DC16" s="18">
        <f>'Total Weekday Boardings'!DC16/'Service Days per Month'!DC$4</f>
        <v>1010.6</v>
      </c>
      <c r="DD16" s="18">
        <f>'Total Weekday Boardings'!DD16/'Service Days per Month'!DD$4</f>
        <v>1039.2727272727273</v>
      </c>
      <c r="DE16" s="18">
        <f>'Total Weekday Boardings'!DE16/'Service Days per Month'!DE$4</f>
        <v>1034.6842105263158</v>
      </c>
      <c r="DF16" s="18">
        <f>'Total Weekday Boardings'!DF16/'Service Days per Month'!DF$4</f>
        <v>930.2</v>
      </c>
      <c r="DG16" s="18">
        <f>'Total Weekday Boardings'!DG16/'Service Days per Month'!DG$4</f>
        <v>1007.9047619047619</v>
      </c>
      <c r="DH16" s="18">
        <f>'Total Weekday Boardings'!DH16/'Service Days per Month'!DH$4</f>
        <v>1025.1052631578948</v>
      </c>
      <c r="DI16" s="18">
        <f>'Total Weekday Boardings'!DI16/'Service Days per Month'!DI$4</f>
        <v>1047.7272727272727</v>
      </c>
      <c r="DJ16" s="18">
        <f>'Total Weekday Boardings'!DJ16/'Service Days per Month'!DJ$4</f>
        <v>1051.4761904761904</v>
      </c>
      <c r="DK16" s="18">
        <f>'Total Weekday Boardings'!DK16/'Service Days per Month'!DK$4</f>
        <v>987.31818181818187</v>
      </c>
      <c r="DL16" s="19">
        <f>'Total Weekday Boardings'!DL16/'Service Days per Month'!DL$4</f>
        <v>877.04761904761904</v>
      </c>
      <c r="DM16" s="17">
        <f>'Total Weekday Boardings'!DM16/'Service Days per Month'!DM$4</f>
        <v>817.38095238095241</v>
      </c>
      <c r="DN16" s="18">
        <f>'Total Weekday Boardings'!DN16/'Service Days per Month'!DN$4</f>
        <v>878.21739130434787</v>
      </c>
      <c r="DO16" s="18">
        <f>'Total Weekday Boardings'!DO16/'Service Days per Month'!DO$4</f>
        <v>922.42105263157896</v>
      </c>
      <c r="DP16" s="18">
        <f>'Total Weekday Boardings'!DP16/'Service Days per Month'!DP$4</f>
        <v>928.304347826087</v>
      </c>
      <c r="DQ16" s="18">
        <f>'Total Weekday Boardings'!DQ16/'Service Days per Month'!DQ$4</f>
        <v>932.38095238095241</v>
      </c>
      <c r="DR16" s="18">
        <f>'Total Weekday Boardings'!DR16/'Service Days per Month'!DR$4</f>
        <v>861.45</v>
      </c>
      <c r="DS16" s="18">
        <f>'Total Weekday Boardings'!DS16/'Service Days per Month'!DS$4</f>
        <v>940.31818181818187</v>
      </c>
      <c r="DT16" s="18">
        <f>'Total Weekday Boardings'!DT16/'Service Days per Month'!DT$4</f>
        <v>884.7</v>
      </c>
      <c r="DU16" s="18">
        <f>'Total Weekday Boardings'!DU16/'Service Days per Month'!DU$4</f>
        <v>958.80952380952385</v>
      </c>
      <c r="DV16" s="18">
        <f>'Total Weekday Boardings'!DV16/'Service Days per Month'!DV$4</f>
        <v>914.31818181818187</v>
      </c>
      <c r="DW16" s="18">
        <f>'Total Weekday Boardings'!DW16/'Service Days per Month'!DW$4</f>
        <v>884.72727272727275</v>
      </c>
      <c r="DX16" s="19">
        <f>'Total Weekday Boardings'!DX16/'Service Days per Month'!DX$4</f>
        <v>831.4</v>
      </c>
      <c r="DY16" s="17">
        <f>'Total Weekday Boardings'!DY16/'Service Days per Month'!DY$4</f>
        <v>753.5</v>
      </c>
      <c r="DZ16" s="18">
        <f>'Total Weekday Boardings'!DZ16/'Service Days per Month'!DZ$4</f>
        <v>841.77272727272725</v>
      </c>
      <c r="EA16" s="18">
        <f>'Total Weekday Boardings'!EA16/'Service Days per Month'!EA$4</f>
        <v>919.5</v>
      </c>
      <c r="EB16" s="18">
        <f>'Total Weekday Boardings'!EB16/'Service Days per Month'!EB$4</f>
        <v>914.21739130434787</v>
      </c>
      <c r="EC16" s="18">
        <f>'Total Weekday Boardings'!EC16/'Service Days per Month'!EC$4</f>
        <v>864.9</v>
      </c>
      <c r="ED16" s="18">
        <f>'Total Weekday Boardings'!ED16/'Service Days per Month'!ED$4</f>
        <v>794.14285714285711</v>
      </c>
      <c r="EE16" s="18">
        <f>'Total Weekday Boardings'!EE16/'Service Days per Month'!EE$4</f>
        <v>780.60869565217388</v>
      </c>
      <c r="EF16" s="18">
        <f>'Total Weekday Boardings'!EF16/'Service Days per Month'!EF$4</f>
        <v>862.9</v>
      </c>
      <c r="EG16" s="18">
        <f>'Total Weekday Boardings'!EG16/'Service Days per Month'!EG$4</f>
        <v>627.90909090909088</v>
      </c>
      <c r="EH16" s="18">
        <f>'Total Weekday Boardings'!EH16/'Service Days per Month'!EH$4</f>
        <v>367.09090909090907</v>
      </c>
      <c r="EI16" s="18">
        <f>'Total Weekday Boardings'!EI16/'Service Days per Month'!EI$4</f>
        <v>389.65</v>
      </c>
      <c r="EJ16" s="19">
        <f>'Total Weekday Boardings'!EJ16/'Service Days per Month'!EJ$4</f>
        <v>378.18181818181819</v>
      </c>
      <c r="EK16" s="17">
        <f>'Total Weekday Boardings'!EK16/'Service Days per Month'!EK$4</f>
        <v>374.90909090909093</v>
      </c>
      <c r="EL16" s="18">
        <f>'Total Weekday Boardings'!EL16/'Service Days per Month'!EL$4</f>
        <v>355.95238095238096</v>
      </c>
      <c r="EM16" s="18">
        <f>'Total Weekday Boardings'!EM16/'Service Days per Month'!EM$4</f>
        <v>367</v>
      </c>
      <c r="EN16" s="18">
        <f>'Total Weekday Boardings'!EN16/'Service Days per Month'!EN$4</f>
        <v>364.22727272727275</v>
      </c>
      <c r="EO16" s="18">
        <f>'Total Weekday Boardings'!EO16/'Service Days per Month'!EO$4</f>
        <v>377.2</v>
      </c>
      <c r="EP16" s="18">
        <f>'Total Weekday Boardings'!EP16/'Service Days per Month'!EP$4</f>
        <v>262.5</v>
      </c>
      <c r="EQ16" s="18">
        <f>'Total Weekday Boardings'!EQ16/'Service Days per Month'!EQ$4</f>
        <v>135.14285714285714</v>
      </c>
      <c r="ER16" s="18">
        <f>'Total Weekday Boardings'!ER16/'Service Days per Month'!ER$4</f>
        <v>302.39999999999998</v>
      </c>
      <c r="ES16" s="18">
        <f>'Total Weekday Boardings'!ES16/'Service Days per Month'!ES$4</f>
        <v>314.82608695652175</v>
      </c>
      <c r="ET16" s="18">
        <f>'Total Weekday Boardings'!ET16/'Service Days per Month'!ET$4</f>
        <v>355.36363636363637</v>
      </c>
      <c r="EU16" s="18">
        <f>'Total Weekday Boardings'!EU16/'Service Days per Month'!EU$4</f>
        <v>351.95</v>
      </c>
      <c r="EV16" s="19">
        <f>'Total Weekday Boardings'!EV16/'Service Days per Month'!EV$4</f>
        <v>359.09090909090907</v>
      </c>
      <c r="EW16" s="17">
        <f>'Total Weekday Boardings'!EW16/'Service Days per Month'!EW$4</f>
        <v>347.8095238095238</v>
      </c>
      <c r="EX16" s="18">
        <f>'Total Weekday Boardings'!EX16/'Service Days per Month'!EX$4</f>
        <v>372.54545454545456</v>
      </c>
      <c r="EY16" s="18">
        <f>'Total Weekday Boardings'!EY16/'Service Days per Month'!EY$4</f>
        <v>380.71428571428572</v>
      </c>
      <c r="EZ16" s="18">
        <f>'Total Weekday Boardings'!EZ16/'Service Days per Month'!EZ$4</f>
        <v>379.33333333333331</v>
      </c>
      <c r="FA16" s="18">
        <f>'Total Weekday Boardings'!FA16/'Service Days per Month'!FA$4</f>
        <v>402.52380952380952</v>
      </c>
      <c r="FB16" s="18">
        <f>'Total Weekday Boardings'!FB16/'Service Days per Month'!FB$4</f>
        <v>365.63636363636363</v>
      </c>
      <c r="FC16" s="18">
        <f>'Total Weekday Boardings'!FC16/'Service Days per Month'!FC$4</f>
        <v>339.61904761904759</v>
      </c>
      <c r="FD16" s="18">
        <f>'Total Weekday Boardings'!FD16/'Service Days per Month'!FD$4</f>
        <v>416.65</v>
      </c>
      <c r="FE16" s="18">
        <f>'Total Weekday Boardings'!FE16/'Service Days per Month'!FE$4</f>
        <v>434.52173913043481</v>
      </c>
      <c r="FF16" s="18">
        <f>'Total Weekday Boardings'!FF16/'Service Days per Month'!FF$4</f>
        <v>443.85714285714283</v>
      </c>
      <c r="FG16" s="18">
        <f>'Total Weekday Boardings'!FG16/'Service Days per Month'!FG$4</f>
        <v>424.23809523809524</v>
      </c>
      <c r="FH16" s="19">
        <f>'Total Weekday Boardings'!FH16/'Service Days per Month'!FH$4</f>
        <v>343.77272727272725</v>
      </c>
      <c r="FI16" s="17">
        <v>337.65</v>
      </c>
      <c r="FJ16" s="18">
        <v>369.82608695652175</v>
      </c>
      <c r="FK16" s="18">
        <v>404.95238095238096</v>
      </c>
      <c r="FL16" s="18">
        <v>410.8095238095238</v>
      </c>
      <c r="FM16" s="18">
        <v>389.90476190476193</v>
      </c>
      <c r="FN16" s="18">
        <v>376.95238095238096</v>
      </c>
      <c r="FO16" s="18">
        <v>432.14285714285717</v>
      </c>
      <c r="FP16" s="18">
        <v>431.5</v>
      </c>
      <c r="FQ16" s="18">
        <v>472.82608695652175</v>
      </c>
      <c r="FR16" s="18">
        <f>'Total Weekday Boardings'!FR16/20</f>
        <v>489.6</v>
      </c>
      <c r="FS16" s="18">
        <f>'Total Weekday Boardings'!FS16/22</f>
        <v>484.22727272727275</v>
      </c>
      <c r="FT16" s="21">
        <f>'Total Weekday Boardings'!FT16/23</f>
        <v>452.60869565217394</v>
      </c>
      <c r="FU16" s="17">
        <f>'Total Weekday Boardings'!FU16/21</f>
        <v>440.95238095238096</v>
      </c>
      <c r="FV16" s="18">
        <f>'Total Weekday Boardings'!FV16/23</f>
        <v>462.13043478260869</v>
      </c>
      <c r="FW16" s="18">
        <f>'Total Weekday Boardings'!FW16/21</f>
        <v>430.76190476190476</v>
      </c>
      <c r="FX16" s="18">
        <f>'Total Weekday Boardings'!FX16/22</f>
        <v>474.63636363636363</v>
      </c>
      <c r="FY16" s="18">
        <f>'Total Weekday Boardings'!FY16/22</f>
        <v>450.90909090909093</v>
      </c>
      <c r="FZ16" s="18">
        <f>'Total Weekday Boardings'!FZ16/21</f>
        <v>443</v>
      </c>
      <c r="GA16" s="18">
        <f>'Total Weekday Boardings'!GA16/23</f>
        <v>464.86956521739131</v>
      </c>
      <c r="GB16" s="18">
        <f>'Total Weekday Boardings'!GB16/21</f>
        <v>508.47619047619048</v>
      </c>
      <c r="GC16" s="18">
        <f>'Total Weekday Boardings'!GC16/21</f>
        <v>489.42857142857144</v>
      </c>
      <c r="GD16" s="18">
        <f>'Total Weekday Boardings'!GD16/22</f>
        <v>477.54545454545456</v>
      </c>
      <c r="GE16" s="13">
        <f>'Total Weekday Boardings'!GE16/23</f>
        <v>453.52173913043481</v>
      </c>
      <c r="GF16" s="13">
        <f>'Total Weekday Boardings'!GF16/20</f>
        <v>461.25</v>
      </c>
      <c r="GG16" s="21">
        <f>'Total Weekday Boardings'!GG16/22</f>
        <v>444.45454545454544</v>
      </c>
      <c r="GH16" s="13">
        <f>'Total Weekday Boardings'!GH16/23</f>
        <v>469.21739130434781</v>
      </c>
      <c r="GI16" s="13">
        <f>'Total Weekday Boardings'!GI16/21</f>
        <v>478.23809523809524</v>
      </c>
      <c r="GJ16" s="13">
        <f>'Total Weekday Boardings'!GJ16/23</f>
        <v>489.56521739130437</v>
      </c>
      <c r="GK16" s="13">
        <f>'Total Weekday Boardings'!GK16/21</f>
        <v>458.85714285714283</v>
      </c>
      <c r="GL16" s="13">
        <f>'Total Weekday Boardings'!GL16/22</f>
        <v>428.31818181818181</v>
      </c>
    </row>
    <row r="17" spans="1:194" ht="15" thickBot="1" x14ac:dyDescent="0.35">
      <c r="A17" s="3" t="s">
        <v>10</v>
      </c>
      <c r="B17" s="17"/>
      <c r="C17" s="18">
        <f>'Total Weekday Boardings'!C17/'Service Days per Month'!C$4</f>
        <v>1148.8095238095239</v>
      </c>
      <c r="D17" s="18">
        <f>'Total Weekday Boardings'!D17/'Service Days per Month'!D$4</f>
        <v>1433.95</v>
      </c>
      <c r="E17" s="18">
        <f>'Total Weekday Boardings'!E17/'Service Days per Month'!E$4</f>
        <v>1306.0454545454545</v>
      </c>
      <c r="F17" s="18">
        <f>'Total Weekday Boardings'!F17/'Service Days per Month'!F$4</f>
        <v>1432.5</v>
      </c>
      <c r="G17" s="18">
        <f>'Total Weekday Boardings'!G17/'Service Days per Month'!G$4</f>
        <v>1445.25</v>
      </c>
      <c r="H17" s="19">
        <f>'Total Weekday Boardings'!H17/'Service Days per Month'!H$4</f>
        <v>1300.2727272727273</v>
      </c>
      <c r="I17" s="17">
        <f>'Total Weekday Boardings'!I17/'Service Days per Month'!I$4</f>
        <v>1172.9130434782608</v>
      </c>
      <c r="J17" s="18">
        <f>'Total Weekday Boardings'!J17/'Service Days per Month'!J$4</f>
        <v>1433.7619047619048</v>
      </c>
      <c r="K17" s="18">
        <f>'Total Weekday Boardings'!K17/'Service Days per Month'!K$4</f>
        <v>1477.1904761904761</v>
      </c>
      <c r="L17" s="18">
        <f>'Total Weekday Boardings'!L17/'Service Days per Month'!L$4</f>
        <v>1570.3181818181818</v>
      </c>
      <c r="M17" s="18">
        <f>'Total Weekday Boardings'!M17/'Service Days per Month'!M$4</f>
        <v>1510.3</v>
      </c>
      <c r="N17" s="18">
        <f>'Total Weekday Boardings'!N17/'Service Days per Month'!N$4</f>
        <v>1433.5454545454545</v>
      </c>
      <c r="O17" s="18">
        <f>'Total Weekday Boardings'!O17/'Service Days per Month'!O$4</f>
        <v>1507.35</v>
      </c>
      <c r="P17" s="18">
        <f>'Total Weekday Boardings'!P17/'Service Days per Month'!P$4</f>
        <v>1612.55</v>
      </c>
      <c r="Q17" s="18">
        <f>'Total Weekday Boardings'!Q17/'Service Days per Month'!Q$4</f>
        <v>1615.6521739130435</v>
      </c>
      <c r="R17" s="18">
        <f>'Total Weekday Boardings'!R17/'Service Days per Month'!R$4</f>
        <v>1803.3636363636363</v>
      </c>
      <c r="S17" s="18">
        <f>'Total Weekday Boardings'!S17/'Service Days per Month'!S$4</f>
        <v>1506.9</v>
      </c>
      <c r="T17" s="19">
        <f>'Total Weekday Boardings'!T17/'Service Days per Month'!T$4</f>
        <v>1583.2272727272727</v>
      </c>
      <c r="U17" s="17">
        <f>'Total Weekday Boardings'!U17/'Service Days per Month'!U$4</f>
        <v>1267.8571428571429</v>
      </c>
      <c r="V17" s="18">
        <f>'Total Weekday Boardings'!V17/'Service Days per Month'!V$4</f>
        <v>1604.5</v>
      </c>
      <c r="W17" s="18">
        <f>'Total Weekday Boardings'!W17/'Service Days per Month'!W$4</f>
        <v>1676.7142857142858</v>
      </c>
      <c r="X17" s="18">
        <f>'Total Weekday Boardings'!X17/'Service Days per Month'!X$4</f>
        <v>1636.7142857142858</v>
      </c>
      <c r="Y17" s="18">
        <f>'Total Weekday Boardings'!Y17/'Service Days per Month'!Y$4</f>
        <v>1713.2631578947369</v>
      </c>
      <c r="Z17" s="18">
        <f>'Total Weekday Boardings'!Z17/'Service Days per Month'!Z$4</f>
        <v>1523.2857142857142</v>
      </c>
      <c r="AA17" s="18">
        <f>'Total Weekday Boardings'!AA17/'Service Days per Month'!AA$4</f>
        <v>1742.3</v>
      </c>
      <c r="AB17" s="18">
        <f>'Total Weekday Boardings'!AB17/'Service Days per Month'!AB$4</f>
        <v>1807.7368421052631</v>
      </c>
      <c r="AC17" s="18">
        <f>'Total Weekday Boardings'!AC17/'Service Days per Month'!AC$4</f>
        <v>1622.304347826087</v>
      </c>
      <c r="AD17" s="18">
        <f>'Total Weekday Boardings'!AD17/'Service Days per Month'!AD$4</f>
        <v>1824.4761904761904</v>
      </c>
      <c r="AE17" s="18">
        <f>'Total Weekday Boardings'!AE17/'Service Days per Month'!AE$4</f>
        <v>1564.4761904761904</v>
      </c>
      <c r="AF17" s="19">
        <f>'Total Weekday Boardings'!AF17/'Service Days per Month'!AF$4</f>
        <v>1494.0454545454545</v>
      </c>
      <c r="AG17" s="17">
        <f>'Total Weekday Boardings'!AG17/'Service Days per Month'!AG$4</f>
        <v>1395.9</v>
      </c>
      <c r="AH17" s="18">
        <f>'Total Weekday Boardings'!AH17/'Service Days per Month'!AH$4</f>
        <v>1659.9565217391305</v>
      </c>
      <c r="AI17" s="18">
        <f>'Total Weekday Boardings'!AI17/'Service Days per Month'!AI$4</f>
        <v>1769.2380952380952</v>
      </c>
      <c r="AJ17" s="18">
        <f>'Total Weekday Boardings'!AJ17/'Service Days per Month'!AJ$4</f>
        <v>1742.5714285714287</v>
      </c>
      <c r="AK17" s="18">
        <f>'Total Weekday Boardings'!AK17/'Service Days per Month'!AK$4</f>
        <v>1644.421052631579</v>
      </c>
      <c r="AL17" s="18">
        <f>'Total Weekday Boardings'!AL17/'Service Days per Month'!AL$4</f>
        <v>1468.6666666666667</v>
      </c>
      <c r="AM17" s="18">
        <f>'Total Weekday Boardings'!AM17/'Service Days per Month'!AM$4</f>
        <v>1657.9</v>
      </c>
      <c r="AN17" s="18">
        <f>'Total Weekday Boardings'!AN17/'Service Days per Month'!AN$4</f>
        <v>1674.4</v>
      </c>
      <c r="AO17" s="18">
        <f>'Total Weekday Boardings'!AO17/'Service Days per Month'!AO$4</f>
        <v>1681.7727272727273</v>
      </c>
      <c r="AP17" s="18">
        <f>'Total Weekday Boardings'!AP17/'Service Days per Month'!AP$4</f>
        <v>1831.6190476190477</v>
      </c>
      <c r="AQ17" s="18">
        <f>'Total Weekday Boardings'!AQ17/'Service Days per Month'!AQ$4</f>
        <v>1700.9545454545455</v>
      </c>
      <c r="AR17" s="19">
        <f>'Total Weekday Boardings'!AR17/'Service Days per Month'!AR$4</f>
        <v>1519.6190476190477</v>
      </c>
      <c r="AS17" s="17">
        <f>'Total Weekday Boardings'!AS17/'Service Days per Month'!AS$4</f>
        <v>1408.4285714285713</v>
      </c>
      <c r="AT17" s="18">
        <f>'Total Weekday Boardings'!AT17/'Service Days per Month'!AT$4</f>
        <v>1708.5652173913043</v>
      </c>
      <c r="AU17" s="18">
        <f>'Total Weekday Boardings'!AU17/'Service Days per Month'!AU$4</f>
        <v>1923.5263157894738</v>
      </c>
      <c r="AV17" s="18">
        <f>'Total Weekday Boardings'!AV17/'Service Days per Month'!AV$4</f>
        <v>1875.8260869565217</v>
      </c>
      <c r="AW17" s="18">
        <f>'Total Weekday Boardings'!AW17/'Service Days per Month'!AW$4</f>
        <v>1936.7894736842106</v>
      </c>
      <c r="AX17" s="18">
        <f>'Total Weekday Boardings'!AX17/'Service Days per Month'!AX$4</f>
        <v>1704.6842105263158</v>
      </c>
      <c r="AY17" s="18">
        <f>'Total Weekday Boardings'!AY17/'Service Days per Month'!AY$4</f>
        <v>1710.1428571428571</v>
      </c>
      <c r="AZ17" s="18">
        <f>'Total Weekday Boardings'!AZ17/'Service Days per Month'!AZ$4</f>
        <v>1833.3684210526317</v>
      </c>
      <c r="BA17" s="18">
        <f>'Total Weekday Boardings'!BA17/'Service Days per Month'!BA$4</f>
        <v>1699.5238095238096</v>
      </c>
      <c r="BB17" s="18">
        <f>'Total Weekday Boardings'!BB17/'Service Days per Month'!BB$4</f>
        <v>1786.6363636363637</v>
      </c>
      <c r="BC17" s="18">
        <f>'Total Weekday Boardings'!BC17/'Service Days per Month'!BC$4</f>
        <v>1682</v>
      </c>
      <c r="BD17" s="19">
        <f>'Total Weekday Boardings'!BD17/'Service Days per Month'!BD$4</f>
        <v>1518.25</v>
      </c>
      <c r="BE17" s="17">
        <f>'Total Weekday Boardings'!BE17/'Service Days per Month'!BE$4</f>
        <v>1353.1363636363637</v>
      </c>
      <c r="BF17" s="18">
        <f>'Total Weekday Boardings'!BF17/'Service Days per Month'!BF$4</f>
        <v>1664.090909090909</v>
      </c>
      <c r="BG17" s="18">
        <f>'Total Weekday Boardings'!BG17/'Service Days per Month'!BG$4</f>
        <v>1777.8</v>
      </c>
      <c r="BH17" s="18">
        <f>'Total Weekday Boardings'!BH17/'Service Days per Month'!BH$4</f>
        <v>1748.2173913043478</v>
      </c>
      <c r="BI17" s="18">
        <f>'Total Weekday Boardings'!BI17/'Service Days per Month'!BI$4</f>
        <v>1851.4993926703537</v>
      </c>
      <c r="BJ17" s="18">
        <f>'Total Weekday Boardings'!BJ17/'Service Days per Month'!BJ$4</f>
        <v>1532.9</v>
      </c>
      <c r="BK17" s="18">
        <f>'Total Weekday Boardings'!BK17/'Service Days per Month'!BK$4</f>
        <v>1790.4761904761904</v>
      </c>
      <c r="BL17" s="18">
        <f>'Total Weekday Boardings'!BL17/'Service Days per Month'!BL$4</f>
        <v>1858.3684210526317</v>
      </c>
      <c r="BM17" s="18">
        <f>'Total Weekday Boardings'!BM17/'Service Days per Month'!BM$4</f>
        <v>1804.7619047619048</v>
      </c>
      <c r="BN17" s="18">
        <f>'Total Weekday Boardings'!BN17/'Service Days per Month'!BN$4</f>
        <v>1826.8181818181818</v>
      </c>
      <c r="BO17" s="18">
        <f>'Total Weekday Boardings'!BO17/'Service Days per Month'!BO$4</f>
        <v>1700</v>
      </c>
      <c r="BP17" s="19">
        <f>'Total Weekday Boardings'!BP17/'Service Days per Month'!BP$4</f>
        <v>1562.1904761904761</v>
      </c>
      <c r="BQ17" s="17">
        <f>'Total Weekday Boardings'!BQ17/'Service Days per Month'!BQ$4</f>
        <v>1348.909090909091</v>
      </c>
      <c r="BR17" s="18">
        <f>'Total Weekday Boardings'!BR17/'Service Days per Month'!BR$4</f>
        <v>1590.2380952380952</v>
      </c>
      <c r="BS17" s="18">
        <f>'Total Weekday Boardings'!BS17/'Service Days per Month'!BS$4</f>
        <v>1726.6666666666667</v>
      </c>
      <c r="BT17" s="18">
        <f>'Total Weekday Boardings'!BT17/'Service Days per Month'!BT$4</f>
        <v>1727.8695652173913</v>
      </c>
      <c r="BU17" s="18">
        <f>'Total Weekday Boardings'!BU17/'Service Days per Month'!BU$4</f>
        <v>1778.7058823529412</v>
      </c>
      <c r="BV17" s="18">
        <f>'Total Weekday Boardings'!BV17/'Service Days per Month'!BV$4</f>
        <v>1612.6666666666667</v>
      </c>
      <c r="BW17" s="18">
        <f>'Total Weekday Boardings'!BW17/'Service Days per Month'!BW$4</f>
        <v>1846.7</v>
      </c>
      <c r="BX17" s="18">
        <f>'Total Weekday Boardings'!BX17/'Service Days per Month'!BX$4</f>
        <v>1760.8421052631579</v>
      </c>
      <c r="BY17" s="18">
        <f>'Total Weekday Boardings'!BY17/'Service Days per Month'!BY$4</f>
        <v>1669.3181818181818</v>
      </c>
      <c r="BZ17" s="18">
        <f>'Total Weekday Boardings'!BZ17/'Service Days per Month'!BZ$4</f>
        <v>1707.2272727272727</v>
      </c>
      <c r="CA17" s="18">
        <f>'Total Weekday Boardings'!CA17/'Service Days per Month'!CA$4</f>
        <v>1657.85</v>
      </c>
      <c r="CB17" s="19">
        <f>'Total Weekday Boardings'!CB17/'Service Days per Month'!CB$4</f>
        <v>1438.1363636363637</v>
      </c>
      <c r="CC17" s="20">
        <f>'Total Weekday Boardings'!CC17/'Service Days per Month'!CC$4</f>
        <v>1380.8181818181818</v>
      </c>
      <c r="CD17" s="18">
        <f>'Total Weekday Boardings'!CD17/'Service Days per Month'!CD$4</f>
        <v>1678.1904761904761</v>
      </c>
      <c r="CE17" s="18">
        <f>'Total Weekday Boardings'!CE17/'Service Days per Month'!CE$4</f>
        <v>1780.1904761904761</v>
      </c>
      <c r="CF17" s="18">
        <f>'Total Weekday Boardings'!CF17/'Service Days per Month'!CF$4</f>
        <v>1751.090909090909</v>
      </c>
      <c r="CG17" s="18">
        <f>'Total Weekday Boardings'!CG17/'Service Days per Month'!CG$4</f>
        <v>1800</v>
      </c>
      <c r="CH17" s="18">
        <f>'Total Weekday Boardings'!CH17/'Service Days per Month'!CH$4</f>
        <v>1602.047619047619</v>
      </c>
      <c r="CI17" s="18">
        <f>'Total Weekday Boardings'!CI17/'Service Days per Month'!CI$4</f>
        <v>1858.6315789473683</v>
      </c>
      <c r="CJ17" s="18">
        <f>'Total Weekday Boardings'!CJ17/'Service Days per Month'!CJ$4</f>
        <v>1821.35</v>
      </c>
      <c r="CK17" s="18">
        <f>'Total Weekday Boardings'!CK17/'Service Days per Month'!CK$4</f>
        <v>1769.2173913043478</v>
      </c>
      <c r="CL17" s="18">
        <f>'Total Weekday Boardings'!CL17/'Service Days per Month'!CL$4</f>
        <v>1897.1904761904761</v>
      </c>
      <c r="CM17" s="18">
        <f>'Total Weekday Boardings'!CM17/'Service Days per Month'!CM$4</f>
        <v>1731.3333333333333</v>
      </c>
      <c r="CN17" s="21">
        <f>'Total Weekday Boardings'!CN17/'Service Days per Month'!CN$4</f>
        <v>1575.7272727272727</v>
      </c>
      <c r="CO17" s="17">
        <f>'Total Weekday Boardings'!CO17/'Service Days per Month'!CO$4</f>
        <v>1446.8</v>
      </c>
      <c r="CP17" s="18">
        <f>'Total Weekday Boardings'!CP17/'Service Days per Month'!CP$4</f>
        <v>1662.5217391304348</v>
      </c>
      <c r="CQ17" s="18">
        <f>'Total Weekday Boardings'!CQ17/'Service Days per Month'!CQ$4</f>
        <v>1801</v>
      </c>
      <c r="CR17" s="18">
        <f>'Total Weekday Boardings'!CR17/'Service Days per Month'!CR$4</f>
        <v>1786.7619047619048</v>
      </c>
      <c r="CS17" s="18">
        <f>'Total Weekday Boardings'!CS17/'Service Days per Month'!CS$4</f>
        <v>1770</v>
      </c>
      <c r="CT17" s="18">
        <f>'Total Weekday Boardings'!CT17/'Service Days per Month'!CT$4</f>
        <v>1618.7619047619048</v>
      </c>
      <c r="CU17" s="18">
        <f>'Total Weekday Boardings'!CU17/'Service Days per Month'!CU$4</f>
        <v>1732.3</v>
      </c>
      <c r="CV17" s="18">
        <f>'Total Weekday Boardings'!CV17/'Service Days per Month'!CV$4</f>
        <v>1852.0526315789473</v>
      </c>
      <c r="CW17" s="18">
        <f>'Total Weekday Boardings'!CW17/'Service Days per Month'!CW$4</f>
        <v>1753.304347826087</v>
      </c>
      <c r="CX17" s="18">
        <f>'Total Weekday Boardings'!CX17/'Service Days per Month'!CX$4</f>
        <v>1814.7</v>
      </c>
      <c r="CY17" s="18">
        <f>'Total Weekday Boardings'!CY17/'Service Days per Month'!CY$4</f>
        <v>1715.4545454545455</v>
      </c>
      <c r="CZ17" s="19">
        <f>'Total Weekday Boardings'!CZ17/'Service Days per Month'!CZ$4</f>
        <v>1495.8636363636363</v>
      </c>
      <c r="DA17" s="17">
        <f>'Total Weekday Boardings'!DA17/'Service Days per Month'!DA$4</f>
        <v>1385.95</v>
      </c>
      <c r="DB17" s="18">
        <f>'Total Weekday Boardings'!DB17/'Service Days per Month'!DB$4</f>
        <v>1633.1304347826087</v>
      </c>
      <c r="DC17" s="18">
        <f>'Total Weekday Boardings'!DC17/'Service Days per Month'!DC$4</f>
        <v>1688.4</v>
      </c>
      <c r="DD17" s="18">
        <f>'Total Weekday Boardings'!DD17/'Service Days per Month'!DD$4</f>
        <v>1693.1818181818182</v>
      </c>
      <c r="DE17" s="18">
        <f>'Total Weekday Boardings'!DE17/'Service Days per Month'!DE$4</f>
        <v>1750.1578947368421</v>
      </c>
      <c r="DF17" s="18">
        <f>'Total Weekday Boardings'!DF17/'Service Days per Month'!DF$4</f>
        <v>1583.8</v>
      </c>
      <c r="DG17" s="18">
        <f>'Total Weekday Boardings'!DG17/'Service Days per Month'!DG$4</f>
        <v>1699.7142857142858</v>
      </c>
      <c r="DH17" s="18">
        <f>'Total Weekday Boardings'!DH17/'Service Days per Month'!DH$4</f>
        <v>1829.2631578947369</v>
      </c>
      <c r="DI17" s="18">
        <f>'Total Weekday Boardings'!DI17/'Service Days per Month'!DI$4</f>
        <v>1722.1363636363637</v>
      </c>
      <c r="DJ17" s="18">
        <f>'Total Weekday Boardings'!DJ17/'Service Days per Month'!DJ$4</f>
        <v>1762.1428571428571</v>
      </c>
      <c r="DK17" s="18">
        <f>'Total Weekday Boardings'!DK17/'Service Days per Month'!DK$4</f>
        <v>1661.7272727272727</v>
      </c>
      <c r="DL17" s="19">
        <f>'Total Weekday Boardings'!DL17/'Service Days per Month'!DL$4</f>
        <v>1430.2380952380952</v>
      </c>
      <c r="DM17" s="17">
        <f>'Total Weekday Boardings'!DM17/'Service Days per Month'!DM$4</f>
        <v>1358.6190476190477</v>
      </c>
      <c r="DN17" s="18">
        <f>'Total Weekday Boardings'!DN17/'Service Days per Month'!DN$4</f>
        <v>1552.4347826086957</v>
      </c>
      <c r="DO17" s="18">
        <f>'Total Weekday Boardings'!DO17/'Service Days per Month'!DO$4</f>
        <v>1678.4736842105262</v>
      </c>
      <c r="DP17" s="18">
        <f>'Total Weekday Boardings'!DP17/'Service Days per Month'!DP$4</f>
        <v>1631.5652173913043</v>
      </c>
      <c r="DQ17" s="18">
        <f>'Total Weekday Boardings'!DQ17/'Service Days per Month'!DQ$4</f>
        <v>1653.6666666666667</v>
      </c>
      <c r="DR17" s="18">
        <f>'Total Weekday Boardings'!DR17/'Service Days per Month'!DR$4</f>
        <v>1535.05</v>
      </c>
      <c r="DS17" s="18">
        <f>'Total Weekday Boardings'!DS17/'Service Days per Month'!DS$4</f>
        <v>1637.4545454545455</v>
      </c>
      <c r="DT17" s="18">
        <f>'Total Weekday Boardings'!DT17/'Service Days per Month'!DT$4</f>
        <v>1634.8</v>
      </c>
      <c r="DU17" s="18">
        <f>'Total Weekday Boardings'!DU17/'Service Days per Month'!DU$4</f>
        <v>1645.7142857142858</v>
      </c>
      <c r="DV17" s="18">
        <f>'Total Weekday Boardings'!DV17/'Service Days per Month'!DV$4</f>
        <v>1581.9545454545455</v>
      </c>
      <c r="DW17" s="18">
        <f>'Total Weekday Boardings'!DW17/'Service Days per Month'!DW$4</f>
        <v>1454.3181818181818</v>
      </c>
      <c r="DX17" s="19">
        <f>'Total Weekday Boardings'!DX17/'Service Days per Month'!DX$4</f>
        <v>1506</v>
      </c>
      <c r="DY17" s="17">
        <f>'Total Weekday Boardings'!DY17/'Service Days per Month'!DY$4</f>
        <v>1355.090909090909</v>
      </c>
      <c r="DZ17" s="18">
        <f>'Total Weekday Boardings'!DZ17/'Service Days per Month'!DZ$4</f>
        <v>1576.6363636363637</v>
      </c>
      <c r="EA17" s="18">
        <f>'Total Weekday Boardings'!EA17/'Service Days per Month'!EA$4</f>
        <v>1666.25</v>
      </c>
      <c r="EB17" s="18">
        <f>'Total Weekday Boardings'!EB17/'Service Days per Month'!EB$4</f>
        <v>1630.695652173913</v>
      </c>
      <c r="EC17" s="18">
        <f>'Total Weekday Boardings'!EC17/'Service Days per Month'!EC$4</f>
        <v>1627.35</v>
      </c>
      <c r="ED17" s="18">
        <f>'Total Weekday Boardings'!ED17/'Service Days per Month'!ED$4</f>
        <v>1419.6190476190477</v>
      </c>
      <c r="EE17" s="18">
        <f>'Total Weekday Boardings'!EE17/'Service Days per Month'!EE$4</f>
        <v>1416.3478260869565</v>
      </c>
      <c r="EF17" s="18">
        <f>'Total Weekday Boardings'!EF17/'Service Days per Month'!EF$4</f>
        <v>1601.5</v>
      </c>
      <c r="EG17" s="18">
        <f>'Total Weekday Boardings'!EG17/'Service Days per Month'!EG$4</f>
        <v>1096.9545454545455</v>
      </c>
      <c r="EH17" s="18">
        <f>'Total Weekday Boardings'!EH17/'Service Days per Month'!EH$4</f>
        <v>610</v>
      </c>
      <c r="EI17" s="18">
        <f>'Total Weekday Boardings'!EI17/'Service Days per Month'!EI$4</f>
        <v>608.15</v>
      </c>
      <c r="EJ17" s="19">
        <f>'Total Weekday Boardings'!EJ17/'Service Days per Month'!EJ$4</f>
        <v>611.5</v>
      </c>
      <c r="EK17" s="17">
        <f>'Total Weekday Boardings'!EK17/'Service Days per Month'!EK$4</f>
        <v>542.59090909090912</v>
      </c>
      <c r="EL17" s="18">
        <f>'Total Weekday Boardings'!EL17/'Service Days per Month'!EL$4</f>
        <v>560.33333333333337</v>
      </c>
      <c r="EM17" s="18">
        <f>'Total Weekday Boardings'!EM17/'Service Days per Month'!EM$4</f>
        <v>578.42857142857144</v>
      </c>
      <c r="EN17" s="18">
        <f>'Total Weekday Boardings'!EN17/'Service Days per Month'!EN$4</f>
        <v>598.40909090909088</v>
      </c>
      <c r="EO17" s="18">
        <f>'Total Weekday Boardings'!EO17/'Service Days per Month'!EO$4</f>
        <v>677.55</v>
      </c>
      <c r="EP17" s="18">
        <f>'Total Weekday Boardings'!EP17/'Service Days per Month'!EP$4</f>
        <v>438.40909090909093</v>
      </c>
      <c r="EQ17" s="18">
        <f>'Total Weekday Boardings'!EQ17/'Service Days per Month'!EQ$4</f>
        <v>226.57142857142858</v>
      </c>
      <c r="ER17" s="18">
        <f>'Total Weekday Boardings'!ER17/'Service Days per Month'!ER$4</f>
        <v>505.95</v>
      </c>
      <c r="ES17" s="18">
        <f>'Total Weekday Boardings'!ES17/'Service Days per Month'!ES$4</f>
        <v>537.56521739130437</v>
      </c>
      <c r="ET17" s="18">
        <f>'Total Weekday Boardings'!ET17/'Service Days per Month'!ET$4</f>
        <v>633.86363636363637</v>
      </c>
      <c r="EU17" s="18">
        <f>'Total Weekday Boardings'!EU17/'Service Days per Month'!EU$4</f>
        <v>614.70000000000005</v>
      </c>
      <c r="EV17" s="19">
        <f>'Total Weekday Boardings'!EV17/'Service Days per Month'!EV$4</f>
        <v>632.68181818181813</v>
      </c>
      <c r="EW17" s="17">
        <f>'Total Weekday Boardings'!EW17/'Service Days per Month'!EW$4</f>
        <v>625.76190476190482</v>
      </c>
      <c r="EX17" s="18">
        <f>'Total Weekday Boardings'!EX17/'Service Days per Month'!EX$4</f>
        <v>697.13636363636363</v>
      </c>
      <c r="EY17" s="18">
        <f>'Total Weekday Boardings'!EY17/'Service Days per Month'!EY$4</f>
        <v>750.71428571428567</v>
      </c>
      <c r="EZ17" s="18">
        <f>'Total Weekday Boardings'!EZ17/'Service Days per Month'!EZ$4</f>
        <v>756.33333333333337</v>
      </c>
      <c r="FA17" s="18">
        <f>'Total Weekday Boardings'!FA17/'Service Days per Month'!FA$4</f>
        <v>796.85714285714289</v>
      </c>
      <c r="FB17" s="18">
        <f>'Total Weekday Boardings'!FB17/'Service Days per Month'!FB$4</f>
        <v>710.36363636363637</v>
      </c>
      <c r="FC17" s="18">
        <f>'Total Weekday Boardings'!FC17/'Service Days per Month'!FC$4</f>
        <v>675.04761904761904</v>
      </c>
      <c r="FD17" s="18">
        <f>'Total Weekday Boardings'!FD17/'Service Days per Month'!FD$4</f>
        <v>862.55</v>
      </c>
      <c r="FE17" s="18">
        <f>'Total Weekday Boardings'!FE17/'Service Days per Month'!FE$4</f>
        <v>924.47826086956525</v>
      </c>
      <c r="FF17" s="18">
        <f>'Total Weekday Boardings'!FF17/'Service Days per Month'!FF$4</f>
        <v>931.28571428571433</v>
      </c>
      <c r="FG17" s="18">
        <f>'Total Weekday Boardings'!FG17/'Service Days per Month'!FG$4</f>
        <v>815.42857142857144</v>
      </c>
      <c r="FH17" s="19">
        <f>'Total Weekday Boardings'!FH17/'Service Days per Month'!FH$4</f>
        <v>635.68181818181813</v>
      </c>
      <c r="FI17" s="17">
        <v>676.45</v>
      </c>
      <c r="FJ17" s="18">
        <v>763.91304347826087</v>
      </c>
      <c r="FK17" s="18">
        <v>852.38095238095241</v>
      </c>
      <c r="FL17" s="18">
        <v>857</v>
      </c>
      <c r="FM17" s="18">
        <v>807.80952380952385</v>
      </c>
      <c r="FN17" s="18">
        <v>766.90476190476193</v>
      </c>
      <c r="FO17" s="18">
        <v>864.76190476190482</v>
      </c>
      <c r="FP17" s="18">
        <v>865.55</v>
      </c>
      <c r="FQ17" s="18">
        <v>945.78260869565213</v>
      </c>
      <c r="FR17" s="18">
        <f>'Total Weekday Boardings'!FR17/20</f>
        <v>993.75</v>
      </c>
      <c r="FS17" s="18">
        <f>'Total Weekday Boardings'!FS17/22</f>
        <v>984.59090909090912</v>
      </c>
      <c r="FT17" s="21">
        <f>'Total Weekday Boardings'!FT17/23</f>
        <v>843.73913043478262</v>
      </c>
      <c r="FU17" s="17">
        <f>'Total Weekday Boardings'!FU17/21</f>
        <v>763.19047619047615</v>
      </c>
      <c r="FV17" s="18">
        <f>'Total Weekday Boardings'!FV17/23</f>
        <v>822.695652173913</v>
      </c>
      <c r="FW17" s="18">
        <f>'Total Weekday Boardings'!FW17/21</f>
        <v>864.47619047619048</v>
      </c>
      <c r="FX17" s="18">
        <f>'Total Weekday Boardings'!FX17/22</f>
        <v>977.09090909090912</v>
      </c>
      <c r="FY17" s="18">
        <f>'Total Weekday Boardings'!FY17/22</f>
        <v>902.13636363636363</v>
      </c>
      <c r="FZ17" s="18">
        <f>'Total Weekday Boardings'!FZ17/21</f>
        <v>841.85714285714289</v>
      </c>
      <c r="GA17" s="18">
        <f>'Total Weekday Boardings'!GA17/23</f>
        <v>880.39130434782612</v>
      </c>
      <c r="GB17" s="18">
        <f>'Total Weekday Boardings'!GB17/21</f>
        <v>1034.9047619047619</v>
      </c>
      <c r="GC17" s="18">
        <f>'Total Weekday Boardings'!GC17/21</f>
        <v>1006.952380952381</v>
      </c>
      <c r="GD17" s="18">
        <f>'Total Weekday Boardings'!GD17/22</f>
        <v>979.90909090909088</v>
      </c>
      <c r="GE17" s="13">
        <f>'Total Weekday Boardings'!GE17/23</f>
        <v>941.95652173913038</v>
      </c>
      <c r="GF17" s="13">
        <f>'Total Weekday Boardings'!GF17/20</f>
        <v>921</v>
      </c>
      <c r="GG17" s="21">
        <f>'Total Weekday Boardings'!GG17/22</f>
        <v>867.86363636363637</v>
      </c>
      <c r="GH17" s="13">
        <f>'Total Weekday Boardings'!GH17/23</f>
        <v>928.82608695652175</v>
      </c>
      <c r="GI17" s="13">
        <f>'Total Weekday Boardings'!GI17/21</f>
        <v>985.14285714285711</v>
      </c>
      <c r="GJ17" s="13">
        <f>'Total Weekday Boardings'!GJ17/23</f>
        <v>993.17391304347825</v>
      </c>
      <c r="GK17" s="13">
        <f>'Total Weekday Boardings'!GK17/21</f>
        <v>902.14285714285711</v>
      </c>
      <c r="GL17" s="13">
        <f>'Total Weekday Boardings'!GL17/22</f>
        <v>796</v>
      </c>
    </row>
    <row r="18" spans="1:194" ht="15" thickBot="1" x14ac:dyDescent="0.35">
      <c r="A18" s="3" t="s">
        <v>11</v>
      </c>
      <c r="B18" s="17"/>
      <c r="C18" s="18">
        <f>'Total Weekday Boardings'!C18/'Service Days per Month'!C$4</f>
        <v>430.47619047619048</v>
      </c>
      <c r="D18" s="18">
        <f>'Total Weekday Boardings'!D18/'Service Days per Month'!D$4</f>
        <v>517.79999999999995</v>
      </c>
      <c r="E18" s="18">
        <f>'Total Weekday Boardings'!E18/'Service Days per Month'!E$4</f>
        <v>525.86363636363637</v>
      </c>
      <c r="F18" s="18">
        <f>'Total Weekday Boardings'!F18/'Service Days per Month'!F$4</f>
        <v>554.09090909090912</v>
      </c>
      <c r="G18" s="18">
        <f>'Total Weekday Boardings'!G18/'Service Days per Month'!G$4</f>
        <v>499.4</v>
      </c>
      <c r="H18" s="19">
        <f>'Total Weekday Boardings'!H18/'Service Days per Month'!H$4</f>
        <v>437.31818181818181</v>
      </c>
      <c r="I18" s="17">
        <f>'Total Weekday Boardings'!I18/'Service Days per Month'!I$4</f>
        <v>374.21739130434781</v>
      </c>
      <c r="J18" s="18">
        <f>'Total Weekday Boardings'!J18/'Service Days per Month'!J$4</f>
        <v>487.8095238095238</v>
      </c>
      <c r="K18" s="18">
        <f>'Total Weekday Boardings'!K18/'Service Days per Month'!K$4</f>
        <v>486.8095238095238</v>
      </c>
      <c r="L18" s="18">
        <f>'Total Weekday Boardings'!L18/'Service Days per Month'!L$4</f>
        <v>477.90909090909093</v>
      </c>
      <c r="M18" s="18">
        <f>'Total Weekday Boardings'!M18/'Service Days per Month'!M$4</f>
        <v>491.3</v>
      </c>
      <c r="N18" s="18">
        <f>'Total Weekday Boardings'!N18/'Service Days per Month'!N$4</f>
        <v>458.40909090909093</v>
      </c>
      <c r="O18" s="18">
        <f>'Total Weekday Boardings'!O18/'Service Days per Month'!O$4</f>
        <v>458.75</v>
      </c>
      <c r="P18" s="18">
        <f>'Total Weekday Boardings'!P18/'Service Days per Month'!P$4</f>
        <v>515.65</v>
      </c>
      <c r="Q18" s="18">
        <f>'Total Weekday Boardings'!Q18/'Service Days per Month'!Q$4</f>
        <v>516.6521739130435</v>
      </c>
      <c r="R18" s="18">
        <f>'Total Weekday Boardings'!R18/'Service Days per Month'!R$4</f>
        <v>548.86363636363637</v>
      </c>
      <c r="S18" s="18">
        <f>'Total Weekday Boardings'!S18/'Service Days per Month'!S$4</f>
        <v>444.05</v>
      </c>
      <c r="T18" s="19">
        <f>'Total Weekday Boardings'!T18/'Service Days per Month'!T$4</f>
        <v>516.90909090909088</v>
      </c>
      <c r="U18" s="17">
        <f>'Total Weekday Boardings'!U18/'Service Days per Month'!U$4</f>
        <v>417.76190476190476</v>
      </c>
      <c r="V18" s="18">
        <f>'Total Weekday Boardings'!V18/'Service Days per Month'!V$4</f>
        <v>455.22727272727275</v>
      </c>
      <c r="W18" s="18">
        <f>'Total Weekday Boardings'!W18/'Service Days per Month'!W$4</f>
        <v>496.8095238095238</v>
      </c>
      <c r="X18" s="18">
        <f>'Total Weekday Boardings'!X18/'Service Days per Month'!X$4</f>
        <v>545.66666666666663</v>
      </c>
      <c r="Y18" s="18">
        <f>'Total Weekday Boardings'!Y18/'Service Days per Month'!Y$4</f>
        <v>499.5263157894737</v>
      </c>
      <c r="Z18" s="18">
        <f>'Total Weekday Boardings'!Z18/'Service Days per Month'!Z$4</f>
        <v>467.1904761904762</v>
      </c>
      <c r="AA18" s="18">
        <f>'Total Weekday Boardings'!AA18/'Service Days per Month'!AA$4</f>
        <v>517.79999999999995</v>
      </c>
      <c r="AB18" s="18">
        <f>'Total Weekday Boardings'!AB18/'Service Days per Month'!AB$4</f>
        <v>562.21052631578948</v>
      </c>
      <c r="AC18" s="18">
        <f>'Total Weekday Boardings'!AC18/'Service Days per Month'!AC$4</f>
        <v>559.3478260869565</v>
      </c>
      <c r="AD18" s="18">
        <f>'Total Weekday Boardings'!AD18/'Service Days per Month'!AD$4</f>
        <v>553.85714285714289</v>
      </c>
      <c r="AE18" s="18">
        <f>'Total Weekday Boardings'!AE18/'Service Days per Month'!AE$4</f>
        <v>504.38095238095241</v>
      </c>
      <c r="AF18" s="19">
        <f>'Total Weekday Boardings'!AF18/'Service Days per Month'!AF$4</f>
        <v>442.22727272727275</v>
      </c>
      <c r="AG18" s="17">
        <f>'Total Weekday Boardings'!AG18/'Service Days per Month'!AG$4</f>
        <v>445.65</v>
      </c>
      <c r="AH18" s="18">
        <f>'Total Weekday Boardings'!AH18/'Service Days per Month'!AH$4</f>
        <v>477.73913043478262</v>
      </c>
      <c r="AI18" s="18">
        <f>'Total Weekday Boardings'!AI18/'Service Days per Month'!AI$4</f>
        <v>527.52380952380952</v>
      </c>
      <c r="AJ18" s="18">
        <f>'Total Weekday Boardings'!AJ18/'Service Days per Month'!AJ$4</f>
        <v>537.38095238095241</v>
      </c>
      <c r="AK18" s="18">
        <f>'Total Weekday Boardings'!AK18/'Service Days per Month'!AK$4</f>
        <v>486.57894736842104</v>
      </c>
      <c r="AL18" s="18">
        <f>'Total Weekday Boardings'!AL18/'Service Days per Month'!AL$4</f>
        <v>464.52380952380952</v>
      </c>
      <c r="AM18" s="18">
        <f>'Total Weekday Boardings'!AM18/'Service Days per Month'!AM$4</f>
        <v>521.20000000000005</v>
      </c>
      <c r="AN18" s="18">
        <f>'Total Weekday Boardings'!AN18/'Service Days per Month'!AN$4</f>
        <v>565.04999999999995</v>
      </c>
      <c r="AO18" s="18">
        <f>'Total Weekday Boardings'!AO18/'Service Days per Month'!AO$4</f>
        <v>577.86363636363637</v>
      </c>
      <c r="AP18" s="18">
        <f>'Total Weekday Boardings'!AP18/'Service Days per Month'!AP$4</f>
        <v>619.09523809523807</v>
      </c>
      <c r="AQ18" s="18">
        <f>'Total Weekday Boardings'!AQ18/'Service Days per Month'!AQ$4</f>
        <v>571.13636363636363</v>
      </c>
      <c r="AR18" s="19">
        <f>'Total Weekday Boardings'!AR18/'Service Days per Month'!AR$4</f>
        <v>508.33333333333331</v>
      </c>
      <c r="AS18" s="17">
        <f>'Total Weekday Boardings'!AS18/'Service Days per Month'!AS$4</f>
        <v>463.90476190476193</v>
      </c>
      <c r="AT18" s="18">
        <f>'Total Weekday Boardings'!AT18/'Service Days per Month'!AT$4</f>
        <v>512.04347826086962</v>
      </c>
      <c r="AU18" s="18">
        <f>'Total Weekday Boardings'!AU18/'Service Days per Month'!AU$4</f>
        <v>563</v>
      </c>
      <c r="AV18" s="18">
        <f>'Total Weekday Boardings'!AV18/'Service Days per Month'!AV$4</f>
        <v>613.17391304347825</v>
      </c>
      <c r="AW18" s="18">
        <f>'Total Weekday Boardings'!AW18/'Service Days per Month'!AW$4</f>
        <v>620.78947368421052</v>
      </c>
      <c r="AX18" s="18">
        <f>'Total Weekday Boardings'!AX18/'Service Days per Month'!AX$4</f>
        <v>577.73684210526312</v>
      </c>
      <c r="AY18" s="18">
        <f>'Total Weekday Boardings'!AY18/'Service Days per Month'!AY$4</f>
        <v>541.28571428571433</v>
      </c>
      <c r="AZ18" s="18">
        <f>'Total Weekday Boardings'!AZ18/'Service Days per Month'!AZ$4</f>
        <v>630.47368421052636</v>
      </c>
      <c r="BA18" s="18">
        <f>'Total Weekday Boardings'!BA18/'Service Days per Month'!BA$4</f>
        <v>617</v>
      </c>
      <c r="BB18" s="18">
        <f>'Total Weekday Boardings'!BB18/'Service Days per Month'!BB$4</f>
        <v>611.22727272727275</v>
      </c>
      <c r="BC18" s="18">
        <f>'Total Weekday Boardings'!BC18/'Service Days per Month'!BC$4</f>
        <v>604</v>
      </c>
      <c r="BD18" s="19">
        <f>'Total Weekday Boardings'!BD18/'Service Days per Month'!BD$4</f>
        <v>514.20000000000005</v>
      </c>
      <c r="BE18" s="17">
        <f>'Total Weekday Boardings'!BE18/'Service Days per Month'!BE$4</f>
        <v>487.90909090909093</v>
      </c>
      <c r="BF18" s="18">
        <f>'Total Weekday Boardings'!BF18/'Service Days per Month'!BF$4</f>
        <v>503.5</v>
      </c>
      <c r="BG18" s="18">
        <f>'Total Weekday Boardings'!BG18/'Service Days per Month'!BG$4</f>
        <v>550.75</v>
      </c>
      <c r="BH18" s="18">
        <f>'Total Weekday Boardings'!BH18/'Service Days per Month'!BH$4</f>
        <v>555.78260869565213</v>
      </c>
      <c r="BI18" s="18">
        <f>'Total Weekday Boardings'!BI18/'Service Days per Month'!BI$4</f>
        <v>597.84906982335895</v>
      </c>
      <c r="BJ18" s="18">
        <f>'Total Weekday Boardings'!BJ18/'Service Days per Month'!BJ$4</f>
        <v>509.05</v>
      </c>
      <c r="BK18" s="18">
        <f>'Total Weekday Boardings'!BK18/'Service Days per Month'!BK$4</f>
        <v>552.71428571428567</v>
      </c>
      <c r="BL18" s="18">
        <f>'Total Weekday Boardings'!BL18/'Service Days per Month'!BL$4</f>
        <v>614.0526315789474</v>
      </c>
      <c r="BM18" s="18">
        <f>'Total Weekday Boardings'!BM18/'Service Days per Month'!BM$4</f>
        <v>618.33333333333337</v>
      </c>
      <c r="BN18" s="18">
        <f>'Total Weekday Boardings'!BN18/'Service Days per Month'!BN$4</f>
        <v>561.9545454545455</v>
      </c>
      <c r="BO18" s="18">
        <f>'Total Weekday Boardings'!BO18/'Service Days per Month'!BO$4</f>
        <v>514.76190476190482</v>
      </c>
      <c r="BP18" s="19">
        <f>'Total Weekday Boardings'!BP18/'Service Days per Month'!BP$4</f>
        <v>482.8095238095238</v>
      </c>
      <c r="BQ18" s="17">
        <f>'Total Weekday Boardings'!BQ18/'Service Days per Month'!BQ$4</f>
        <v>433.86363636363637</v>
      </c>
      <c r="BR18" s="18">
        <f>'Total Weekday Boardings'!BR18/'Service Days per Month'!BR$4</f>
        <v>471.04761904761904</v>
      </c>
      <c r="BS18" s="18">
        <f>'Total Weekday Boardings'!BS18/'Service Days per Month'!BS$4</f>
        <v>517.14285714285711</v>
      </c>
      <c r="BT18" s="18">
        <f>'Total Weekday Boardings'!BT18/'Service Days per Month'!BT$4</f>
        <v>552.17391304347825</v>
      </c>
      <c r="BU18" s="18">
        <f>'Total Weekday Boardings'!BU18/'Service Days per Month'!BU$4</f>
        <v>573.23529411764707</v>
      </c>
      <c r="BV18" s="18">
        <f>'Total Weekday Boardings'!BV18/'Service Days per Month'!BV$4</f>
        <v>532.66666666666663</v>
      </c>
      <c r="BW18" s="18">
        <f>'Total Weekday Boardings'!BW18/'Service Days per Month'!BW$4</f>
        <v>624</v>
      </c>
      <c r="BX18" s="18">
        <f>'Total Weekday Boardings'!BX18/'Service Days per Month'!BX$4</f>
        <v>581.21052631578948</v>
      </c>
      <c r="BY18" s="18">
        <f>'Total Weekday Boardings'!BY18/'Service Days per Month'!BY$4</f>
        <v>618.77272727272725</v>
      </c>
      <c r="BZ18" s="18">
        <f>'Total Weekday Boardings'!BZ18/'Service Days per Month'!BZ$4</f>
        <v>556.5</v>
      </c>
      <c r="CA18" s="18">
        <f>'Total Weekday Boardings'!CA18/'Service Days per Month'!CA$4</f>
        <v>531.35</v>
      </c>
      <c r="CB18" s="19">
        <f>'Total Weekday Boardings'!CB18/'Service Days per Month'!CB$4</f>
        <v>452.04545454545456</v>
      </c>
      <c r="CC18" s="20">
        <f>'Total Weekday Boardings'!CC18/'Service Days per Month'!CC$4</f>
        <v>444.68181818181819</v>
      </c>
      <c r="CD18" s="18">
        <f>'Total Weekday Boardings'!CD18/'Service Days per Month'!CD$4</f>
        <v>503.76190476190476</v>
      </c>
      <c r="CE18" s="18">
        <f>'Total Weekday Boardings'!CE18/'Service Days per Month'!CE$4</f>
        <v>567.38095238095241</v>
      </c>
      <c r="CF18" s="18">
        <f>'Total Weekday Boardings'!CF18/'Service Days per Month'!CF$4</f>
        <v>595.27272727272725</v>
      </c>
      <c r="CG18" s="18">
        <f>'Total Weekday Boardings'!CG18/'Service Days per Month'!CG$4</f>
        <v>604.05555555555554</v>
      </c>
      <c r="CH18" s="18">
        <f>'Total Weekday Boardings'!CH18/'Service Days per Month'!CH$4</f>
        <v>553.76190476190482</v>
      </c>
      <c r="CI18" s="18">
        <f>'Total Weekday Boardings'!CI18/'Service Days per Month'!CI$4</f>
        <v>593.84210526315792</v>
      </c>
      <c r="CJ18" s="18">
        <f>'Total Weekday Boardings'!CJ18/'Service Days per Month'!CJ$4</f>
        <v>621.20000000000005</v>
      </c>
      <c r="CK18" s="18">
        <f>'Total Weekday Boardings'!CK18/'Service Days per Month'!CK$4</f>
        <v>649.04347826086962</v>
      </c>
      <c r="CL18" s="18">
        <f>'Total Weekday Boardings'!CL18/'Service Days per Month'!CL$4</f>
        <v>678.28571428571433</v>
      </c>
      <c r="CM18" s="18">
        <f>'Total Weekday Boardings'!CM18/'Service Days per Month'!CM$4</f>
        <v>606.95238095238096</v>
      </c>
      <c r="CN18" s="21">
        <f>'Total Weekday Boardings'!CN18/'Service Days per Month'!CN$4</f>
        <v>547.72727272727275</v>
      </c>
      <c r="CO18" s="17">
        <f>'Total Weekday Boardings'!CO18/'Service Days per Month'!CO$4</f>
        <v>529.75</v>
      </c>
      <c r="CP18" s="18">
        <f>'Total Weekday Boardings'!CP18/'Service Days per Month'!CP$4</f>
        <v>603.82608695652175</v>
      </c>
      <c r="CQ18" s="18">
        <f>'Total Weekday Boardings'!CQ18/'Service Days per Month'!CQ$4</f>
        <v>619</v>
      </c>
      <c r="CR18" s="18">
        <f>'Total Weekday Boardings'!CR18/'Service Days per Month'!CR$4</f>
        <v>604.85714285714289</v>
      </c>
      <c r="CS18" s="18">
        <f>'Total Weekday Boardings'!CS18/'Service Days per Month'!CS$4</f>
        <v>621.15789473684208</v>
      </c>
      <c r="CT18" s="18">
        <f>'Total Weekday Boardings'!CT18/'Service Days per Month'!CT$4</f>
        <v>554.14285714285711</v>
      </c>
      <c r="CU18" s="18">
        <f>'Total Weekday Boardings'!CU18/'Service Days per Month'!CU$4</f>
        <v>594.85</v>
      </c>
      <c r="CV18" s="18">
        <f>'Total Weekday Boardings'!CV18/'Service Days per Month'!CV$4</f>
        <v>645.57894736842104</v>
      </c>
      <c r="CW18" s="18">
        <f>'Total Weekday Boardings'!CW18/'Service Days per Month'!CW$4</f>
        <v>646.78260869565213</v>
      </c>
      <c r="CX18" s="18">
        <f>'Total Weekday Boardings'!CX18/'Service Days per Month'!CX$4</f>
        <v>634.35</v>
      </c>
      <c r="CY18" s="18">
        <f>'Total Weekday Boardings'!CY18/'Service Days per Month'!CY$4</f>
        <v>565.68181818181813</v>
      </c>
      <c r="CZ18" s="19">
        <f>'Total Weekday Boardings'!CZ18/'Service Days per Month'!CZ$4</f>
        <v>499.77272727272725</v>
      </c>
      <c r="DA18" s="17">
        <f>'Total Weekday Boardings'!DA18/'Service Days per Month'!DA$4</f>
        <v>484.45</v>
      </c>
      <c r="DB18" s="18">
        <f>'Total Weekday Boardings'!DB18/'Service Days per Month'!DB$4</f>
        <v>514.78260869565213</v>
      </c>
      <c r="DC18" s="18">
        <f>'Total Weekday Boardings'!DC18/'Service Days per Month'!DC$4</f>
        <v>529.6</v>
      </c>
      <c r="DD18" s="18">
        <f>'Total Weekday Boardings'!DD18/'Service Days per Month'!DD$4</f>
        <v>545.90909090909088</v>
      </c>
      <c r="DE18" s="18">
        <f>'Total Weekday Boardings'!DE18/'Service Days per Month'!DE$4</f>
        <v>504.68421052631578</v>
      </c>
      <c r="DF18" s="18">
        <f>'Total Weekday Boardings'!DF18/'Service Days per Month'!DF$4</f>
        <v>454</v>
      </c>
      <c r="DG18" s="18">
        <f>'Total Weekday Boardings'!DG18/'Service Days per Month'!DG$4</f>
        <v>524.04761904761904</v>
      </c>
      <c r="DH18" s="18">
        <f>'Total Weekday Boardings'!DH18/'Service Days per Month'!DH$4</f>
        <v>558</v>
      </c>
      <c r="DI18" s="18">
        <f>'Total Weekday Boardings'!DI18/'Service Days per Month'!DI$4</f>
        <v>550.36363636363637</v>
      </c>
      <c r="DJ18" s="18">
        <f>'Total Weekday Boardings'!DJ18/'Service Days per Month'!DJ$4</f>
        <v>538.71428571428567</v>
      </c>
      <c r="DK18" s="18">
        <f>'Total Weekday Boardings'!DK18/'Service Days per Month'!DK$4</f>
        <v>483.54545454545456</v>
      </c>
      <c r="DL18" s="19">
        <f>'Total Weekday Boardings'!DL18/'Service Days per Month'!DL$4</f>
        <v>440.90476190476193</v>
      </c>
      <c r="DM18" s="17">
        <f>'Total Weekday Boardings'!DM18/'Service Days per Month'!DM$4</f>
        <v>413.61904761904759</v>
      </c>
      <c r="DN18" s="18">
        <f>'Total Weekday Boardings'!DN18/'Service Days per Month'!DN$4</f>
        <v>443.08695652173913</v>
      </c>
      <c r="DO18" s="18">
        <f>'Total Weekday Boardings'!DO18/'Service Days per Month'!DO$4</f>
        <v>489.36842105263156</v>
      </c>
      <c r="DP18" s="18">
        <f>'Total Weekday Boardings'!DP18/'Service Days per Month'!DP$4</f>
        <v>529.60869565217388</v>
      </c>
      <c r="DQ18" s="18">
        <f>'Total Weekday Boardings'!DQ18/'Service Days per Month'!DQ$4</f>
        <v>534.19047619047615</v>
      </c>
      <c r="DR18" s="18">
        <f>'Total Weekday Boardings'!DR18/'Service Days per Month'!DR$4</f>
        <v>488.1</v>
      </c>
      <c r="DS18" s="18">
        <f>'Total Weekday Boardings'!DS18/'Service Days per Month'!DS$4</f>
        <v>509.95454545454544</v>
      </c>
      <c r="DT18" s="18">
        <f>'Total Weekday Boardings'!DT18/'Service Days per Month'!DT$4</f>
        <v>506.15</v>
      </c>
      <c r="DU18" s="18">
        <f>'Total Weekday Boardings'!DU18/'Service Days per Month'!DU$4</f>
        <v>548.28571428571433</v>
      </c>
      <c r="DV18" s="18">
        <f>'Total Weekday Boardings'!DV18/'Service Days per Month'!DV$4</f>
        <v>144.04545454545453</v>
      </c>
      <c r="DW18" s="18">
        <f>'Total Weekday Boardings'!DW18/'Service Days per Month'!DW$4</f>
        <v>419.27272727272725</v>
      </c>
      <c r="DX18" s="19">
        <f>'Total Weekday Boardings'!DX18/'Service Days per Month'!DX$4</f>
        <v>470.25</v>
      </c>
      <c r="DY18" s="17">
        <f>'Total Weekday Boardings'!DY18/'Service Days per Month'!DY$4</f>
        <v>408.68181818181819</v>
      </c>
      <c r="DZ18" s="18">
        <f>'Total Weekday Boardings'!DZ18/'Service Days per Month'!DZ$4</f>
        <v>485.72727272727275</v>
      </c>
      <c r="EA18" s="18">
        <f>'Total Weekday Boardings'!EA18/'Service Days per Month'!EA$4</f>
        <v>480.05</v>
      </c>
      <c r="EB18" s="18">
        <f>'Total Weekday Boardings'!EB18/'Service Days per Month'!EB$4</f>
        <v>503.3478260869565</v>
      </c>
      <c r="EC18" s="18">
        <f>'Total Weekday Boardings'!EC18/'Service Days per Month'!EC$4</f>
        <v>520.15</v>
      </c>
      <c r="ED18" s="18">
        <f>'Total Weekday Boardings'!ED18/'Service Days per Month'!ED$4</f>
        <v>457.09523809523807</v>
      </c>
      <c r="EE18" s="18">
        <f>'Total Weekday Boardings'!EE18/'Service Days per Month'!EE$4</f>
        <v>468.26086956521738</v>
      </c>
      <c r="EF18" s="18">
        <f>'Total Weekday Boardings'!EF18/'Service Days per Month'!EF$4</f>
        <v>516.65</v>
      </c>
      <c r="EG18" s="18">
        <f>'Total Weekday Boardings'!EG18/'Service Days per Month'!EG$4</f>
        <v>346.45454545454544</v>
      </c>
      <c r="EH18" s="18">
        <f>'Total Weekday Boardings'!EH18/'Service Days per Month'!EH$4</f>
        <v>176.40909090909091</v>
      </c>
      <c r="EI18" s="18">
        <f>'Total Weekday Boardings'!EI18/'Service Days per Month'!EI$4</f>
        <v>189</v>
      </c>
      <c r="EJ18" s="19">
        <f>'Total Weekday Boardings'!EJ18/'Service Days per Month'!EJ$4</f>
        <v>169.5</v>
      </c>
      <c r="EK18" s="17">
        <f>'Total Weekday Boardings'!EK18/'Service Days per Month'!EK$4</f>
        <v>171.95454545454547</v>
      </c>
      <c r="EL18" s="18">
        <f>'Total Weekday Boardings'!EL18/'Service Days per Month'!EL$4</f>
        <v>170.57142857142858</v>
      </c>
      <c r="EM18" s="18">
        <f>'Total Weekday Boardings'!EM18/'Service Days per Month'!EM$4</f>
        <v>194.57142857142858</v>
      </c>
      <c r="EN18" s="18">
        <f>'Total Weekday Boardings'!EN18/'Service Days per Month'!EN$4</f>
        <v>193.72727272727272</v>
      </c>
      <c r="EO18" s="18">
        <f>'Total Weekday Boardings'!EO18/'Service Days per Month'!EO$4</f>
        <v>214.55</v>
      </c>
      <c r="EP18" s="18">
        <f>'Total Weekday Boardings'!EP18/'Service Days per Month'!EP$4</f>
        <v>152.5</v>
      </c>
      <c r="EQ18" s="18">
        <f>'Total Weekday Boardings'!EQ18/'Service Days per Month'!EQ$4</f>
        <v>82.714285714285708</v>
      </c>
      <c r="ER18" s="18">
        <f>'Total Weekday Boardings'!ER18/'Service Days per Month'!ER$4</f>
        <v>161</v>
      </c>
      <c r="ES18" s="18">
        <f>'Total Weekday Boardings'!ES18/'Service Days per Month'!ES$4</f>
        <v>184.43478260869566</v>
      </c>
      <c r="ET18" s="18">
        <f>'Total Weekday Boardings'!ET18/'Service Days per Month'!ET$4</f>
        <v>213.04545454545453</v>
      </c>
      <c r="EU18" s="18">
        <f>'Total Weekday Boardings'!EU18/'Service Days per Month'!EU$4</f>
        <v>195.25</v>
      </c>
      <c r="EV18" s="19">
        <f>'Total Weekday Boardings'!EV18/'Service Days per Month'!EV$4</f>
        <v>200.09090909090909</v>
      </c>
      <c r="EW18" s="17">
        <f>'Total Weekday Boardings'!EW18/'Service Days per Month'!EW$4</f>
        <v>198.9047619047619</v>
      </c>
      <c r="EX18" s="18">
        <f>'Total Weekday Boardings'!EX18/'Service Days per Month'!EX$4</f>
        <v>222.40909090909091</v>
      </c>
      <c r="EY18" s="18">
        <f>'Total Weekday Boardings'!EY18/'Service Days per Month'!EY$4</f>
        <v>216.04761904761904</v>
      </c>
      <c r="EZ18" s="18">
        <f>'Total Weekday Boardings'!EZ18/'Service Days per Month'!EZ$4</f>
        <v>222.66666666666666</v>
      </c>
      <c r="FA18" s="18">
        <f>'Total Weekday Boardings'!FA18/'Service Days per Month'!FA$4</f>
        <v>248.14285714285714</v>
      </c>
      <c r="FB18" s="18">
        <f>'Total Weekday Boardings'!FB18/'Service Days per Month'!FB$4</f>
        <v>226.95454545454547</v>
      </c>
      <c r="FC18" s="18">
        <f>'Total Weekday Boardings'!FC18/'Service Days per Month'!FC$4</f>
        <v>188.47619047619048</v>
      </c>
      <c r="FD18" s="18">
        <f>'Total Weekday Boardings'!FD18/'Service Days per Month'!FD$4</f>
        <v>246.25</v>
      </c>
      <c r="FE18" s="18">
        <f>'Total Weekday Boardings'!FE18/'Service Days per Month'!FE$4</f>
        <v>276.04347826086956</v>
      </c>
      <c r="FF18" s="18">
        <f>'Total Weekday Boardings'!FF18/'Service Days per Month'!FF$4</f>
        <v>264.8095238095238</v>
      </c>
      <c r="FG18" s="18">
        <f>'Total Weekday Boardings'!FG18/'Service Days per Month'!FG$4</f>
        <v>241.23809523809524</v>
      </c>
      <c r="FH18" s="19">
        <f>'Total Weekday Boardings'!FH18/'Service Days per Month'!FH$4</f>
        <v>190.63636363636363</v>
      </c>
      <c r="FI18" s="17">
        <v>194.6</v>
      </c>
      <c r="FJ18" s="18">
        <v>223.04347826086956</v>
      </c>
      <c r="FK18" s="18">
        <v>236.61904761904762</v>
      </c>
      <c r="FL18" s="18">
        <v>235.85714285714286</v>
      </c>
      <c r="FM18" s="18">
        <v>224.1904761904762</v>
      </c>
      <c r="FN18" s="18">
        <v>217.52380952380952</v>
      </c>
      <c r="FO18" s="18">
        <v>249.04761904761904</v>
      </c>
      <c r="FP18" s="18">
        <v>257.7</v>
      </c>
      <c r="FQ18" s="18">
        <v>307.52173913043481</v>
      </c>
      <c r="FR18" s="18">
        <f>'Total Weekday Boardings'!FR18/20</f>
        <v>303.89999999999998</v>
      </c>
      <c r="FS18" s="18">
        <f>'Total Weekday Boardings'!FS18/22</f>
        <v>293.86363636363637</v>
      </c>
      <c r="FT18" s="21">
        <f>'Total Weekday Boardings'!FT18/23</f>
        <v>250.7391304347826</v>
      </c>
      <c r="FU18" s="17">
        <f>'Total Weekday Boardings'!FU18/21</f>
        <v>220.28571428571428</v>
      </c>
      <c r="FV18" s="18">
        <f>'Total Weekday Boardings'!FV18/23</f>
        <v>235.34782608695653</v>
      </c>
      <c r="FW18" s="18">
        <f>'Total Weekday Boardings'!FW18/21</f>
        <v>257.76190476190476</v>
      </c>
      <c r="FX18" s="18">
        <f>'Total Weekday Boardings'!FX18/22</f>
        <v>319.45454545454544</v>
      </c>
      <c r="FY18" s="18">
        <f>'Total Weekday Boardings'!FY18/22</f>
        <v>284.40909090909093</v>
      </c>
      <c r="FZ18" s="18">
        <f>'Total Weekday Boardings'!FZ18/21</f>
        <v>265.42857142857144</v>
      </c>
      <c r="GA18" s="18">
        <f>'Total Weekday Boardings'!GA18/23</f>
        <v>269.3478260869565</v>
      </c>
      <c r="GB18" s="18">
        <f>'Total Weekday Boardings'!GB18/21</f>
        <v>299.95238095238096</v>
      </c>
      <c r="GC18" s="18">
        <f>'Total Weekday Boardings'!GC18/21</f>
        <v>312.23809523809524</v>
      </c>
      <c r="GD18" s="18">
        <f>'Total Weekday Boardings'!GD18/22</f>
        <v>294.18181818181819</v>
      </c>
      <c r="GE18" s="13">
        <f>'Total Weekday Boardings'!GE18/23</f>
        <v>255.47826086956522</v>
      </c>
      <c r="GF18" s="13">
        <f>'Total Weekday Boardings'!GF18/20</f>
        <v>264.14999999999998</v>
      </c>
      <c r="GG18" s="21">
        <f>'Total Weekday Boardings'!GG18/23</f>
        <v>235.78260869565219</v>
      </c>
      <c r="GH18" s="13">
        <f>'Total Weekday Boardings'!GH18/22</f>
        <v>280.81818181818181</v>
      </c>
      <c r="GI18" s="13">
        <f>'Total Weekday Boardings'!GI18/21</f>
        <v>286.76190476190476</v>
      </c>
      <c r="GJ18" s="13">
        <f>'Total Weekday Boardings'!GJ18/23</f>
        <v>303.26086956521738</v>
      </c>
      <c r="GK18" s="13">
        <f>'Total Weekday Boardings'!GK18/21</f>
        <v>274.76190476190476</v>
      </c>
      <c r="GL18" s="13">
        <f>'Total Weekday Boardings'!GL18/22</f>
        <v>245.90909090909091</v>
      </c>
    </row>
    <row r="19" spans="1:194" ht="15" thickBot="1" x14ac:dyDescent="0.35">
      <c r="A19" s="3" t="s">
        <v>12</v>
      </c>
      <c r="B19" s="17"/>
      <c r="C19" s="18">
        <f>'Total Weekday Boardings'!C19/'Service Days per Month'!C$4</f>
        <v>1291.7619047619048</v>
      </c>
      <c r="D19" s="18">
        <f>'Total Weekday Boardings'!D19/'Service Days per Month'!D$4</f>
        <v>1487.65</v>
      </c>
      <c r="E19" s="18">
        <f>'Total Weekday Boardings'!E19/'Service Days per Month'!E$4</f>
        <v>1233.7272727272727</v>
      </c>
      <c r="F19" s="18">
        <f>'Total Weekday Boardings'!F19/'Service Days per Month'!F$4</f>
        <v>911.18181818181813</v>
      </c>
      <c r="G19" s="18">
        <f>'Total Weekday Boardings'!G19/'Service Days per Month'!G$4</f>
        <v>1568.65</v>
      </c>
      <c r="H19" s="19">
        <f>'Total Weekday Boardings'!H19/'Service Days per Month'!H$4</f>
        <v>1130.409090909091</v>
      </c>
      <c r="I19" s="17">
        <f>'Total Weekday Boardings'!I19/'Service Days per Month'!I$4</f>
        <v>1408.3478260869565</v>
      </c>
      <c r="J19" s="18">
        <f>'Total Weekday Boardings'!J19/'Service Days per Month'!J$4</f>
        <v>1835.952380952381</v>
      </c>
      <c r="K19" s="18">
        <f>'Total Weekday Boardings'!K19/'Service Days per Month'!K$4</f>
        <v>1588.8571428571429</v>
      </c>
      <c r="L19" s="18">
        <f>'Total Weekday Boardings'!L19/'Service Days per Month'!L$4</f>
        <v>1706.8636363636363</v>
      </c>
      <c r="M19" s="18">
        <f>'Total Weekday Boardings'!M19/'Service Days per Month'!M$4</f>
        <v>1911.2</v>
      </c>
      <c r="N19" s="18">
        <f>'Total Weekday Boardings'!N19/'Service Days per Month'!N$4</f>
        <v>1576.909090909091</v>
      </c>
      <c r="O19" s="18">
        <f>'Total Weekday Boardings'!O19/'Service Days per Month'!O$4</f>
        <v>1638.45</v>
      </c>
      <c r="P19" s="18">
        <f>'Total Weekday Boardings'!P19/'Service Days per Month'!P$4</f>
        <v>1673.85</v>
      </c>
      <c r="Q19" s="18">
        <f>'Total Weekday Boardings'!Q19/'Service Days per Month'!Q$4</f>
        <v>1677.0869565217392</v>
      </c>
      <c r="R19" s="18">
        <f>'Total Weekday Boardings'!R19/'Service Days per Month'!R$4</f>
        <v>1915.1818181818182</v>
      </c>
      <c r="S19" s="18">
        <f>'Total Weekday Boardings'!S19/'Service Days per Month'!S$4</f>
        <v>1599.65</v>
      </c>
      <c r="T19" s="19">
        <f>'Total Weekday Boardings'!T19/'Service Days per Month'!T$4</f>
        <v>1725.6363636363637</v>
      </c>
      <c r="U19" s="17">
        <f>'Total Weekday Boardings'!U19/'Service Days per Month'!U$4</f>
        <v>1504.8095238095239</v>
      </c>
      <c r="V19" s="18">
        <f>'Total Weekday Boardings'!V19/'Service Days per Month'!V$4</f>
        <v>1780.6818181818182</v>
      </c>
      <c r="W19" s="18">
        <f>'Total Weekday Boardings'!W19/'Service Days per Month'!W$4</f>
        <v>1844.4285714285713</v>
      </c>
      <c r="X19" s="18">
        <f>'Total Weekday Boardings'!X19/'Service Days per Month'!X$4</f>
        <v>1802.4285714285713</v>
      </c>
      <c r="Y19" s="18">
        <f>'Total Weekday Boardings'!Y19/'Service Days per Month'!Y$4</f>
        <v>1809</v>
      </c>
      <c r="Z19" s="18">
        <f>'Total Weekday Boardings'!Z19/'Service Days per Month'!Z$4</f>
        <v>1714.3333333333333</v>
      </c>
      <c r="AA19" s="18">
        <f>'Total Weekday Boardings'!AA19/'Service Days per Month'!AA$4</f>
        <v>1878.7</v>
      </c>
      <c r="AB19" s="18">
        <f>'Total Weekday Boardings'!AB19/'Service Days per Month'!AB$4</f>
        <v>1821.7368421052631</v>
      </c>
      <c r="AC19" s="18">
        <f>'Total Weekday Boardings'!AC19/'Service Days per Month'!AC$4</f>
        <v>1770.6521739130435</v>
      </c>
      <c r="AD19" s="18">
        <f>'Total Weekday Boardings'!AD19/'Service Days per Month'!AD$4</f>
        <v>1866.4761904761904</v>
      </c>
      <c r="AE19" s="18">
        <f>'Total Weekday Boardings'!AE19/'Service Days per Month'!AE$4</f>
        <v>1687.4285714285713</v>
      </c>
      <c r="AF19" s="19">
        <f>'Total Weekday Boardings'!AF19/'Service Days per Month'!AF$4</f>
        <v>1499.2727272727273</v>
      </c>
      <c r="AG19" s="17">
        <f>'Total Weekday Boardings'!AG19/'Service Days per Month'!AG$4</f>
        <v>1461.8</v>
      </c>
      <c r="AH19" s="18">
        <f>'Total Weekday Boardings'!AH19/'Service Days per Month'!AH$4</f>
        <v>1724.9130434782608</v>
      </c>
      <c r="AI19" s="18">
        <f>'Total Weekday Boardings'!AI19/'Service Days per Month'!AI$4</f>
        <v>1847.1904761904761</v>
      </c>
      <c r="AJ19" s="18">
        <f>'Total Weekday Boardings'!AJ19/'Service Days per Month'!AJ$4</f>
        <v>1845.6666666666667</v>
      </c>
      <c r="AK19" s="18">
        <f>'Total Weekday Boardings'!AK19/'Service Days per Month'!AK$4</f>
        <v>1759.8421052631579</v>
      </c>
      <c r="AL19" s="18">
        <f>'Total Weekday Boardings'!AL19/'Service Days per Month'!AL$4</f>
        <v>1638.4285714285713</v>
      </c>
      <c r="AM19" s="18">
        <f>'Total Weekday Boardings'!AM19/'Service Days per Month'!AM$4</f>
        <v>1801.3</v>
      </c>
      <c r="AN19" s="18">
        <f>'Total Weekday Boardings'!AN19/'Service Days per Month'!AN$4</f>
        <v>1750.1</v>
      </c>
      <c r="AO19" s="18">
        <f>'Total Weekday Boardings'!AO19/'Service Days per Month'!AO$4</f>
        <v>1799.4545454545455</v>
      </c>
      <c r="AP19" s="18">
        <f>'Total Weekday Boardings'!AP19/'Service Days per Month'!AP$4</f>
        <v>1912.3809523809523</v>
      </c>
      <c r="AQ19" s="18">
        <f>'Total Weekday Boardings'!AQ19/'Service Days per Month'!AQ$4</f>
        <v>1835</v>
      </c>
      <c r="AR19" s="19">
        <f>'Total Weekday Boardings'!AR19/'Service Days per Month'!AR$4</f>
        <v>1646.5714285714287</v>
      </c>
      <c r="AS19" s="17">
        <f>'Total Weekday Boardings'!AS19/'Service Days per Month'!AS$4</f>
        <v>1564.4761904761904</v>
      </c>
      <c r="AT19" s="18">
        <f>'Total Weekday Boardings'!AT19/'Service Days per Month'!AT$4</f>
        <v>1796.5652173913043</v>
      </c>
      <c r="AU19" s="18">
        <f>'Total Weekday Boardings'!AU19/'Service Days per Month'!AU$4</f>
        <v>1972.0526315789473</v>
      </c>
      <c r="AV19" s="18">
        <f>'Total Weekday Boardings'!AV19/'Service Days per Month'!AV$4</f>
        <v>2036.5652173913043</v>
      </c>
      <c r="AW19" s="18">
        <f>'Total Weekday Boardings'!AW19/'Service Days per Month'!AW$4</f>
        <v>2051.6315789473683</v>
      </c>
      <c r="AX19" s="18">
        <f>'Total Weekday Boardings'!AX19/'Service Days per Month'!AX$4</f>
        <v>1858.578947368421</v>
      </c>
      <c r="AY19" s="18">
        <f>'Total Weekday Boardings'!AY19/'Service Days per Month'!AY$4</f>
        <v>1857.1428571428571</v>
      </c>
      <c r="AZ19" s="18">
        <f>'Total Weekday Boardings'!AZ19/'Service Days per Month'!AZ$4</f>
        <v>2002.6842105263158</v>
      </c>
      <c r="BA19" s="18">
        <f>'Total Weekday Boardings'!BA19/'Service Days per Month'!BA$4</f>
        <v>1882.6190476190477</v>
      </c>
      <c r="BB19" s="18">
        <f>'Total Weekday Boardings'!BB19/'Service Days per Month'!BB$4</f>
        <v>1923.409090909091</v>
      </c>
      <c r="BC19" s="18">
        <f>'Total Weekday Boardings'!BC19/'Service Days per Month'!BC$4</f>
        <v>1814.5454545454545</v>
      </c>
      <c r="BD19" s="19">
        <f>'Total Weekday Boardings'!BD19/'Service Days per Month'!BD$4</f>
        <v>1710.7</v>
      </c>
      <c r="BE19" s="17">
        <f>'Total Weekday Boardings'!BE19/'Service Days per Month'!BE$4</f>
        <v>1652.4545454545455</v>
      </c>
      <c r="BF19" s="18">
        <f>'Total Weekday Boardings'!BF19/'Service Days per Month'!BF$4</f>
        <v>1864.9545454545455</v>
      </c>
      <c r="BG19" s="18">
        <f>'Total Weekday Boardings'!BG19/'Service Days per Month'!BG$4</f>
        <v>1985.7</v>
      </c>
      <c r="BH19" s="18">
        <f>'Total Weekday Boardings'!BH19/'Service Days per Month'!BH$4</f>
        <v>1931.695652173913</v>
      </c>
      <c r="BI19" s="18">
        <f>'Total Weekday Boardings'!BI19/'Service Days per Month'!BI$4</f>
        <v>2020.4238415732882</v>
      </c>
      <c r="BJ19" s="18">
        <f>'Total Weekday Boardings'!BJ19/'Service Days per Month'!BJ$4</f>
        <v>1746.15</v>
      </c>
      <c r="BK19" s="18">
        <f>'Total Weekday Boardings'!BK19/'Service Days per Month'!BK$4</f>
        <v>1946.3809523809523</v>
      </c>
      <c r="BL19" s="18">
        <f>'Total Weekday Boardings'!BL19/'Service Days per Month'!BL$4</f>
        <v>2015.6842105263158</v>
      </c>
      <c r="BM19" s="18">
        <f>'Total Weekday Boardings'!BM19/'Service Days per Month'!BM$4</f>
        <v>1936.3809523809523</v>
      </c>
      <c r="BN19" s="18">
        <f>'Total Weekday Boardings'!BN19/'Service Days per Month'!BN$4</f>
        <v>1977.3636363636363</v>
      </c>
      <c r="BO19" s="18">
        <f>'Total Weekday Boardings'!BO19/'Service Days per Month'!BO$4</f>
        <v>1860.7619047619048</v>
      </c>
      <c r="BP19" s="19">
        <f>'Total Weekday Boardings'!BP19/'Service Days per Month'!BP$4</f>
        <v>1735.1904761904761</v>
      </c>
      <c r="BQ19" s="17">
        <f>'Total Weekday Boardings'!BQ19/'Service Days per Month'!BQ$4</f>
        <v>1660</v>
      </c>
      <c r="BR19" s="18">
        <f>'Total Weekday Boardings'!BR19/'Service Days per Month'!BR$4</f>
        <v>1825.1904761904761</v>
      </c>
      <c r="BS19" s="18">
        <f>'Total Weekday Boardings'!BS19/'Service Days per Month'!BS$4</f>
        <v>1942.2380952380952</v>
      </c>
      <c r="BT19" s="18">
        <f>'Total Weekday Boardings'!BT19/'Service Days per Month'!BT$4</f>
        <v>2058.5652173913045</v>
      </c>
      <c r="BU19" s="18">
        <f>'Total Weekday Boardings'!BU19/'Service Days per Month'!BU$4</f>
        <v>2044.2941176470588</v>
      </c>
      <c r="BV19" s="18">
        <f>'Total Weekday Boardings'!BV19/'Service Days per Month'!BV$4</f>
        <v>1834.3809523809523</v>
      </c>
      <c r="BW19" s="18">
        <f>'Total Weekday Boardings'!BW19/'Service Days per Month'!BW$4</f>
        <v>2073.75</v>
      </c>
      <c r="BX19" s="18">
        <f>'Total Weekday Boardings'!BX19/'Service Days per Month'!BX$4</f>
        <v>2011.578947368421</v>
      </c>
      <c r="BY19" s="18">
        <f>'Total Weekday Boardings'!BY19/'Service Days per Month'!BY$4</f>
        <v>1968.2272727272727</v>
      </c>
      <c r="BZ19" s="18">
        <f>'Total Weekday Boardings'!BZ19/'Service Days per Month'!BZ$4</f>
        <v>1919.1818181818182</v>
      </c>
      <c r="CA19" s="18">
        <f>'Total Weekday Boardings'!CA19/'Service Days per Month'!CA$4</f>
        <v>1836.05</v>
      </c>
      <c r="CB19" s="19">
        <f>'Total Weekday Boardings'!CB19/'Service Days per Month'!CB$4</f>
        <v>1711.5454545454545</v>
      </c>
      <c r="CC19" s="20">
        <f>'Total Weekday Boardings'!CC19/'Service Days per Month'!CC$4</f>
        <v>1698.3181818181818</v>
      </c>
      <c r="CD19" s="18">
        <f>'Total Weekday Boardings'!CD19/'Service Days per Month'!CD$4</f>
        <v>1854.1428571428571</v>
      </c>
      <c r="CE19" s="18">
        <f>'Total Weekday Boardings'!CE19/'Service Days per Month'!CE$4</f>
        <v>2085.4761904761904</v>
      </c>
      <c r="CF19" s="18">
        <f>'Total Weekday Boardings'!CF19/'Service Days per Month'!CF$4</f>
        <v>2069.2727272727275</v>
      </c>
      <c r="CG19" s="18">
        <f>'Total Weekday Boardings'!CG19/'Service Days per Month'!CG$4</f>
        <v>2029.4444444444443</v>
      </c>
      <c r="CH19" s="18">
        <f>'Total Weekday Boardings'!CH19/'Service Days per Month'!CH$4</f>
        <v>1837.6666666666667</v>
      </c>
      <c r="CI19" s="18">
        <f>'Total Weekday Boardings'!CI19/'Service Days per Month'!CI$4</f>
        <v>2073.1578947368421</v>
      </c>
      <c r="CJ19" s="18">
        <f>'Total Weekday Boardings'!CJ19/'Service Days per Month'!CJ$4</f>
        <v>2047.9</v>
      </c>
      <c r="CK19" s="18">
        <f>'Total Weekday Boardings'!CK19/'Service Days per Month'!CK$4</f>
        <v>2007.304347826087</v>
      </c>
      <c r="CL19" s="18">
        <f>'Total Weekday Boardings'!CL19/'Service Days per Month'!CL$4</f>
        <v>2089.7619047619046</v>
      </c>
      <c r="CM19" s="18">
        <f>'Total Weekday Boardings'!CM19/'Service Days per Month'!CM$4</f>
        <v>1981.5714285714287</v>
      </c>
      <c r="CN19" s="21">
        <f>'Total Weekday Boardings'!CN19/'Service Days per Month'!CN$4</f>
        <v>1858.3181818181818</v>
      </c>
      <c r="CO19" s="17">
        <f>'Total Weekday Boardings'!CO19/'Service Days per Month'!CO$4</f>
        <v>1821.3</v>
      </c>
      <c r="CP19" s="18">
        <f>'Total Weekday Boardings'!CP19/'Service Days per Month'!CP$4</f>
        <v>1966.5652173913043</v>
      </c>
      <c r="CQ19" s="18">
        <f>'Total Weekday Boardings'!CQ19/'Service Days per Month'!CQ$4</f>
        <v>2023.0952380952381</v>
      </c>
      <c r="CR19" s="18">
        <f>'Total Weekday Boardings'!CR19/'Service Days per Month'!CR$4</f>
        <v>2012.1428571428571</v>
      </c>
      <c r="CS19" s="18">
        <f>'Total Weekday Boardings'!CS19/'Service Days per Month'!CS$4</f>
        <v>1955.7368421052631</v>
      </c>
      <c r="CT19" s="18">
        <f>'Total Weekday Boardings'!CT19/'Service Days per Month'!CT$4</f>
        <v>1726.2857142857142</v>
      </c>
      <c r="CU19" s="18">
        <f>'Total Weekday Boardings'!CU19/'Service Days per Month'!CU$4</f>
        <v>1917.55</v>
      </c>
      <c r="CV19" s="18">
        <f>'Total Weekday Boardings'!CV19/'Service Days per Month'!CV$4</f>
        <v>1961.8421052631579</v>
      </c>
      <c r="CW19" s="18">
        <f>'Total Weekday Boardings'!CW19/'Service Days per Month'!CW$4</f>
        <v>1993.6521739130435</v>
      </c>
      <c r="CX19" s="18">
        <f>'Total Weekday Boardings'!CX19/'Service Days per Month'!CX$4</f>
        <v>1921.15</v>
      </c>
      <c r="CY19" s="18">
        <f>'Total Weekday Boardings'!CY19/'Service Days per Month'!CY$4</f>
        <v>1883.090909090909</v>
      </c>
      <c r="CZ19" s="19">
        <f>'Total Weekday Boardings'!CZ19/'Service Days per Month'!CZ$4</f>
        <v>1733.8636363636363</v>
      </c>
      <c r="DA19" s="17">
        <f>'Total Weekday Boardings'!DA19/'Service Days per Month'!DA$4</f>
        <v>1429.35</v>
      </c>
      <c r="DB19" s="18">
        <f>'Total Weekday Boardings'!DB19/'Service Days per Month'!DB$4</f>
        <v>1310.7826086956522</v>
      </c>
      <c r="DC19" s="18">
        <f>'Total Weekday Boardings'!DC19/'Service Days per Month'!DC$4</f>
        <v>1312.65</v>
      </c>
      <c r="DD19" s="18">
        <f>'Total Weekday Boardings'!DD19/'Service Days per Month'!DD$4</f>
        <v>1361.590909090909</v>
      </c>
      <c r="DE19" s="18">
        <f>'Total Weekday Boardings'!DE19/'Service Days per Month'!DE$4</f>
        <v>1348.1578947368421</v>
      </c>
      <c r="DF19" s="18">
        <f>'Total Weekday Boardings'!DF19/'Service Days per Month'!DF$4</f>
        <v>1223.1500000000001</v>
      </c>
      <c r="DG19" s="18">
        <f>'Total Weekday Boardings'!DG19/'Service Days per Month'!DG$4</f>
        <v>1301.952380952381</v>
      </c>
      <c r="DH19" s="18">
        <f>'Total Weekday Boardings'!DH19/'Service Days per Month'!DH$4</f>
        <v>1338.8421052631579</v>
      </c>
      <c r="DI19" s="18">
        <f>'Total Weekday Boardings'!DI19/'Service Days per Month'!DI$4</f>
        <v>1291.8181818181818</v>
      </c>
      <c r="DJ19" s="18">
        <f>'Total Weekday Boardings'!DJ19/'Service Days per Month'!DJ$4</f>
        <v>1311.5714285714287</v>
      </c>
      <c r="DK19" s="18">
        <f>'Total Weekday Boardings'!DK19/'Service Days per Month'!DK$4</f>
        <v>1201.1818181818182</v>
      </c>
      <c r="DL19" s="19">
        <f>'Total Weekday Boardings'!DL19/'Service Days per Month'!DL$4</f>
        <v>1219.952380952381</v>
      </c>
      <c r="DM19" s="17">
        <f>'Total Weekday Boardings'!DM19/'Service Days per Month'!DM$4</f>
        <v>1410.0952380952381</v>
      </c>
      <c r="DN19" s="18">
        <f>'Total Weekday Boardings'!DN19/'Service Days per Month'!DN$4</f>
        <v>1658.304347826087</v>
      </c>
      <c r="DO19" s="18">
        <f>'Total Weekday Boardings'!DO19/'Service Days per Month'!DO$4</f>
        <v>1729</v>
      </c>
      <c r="DP19" s="18">
        <f>'Total Weekday Boardings'!DP19/'Service Days per Month'!DP$4</f>
        <v>1787.0434782608695</v>
      </c>
      <c r="DQ19" s="18">
        <f>'Total Weekday Boardings'!DQ19/'Service Days per Month'!DQ$4</f>
        <v>1700.5714285714287</v>
      </c>
      <c r="DR19" s="18">
        <f>'Total Weekday Boardings'!DR19/'Service Days per Month'!DR$4</f>
        <v>1547</v>
      </c>
      <c r="DS19" s="18">
        <f>'Total Weekday Boardings'!DS19/'Service Days per Month'!DS$4</f>
        <v>1683.5</v>
      </c>
      <c r="DT19" s="18">
        <f>'Total Weekday Boardings'!DT19/'Service Days per Month'!DT$4</f>
        <v>1688.1</v>
      </c>
      <c r="DU19" s="18">
        <f>'Total Weekday Boardings'!DU19/'Service Days per Month'!DU$4</f>
        <v>1647.1428571428571</v>
      </c>
      <c r="DV19" s="18">
        <f>'Total Weekday Boardings'!DV19/'Service Days per Month'!DV$4</f>
        <v>1652.1363636363637</v>
      </c>
      <c r="DW19" s="18">
        <f>'Total Weekday Boardings'!DW19/'Service Days per Month'!DW$4</f>
        <v>1548.909090909091</v>
      </c>
      <c r="DX19" s="19">
        <f>'Total Weekday Boardings'!DX19/'Service Days per Month'!DX$4</f>
        <v>1502.45</v>
      </c>
      <c r="DY19" s="17">
        <f>'Total Weekday Boardings'!DY19/'Service Days per Month'!DY$4</f>
        <v>1398.2272727272727</v>
      </c>
      <c r="DZ19" s="18">
        <f>'Total Weekday Boardings'!DZ19/'Service Days per Month'!DZ$4</f>
        <v>1562.1818181818182</v>
      </c>
      <c r="EA19" s="18">
        <f>'Total Weekday Boardings'!EA19/'Service Days per Month'!EA$4</f>
        <v>1690.9</v>
      </c>
      <c r="EB19" s="18">
        <f>'Total Weekday Boardings'!EB19/'Service Days per Month'!EB$4</f>
        <v>1694.9130434782608</v>
      </c>
      <c r="EC19" s="18">
        <f>'Total Weekday Boardings'!EC19/'Service Days per Month'!EC$4</f>
        <v>1603.15</v>
      </c>
      <c r="ED19" s="18">
        <f>'Total Weekday Boardings'!ED19/'Service Days per Month'!ED$4</f>
        <v>1411.1428571428571</v>
      </c>
      <c r="EE19" s="18">
        <f>'Total Weekday Boardings'!EE19/'Service Days per Month'!EE$4</f>
        <v>1473.5652173913043</v>
      </c>
      <c r="EF19" s="18">
        <f>'Total Weekday Boardings'!EF19/'Service Days per Month'!EF$4</f>
        <v>1618.15</v>
      </c>
      <c r="EG19" s="18">
        <f>'Total Weekday Boardings'!EG19/'Service Days per Month'!EG$4</f>
        <v>1081.1818181818182</v>
      </c>
      <c r="EH19" s="18">
        <f>'Total Weekday Boardings'!EH19/'Service Days per Month'!EH$4</f>
        <v>527.86363636363637</v>
      </c>
      <c r="EI19" s="18">
        <f>'Total Weekday Boardings'!EI19/'Service Days per Month'!EI$4</f>
        <v>524.5</v>
      </c>
      <c r="EJ19" s="19">
        <f>'Total Weekday Boardings'!EJ19/'Service Days per Month'!EJ$4</f>
        <v>528.09090909090912</v>
      </c>
      <c r="EK19" s="17">
        <f>'Total Weekday Boardings'!EK19/'Service Days per Month'!EK$4</f>
        <v>463.86363636363637</v>
      </c>
      <c r="EL19" s="18">
        <f>'Total Weekday Boardings'!EL19/'Service Days per Month'!EL$4</f>
        <v>465.33333333333331</v>
      </c>
      <c r="EM19" s="18">
        <f>'Total Weekday Boardings'!EM19/'Service Days per Month'!EM$4</f>
        <v>495.09523809523807</v>
      </c>
      <c r="EN19" s="18">
        <f>'Total Weekday Boardings'!EN19/'Service Days per Month'!EN$4</f>
        <v>523.40909090909088</v>
      </c>
      <c r="EO19" s="18">
        <f>'Total Weekday Boardings'!EO19/'Service Days per Month'!EO$4</f>
        <v>639.29999999999995</v>
      </c>
      <c r="EP19" s="18">
        <f>'Total Weekday Boardings'!EP19/'Service Days per Month'!EP$4</f>
        <v>379.5</v>
      </c>
      <c r="EQ19" s="18">
        <f>'Total Weekday Boardings'!EQ19/'Service Days per Month'!EQ$4</f>
        <v>214.57142857142858</v>
      </c>
      <c r="ER19" s="18">
        <f>'Total Weekday Boardings'!ER19/'Service Days per Month'!ER$4</f>
        <v>459.6</v>
      </c>
      <c r="ES19" s="18">
        <f>'Total Weekday Boardings'!ES19/'Service Days per Month'!ES$4</f>
        <v>560.39130434782612</v>
      </c>
      <c r="ET19" s="18">
        <f>'Total Weekday Boardings'!ET19/'Service Days per Month'!ET$4</f>
        <v>517.90909090909088</v>
      </c>
      <c r="EU19" s="18">
        <f>'Total Weekday Boardings'!EU19/'Service Days per Month'!EU$4</f>
        <v>522.5</v>
      </c>
      <c r="EV19" s="19">
        <f>'Total Weekday Boardings'!EV19/'Service Days per Month'!EV$4</f>
        <v>567.77272727272725</v>
      </c>
      <c r="EW19" s="17">
        <f>'Total Weekday Boardings'!EW19/'Service Days per Month'!EW$4</f>
        <v>590.33333333333337</v>
      </c>
      <c r="EX19" s="18">
        <f>'Total Weekday Boardings'!EX19/'Service Days per Month'!EX$4</f>
        <v>634.9545454545455</v>
      </c>
      <c r="EY19" s="18">
        <f>'Total Weekday Boardings'!EY19/'Service Days per Month'!EY$4</f>
        <v>721.80952380952385</v>
      </c>
      <c r="EZ19" s="18">
        <f>'Total Weekday Boardings'!EZ19/'Service Days per Month'!EZ$4</f>
        <v>742.09523809523807</v>
      </c>
      <c r="FA19" s="18">
        <f>'Total Weekday Boardings'!FA19/'Service Days per Month'!FA$4</f>
        <v>768.47619047619048</v>
      </c>
      <c r="FB19" s="18">
        <f>'Total Weekday Boardings'!FB19/'Service Days per Month'!FB$4</f>
        <v>681.72727272727275</v>
      </c>
      <c r="FC19" s="18">
        <f>'Total Weekday Boardings'!FC19/'Service Days per Month'!FC$4</f>
        <v>642.80952380952385</v>
      </c>
      <c r="FD19" s="18">
        <f>'Total Weekday Boardings'!FD19/'Service Days per Month'!FD$4</f>
        <v>838.1</v>
      </c>
      <c r="FE19" s="18">
        <f>'Total Weekday Boardings'!FE19/'Service Days per Month'!FE$4</f>
        <v>902.17391304347825</v>
      </c>
      <c r="FF19" s="18">
        <f>'Total Weekday Boardings'!FF19/'Service Days per Month'!FF$4</f>
        <v>874.42857142857144</v>
      </c>
      <c r="FG19" s="18">
        <f>'Total Weekday Boardings'!FG19/'Service Days per Month'!FG$4</f>
        <v>798.14285714285711</v>
      </c>
      <c r="FH19" s="19">
        <f>'Total Weekday Boardings'!FH19/'Service Days per Month'!FH$4</f>
        <v>651.68181818181813</v>
      </c>
      <c r="FI19" s="17">
        <v>698.5</v>
      </c>
      <c r="FJ19" s="18">
        <v>771.21739130434787</v>
      </c>
      <c r="FK19" s="18">
        <v>855.09523809523807</v>
      </c>
      <c r="FL19" s="18">
        <v>850.52380952380952</v>
      </c>
      <c r="FM19" s="18">
        <v>781.09523809523807</v>
      </c>
      <c r="FN19" s="18">
        <v>778.90476190476193</v>
      </c>
      <c r="FO19" s="18">
        <v>872.57142857142856</v>
      </c>
      <c r="FP19" s="18">
        <v>894.6</v>
      </c>
      <c r="FQ19" s="18">
        <v>931.08695652173913</v>
      </c>
      <c r="FR19" s="18">
        <f>'Total Weekday Boardings'!FR19/20</f>
        <v>996.9</v>
      </c>
      <c r="FS19" s="18">
        <f>'Total Weekday Boardings'!FS19/22</f>
        <v>945.18181818181813</v>
      </c>
      <c r="FT19" s="21">
        <f>'Total Weekday Boardings'!FT19/23</f>
        <v>845</v>
      </c>
      <c r="FU19" s="17">
        <f>'Total Weekday Boardings'!FU19/21</f>
        <v>799.80952380952385</v>
      </c>
      <c r="FV19" s="18">
        <f>'Total Weekday Boardings'!FV19/23</f>
        <v>870.78260869565213</v>
      </c>
      <c r="FW19" s="18">
        <f>'Total Weekday Boardings'!FW19/21</f>
        <v>897.61904761904759</v>
      </c>
      <c r="FX19" s="18">
        <f>'Total Weekday Boardings'!FX19/22</f>
        <v>1008.1363636363636</v>
      </c>
      <c r="FY19" s="18">
        <f>'Total Weekday Boardings'!FY19/22</f>
        <v>890.22727272727275</v>
      </c>
      <c r="FZ19" s="18">
        <f>'Total Weekday Boardings'!FZ19/21</f>
        <v>830.04761904761904</v>
      </c>
      <c r="GA19" s="18">
        <f>'Total Weekday Boardings'!GA19/23</f>
        <v>892.47826086956525</v>
      </c>
      <c r="GB19" s="18">
        <f>'Total Weekday Boardings'!GB19/21</f>
        <v>1058.3333333333333</v>
      </c>
      <c r="GC19" s="18">
        <f>'Total Weekday Boardings'!GC19/21</f>
        <v>1046.047619047619</v>
      </c>
      <c r="GD19" s="18">
        <f>'Total Weekday Boardings'!GD19/22</f>
        <v>991</v>
      </c>
      <c r="GE19" s="13">
        <f>'Total Weekday Boardings'!GE19/23</f>
        <v>971.56521739130437</v>
      </c>
      <c r="GF19" s="13">
        <f>'Total Weekday Boardings'!GF19/20</f>
        <v>1059.8499999999999</v>
      </c>
      <c r="GG19" s="21">
        <f>'Total Weekday Boardings'!GG19/23</f>
        <v>1011.695652173913</v>
      </c>
      <c r="GH19" s="13">
        <f>'Total Weekday Boardings'!GH19/22</f>
        <v>1109.6818181818182</v>
      </c>
      <c r="GI19" s="13">
        <f>'Total Weekday Boardings'!GI19/21</f>
        <v>1101.3333333333333</v>
      </c>
      <c r="GJ19" s="13">
        <f>'Total Weekday Boardings'!GJ19/23</f>
        <v>1017.2173913043479</v>
      </c>
      <c r="GK19" s="13">
        <f>'Total Weekday Boardings'!GK19/21</f>
        <v>887.61904761904759</v>
      </c>
      <c r="GL19" s="13">
        <f>'Total Weekday Boardings'!GL19/22</f>
        <v>820.31818181818187</v>
      </c>
    </row>
    <row r="20" spans="1:194" ht="15" thickBot="1" x14ac:dyDescent="0.35">
      <c r="A20" s="3" t="s">
        <v>13</v>
      </c>
      <c r="B20" s="17"/>
      <c r="C20" s="18">
        <f>'Total Weekday Boardings'!C20/'Service Days per Month'!C$4</f>
        <v>585.61904761904759</v>
      </c>
      <c r="D20" s="18">
        <f>'Total Weekday Boardings'!D20/'Service Days per Month'!D$4</f>
        <v>1339.2</v>
      </c>
      <c r="E20" s="18">
        <f>'Total Weekday Boardings'!E20/'Service Days per Month'!E$4</f>
        <v>1519</v>
      </c>
      <c r="F20" s="18">
        <f>'Total Weekday Boardings'!F20/'Service Days per Month'!F$4</f>
        <v>1866</v>
      </c>
      <c r="G20" s="18">
        <f>'Total Weekday Boardings'!G20/'Service Days per Month'!G$4</f>
        <v>1531.1</v>
      </c>
      <c r="H20" s="19">
        <f>'Total Weekday Boardings'!H20/'Service Days per Month'!H$4</f>
        <v>1574.1363636363637</v>
      </c>
      <c r="I20" s="17">
        <f>'Total Weekday Boardings'!I20/'Service Days per Month'!I$4</f>
        <v>1772.9565217391305</v>
      </c>
      <c r="J20" s="18">
        <f>'Total Weekday Boardings'!J20/'Service Days per Month'!J$4</f>
        <v>2311.2380952380954</v>
      </c>
      <c r="K20" s="18">
        <f>'Total Weekday Boardings'!K20/'Service Days per Month'!K$4</f>
        <v>2234.8571428571427</v>
      </c>
      <c r="L20" s="18">
        <f>'Total Weekday Boardings'!L20/'Service Days per Month'!L$4</f>
        <v>2426.681818181818</v>
      </c>
      <c r="M20" s="18">
        <f>'Total Weekday Boardings'!M20/'Service Days per Month'!M$4</f>
        <v>2378.9</v>
      </c>
      <c r="N20" s="18">
        <f>'Total Weekday Boardings'!N20/'Service Days per Month'!N$4</f>
        <v>1631.409090909091</v>
      </c>
      <c r="O20" s="18">
        <f>'Total Weekday Boardings'!O20/'Service Days per Month'!O$4</f>
        <v>2329.4</v>
      </c>
      <c r="P20" s="18">
        <f>'Total Weekday Boardings'!P20/'Service Days per Month'!P$4</f>
        <v>2052</v>
      </c>
      <c r="Q20" s="18">
        <f>'Total Weekday Boardings'!Q20/'Service Days per Month'!Q$4</f>
        <v>2055.9565217391305</v>
      </c>
      <c r="R20" s="18">
        <f>'Total Weekday Boardings'!R20/'Service Days per Month'!R$4</f>
        <v>2786.7727272727275</v>
      </c>
      <c r="S20" s="18">
        <f>'Total Weekday Boardings'!S20/'Service Days per Month'!S$4</f>
        <v>2318.9499999999998</v>
      </c>
      <c r="T20" s="19">
        <f>'Total Weekday Boardings'!T20/'Service Days per Month'!T$4</f>
        <v>816.31818181818187</v>
      </c>
      <c r="U20" s="17">
        <f>'Total Weekday Boardings'!U20/'Service Days per Month'!U$4</f>
        <v>670.14285714285711</v>
      </c>
      <c r="V20" s="18">
        <f>'Total Weekday Boardings'!V20/'Service Days per Month'!V$4</f>
        <v>790.36363636363637</v>
      </c>
      <c r="W20" s="18">
        <f>'Total Weekday Boardings'!W20/'Service Days per Month'!W$4</f>
        <v>855.61904761904759</v>
      </c>
      <c r="X20" s="18">
        <f>'Total Weekday Boardings'!X20/'Service Days per Month'!X$4</f>
        <v>874.66666666666663</v>
      </c>
      <c r="Y20" s="18">
        <f>'Total Weekday Boardings'!Y20/'Service Days per Month'!Y$4</f>
        <v>868.15789473684208</v>
      </c>
      <c r="Z20" s="18">
        <f>'Total Weekday Boardings'!Z20/'Service Days per Month'!Z$4</f>
        <v>815.80952380952385</v>
      </c>
      <c r="AA20" s="18">
        <f>'Total Weekday Boardings'!AA20/'Service Days per Month'!AA$4</f>
        <v>897.55</v>
      </c>
      <c r="AB20" s="18">
        <f>'Total Weekday Boardings'!AB20/'Service Days per Month'!AB$4</f>
        <v>901.9473684210526</v>
      </c>
      <c r="AC20" s="18">
        <f>'Total Weekday Boardings'!AC20/'Service Days per Month'!AC$4</f>
        <v>903.52173913043475</v>
      </c>
      <c r="AD20" s="18">
        <f>'Total Weekday Boardings'!AD20/'Service Days per Month'!AD$4</f>
        <v>964.19047619047615</v>
      </c>
      <c r="AE20" s="18">
        <f>'Total Weekday Boardings'!AE20/'Service Days per Month'!AE$4</f>
        <v>850.19047619047615</v>
      </c>
      <c r="AF20" s="19">
        <f>'Total Weekday Boardings'!AF20/'Service Days per Month'!AF$4</f>
        <v>805.72727272727275</v>
      </c>
      <c r="AG20" s="17">
        <f>'Total Weekday Boardings'!AG20/'Service Days per Month'!AG$4</f>
        <v>778.2</v>
      </c>
      <c r="AH20" s="18">
        <f>'Total Weekday Boardings'!AH20/'Service Days per Month'!AH$4</f>
        <v>847.13043478260875</v>
      </c>
      <c r="AI20" s="18">
        <f>'Total Weekday Boardings'!AI20/'Service Days per Month'!AI$4</f>
        <v>900.14285714285711</v>
      </c>
      <c r="AJ20" s="18">
        <f>'Total Weekday Boardings'!AJ20/'Service Days per Month'!AJ$4</f>
        <v>888.38095238095241</v>
      </c>
      <c r="AK20" s="18">
        <f>'Total Weekday Boardings'!AK20/'Service Days per Month'!AK$4</f>
        <v>822.89473684210532</v>
      </c>
      <c r="AL20" s="18">
        <f>'Total Weekday Boardings'!AL20/'Service Days per Month'!AL$4</f>
        <v>750.95238095238096</v>
      </c>
      <c r="AM20" s="18">
        <f>'Total Weekday Boardings'!AM20/'Service Days per Month'!AM$4</f>
        <v>829.55</v>
      </c>
      <c r="AN20" s="18">
        <f>'Total Weekday Boardings'!AN20/'Service Days per Month'!AN$4</f>
        <v>896.6</v>
      </c>
      <c r="AO20" s="18">
        <f>'Total Weekday Boardings'!AO20/'Service Days per Month'!AO$4</f>
        <v>906.40909090909088</v>
      </c>
      <c r="AP20" s="18">
        <f>'Total Weekday Boardings'!AP20/'Service Days per Month'!AP$4</f>
        <v>942.80952380952385</v>
      </c>
      <c r="AQ20" s="18">
        <f>'Total Weekday Boardings'!AQ20/'Service Days per Month'!AQ$4</f>
        <v>829.86363636363637</v>
      </c>
      <c r="AR20" s="19">
        <f>'Total Weekday Boardings'!AR20/'Service Days per Month'!AR$4</f>
        <v>748.09523809523807</v>
      </c>
      <c r="AS20" s="17">
        <f>'Total Weekday Boardings'!AS20/'Service Days per Month'!AS$4</f>
        <v>726.71428571428567</v>
      </c>
      <c r="AT20" s="18">
        <f>'Total Weekday Boardings'!AT20/'Service Days per Month'!AT$4</f>
        <v>835.82608695652175</v>
      </c>
      <c r="AU20" s="18">
        <f>'Total Weekday Boardings'!AU20/'Service Days per Month'!AU$4</f>
        <v>943.57894736842104</v>
      </c>
      <c r="AV20" s="18">
        <f>'Total Weekday Boardings'!AV20/'Service Days per Month'!AV$4</f>
        <v>959.695652173913</v>
      </c>
      <c r="AW20" s="18">
        <f>'Total Weekday Boardings'!AW20/'Service Days per Month'!AW$4</f>
        <v>1005.3157894736842</v>
      </c>
      <c r="AX20" s="18">
        <f>'Total Weekday Boardings'!AX20/'Service Days per Month'!AX$4</f>
        <v>909.15789473684208</v>
      </c>
      <c r="AY20" s="18">
        <f>'Total Weekday Boardings'!AY20/'Service Days per Month'!AY$4</f>
        <v>848.14285714285711</v>
      </c>
      <c r="AZ20" s="18">
        <f>'Total Weekday Boardings'!AZ20/'Service Days per Month'!AZ$4</f>
        <v>917.36842105263156</v>
      </c>
      <c r="BA20" s="18">
        <f>'Total Weekday Boardings'!BA20/'Service Days per Month'!BA$4</f>
        <v>935.47619047619048</v>
      </c>
      <c r="BB20" s="18">
        <f>'Total Weekday Boardings'!BB20/'Service Days per Month'!BB$4</f>
        <v>974.0454545454545</v>
      </c>
      <c r="BC20" s="18">
        <f>'Total Weekday Boardings'!BC20/'Service Days per Month'!BC$4</f>
        <v>926.63636363636363</v>
      </c>
      <c r="BD20" s="19">
        <f>'Total Weekday Boardings'!BD20/'Service Days per Month'!BD$4</f>
        <v>803.4</v>
      </c>
      <c r="BE20" s="17">
        <f>'Total Weekday Boardings'!BE20/'Service Days per Month'!BE$4</f>
        <v>762.4545454545455</v>
      </c>
      <c r="BF20" s="18">
        <f>'Total Weekday Boardings'!BF20/'Service Days per Month'!BF$4</f>
        <v>867.09090909090912</v>
      </c>
      <c r="BG20" s="18">
        <f>'Total Weekday Boardings'!BG20/'Service Days per Month'!BG$4</f>
        <v>955</v>
      </c>
      <c r="BH20" s="18">
        <f>'Total Weekday Boardings'!BH20/'Service Days per Month'!BH$4</f>
        <v>984.21739130434787</v>
      </c>
      <c r="BI20" s="18">
        <f>'Total Weekday Boardings'!BI20/'Service Days per Month'!BI$4</f>
        <v>1045.8855809481299</v>
      </c>
      <c r="BJ20" s="18">
        <f>'Total Weekday Boardings'!BJ20/'Service Days per Month'!BJ$4</f>
        <v>920.35</v>
      </c>
      <c r="BK20" s="18">
        <f>'Total Weekday Boardings'!BK20/'Service Days per Month'!BK$4</f>
        <v>1032.4761904761904</v>
      </c>
      <c r="BL20" s="18">
        <f>'Total Weekday Boardings'!BL20/'Service Days per Month'!BL$4</f>
        <v>1042.1578947368421</v>
      </c>
      <c r="BM20" s="18">
        <f>'Total Weekday Boardings'!BM20/'Service Days per Month'!BM$4</f>
        <v>1325.9047619047619</v>
      </c>
      <c r="BN20" s="18">
        <f>'Total Weekday Boardings'!BN20/'Service Days per Month'!BN$4</f>
        <v>997.5</v>
      </c>
      <c r="BO20" s="18">
        <f>'Total Weekday Boardings'!BO20/'Service Days per Month'!BO$4</f>
        <v>958.66666666666663</v>
      </c>
      <c r="BP20" s="19">
        <f>'Total Weekday Boardings'!BP20/'Service Days per Month'!BP$4</f>
        <v>905.80952380952385</v>
      </c>
      <c r="BQ20" s="17">
        <f>'Total Weekday Boardings'!BQ20/'Service Days per Month'!BQ$4</f>
        <v>810.13636363636363</v>
      </c>
      <c r="BR20" s="18">
        <f>'Total Weekday Boardings'!BR20/'Service Days per Month'!BR$4</f>
        <v>947.09523809523807</v>
      </c>
      <c r="BS20" s="18">
        <f>'Total Weekday Boardings'!BS20/'Service Days per Month'!BS$4</f>
        <v>1020.4761904761905</v>
      </c>
      <c r="BT20" s="18">
        <f>'Total Weekday Boardings'!BT20/'Service Days per Month'!BT$4</f>
        <v>1071.608695652174</v>
      </c>
      <c r="BU20" s="18">
        <f>'Total Weekday Boardings'!BU20/'Service Days per Month'!BU$4</f>
        <v>1055.2352941176471</v>
      </c>
      <c r="BV20" s="18">
        <f>'Total Weekday Boardings'!BV20/'Service Days per Month'!BV$4</f>
        <v>905.71428571428567</v>
      </c>
      <c r="BW20" s="18">
        <f>'Total Weekday Boardings'!BW20/'Service Days per Month'!BW$4</f>
        <v>1098.7</v>
      </c>
      <c r="BX20" s="18">
        <f>'Total Weekday Boardings'!BX20/'Service Days per Month'!BX$4</f>
        <v>1124.8421052631579</v>
      </c>
      <c r="BY20" s="18">
        <f>'Total Weekday Boardings'!BY20/'Service Days per Month'!BY$4</f>
        <v>1128.9545454545455</v>
      </c>
      <c r="BZ20" s="18">
        <f>'Total Weekday Boardings'!BZ20/'Service Days per Month'!BZ$4</f>
        <v>1110.4545454545455</v>
      </c>
      <c r="CA20" s="18">
        <f>'Total Weekday Boardings'!CA20/'Service Days per Month'!CA$4</f>
        <v>999.7</v>
      </c>
      <c r="CB20" s="19">
        <f>'Total Weekday Boardings'!CB20/'Service Days per Month'!CB$4</f>
        <v>924.81818181818187</v>
      </c>
      <c r="CC20" s="20">
        <f>'Total Weekday Boardings'!CC20/'Service Days per Month'!CC$4</f>
        <v>938.5</v>
      </c>
      <c r="CD20" s="18">
        <f>'Total Weekday Boardings'!CD20/'Service Days per Month'!CD$4</f>
        <v>1060.952380952381</v>
      </c>
      <c r="CE20" s="18">
        <f>'Total Weekday Boardings'!CE20/'Service Days per Month'!CE$4</f>
        <v>1098.8095238095239</v>
      </c>
      <c r="CF20" s="18">
        <f>'Total Weekday Boardings'!CF20/'Service Days per Month'!CF$4</f>
        <v>1141.090909090909</v>
      </c>
      <c r="CG20" s="18">
        <f>'Total Weekday Boardings'!CG20/'Service Days per Month'!CG$4</f>
        <v>1196.1666666666667</v>
      </c>
      <c r="CH20" s="18">
        <f>'Total Weekday Boardings'!CH20/'Service Days per Month'!CH$4</f>
        <v>1026.4285714285713</v>
      </c>
      <c r="CI20" s="18">
        <f>'Total Weekday Boardings'!CI20/'Service Days per Month'!CI$4</f>
        <v>995.42105263157896</v>
      </c>
      <c r="CJ20" s="18">
        <f>'Total Weekday Boardings'!CJ20/'Service Days per Month'!CJ$4</f>
        <v>1096.6500000000001</v>
      </c>
      <c r="CK20" s="18">
        <f>'Total Weekday Boardings'!CK20/'Service Days per Month'!CK$4</f>
        <v>1111.0869565217392</v>
      </c>
      <c r="CL20" s="18">
        <f>'Total Weekday Boardings'!CL20/'Service Days per Month'!CL$4</f>
        <v>1120.6190476190477</v>
      </c>
      <c r="CM20" s="18">
        <f>'Total Weekday Boardings'!CM20/'Service Days per Month'!CM$4</f>
        <v>1026.952380952381</v>
      </c>
      <c r="CN20" s="21">
        <f>'Total Weekday Boardings'!CN20/'Service Days per Month'!CN$4</f>
        <v>970.09090909090912</v>
      </c>
      <c r="CO20" s="17">
        <f>'Total Weekday Boardings'!CO20/'Service Days per Month'!CO$4</f>
        <v>967.55</v>
      </c>
      <c r="CP20" s="18">
        <f>'Total Weekday Boardings'!CP20/'Service Days per Month'!CP$4</f>
        <v>1046.6521739130435</v>
      </c>
      <c r="CQ20" s="18">
        <f>'Total Weekday Boardings'!CQ20/'Service Days per Month'!CQ$4</f>
        <v>1062.1428571428571</v>
      </c>
      <c r="CR20" s="18">
        <f>'Total Weekday Boardings'!CR20/'Service Days per Month'!CR$4</f>
        <v>1080.0952380952381</v>
      </c>
      <c r="CS20" s="18">
        <f>'Total Weekday Boardings'!CS20/'Service Days per Month'!CS$4</f>
        <v>1028.0526315789473</v>
      </c>
      <c r="CT20" s="18">
        <f>'Total Weekday Boardings'!CT20/'Service Days per Month'!CT$4</f>
        <v>960.38095238095241</v>
      </c>
      <c r="CU20" s="18">
        <f>'Total Weekday Boardings'!CU20/'Service Days per Month'!CU$4</f>
        <v>1016.05</v>
      </c>
      <c r="CV20" s="18">
        <f>'Total Weekday Boardings'!CV20/'Service Days per Month'!CV$4</f>
        <v>1119.3684210526317</v>
      </c>
      <c r="CW20" s="18">
        <f>'Total Weekday Boardings'!CW20/'Service Days per Month'!CW$4</f>
        <v>1237.2173913043478</v>
      </c>
      <c r="CX20" s="18">
        <f>'Total Weekday Boardings'!CX20/'Service Days per Month'!CX$4</f>
        <v>1132.25</v>
      </c>
      <c r="CY20" s="18">
        <f>'Total Weekday Boardings'!CY20/'Service Days per Month'!CY$4</f>
        <v>1072.1818181818182</v>
      </c>
      <c r="CZ20" s="19">
        <f>'Total Weekday Boardings'!CZ20/'Service Days per Month'!CZ$4</f>
        <v>972.18181818181813</v>
      </c>
      <c r="DA20" s="17">
        <f>'Total Weekday Boardings'!DA20/'Service Days per Month'!DA$4</f>
        <v>948.05</v>
      </c>
      <c r="DB20" s="18">
        <f>'Total Weekday Boardings'!DB20/'Service Days per Month'!DB$4</f>
        <v>1094.695652173913</v>
      </c>
      <c r="DC20" s="18">
        <f>'Total Weekday Boardings'!DC20/'Service Days per Month'!DC$4</f>
        <v>1090.6500000000001</v>
      </c>
      <c r="DD20" s="18">
        <f>'Total Weekday Boardings'!DD20/'Service Days per Month'!DD$4</f>
        <v>1105.5454545454545</v>
      </c>
      <c r="DE20" s="18">
        <f>'Total Weekday Boardings'!DE20/'Service Days per Month'!DE$4</f>
        <v>1064.8947368421052</v>
      </c>
      <c r="DF20" s="18">
        <f>'Total Weekday Boardings'!DF20/'Service Days per Month'!DF$4</f>
        <v>959.55</v>
      </c>
      <c r="DG20" s="18">
        <f>'Total Weekday Boardings'!DG20/'Service Days per Month'!DG$4</f>
        <v>1023.2857142857143</v>
      </c>
      <c r="DH20" s="18">
        <f>'Total Weekday Boardings'!DH20/'Service Days per Month'!DH$4</f>
        <v>1087.3684210526317</v>
      </c>
      <c r="DI20" s="18">
        <f>'Total Weekday Boardings'!DI20/'Service Days per Month'!DI$4</f>
        <v>1080.909090909091</v>
      </c>
      <c r="DJ20" s="18">
        <f>'Total Weekday Boardings'!DJ20/'Service Days per Month'!DJ$4</f>
        <v>1069.2380952380952</v>
      </c>
      <c r="DK20" s="18">
        <f>'Total Weekday Boardings'!DK20/'Service Days per Month'!DK$4</f>
        <v>1001.0909090909091</v>
      </c>
      <c r="DL20" s="19">
        <f>'Total Weekday Boardings'!DL20/'Service Days per Month'!DL$4</f>
        <v>927.38095238095241</v>
      </c>
      <c r="DM20" s="17">
        <f>'Total Weekday Boardings'!DM20/'Service Days per Month'!DM$4</f>
        <v>895.28571428571433</v>
      </c>
      <c r="DN20" s="18">
        <f>'Total Weekday Boardings'!DN20/'Service Days per Month'!DN$4</f>
        <v>984.86956521739125</v>
      </c>
      <c r="DO20" s="18">
        <f>'Total Weekday Boardings'!DO20/'Service Days per Month'!DO$4</f>
        <v>981.15789473684208</v>
      </c>
      <c r="DP20" s="18">
        <f>'Total Weekday Boardings'!DP20/'Service Days per Month'!DP$4</f>
        <v>1008.1304347826087</v>
      </c>
      <c r="DQ20" s="18">
        <f>'Total Weekday Boardings'!DQ20/'Service Days per Month'!DQ$4</f>
        <v>975.38095238095241</v>
      </c>
      <c r="DR20" s="18">
        <f>'Total Weekday Boardings'!DR20/'Service Days per Month'!DR$4</f>
        <v>920</v>
      </c>
      <c r="DS20" s="18">
        <f>'Total Weekday Boardings'!DS20/'Service Days per Month'!DS$4</f>
        <v>961.5</v>
      </c>
      <c r="DT20" s="18">
        <f>'Total Weekday Boardings'!DT20/'Service Days per Month'!DT$4</f>
        <v>947.55</v>
      </c>
      <c r="DU20" s="18">
        <f>'Total Weekday Boardings'!DU20/'Service Days per Month'!DU$4</f>
        <v>1012.6190476190476</v>
      </c>
      <c r="DV20" s="18">
        <f>'Total Weekday Boardings'!DV20/'Service Days per Month'!DV$4</f>
        <v>973.22727272727275</v>
      </c>
      <c r="DW20" s="18">
        <f>'Total Weekday Boardings'!DW20/'Service Days per Month'!DW$4</f>
        <v>906.13636363636363</v>
      </c>
      <c r="DX20" s="19">
        <f>'Total Weekday Boardings'!DX20/'Service Days per Month'!DX$4</f>
        <v>873.9</v>
      </c>
      <c r="DY20" s="17">
        <f>'Total Weekday Boardings'!DY20/'Service Days per Month'!DY$4</f>
        <v>761.4545454545455</v>
      </c>
      <c r="DZ20" s="18">
        <f>'Total Weekday Boardings'!DZ20/'Service Days per Month'!DZ$4</f>
        <v>878.72727272727275</v>
      </c>
      <c r="EA20" s="18">
        <f>'Total Weekday Boardings'!EA20/'Service Days per Month'!EA$4</f>
        <v>904</v>
      </c>
      <c r="EB20" s="18">
        <f>'Total Weekday Boardings'!EB20/'Service Days per Month'!EB$4</f>
        <v>925.04347826086962</v>
      </c>
      <c r="EC20" s="18">
        <f>'Total Weekday Boardings'!EC20/'Service Days per Month'!EC$4</f>
        <v>947</v>
      </c>
      <c r="ED20" s="18">
        <f>'Total Weekday Boardings'!ED20/'Service Days per Month'!ED$4</f>
        <v>839.52380952380952</v>
      </c>
      <c r="EE20" s="18">
        <f>'Total Weekday Boardings'!EE20/'Service Days per Month'!EE$4</f>
        <v>883.304347826087</v>
      </c>
      <c r="EF20" s="18">
        <f>'Total Weekday Boardings'!EF20/'Service Days per Month'!EF$4</f>
        <v>968</v>
      </c>
      <c r="EG20" s="18">
        <f>'Total Weekday Boardings'!EG20/'Service Days per Month'!EG$4</f>
        <v>710.13636363636363</v>
      </c>
      <c r="EH20" s="18">
        <f>'Total Weekday Boardings'!EH20/'Service Days per Month'!EH$4</f>
        <v>372.63636363636363</v>
      </c>
      <c r="EI20" s="18">
        <f>'Total Weekday Boardings'!EI20/'Service Days per Month'!EI$4</f>
        <v>393.15</v>
      </c>
      <c r="EJ20" s="19">
        <f>'Total Weekday Boardings'!EJ20/'Service Days per Month'!EJ$4</f>
        <v>346</v>
      </c>
      <c r="EK20" s="17">
        <f>'Total Weekday Boardings'!EK20/'Service Days per Month'!EK$4</f>
        <v>336.13636363636363</v>
      </c>
      <c r="EL20" s="18">
        <f>'Total Weekday Boardings'!EL20/'Service Days per Month'!EL$4</f>
        <v>338</v>
      </c>
      <c r="EM20" s="18">
        <f>'Total Weekday Boardings'!EM20/'Service Days per Month'!EM$4</f>
        <v>365.71428571428572</v>
      </c>
      <c r="EN20" s="18">
        <f>'Total Weekday Boardings'!EN20/'Service Days per Month'!EN$4</f>
        <v>376.31818181818181</v>
      </c>
      <c r="EO20" s="18">
        <f>'Total Weekday Boardings'!EO20/'Service Days per Month'!EO$4</f>
        <v>457</v>
      </c>
      <c r="EP20" s="18">
        <f>'Total Weekday Boardings'!EP20/'Service Days per Month'!EP$4</f>
        <v>290.63636363636363</v>
      </c>
      <c r="EQ20" s="18">
        <f>'Total Weekday Boardings'!EQ20/'Service Days per Month'!EQ$4</f>
        <v>156.42857142857142</v>
      </c>
      <c r="ER20" s="18">
        <f>'Total Weekday Boardings'!ER20/'Service Days per Month'!ER$4</f>
        <v>330.9</v>
      </c>
      <c r="ES20" s="18">
        <f>'Total Weekday Boardings'!ES20/'Service Days per Month'!ES$4</f>
        <v>345.21739130434781</v>
      </c>
      <c r="ET20" s="18">
        <f>'Total Weekday Boardings'!ET20/'Service Days per Month'!ET$4</f>
        <v>397.31818181818181</v>
      </c>
      <c r="EU20" s="18">
        <f>'Total Weekday Boardings'!EU20/'Service Days per Month'!EU$4</f>
        <v>407.05</v>
      </c>
      <c r="EV20" s="19">
        <f>'Total Weekday Boardings'!EV20/'Service Days per Month'!EV$4</f>
        <v>436.22727272727275</v>
      </c>
      <c r="EW20" s="17">
        <f>'Total Weekday Boardings'!EW20/'Service Days per Month'!EW$4</f>
        <v>418.09523809523807</v>
      </c>
      <c r="EX20" s="18">
        <f>'Total Weekday Boardings'!EX20/'Service Days per Month'!EX$4</f>
        <v>459.22727272727275</v>
      </c>
      <c r="EY20" s="18">
        <f>'Total Weekday Boardings'!EY20/'Service Days per Month'!EY$4</f>
        <v>482.76190476190476</v>
      </c>
      <c r="EZ20" s="18">
        <f>'Total Weekday Boardings'!EZ20/'Service Days per Month'!EZ$4</f>
        <v>517.71428571428567</v>
      </c>
      <c r="FA20" s="18">
        <f>'Total Weekday Boardings'!FA20/'Service Days per Month'!FA$4</f>
        <v>505.76190476190476</v>
      </c>
      <c r="FB20" s="18">
        <f>'Total Weekday Boardings'!FB20/'Service Days per Month'!FB$4</f>
        <v>489.95454545454544</v>
      </c>
      <c r="FC20" s="18">
        <f>'Total Weekday Boardings'!FC20/'Service Days per Month'!FC$4</f>
        <v>435.8095238095238</v>
      </c>
      <c r="FD20" s="18">
        <f>'Total Weekday Boardings'!FD20/'Service Days per Month'!FD$4</f>
        <v>592.1</v>
      </c>
      <c r="FE20" s="18">
        <f>'Total Weekday Boardings'!FE20/'Service Days per Month'!FE$4</f>
        <v>672.21739130434787</v>
      </c>
      <c r="FF20" s="18">
        <f>'Total Weekday Boardings'!FF20/'Service Days per Month'!FF$4</f>
        <v>826.61904761904759</v>
      </c>
      <c r="FG20" s="18">
        <f>'Total Weekday Boardings'!FG20/'Service Days per Month'!FG$4</f>
        <v>757.66666666666663</v>
      </c>
      <c r="FH20" s="19">
        <f>'Total Weekday Boardings'!FH20/'Service Days per Month'!FH$4</f>
        <v>533.36363636363637</v>
      </c>
      <c r="FI20" s="17">
        <v>469.75</v>
      </c>
      <c r="FJ20" s="18">
        <v>520.304347826087</v>
      </c>
      <c r="FK20" s="18">
        <v>587.52380952380952</v>
      </c>
      <c r="FL20" s="18">
        <v>587.57142857142856</v>
      </c>
      <c r="FM20" s="18">
        <v>543.61904761904759</v>
      </c>
      <c r="FN20" s="18">
        <v>508.61904761904759</v>
      </c>
      <c r="FO20" s="18">
        <v>563.85714285714289</v>
      </c>
      <c r="FP20" s="18">
        <v>749.6</v>
      </c>
      <c r="FQ20" s="18">
        <v>687.47826086956525</v>
      </c>
      <c r="FR20" s="18">
        <f>'Total Weekday Boardings'!FR20/20</f>
        <v>713.25</v>
      </c>
      <c r="FS20" s="18">
        <f>'Total Weekday Boardings'!FS20/22</f>
        <v>704.81818181818187</v>
      </c>
      <c r="FT20" s="21">
        <f>'Total Weekday Boardings'!FT20/23</f>
        <v>592.17391304347825</v>
      </c>
      <c r="FU20" s="17">
        <f>'Total Weekday Boardings'!FU20/21</f>
        <v>561.80952380952385</v>
      </c>
      <c r="FV20" s="18">
        <f>'Total Weekday Boardings'!FV20/23</f>
        <v>567.82608695652175</v>
      </c>
      <c r="FW20" s="18">
        <f>'Total Weekday Boardings'!FW20/21</f>
        <v>591.09523809523807</v>
      </c>
      <c r="FX20" s="18">
        <f>'Total Weekday Boardings'!FX20/22</f>
        <v>735.13636363636363</v>
      </c>
      <c r="FY20" s="18">
        <f>'Total Weekday Boardings'!FY20/22</f>
        <v>657.5454545454545</v>
      </c>
      <c r="FZ20" s="18">
        <f>'Total Weekday Boardings'!FZ20/21</f>
        <v>638.04761904761904</v>
      </c>
      <c r="GA20" s="18">
        <f>'Total Weekday Boardings'!GA20/23</f>
        <v>699.56521739130437</v>
      </c>
      <c r="GB20" s="18">
        <f>'Total Weekday Boardings'!GB20/21</f>
        <v>757.90476190476193</v>
      </c>
      <c r="GC20" s="18">
        <f>'Total Weekday Boardings'!GC20/21</f>
        <v>743.90476190476193</v>
      </c>
      <c r="GD20" s="18">
        <f>'Total Weekday Boardings'!GD20/22</f>
        <v>744.22727272727275</v>
      </c>
      <c r="GE20" s="13">
        <f>'Total Weekday Boardings'!GE20/23</f>
        <v>664.17391304347825</v>
      </c>
      <c r="GF20" s="13">
        <f>'Total Weekday Boardings'!GF20/20</f>
        <v>688.95</v>
      </c>
      <c r="GG20" s="21">
        <f>'Total Weekday Boardings'!GG20/23</f>
        <v>631.695652173913</v>
      </c>
      <c r="GH20" s="13">
        <f>'Total Weekday Boardings'!GH20/22</f>
        <v>699.86363636363637</v>
      </c>
      <c r="GI20" s="13">
        <f>'Total Weekday Boardings'!GI20/21</f>
        <v>685.66666666666663</v>
      </c>
      <c r="GJ20" s="13">
        <f>'Total Weekday Boardings'!GJ20/23</f>
        <v>674.82608695652175</v>
      </c>
      <c r="GK20" s="13">
        <f>'Total Weekday Boardings'!GK20/21</f>
        <v>643.33333333333337</v>
      </c>
      <c r="GL20" s="13">
        <f>'Total Weekday Boardings'!GL20/22</f>
        <v>572.5454545454545</v>
      </c>
    </row>
    <row r="21" spans="1:194" ht="15" thickBot="1" x14ac:dyDescent="0.35">
      <c r="A21" s="3" t="s">
        <v>34</v>
      </c>
      <c r="B21" s="17"/>
      <c r="C21" s="18">
        <f>'Total Weekday Boardings'!C21/'Service Days per Month'!C$4</f>
        <v>1171.5714285714287</v>
      </c>
      <c r="D21" s="18">
        <f>'Total Weekday Boardings'!D21/'Service Days per Month'!D$4</f>
        <v>1268.45</v>
      </c>
      <c r="E21" s="18">
        <f>'Total Weekday Boardings'!E21/'Service Days per Month'!E$4</f>
        <v>1242.8181818181818</v>
      </c>
      <c r="F21" s="18">
        <f>'Total Weekday Boardings'!F21/'Service Days per Month'!F$4</f>
        <v>1351.6363636363637</v>
      </c>
      <c r="G21" s="18">
        <f>'Total Weekday Boardings'!G21/'Service Days per Month'!G$4</f>
        <v>1036.9000000000001</v>
      </c>
      <c r="H21" s="19">
        <f>'Total Weekday Boardings'!H21/'Service Days per Month'!H$4</f>
        <v>1228.409090909091</v>
      </c>
      <c r="I21" s="17">
        <f>'Total Weekday Boardings'!I21/'Service Days per Month'!I$4</f>
        <v>926.82608695652175</v>
      </c>
      <c r="J21" s="18">
        <f>'Total Weekday Boardings'!J21/'Service Days per Month'!J$4</f>
        <v>1112.952380952381</v>
      </c>
      <c r="K21" s="18">
        <f>'Total Weekday Boardings'!K21/'Service Days per Month'!K$4</f>
        <v>1032.2380952380952</v>
      </c>
      <c r="L21" s="18">
        <f>'Total Weekday Boardings'!L21/'Service Days per Month'!L$4</f>
        <v>1069.9545454545455</v>
      </c>
      <c r="M21" s="18">
        <f>'Total Weekday Boardings'!M21/'Service Days per Month'!M$4</f>
        <v>1139.8499999999999</v>
      </c>
      <c r="N21" s="18">
        <f>'Total Weekday Boardings'!N21/'Service Days per Month'!N$4</f>
        <v>1039.3181818181818</v>
      </c>
      <c r="O21" s="18">
        <f>'Total Weekday Boardings'!O21/'Service Days per Month'!O$4</f>
        <v>1027.05</v>
      </c>
      <c r="P21" s="18">
        <f>'Total Weekday Boardings'!P21/'Service Days per Month'!P$4</f>
        <v>1169.0999999999999</v>
      </c>
      <c r="Q21" s="18">
        <f>'Total Weekday Boardings'!Q21/'Service Days per Month'!Q$4</f>
        <v>1171.3478260869565</v>
      </c>
      <c r="R21" s="18">
        <f>'Total Weekday Boardings'!R21/'Service Days per Month'!R$4</f>
        <v>1228.7272727272727</v>
      </c>
      <c r="S21" s="18">
        <f>'Total Weekday Boardings'!S21/'Service Days per Month'!S$4</f>
        <v>1007.95</v>
      </c>
      <c r="T21" s="19">
        <f>'Total Weekday Boardings'!T21/'Service Days per Month'!T$4</f>
        <v>1077.2272727272727</v>
      </c>
      <c r="U21" s="17">
        <f>'Total Weekday Boardings'!U21/'Service Days per Month'!U$4</f>
        <v>957.66666666666663</v>
      </c>
      <c r="V21" s="18">
        <f>'Total Weekday Boardings'!V21/'Service Days per Month'!V$4</f>
        <v>1486.6818181818182</v>
      </c>
      <c r="W21" s="18">
        <f>'Total Weekday Boardings'!W21/'Service Days per Month'!W$4</f>
        <v>1974.1428571428571</v>
      </c>
      <c r="X21" s="18">
        <f>'Total Weekday Boardings'!X21/'Service Days per Month'!X$4</f>
        <v>1849.5714285714287</v>
      </c>
      <c r="Y21" s="18">
        <f>'Total Weekday Boardings'!Y21/'Service Days per Month'!Y$4</f>
        <v>1735.421052631579</v>
      </c>
      <c r="Z21" s="18">
        <f>'Total Weekday Boardings'!Z21/'Service Days per Month'!Z$4</f>
        <v>1188.7142857142858</v>
      </c>
      <c r="AA21" s="18">
        <f>'Total Weekday Boardings'!AA21/'Service Days per Month'!AA$4</f>
        <v>1524.6</v>
      </c>
      <c r="AB21" s="18">
        <f>'Total Weekday Boardings'!AB21/'Service Days per Month'!AB$4</f>
        <v>1748.0526315789473</v>
      </c>
      <c r="AC21" s="18">
        <f>'Total Weekday Boardings'!AC21/'Service Days per Month'!AC$4</f>
        <v>1557.1739130434783</v>
      </c>
      <c r="AD21" s="18">
        <f>'Total Weekday Boardings'!AD21/'Service Days per Month'!AD$4</f>
        <v>1598.5238095238096</v>
      </c>
      <c r="AE21" s="18">
        <f>'Total Weekday Boardings'!AE21/'Service Days per Month'!AE$4</f>
        <v>1098.2380952380952</v>
      </c>
      <c r="AF21" s="19">
        <f>'Total Weekday Boardings'!AF21/'Service Days per Month'!AF$4</f>
        <v>1046</v>
      </c>
      <c r="AG21" s="17">
        <f>'Total Weekday Boardings'!AG21/'Service Days per Month'!AG$4</f>
        <v>1062.95</v>
      </c>
      <c r="AH21" s="18">
        <f>'Total Weekday Boardings'!AH21/'Service Days per Month'!AH$4</f>
        <v>1576</v>
      </c>
      <c r="AI21" s="18">
        <f>'Total Weekday Boardings'!AI21/'Service Days per Month'!AI$4</f>
        <v>2077.0476190476193</v>
      </c>
      <c r="AJ21" s="18">
        <f>'Total Weekday Boardings'!AJ21/'Service Days per Month'!AJ$4</f>
        <v>1948.1904761904761</v>
      </c>
      <c r="AK21" s="18">
        <f>'Total Weekday Boardings'!AK21/'Service Days per Month'!AK$4</f>
        <v>1794.2105263157894</v>
      </c>
      <c r="AL21" s="18">
        <f>'Total Weekday Boardings'!AL21/'Service Days per Month'!AL$4</f>
        <v>1202.7142857142858</v>
      </c>
      <c r="AM21" s="18">
        <f>'Total Weekday Boardings'!AM21/'Service Days per Month'!AM$4</f>
        <v>2067.5500000000002</v>
      </c>
      <c r="AN21" s="18">
        <f>'Total Weekday Boardings'!AN21/'Service Days per Month'!AN$4</f>
        <v>2040.25</v>
      </c>
      <c r="AO21" s="18">
        <f>'Total Weekday Boardings'!AO21/'Service Days per Month'!AO$4</f>
        <v>2019.0454545454545</v>
      </c>
      <c r="AP21" s="18">
        <f>'Total Weekday Boardings'!AP21/'Service Days per Month'!AP$4</f>
        <v>2193.9047619047619</v>
      </c>
      <c r="AQ21" s="18">
        <f>'Total Weekday Boardings'!AQ21/'Service Days per Month'!AQ$4</f>
        <v>2003.3181818181818</v>
      </c>
      <c r="AR21" s="19">
        <f>'Total Weekday Boardings'!AR21/'Service Days per Month'!AR$4</f>
        <v>1831.3809523809523</v>
      </c>
      <c r="AS21" s="17">
        <f>'Total Weekday Boardings'!AS21/'Service Days per Month'!AS$4</f>
        <v>1733.0952380952381</v>
      </c>
      <c r="AT21" s="18">
        <f>'Total Weekday Boardings'!AT21/'Service Days per Month'!AT$4</f>
        <v>2122.8695652173915</v>
      </c>
      <c r="AU21" s="18">
        <f>'Total Weekday Boardings'!AU21/'Service Days per Month'!AU$4</f>
        <v>1921.9473684210527</v>
      </c>
      <c r="AV21" s="18">
        <f>'Total Weekday Boardings'!AV21/'Service Days per Month'!AV$4</f>
        <v>2323.3478260869565</v>
      </c>
      <c r="AW21" s="18">
        <f>'Total Weekday Boardings'!AW21/'Service Days per Month'!AW$4</f>
        <v>2431.6842105263158</v>
      </c>
      <c r="AX21" s="18">
        <f>'Total Weekday Boardings'!AX21/'Service Days per Month'!AX$4</f>
        <v>2120.8421052631579</v>
      </c>
      <c r="AY21" s="18">
        <f>'Total Weekday Boardings'!AY21/'Service Days per Month'!AY$4</f>
        <v>2151.6190476190477</v>
      </c>
      <c r="AZ21" s="18">
        <f>'Total Weekday Boardings'!AZ21/'Service Days per Month'!AZ$4</f>
        <v>2308.1578947368421</v>
      </c>
      <c r="BA21" s="18">
        <f>'Total Weekday Boardings'!BA21/'Service Days per Month'!BA$4</f>
        <v>2123.8571428571427</v>
      </c>
      <c r="BB21" s="18">
        <f>'Total Weekday Boardings'!BB21/'Service Days per Month'!BB$4</f>
        <v>2230.1363636363635</v>
      </c>
      <c r="BC21" s="18">
        <f>'Total Weekday Boardings'!BC21/'Service Days per Month'!BC$4</f>
        <v>2010.909090909091</v>
      </c>
      <c r="BD21" s="19">
        <f>'Total Weekday Boardings'!BD21/'Service Days per Month'!BD$4</f>
        <v>1868.45</v>
      </c>
      <c r="BE21" s="17">
        <f>'Total Weekday Boardings'!BE21/'Service Days per Month'!BE$4</f>
        <v>1778.3181818181818</v>
      </c>
      <c r="BF21" s="18">
        <f>'Total Weekday Boardings'!BF21/'Service Days per Month'!BF$4</f>
        <v>2195.4545454545455</v>
      </c>
      <c r="BG21" s="18">
        <f>'Total Weekday Boardings'!BG21/'Service Days per Month'!BG$4</f>
        <v>2409.1</v>
      </c>
      <c r="BH21" s="18">
        <f>'Total Weekday Boardings'!BH21/'Service Days per Month'!BH$4</f>
        <v>2297.2608695652175</v>
      </c>
      <c r="BI21" s="18">
        <f>'Total Weekday Boardings'!BI21/'Service Days per Month'!BI$4</f>
        <v>2392.6293044679096</v>
      </c>
      <c r="BJ21" s="18">
        <f>'Total Weekday Boardings'!BJ21/'Service Days per Month'!BJ$4</f>
        <v>2016.3</v>
      </c>
      <c r="BK21" s="18">
        <f>'Total Weekday Boardings'!BK21/'Service Days per Month'!BK$4</f>
        <v>2280.1904761904761</v>
      </c>
      <c r="BL21" s="18">
        <f>'Total Weekday Boardings'!BL21/'Service Days per Month'!BL$4</f>
        <v>2358.6315789473683</v>
      </c>
      <c r="BM21" s="18">
        <f>'Total Weekday Boardings'!BM21/'Service Days per Month'!BM$4</f>
        <v>2247.4761904761904</v>
      </c>
      <c r="BN21" s="18">
        <f>'Total Weekday Boardings'!BN21/'Service Days per Month'!BN$4</f>
        <v>2244.590909090909</v>
      </c>
      <c r="BO21" s="18">
        <f>'Total Weekday Boardings'!BO21/'Service Days per Month'!BO$4</f>
        <v>2124.1428571428573</v>
      </c>
      <c r="BP21" s="19">
        <f>'Total Weekday Boardings'!BP21/'Service Days per Month'!BP$4</f>
        <v>1926.7619047619048</v>
      </c>
      <c r="BQ21" s="17">
        <f>'Total Weekday Boardings'!BQ21/'Service Days per Month'!BQ$4</f>
        <v>1817.7272727272727</v>
      </c>
      <c r="BR21" s="18">
        <f>'Total Weekday Boardings'!BR21/'Service Days per Month'!BR$4</f>
        <v>2176.8095238095239</v>
      </c>
      <c r="BS21" s="18">
        <f>'Total Weekday Boardings'!BS21/'Service Days per Month'!BS$4</f>
        <v>2296.7619047619046</v>
      </c>
      <c r="BT21" s="18">
        <f>'Total Weekday Boardings'!BT21/'Service Days per Month'!BT$4</f>
        <v>2321.217391304348</v>
      </c>
      <c r="BU21" s="18">
        <f>'Total Weekday Boardings'!BU21/'Service Days per Month'!BU$4</f>
        <v>2356.294117647059</v>
      </c>
      <c r="BV21" s="18">
        <f>'Total Weekday Boardings'!BV21/'Service Days per Month'!BV$4</f>
        <v>2040.3809523809523</v>
      </c>
      <c r="BW21" s="18">
        <f>'Total Weekday Boardings'!BW21/'Service Days per Month'!BW$4</f>
        <v>2347.9</v>
      </c>
      <c r="BX21" s="18">
        <f>'Total Weekday Boardings'!BX21/'Service Days per Month'!BX$4</f>
        <v>2288.8947368421054</v>
      </c>
      <c r="BY21" s="18">
        <f>'Total Weekday Boardings'!BY21/'Service Days per Month'!BY$4</f>
        <v>2157.4545454545455</v>
      </c>
      <c r="BZ21" s="18">
        <f>'Total Weekday Boardings'!BZ21/'Service Days per Month'!BZ$4</f>
        <v>2155.1363636363635</v>
      </c>
      <c r="CA21" s="18">
        <f>'Total Weekday Boardings'!CA21/'Service Days per Month'!CA$4</f>
        <v>1958.2</v>
      </c>
      <c r="CB21" s="19">
        <f>'Total Weekday Boardings'!CB21/'Service Days per Month'!CB$4</f>
        <v>1825.3181818181818</v>
      </c>
      <c r="CC21" s="20">
        <f>'Total Weekday Boardings'!CC21/'Service Days per Month'!CC$4</f>
        <v>1814.8636363636363</v>
      </c>
      <c r="CD21" s="18">
        <f>'Total Weekday Boardings'!CD21/'Service Days per Month'!CD$4</f>
        <v>2103.1904761904761</v>
      </c>
      <c r="CE21" s="18">
        <f>'Total Weekday Boardings'!CE21/'Service Days per Month'!CE$4</f>
        <v>2387.9523809523807</v>
      </c>
      <c r="CF21" s="18">
        <f>'Total Weekday Boardings'!CF21/'Service Days per Month'!CF$4</f>
        <v>2319.0454545454545</v>
      </c>
      <c r="CG21" s="18">
        <f>'Total Weekday Boardings'!CG21/'Service Days per Month'!CG$4</f>
        <v>2350.6111111111113</v>
      </c>
      <c r="CH21" s="18">
        <f>'Total Weekday Boardings'!CH21/'Service Days per Month'!CH$4</f>
        <v>2039.4285714285713</v>
      </c>
      <c r="CI21" s="18">
        <f>'Total Weekday Boardings'!CI21/'Service Days per Month'!CI$4</f>
        <v>2239.7368421052633</v>
      </c>
      <c r="CJ21" s="18">
        <f>'Total Weekday Boardings'!CJ21/'Service Days per Month'!CJ$4</f>
        <v>2304.6999999999998</v>
      </c>
      <c r="CK21" s="18">
        <f>'Total Weekday Boardings'!CK21/'Service Days per Month'!CK$4</f>
        <v>2175.8260869565215</v>
      </c>
      <c r="CL21" s="18">
        <f>'Total Weekday Boardings'!CL21/'Service Days per Month'!CL$4</f>
        <v>2374.8095238095239</v>
      </c>
      <c r="CM21" s="18">
        <f>'Total Weekday Boardings'!CM21/'Service Days per Month'!CM$4</f>
        <v>1152.2380952380952</v>
      </c>
      <c r="CN21" s="21">
        <f>'Total Weekday Boardings'!CN21/'Service Days per Month'!CN$4</f>
        <v>2084</v>
      </c>
      <c r="CO21" s="17">
        <f>'Total Weekday Boardings'!CO21/'Service Days per Month'!CO$4</f>
        <v>2007.65</v>
      </c>
      <c r="CP21" s="18">
        <f>'Total Weekday Boardings'!CP21/'Service Days per Month'!CP$4</f>
        <v>2404.6521739130435</v>
      </c>
      <c r="CQ21" s="18">
        <f>'Total Weekday Boardings'!CQ21/'Service Days per Month'!CQ$4</f>
        <v>2451.7619047619046</v>
      </c>
      <c r="CR21" s="18">
        <f>'Total Weekday Boardings'!CR21/'Service Days per Month'!CR$4</f>
        <v>2407.0476190476193</v>
      </c>
      <c r="CS21" s="18">
        <f>'Total Weekday Boardings'!CS21/'Service Days per Month'!CS$4</f>
        <v>2605.0526315789475</v>
      </c>
      <c r="CT21" s="18">
        <f>'Total Weekday Boardings'!CT21/'Service Days per Month'!CT$4</f>
        <v>2232.1428571428573</v>
      </c>
      <c r="CU21" s="18">
        <f>'Total Weekday Boardings'!CU21/'Service Days per Month'!CU$4</f>
        <v>2490.5500000000002</v>
      </c>
      <c r="CV21" s="18">
        <f>'Total Weekday Boardings'!CV21/'Service Days per Month'!CV$4</f>
        <v>2494.4736842105262</v>
      </c>
      <c r="CW21" s="18">
        <f>'Total Weekday Boardings'!CW21/'Service Days per Month'!CW$4</f>
        <v>2317.0434782608695</v>
      </c>
      <c r="CX21" s="18">
        <f>'Total Weekday Boardings'!CX21/'Service Days per Month'!CX$4</f>
        <v>2341</v>
      </c>
      <c r="CY21" s="18">
        <f>'Total Weekday Boardings'!CY21/'Service Days per Month'!CY$4</f>
        <v>2145.4545454545455</v>
      </c>
      <c r="CZ21" s="19">
        <f>'Total Weekday Boardings'!CZ21/'Service Days per Month'!CZ$4</f>
        <v>1973.2727272727273</v>
      </c>
      <c r="DA21" s="17">
        <f>'Total Weekday Boardings'!DA21/'Service Days per Month'!DA$4</f>
        <v>1105.3</v>
      </c>
      <c r="DB21" s="18">
        <f>'Total Weekday Boardings'!DB21/'Service Days per Month'!DB$4</f>
        <v>2177.8695652173915</v>
      </c>
      <c r="DC21" s="18">
        <f>'Total Weekday Boardings'!DC21/'Service Days per Month'!DC$4</f>
        <v>2206.85</v>
      </c>
      <c r="DD21" s="18">
        <f>'Total Weekday Boardings'!DD21/'Service Days per Month'!DD$4</f>
        <v>2217.8636363636365</v>
      </c>
      <c r="DE21" s="18">
        <f>'Total Weekday Boardings'!DE21/'Service Days per Month'!DE$4</f>
        <v>2207.4736842105262</v>
      </c>
      <c r="DF21" s="18">
        <f>'Total Weekday Boardings'!DF21/'Service Days per Month'!DF$4</f>
        <v>1949.1</v>
      </c>
      <c r="DG21" s="18">
        <f>'Total Weekday Boardings'!DG21/'Service Days per Month'!DG$4</f>
        <v>2155.1428571428573</v>
      </c>
      <c r="DH21" s="18">
        <f>'Total Weekday Boardings'!DH21/'Service Days per Month'!DH$4</f>
        <v>2243.5263157894738</v>
      </c>
      <c r="DI21" s="18">
        <f>'Total Weekday Boardings'!DI21/'Service Days per Month'!DI$4</f>
        <v>2087.7272727272725</v>
      </c>
      <c r="DJ21" s="18">
        <f>'Total Weekday Boardings'!DJ21/'Service Days per Month'!DJ$4</f>
        <v>2189.4761904761904</v>
      </c>
      <c r="DK21" s="18">
        <f>'Total Weekday Boardings'!DK21/'Service Days per Month'!DK$4</f>
        <v>1970.3636363636363</v>
      </c>
      <c r="DL21" s="19">
        <f>'Total Weekday Boardings'!DL21/'Service Days per Month'!DL$4</f>
        <v>1847.5714285714287</v>
      </c>
      <c r="DM21" s="17">
        <f>'Total Weekday Boardings'!DM21/'Service Days per Month'!DM$4</f>
        <v>1819.1904761904761</v>
      </c>
      <c r="DN21" s="18">
        <f>'Total Weekday Boardings'!DN21/'Service Days per Month'!DN$4</f>
        <v>2109.217391304348</v>
      </c>
      <c r="DO21" s="18">
        <f>'Total Weekday Boardings'!DO21/'Service Days per Month'!DO$4</f>
        <v>2218.5789473684213</v>
      </c>
      <c r="DP21" s="18">
        <f>'Total Weekday Boardings'!DP21/'Service Days per Month'!DP$4</f>
        <v>2190.1304347826085</v>
      </c>
      <c r="DQ21" s="18">
        <f>'Total Weekday Boardings'!DQ21/'Service Days per Month'!DQ$4</f>
        <v>2100.4285714285716</v>
      </c>
      <c r="DR21" s="18">
        <f>'Total Weekday Boardings'!DR21/'Service Days per Month'!DR$4</f>
        <v>1845.65</v>
      </c>
      <c r="DS21" s="18">
        <f>'Total Weekday Boardings'!DS21/'Service Days per Month'!DS$4</f>
        <v>2043.6363636363637</v>
      </c>
      <c r="DT21" s="18">
        <f>'Total Weekday Boardings'!DT21/'Service Days per Month'!DT$4</f>
        <v>2050.15</v>
      </c>
      <c r="DU21" s="18">
        <f>'Total Weekday Boardings'!DU21/'Service Days per Month'!DU$4</f>
        <v>2001.7142857142858</v>
      </c>
      <c r="DV21" s="18">
        <f>'Total Weekday Boardings'!DV21/'Service Days per Month'!DV$4</f>
        <v>1168.6363636363637</v>
      </c>
      <c r="DW21" s="18">
        <f>'Total Weekday Boardings'!DW21/'Service Days per Month'!DW$4</f>
        <v>1819.4545454545455</v>
      </c>
      <c r="DX21" s="19">
        <f>'Total Weekday Boardings'!DX21/'Service Days per Month'!DX$4</f>
        <v>1717.6</v>
      </c>
      <c r="DY21" s="17">
        <f>'Total Weekday Boardings'!DY21/'Service Days per Month'!DY$4</f>
        <v>1619.9545454545455</v>
      </c>
      <c r="DZ21" s="18">
        <f>'Total Weekday Boardings'!DZ21/'Service Days per Month'!DZ$4</f>
        <v>1897.9545454545455</v>
      </c>
      <c r="EA21" s="18">
        <f>'Total Weekday Boardings'!EA21/'Service Days per Month'!EA$4</f>
        <v>2086.6</v>
      </c>
      <c r="EB21" s="18">
        <f>'Total Weekday Boardings'!EB21/'Service Days per Month'!EB$4</f>
        <v>2011.7826086956522</v>
      </c>
      <c r="EC21" s="18">
        <f>'Total Weekday Boardings'!EC21/'Service Days per Month'!EC$4</f>
        <v>1888.8</v>
      </c>
      <c r="ED21" s="18">
        <f>'Total Weekday Boardings'!ED21/'Service Days per Month'!ED$4</f>
        <v>1565.7142857142858</v>
      </c>
      <c r="EE21" s="18">
        <f>'Total Weekday Boardings'!EE21/'Service Days per Month'!EE$4</f>
        <v>1590.3478260869565</v>
      </c>
      <c r="EF21" s="18">
        <f>'Total Weekday Boardings'!EF21/'Service Days per Month'!EF$4</f>
        <v>1804.55</v>
      </c>
      <c r="EG21" s="18">
        <f>'Total Weekday Boardings'!EG21/'Service Days per Month'!EG$4</f>
        <v>1266.5</v>
      </c>
      <c r="EH21" s="18">
        <f>'Total Weekday Boardings'!EH21/'Service Days per Month'!EH$4</f>
        <v>721.9545454545455</v>
      </c>
      <c r="EI21" s="18">
        <f>'Total Weekday Boardings'!EI21/'Service Days per Month'!EI$4</f>
        <v>691.65</v>
      </c>
      <c r="EJ21" s="19">
        <f>'Total Weekday Boardings'!EJ21/'Service Days per Month'!EJ$4</f>
        <v>630.09090909090912</v>
      </c>
      <c r="EK21" s="17">
        <f>'Total Weekday Boardings'!EK21/'Service Days per Month'!EK$4</f>
        <v>618.5454545454545</v>
      </c>
      <c r="EL21" s="18">
        <f>'Total Weekday Boardings'!EL21/'Service Days per Month'!EL$4</f>
        <v>642.33333333333337</v>
      </c>
      <c r="EM21" s="18">
        <f>'Total Weekday Boardings'!EM21/'Service Days per Month'!EM$4</f>
        <v>647.19047619047615</v>
      </c>
      <c r="EN21" s="18">
        <f>'Total Weekday Boardings'!EN21/'Service Days per Month'!EN$4</f>
        <v>672.36363636363637</v>
      </c>
      <c r="EO21" s="18">
        <f>'Total Weekday Boardings'!EO21/'Service Days per Month'!EO$4</f>
        <v>623.25</v>
      </c>
      <c r="EP21" s="18">
        <f>'Total Weekday Boardings'!EP21/'Service Days per Month'!EP$4</f>
        <v>422.09090909090907</v>
      </c>
      <c r="EQ21" s="18">
        <f>'Total Weekday Boardings'!EQ21/'Service Days per Month'!EQ$4</f>
        <v>257.42857142857144</v>
      </c>
      <c r="ER21" s="18">
        <f>'Total Weekday Boardings'!ER21/'Service Days per Month'!ER$4</f>
        <v>268</v>
      </c>
      <c r="ES21" s="18">
        <f>'Total Weekday Boardings'!ES21/'Service Days per Month'!ES$4</f>
        <v>593.73913043478262</v>
      </c>
      <c r="ET21" s="18">
        <f>'Total Weekday Boardings'!ET21/'Service Days per Month'!ET$4</f>
        <v>605.18181818181813</v>
      </c>
      <c r="EU21" s="18">
        <f>'Total Weekday Boardings'!EU21/'Service Days per Month'!EU$4</f>
        <v>586.15</v>
      </c>
      <c r="EV21" s="19">
        <f>'Total Weekday Boardings'!EV21/'Service Days per Month'!EV$4</f>
        <v>589.31818181818187</v>
      </c>
      <c r="EW21" s="17">
        <f>'Total Weekday Boardings'!EW21/'Service Days per Month'!EW$4</f>
        <v>575.14285714285711</v>
      </c>
      <c r="EX21" s="18">
        <f>'Total Weekday Boardings'!EX21/'Service Days per Month'!EX$4</f>
        <v>693.59090909090912</v>
      </c>
      <c r="EY21" s="18">
        <f>'Total Weekday Boardings'!EY21/'Service Days per Month'!EY$4</f>
        <v>806.57142857142856</v>
      </c>
      <c r="EZ21" s="18">
        <f>'Total Weekday Boardings'!EZ21/'Service Days per Month'!EZ$4</f>
        <v>772</v>
      </c>
      <c r="FA21" s="18">
        <f>'Total Weekday Boardings'!FA21/'Service Days per Month'!FA$4</f>
        <v>799.14285714285711</v>
      </c>
      <c r="FB21" s="18">
        <f>'Total Weekday Boardings'!FB21/'Service Days per Month'!FB$4</f>
        <v>682.86363636363637</v>
      </c>
      <c r="FC21" s="18">
        <f>'Total Weekday Boardings'!FC21/'Service Days per Month'!FC$4</f>
        <v>664.14285714285711</v>
      </c>
      <c r="FD21" s="18">
        <f>'Total Weekday Boardings'!FD21/'Service Days per Month'!FD$4</f>
        <v>872.8</v>
      </c>
      <c r="FE21" s="18">
        <f>'Total Weekday Boardings'!FE21/'Service Days per Month'!FE$4</f>
        <v>894.26086956521738</v>
      </c>
      <c r="FF21" s="18">
        <f>'Total Weekday Boardings'!FF21/'Service Days per Month'!FF$4</f>
        <v>494.47619047619048</v>
      </c>
      <c r="FG21" s="18">
        <f>'Total Weekday Boardings'!FG21/'Service Days per Month'!FG$4</f>
        <v>627.33333333333337</v>
      </c>
      <c r="FH21" s="19">
        <f>'Total Weekday Boardings'!FH21/'Service Days per Month'!FH$4</f>
        <v>956.59090909090912</v>
      </c>
      <c r="FI21" s="17">
        <v>631.75</v>
      </c>
      <c r="FJ21" s="18">
        <v>484.56521739130437</v>
      </c>
      <c r="FK21" s="18">
        <v>599.38095238095241</v>
      </c>
      <c r="FL21" s="18">
        <v>553.19047619047615</v>
      </c>
      <c r="FM21" s="18">
        <v>505.47619047619048</v>
      </c>
      <c r="FN21" s="18">
        <v>429.8095238095238</v>
      </c>
      <c r="FO21" s="18">
        <v>561</v>
      </c>
      <c r="FP21" s="18">
        <v>490.45</v>
      </c>
      <c r="FQ21" s="18">
        <v>565.91304347826087</v>
      </c>
      <c r="FR21" s="18">
        <f>'Total Weekday Boardings'!FR21/20</f>
        <v>589.04999999999995</v>
      </c>
      <c r="FS21" s="18">
        <f>'Total Weekday Boardings'!FS21/22</f>
        <v>501</v>
      </c>
      <c r="FT21" s="21">
        <f>'Total Weekday Boardings'!FT21/23</f>
        <v>464.95652173913044</v>
      </c>
      <c r="FU21" s="17">
        <f>'Total Weekday Boardings'!FU21/21</f>
        <v>434.95238095238096</v>
      </c>
      <c r="FV21" s="18">
        <f>'Total Weekday Boardings'!FV21/23</f>
        <v>534.695652173913</v>
      </c>
      <c r="FW21" s="18">
        <f>'Total Weekday Boardings'!FW21/21</f>
        <v>555.04761904761904</v>
      </c>
      <c r="FX21" s="18">
        <f>'Total Weekday Boardings'!FX21/22</f>
        <v>598.81818181818187</v>
      </c>
      <c r="FY21" s="18">
        <f>'Total Weekday Boardings'!FY21/22</f>
        <v>555.90909090909088</v>
      </c>
      <c r="FZ21" s="18">
        <f>'Total Weekday Boardings'!FZ21/21</f>
        <v>460.23809523809524</v>
      </c>
      <c r="GA21" s="18">
        <f>'Total Weekday Boardings'!GA21/23</f>
        <v>448.56521739130437</v>
      </c>
      <c r="GB21" s="18">
        <f>'Total Weekday Boardings'!GB21/21</f>
        <v>608.33333333333337</v>
      </c>
      <c r="GC21" s="18">
        <f>'Total Weekday Boardings'!GC21/21</f>
        <v>543.47619047619048</v>
      </c>
      <c r="GD21" s="18">
        <f>'Total Weekday Boardings'!GD21/22</f>
        <v>538.77272727272725</v>
      </c>
      <c r="GE21" s="13">
        <f>'Total Weekday Boardings'!GE21/23</f>
        <v>489.82608695652175</v>
      </c>
      <c r="GF21" s="13">
        <f>'Total Weekday Boardings'!GF21/20</f>
        <v>476.6</v>
      </c>
      <c r="GG21" s="21">
        <f>'Total Weekday Boardings'!GG21/23</f>
        <v>457.43478260869563</v>
      </c>
      <c r="GH21" s="13">
        <f>'Total Weekday Boardings'!GH21/22</f>
        <v>549.9545454545455</v>
      </c>
      <c r="GI21" s="13">
        <f>'Total Weekday Boardings'!GI21/21</f>
        <v>575.47619047619048</v>
      </c>
      <c r="GJ21" s="13">
        <f>'Total Weekday Boardings'!GJ21/23</f>
        <v>563.73913043478262</v>
      </c>
      <c r="GK21" s="13">
        <f>'Total Weekday Boardings'!GK21/21</f>
        <v>517.90476190476193</v>
      </c>
      <c r="GL21" s="13">
        <f>'Total Weekday Boardings'!GL21/22</f>
        <v>432.40909090909093</v>
      </c>
    </row>
    <row r="22" spans="1:194" ht="15" thickBot="1" x14ac:dyDescent="0.35">
      <c r="A22" s="3" t="s">
        <v>35</v>
      </c>
      <c r="B22" s="17"/>
      <c r="C22" s="18">
        <f>'Total Weekday Boardings'!C22/'Service Days per Month'!C$4</f>
        <v>655.90476190476193</v>
      </c>
      <c r="D22" s="18">
        <f>'Total Weekday Boardings'!D22/'Service Days per Month'!D$4</f>
        <v>997.8</v>
      </c>
      <c r="E22" s="18">
        <f>'Total Weekday Boardings'!E22/'Service Days per Month'!E$4</f>
        <v>787.77272727272725</v>
      </c>
      <c r="F22" s="18">
        <f>'Total Weekday Boardings'!F22/'Service Days per Month'!F$4</f>
        <v>1023.1363636363636</v>
      </c>
      <c r="G22" s="18">
        <f>'Total Weekday Boardings'!G22/'Service Days per Month'!G$4</f>
        <v>711.6</v>
      </c>
      <c r="H22" s="19">
        <f>'Total Weekday Boardings'!H22/'Service Days per Month'!H$4</f>
        <v>544.36363636363637</v>
      </c>
      <c r="I22" s="17">
        <f>'Total Weekday Boardings'!I22/'Service Days per Month'!I$4</f>
        <v>452.08695652173913</v>
      </c>
      <c r="J22" s="18">
        <f>'Total Weekday Boardings'!J22/'Service Days per Month'!J$4</f>
        <v>589.33333333333337</v>
      </c>
      <c r="K22" s="18">
        <f>'Total Weekday Boardings'!K22/'Service Days per Month'!K$4</f>
        <v>651.57142857142856</v>
      </c>
      <c r="L22" s="18">
        <f>'Total Weekday Boardings'!L22/'Service Days per Month'!L$4</f>
        <v>1035.8181818181818</v>
      </c>
      <c r="M22" s="18">
        <f>'Total Weekday Boardings'!M22/'Service Days per Month'!M$4</f>
        <v>896.15</v>
      </c>
      <c r="N22" s="18">
        <f>'Total Weekday Boardings'!N22/'Service Days per Month'!N$4</f>
        <v>922.31818181818187</v>
      </c>
      <c r="O22" s="18">
        <f>'Total Weekday Boardings'!O22/'Service Days per Month'!O$4</f>
        <v>994.3</v>
      </c>
      <c r="P22" s="18">
        <f>'Total Weekday Boardings'!P22/'Service Days per Month'!P$4</f>
        <v>884.1</v>
      </c>
      <c r="Q22" s="18">
        <f>'Total Weekday Boardings'!Q22/'Service Days per Month'!Q$4</f>
        <v>885.78260869565213</v>
      </c>
      <c r="R22" s="18">
        <f>'Total Weekday Boardings'!R22/'Service Days per Month'!R$4</f>
        <v>1189.5454545454545</v>
      </c>
      <c r="S22" s="18">
        <f>'Total Weekday Boardings'!S22/'Service Days per Month'!S$4</f>
        <v>997.75</v>
      </c>
      <c r="T22" s="19">
        <f>'Total Weekday Boardings'!T22/'Service Days per Month'!T$4</f>
        <v>1910.3181818181818</v>
      </c>
      <c r="U22" s="17">
        <f>'Total Weekday Boardings'!U22/'Service Days per Month'!U$4</f>
        <v>1628.4285714285713</v>
      </c>
      <c r="V22" s="18">
        <f>'Total Weekday Boardings'!V22/'Service Days per Month'!V$4</f>
        <v>2056.2272727272725</v>
      </c>
      <c r="W22" s="18">
        <f>'Total Weekday Boardings'!W22/'Service Days per Month'!W$4</f>
        <v>2145.6190476190477</v>
      </c>
      <c r="X22" s="18">
        <f>'Total Weekday Boardings'!X22/'Service Days per Month'!X$4</f>
        <v>2086.0476190476193</v>
      </c>
      <c r="Y22" s="18">
        <f>'Total Weekday Boardings'!Y22/'Service Days per Month'!Y$4</f>
        <v>2031.4736842105262</v>
      </c>
      <c r="Z22" s="18">
        <f>'Total Weekday Boardings'!Z22/'Service Days per Month'!Z$4</f>
        <v>1748.7142857142858</v>
      </c>
      <c r="AA22" s="18">
        <f>'Total Weekday Boardings'!AA22/'Service Days per Month'!AA$4</f>
        <v>1942.95</v>
      </c>
      <c r="AB22" s="18">
        <f>'Total Weekday Boardings'!AB22/'Service Days per Month'!AB$4</f>
        <v>2020.3684210526317</v>
      </c>
      <c r="AC22" s="18">
        <f>'Total Weekday Boardings'!AC22/'Service Days per Month'!AC$4</f>
        <v>1852.695652173913</v>
      </c>
      <c r="AD22" s="18">
        <f>'Total Weekday Boardings'!AD22/'Service Days per Month'!AD$4</f>
        <v>1900.6190476190477</v>
      </c>
      <c r="AE22" s="18">
        <f>'Total Weekday Boardings'!AE22/'Service Days per Month'!AE$4</f>
        <v>1700.952380952381</v>
      </c>
      <c r="AF22" s="19">
        <f>'Total Weekday Boardings'!AF22/'Service Days per Month'!AF$4</f>
        <v>1478.0454545454545</v>
      </c>
      <c r="AG22" s="17">
        <f>'Total Weekday Boardings'!AG22/'Service Days per Month'!AG$4</f>
        <v>1560.85</v>
      </c>
      <c r="AH22" s="18">
        <f>'Total Weekday Boardings'!AH22/'Service Days per Month'!AH$4</f>
        <v>1853.7826086956522</v>
      </c>
      <c r="AI22" s="18">
        <f>'Total Weekday Boardings'!AI22/'Service Days per Month'!AI$4</f>
        <v>2109</v>
      </c>
      <c r="AJ22" s="18">
        <f>'Total Weekday Boardings'!AJ22/'Service Days per Month'!AJ$4</f>
        <v>2094.1428571428573</v>
      </c>
      <c r="AK22" s="18">
        <f>'Total Weekday Boardings'!AK22/'Service Days per Month'!AK$4</f>
        <v>2020.7894736842106</v>
      </c>
      <c r="AL22" s="18">
        <f>'Total Weekday Boardings'!AL22/'Service Days per Month'!AL$4</f>
        <v>1785</v>
      </c>
      <c r="AM22" s="18">
        <f>'Total Weekday Boardings'!AM22/'Service Days per Month'!AM$4</f>
        <v>1850.7</v>
      </c>
      <c r="AN22" s="18">
        <f>'Total Weekday Boardings'!AN22/'Service Days per Month'!AN$4</f>
        <v>1852.5</v>
      </c>
      <c r="AO22" s="18">
        <f>'Total Weekday Boardings'!AO22/'Service Days per Month'!AO$4</f>
        <v>1655.5</v>
      </c>
      <c r="AP22" s="18">
        <f>'Total Weekday Boardings'!AP22/'Service Days per Month'!AP$4</f>
        <v>1717.3333333333333</v>
      </c>
      <c r="AQ22" s="18">
        <f>'Total Weekday Boardings'!AQ22/'Service Days per Month'!AQ$4</f>
        <v>1202.7727272727273</v>
      </c>
      <c r="AR22" s="19">
        <f>'Total Weekday Boardings'!AR22/'Service Days per Month'!AR$4</f>
        <v>1174.047619047619</v>
      </c>
      <c r="AS22" s="17">
        <f>'Total Weekday Boardings'!AS22/'Service Days per Month'!AS$4</f>
        <v>1111.3333333333333</v>
      </c>
      <c r="AT22" s="18">
        <f>'Total Weekday Boardings'!AT22/'Service Days per Month'!AT$4</f>
        <v>1566.2173913043478</v>
      </c>
      <c r="AU22" s="18">
        <f>'Total Weekday Boardings'!AU22/'Service Days per Month'!AU$4</f>
        <v>2399.1578947368421</v>
      </c>
      <c r="AV22" s="18">
        <f>'Total Weekday Boardings'!AV22/'Service Days per Month'!AV$4</f>
        <v>2007</v>
      </c>
      <c r="AW22" s="18">
        <f>'Total Weekday Boardings'!AW22/'Service Days per Month'!AW$4</f>
        <v>1963.5263157894738</v>
      </c>
      <c r="AX22" s="18">
        <f>'Total Weekday Boardings'!AX22/'Service Days per Month'!AX$4</f>
        <v>1491.421052631579</v>
      </c>
      <c r="AY22" s="18">
        <f>'Total Weekday Boardings'!AY22/'Service Days per Month'!AY$4</f>
        <v>1759.1904761904761</v>
      </c>
      <c r="AZ22" s="18">
        <f>'Total Weekday Boardings'!AZ22/'Service Days per Month'!AZ$4</f>
        <v>1872.8947368421052</v>
      </c>
      <c r="BA22" s="18">
        <f>'Total Weekday Boardings'!BA22/'Service Days per Month'!BA$4</f>
        <v>1583.7619047619048</v>
      </c>
      <c r="BB22" s="18">
        <f>'Total Weekday Boardings'!BB22/'Service Days per Month'!BB$4</f>
        <v>1701.4545454545455</v>
      </c>
      <c r="BC22" s="18">
        <f>'Total Weekday Boardings'!BC22/'Service Days per Month'!BC$4</f>
        <v>1261.3636363636363</v>
      </c>
      <c r="BD22" s="19">
        <f>'Total Weekday Boardings'!BD22/'Service Days per Month'!BD$4</f>
        <v>1201.3499999999999</v>
      </c>
      <c r="BE22" s="17">
        <f>'Total Weekday Boardings'!BE22/'Service Days per Month'!BE$4</f>
        <v>1127.6363636363637</v>
      </c>
      <c r="BF22" s="18">
        <f>'Total Weekday Boardings'!BF22/'Service Days per Month'!BF$4</f>
        <v>1475.9545454545455</v>
      </c>
      <c r="BG22" s="18">
        <f>'Total Weekday Boardings'!BG22/'Service Days per Month'!BG$4</f>
        <v>1997.25</v>
      </c>
      <c r="BH22" s="18">
        <f>'Total Weekday Boardings'!BH22/'Service Days per Month'!BH$4</f>
        <v>1765.7826086956522</v>
      </c>
      <c r="BI22" s="18">
        <f>'Total Weekday Boardings'!BI22/'Service Days per Month'!BI$4</f>
        <v>1809.6325833370784</v>
      </c>
      <c r="BJ22" s="18">
        <f>'Total Weekday Boardings'!BJ22/'Service Days per Month'!BJ$4</f>
        <v>1298.95</v>
      </c>
      <c r="BK22" s="18">
        <f>'Total Weekday Boardings'!BK22/'Service Days per Month'!BK$4</f>
        <v>1691.5714285714287</v>
      </c>
      <c r="BL22" s="18">
        <f>'Total Weekday Boardings'!BL22/'Service Days per Month'!BL$4</f>
        <v>1755.7894736842106</v>
      </c>
      <c r="BM22" s="18">
        <f>'Total Weekday Boardings'!BM22/'Service Days per Month'!BM$4</f>
        <v>1544.1428571428571</v>
      </c>
      <c r="BN22" s="18">
        <f>'Total Weekday Boardings'!BN22/'Service Days per Month'!BN$4</f>
        <v>1598.6818181818182</v>
      </c>
      <c r="BO22" s="18">
        <f>'Total Weekday Boardings'!BO22/'Service Days per Month'!BO$4</f>
        <v>1216.5238095238096</v>
      </c>
      <c r="BP22" s="19">
        <f>'Total Weekday Boardings'!BP22/'Service Days per Month'!BP$4</f>
        <v>1155.6190476190477</v>
      </c>
      <c r="BQ22" s="17">
        <f>'Total Weekday Boardings'!BQ22/'Service Days per Month'!BQ$4</f>
        <v>1103</v>
      </c>
      <c r="BR22" s="18">
        <f>'Total Weekday Boardings'!BR22/'Service Days per Month'!BR$4</f>
        <v>1467.3333333333333</v>
      </c>
      <c r="BS22" s="18">
        <f>'Total Weekday Boardings'!BS22/'Service Days per Month'!BS$4</f>
        <v>1852.4285714285713</v>
      </c>
      <c r="BT22" s="18">
        <f>'Total Weekday Boardings'!BT22/'Service Days per Month'!BT$4</f>
        <v>1740.6521739130435</v>
      </c>
      <c r="BU22" s="18">
        <f>'Total Weekday Boardings'!BU22/'Service Days per Month'!BU$4</f>
        <v>1730.4117647058824</v>
      </c>
      <c r="BV22" s="18">
        <f>'Total Weekday Boardings'!BV22/'Service Days per Month'!BV$4</f>
        <v>1266.7142857142858</v>
      </c>
      <c r="BW22" s="18">
        <f>'Total Weekday Boardings'!BW22/'Service Days per Month'!BW$4</f>
        <v>1700</v>
      </c>
      <c r="BX22" s="18">
        <f>'Total Weekday Boardings'!BX22/'Service Days per Month'!BX$4</f>
        <v>1748.3684210526317</v>
      </c>
      <c r="BY22" s="18">
        <f>'Total Weekday Boardings'!BY22/'Service Days per Month'!BY$4</f>
        <v>1568.5454545454545</v>
      </c>
      <c r="BZ22" s="18">
        <f>'Total Weekday Boardings'!BZ22/'Service Days per Month'!BZ$4</f>
        <v>1540.3636363636363</v>
      </c>
      <c r="CA22" s="18">
        <f>'Total Weekday Boardings'!CA22/'Service Days per Month'!CA$4</f>
        <v>1204.4000000000001</v>
      </c>
      <c r="CB22" s="19">
        <f>'Total Weekday Boardings'!CB22/'Service Days per Month'!CB$4</f>
        <v>1243.6818181818182</v>
      </c>
      <c r="CC22" s="20">
        <f>'Total Weekday Boardings'!CC22/'Service Days per Month'!CC$4</f>
        <v>1157.3636363636363</v>
      </c>
      <c r="CD22" s="18">
        <f>'Total Weekday Boardings'!CD22/'Service Days per Month'!CD$4</f>
        <v>1506.8095238095239</v>
      </c>
      <c r="CE22" s="18">
        <f>'Total Weekday Boardings'!CE22/'Service Days per Month'!CE$4</f>
        <v>1734.5714285714287</v>
      </c>
      <c r="CF22" s="18">
        <f>'Total Weekday Boardings'!CF22/'Service Days per Month'!CF$4</f>
        <v>1588.5454545454545</v>
      </c>
      <c r="CG22" s="18">
        <f>'Total Weekday Boardings'!CG22/'Service Days per Month'!CG$4</f>
        <v>1557.2777777777778</v>
      </c>
      <c r="CH22" s="18">
        <f>'Total Weekday Boardings'!CH22/'Service Days per Month'!CH$4</f>
        <v>1146.7619047619048</v>
      </c>
      <c r="CI22" s="18">
        <f>'Total Weekday Boardings'!CI22/'Service Days per Month'!CI$4</f>
        <v>1439.578947368421</v>
      </c>
      <c r="CJ22" s="18">
        <f>'Total Weekday Boardings'!CJ22/'Service Days per Month'!CJ$4</f>
        <v>1503.25</v>
      </c>
      <c r="CK22" s="18">
        <f>'Total Weekday Boardings'!CK22/'Service Days per Month'!CK$4</f>
        <v>1437.1739130434783</v>
      </c>
      <c r="CL22" s="18">
        <f>'Total Weekday Boardings'!CL22/'Service Days per Month'!CL$4</f>
        <v>1445</v>
      </c>
      <c r="CM22" s="18">
        <f>'Total Weekday Boardings'!CM22/'Service Days per Month'!CM$4</f>
        <v>2213.5238095238096</v>
      </c>
      <c r="CN22" s="21">
        <f>'Total Weekday Boardings'!CN22/'Service Days per Month'!CN$4</f>
        <v>1118.0454545454545</v>
      </c>
      <c r="CO22" s="17">
        <f>'Total Weekday Boardings'!CO22/'Service Days per Month'!CO$4</f>
        <v>1071.5999999999999</v>
      </c>
      <c r="CP22" s="18">
        <f>'Total Weekday Boardings'!CP22/'Service Days per Month'!CP$4</f>
        <v>1381.1304347826087</v>
      </c>
      <c r="CQ22" s="18">
        <f>'Total Weekday Boardings'!CQ22/'Service Days per Month'!CQ$4</f>
        <v>1646.4285714285713</v>
      </c>
      <c r="CR22" s="18">
        <f>'Total Weekday Boardings'!CR22/'Service Days per Month'!CR$4</f>
        <v>1488.1904761904761</v>
      </c>
      <c r="CS22" s="18">
        <f>'Total Weekday Boardings'!CS22/'Service Days per Month'!CS$4</f>
        <v>1303.3157894736842</v>
      </c>
      <c r="CT22" s="18">
        <f>'Total Weekday Boardings'!CT22/'Service Days per Month'!CT$4</f>
        <v>917.76190476190482</v>
      </c>
      <c r="CU22" s="18">
        <f>'Total Weekday Boardings'!CU22/'Service Days per Month'!CU$4</f>
        <v>1261.4000000000001</v>
      </c>
      <c r="CV22" s="18">
        <f>'Total Weekday Boardings'!CV22/'Service Days per Month'!CV$4</f>
        <v>1388.8947368421052</v>
      </c>
      <c r="CW22" s="18">
        <f>'Total Weekday Boardings'!CW22/'Service Days per Month'!CW$4</f>
        <v>1362.1739130434783</v>
      </c>
      <c r="CX22" s="18">
        <f>'Total Weekday Boardings'!CX22/'Service Days per Month'!CX$4</f>
        <v>1395.85</v>
      </c>
      <c r="CY22" s="18">
        <f>'Total Weekday Boardings'!CY22/'Service Days per Month'!CY$4</f>
        <v>1153.8181818181818</v>
      </c>
      <c r="CZ22" s="19">
        <f>'Total Weekday Boardings'!CZ22/'Service Days per Month'!CZ$4</f>
        <v>1137.4545454545455</v>
      </c>
      <c r="DA22" s="17">
        <f>'Total Weekday Boardings'!DA22/'Service Days per Month'!DA$4</f>
        <v>1873.25</v>
      </c>
      <c r="DB22" s="18">
        <f>'Total Weekday Boardings'!DB22/'Service Days per Month'!DB$4</f>
        <v>1429.7826086956522</v>
      </c>
      <c r="DC22" s="18">
        <f>'Total Weekday Boardings'!DC22/'Service Days per Month'!DC$4</f>
        <v>1542.8</v>
      </c>
      <c r="DD22" s="18">
        <f>'Total Weekday Boardings'!DD22/'Service Days per Month'!DD$4</f>
        <v>1442</v>
      </c>
      <c r="DE22" s="18">
        <f>'Total Weekday Boardings'!DE22/'Service Days per Month'!DE$4</f>
        <v>1423.421052631579</v>
      </c>
      <c r="DF22" s="18">
        <f>'Total Weekday Boardings'!DF22/'Service Days per Month'!DF$4</f>
        <v>1113.25</v>
      </c>
      <c r="DG22" s="18">
        <f>'Total Weekday Boardings'!DG22/'Service Days per Month'!DG$4</f>
        <v>1376.9047619047619</v>
      </c>
      <c r="DH22" s="18">
        <f>'Total Weekday Boardings'!DH22/'Service Days per Month'!DH$4</f>
        <v>1417.2105263157894</v>
      </c>
      <c r="DI22" s="18">
        <f>'Total Weekday Boardings'!DI22/'Service Days per Month'!DI$4</f>
        <v>1296.2272727272727</v>
      </c>
      <c r="DJ22" s="18">
        <f>'Total Weekday Boardings'!DJ22/'Service Days per Month'!DJ$4</f>
        <v>1358.952380952381</v>
      </c>
      <c r="DK22" s="18">
        <f>'Total Weekday Boardings'!DK22/'Service Days per Month'!DK$4</f>
        <v>1096.8636363636363</v>
      </c>
      <c r="DL22" s="19">
        <f>'Total Weekday Boardings'!DL22/'Service Days per Month'!DL$4</f>
        <v>1084.6666666666667</v>
      </c>
      <c r="DM22" s="17">
        <f>'Total Weekday Boardings'!DM22/'Service Days per Month'!DM$4</f>
        <v>1025.9047619047619</v>
      </c>
      <c r="DN22" s="18">
        <f>'Total Weekday Boardings'!DN22/'Service Days per Month'!DN$4</f>
        <v>1276.8260869565217</v>
      </c>
      <c r="DO22" s="18">
        <f>'Total Weekday Boardings'!DO22/'Service Days per Month'!DO$4</f>
        <v>1403.5263157894738</v>
      </c>
      <c r="DP22" s="18">
        <f>'Total Weekday Boardings'!DP22/'Service Days per Month'!DP$4</f>
        <v>1379.5217391304348</v>
      </c>
      <c r="DQ22" s="18">
        <f>'Total Weekday Boardings'!DQ22/'Service Days per Month'!DQ$4</f>
        <v>1311.4761904761904</v>
      </c>
      <c r="DR22" s="18">
        <f>'Total Weekday Boardings'!DR22/'Service Days per Month'!DR$4</f>
        <v>1040.5999999999999</v>
      </c>
      <c r="DS22" s="18">
        <f>'Total Weekday Boardings'!DS22/'Service Days per Month'!DS$4</f>
        <v>1297.6818181818182</v>
      </c>
      <c r="DT22" s="18">
        <f>'Total Weekday Boardings'!DT22/'Service Days per Month'!DT$4</f>
        <v>1241.5</v>
      </c>
      <c r="DU22" s="18">
        <f>'Total Weekday Boardings'!DU22/'Service Days per Month'!DU$4</f>
        <v>1200.4761904761904</v>
      </c>
      <c r="DV22" s="18">
        <f>'Total Weekday Boardings'!DV22/'Service Days per Month'!DV$4</f>
        <v>2005.6363636363637</v>
      </c>
      <c r="DW22" s="18">
        <f>'Total Weekday Boardings'!DW22/'Service Days per Month'!DW$4</f>
        <v>962.5454545454545</v>
      </c>
      <c r="DX22" s="19">
        <f>'Total Weekday Boardings'!DX22/'Service Days per Month'!DX$4</f>
        <v>944.65</v>
      </c>
      <c r="DY22" s="17">
        <f>'Total Weekday Boardings'!DY22/'Service Days per Month'!DY$4</f>
        <v>941.18181818181813</v>
      </c>
      <c r="DZ22" s="18">
        <f>'Total Weekday Boardings'!DZ22/'Service Days per Month'!DZ$4</f>
        <v>1121.8636363636363</v>
      </c>
      <c r="EA22" s="18">
        <f>'Total Weekday Boardings'!EA22/'Service Days per Month'!EA$4</f>
        <v>1295.05</v>
      </c>
      <c r="EB22" s="18">
        <f>'Total Weekday Boardings'!EB22/'Service Days per Month'!EB$4</f>
        <v>1308.608695652174</v>
      </c>
      <c r="EC22" s="18">
        <f>'Total Weekday Boardings'!EC22/'Service Days per Month'!EC$4</f>
        <v>1231.3499999999999</v>
      </c>
      <c r="ED22" s="18">
        <f>'Total Weekday Boardings'!ED22/'Service Days per Month'!ED$4</f>
        <v>1053.5238095238096</v>
      </c>
      <c r="EE22" s="18">
        <f>'Total Weekday Boardings'!EE22/'Service Days per Month'!EE$4</f>
        <v>1159.304347826087</v>
      </c>
      <c r="EF22" s="18">
        <f>'Total Weekday Boardings'!EF22/'Service Days per Month'!EF$4</f>
        <v>1260.05</v>
      </c>
      <c r="EG22" s="18">
        <f>'Total Weekday Boardings'!EG22/'Service Days per Month'!EG$4</f>
        <v>821.68181818181813</v>
      </c>
      <c r="EH22" s="18">
        <f>'Total Weekday Boardings'!EH22/'Service Days per Month'!EH$4</f>
        <v>478.27272727272725</v>
      </c>
      <c r="EI22" s="18">
        <f>'Total Weekday Boardings'!EI22/'Service Days per Month'!EI$4</f>
        <v>482.45</v>
      </c>
      <c r="EJ22" s="19">
        <f>'Total Weekday Boardings'!EJ22/'Service Days per Month'!EJ$4</f>
        <v>448.45454545454544</v>
      </c>
      <c r="EK22" s="17">
        <f>'Total Weekday Boardings'!EK22/'Service Days per Month'!EK$4</f>
        <v>467.13636363636363</v>
      </c>
      <c r="EL22" s="18">
        <f>'Total Weekday Boardings'!EL22/'Service Days per Month'!EL$4</f>
        <v>494.04761904761904</v>
      </c>
      <c r="EM22" s="18">
        <f>'Total Weekday Boardings'!EM22/'Service Days per Month'!EM$4</f>
        <v>501.1904761904762</v>
      </c>
      <c r="EN22" s="18">
        <f>'Total Weekday Boardings'!EN22/'Service Days per Month'!EN$4</f>
        <v>520.22727272727275</v>
      </c>
      <c r="EO22" s="18">
        <f>'Total Weekday Boardings'!EO22/'Service Days per Month'!EO$4</f>
        <v>442.3</v>
      </c>
      <c r="EP22" s="18">
        <f>'Total Weekday Boardings'!EP22/'Service Days per Month'!EP$4</f>
        <v>330.63636363636363</v>
      </c>
      <c r="EQ22" s="18">
        <f>'Total Weekday Boardings'!EQ22/'Service Days per Month'!EQ$4</f>
        <v>152.1904761904762</v>
      </c>
      <c r="ER22" s="18">
        <f>'Total Weekday Boardings'!ER22/'Service Days per Month'!ER$4</f>
        <v>539.15</v>
      </c>
      <c r="ES22" s="18">
        <f>'Total Weekday Boardings'!ES22/'Service Days per Month'!ES$4</f>
        <v>233.17391304347825</v>
      </c>
      <c r="ET22" s="18">
        <f>'Total Weekday Boardings'!ET22/'Service Days per Month'!ET$4</f>
        <v>387.45454545454544</v>
      </c>
      <c r="EU22" s="18">
        <f>'Total Weekday Boardings'!EU22/'Service Days per Month'!EU$4</f>
        <v>358.35</v>
      </c>
      <c r="EV22" s="19">
        <f>'Total Weekday Boardings'!EV22/'Service Days per Month'!EV$4</f>
        <v>370.86363636363637</v>
      </c>
      <c r="EW22" s="17">
        <f>'Total Weekday Boardings'!EW22/'Service Days per Month'!EW$4</f>
        <v>407.09523809523807</v>
      </c>
      <c r="EX22" s="18">
        <f>'Total Weekday Boardings'!EX22/'Service Days per Month'!EX$4</f>
        <v>483.86363636363637</v>
      </c>
      <c r="EY22" s="18">
        <f>'Total Weekday Boardings'!EY22/'Service Days per Month'!EY$4</f>
        <v>596.57142857142856</v>
      </c>
      <c r="EZ22" s="18">
        <f>'Total Weekday Boardings'!EZ22/'Service Days per Month'!EZ$4</f>
        <v>575.52380952380952</v>
      </c>
      <c r="FA22" s="18">
        <f>'Total Weekday Boardings'!FA22/'Service Days per Month'!FA$4</f>
        <v>569.04761904761904</v>
      </c>
      <c r="FB22" s="18">
        <f>'Total Weekday Boardings'!FB22/'Service Days per Month'!FB$4</f>
        <v>462.68181818181819</v>
      </c>
      <c r="FC22" s="18">
        <f>'Total Weekday Boardings'!FC22/'Service Days per Month'!FC$4</f>
        <v>463.95238095238096</v>
      </c>
      <c r="FD22" s="18">
        <f>'Total Weekday Boardings'!FD22/'Service Days per Month'!FD$4</f>
        <v>621.45000000000005</v>
      </c>
      <c r="FE22" s="18">
        <f>'Total Weekday Boardings'!FE22/'Service Days per Month'!FE$4</f>
        <v>619.21739130434787</v>
      </c>
      <c r="FF22" s="18">
        <f>'Total Weekday Boardings'!FF22/'Service Days per Month'!FF$4</f>
        <v>837.95238095238096</v>
      </c>
      <c r="FG22" s="18">
        <f>'Total Weekday Boardings'!FG22/'Service Days per Month'!FG$4</f>
        <v>493.23809523809524</v>
      </c>
      <c r="FH22" s="19">
        <f>'Total Weekday Boardings'!FH22/'Service Days per Month'!FH$4</f>
        <v>0</v>
      </c>
      <c r="FI22" s="17">
        <v>390.1</v>
      </c>
      <c r="FJ22" s="18">
        <v>736.95652173913038</v>
      </c>
      <c r="FK22" s="18">
        <v>852.76190476190482</v>
      </c>
      <c r="FL22" s="18">
        <v>832</v>
      </c>
      <c r="FM22" s="18">
        <v>754.90476190476193</v>
      </c>
      <c r="FN22" s="18">
        <v>679.80952380952385</v>
      </c>
      <c r="FO22" s="18">
        <v>799.42857142857144</v>
      </c>
      <c r="FP22" s="18">
        <v>795.95</v>
      </c>
      <c r="FQ22" s="18">
        <v>843.3478260869565</v>
      </c>
      <c r="FR22" s="18">
        <f>'Total Weekday Boardings'!FR22/20</f>
        <v>909.15</v>
      </c>
      <c r="FS22" s="18">
        <f>'Total Weekday Boardings'!FS22/22</f>
        <v>847.13636363636363</v>
      </c>
      <c r="FT22" s="21">
        <f>'Total Weekday Boardings'!FT22/23</f>
        <v>719</v>
      </c>
      <c r="FU22" s="17">
        <f>'Total Weekday Boardings'!FU22/21</f>
        <v>655.52380952380952</v>
      </c>
      <c r="FV22" s="18">
        <f>'Total Weekday Boardings'!FV22/23</f>
        <v>792.6521739130435</v>
      </c>
      <c r="FW22" s="18">
        <f>'Total Weekday Boardings'!FW22/21</f>
        <v>787.19047619047615</v>
      </c>
      <c r="FX22" s="18">
        <f>'Total Weekday Boardings'!FX22/22</f>
        <v>875.09090909090912</v>
      </c>
      <c r="FY22" s="18">
        <f>'Total Weekday Boardings'!FY22/22</f>
        <v>838.27272727272725</v>
      </c>
      <c r="FZ22" s="18">
        <f>'Total Weekday Boardings'!FZ22/21</f>
        <v>712.85714285714289</v>
      </c>
      <c r="GA22" s="18">
        <f>'Total Weekday Boardings'!GA22/23</f>
        <v>790.95652173913038</v>
      </c>
      <c r="GB22" s="18">
        <f>'Total Weekday Boardings'!GB22/21</f>
        <v>912.61904761904759</v>
      </c>
      <c r="GC22" s="18">
        <f>'Total Weekday Boardings'!GC22/21</f>
        <v>846.71428571428567</v>
      </c>
      <c r="GD22" s="18">
        <f>'Total Weekday Boardings'!GD22/22</f>
        <v>830.27272727272725</v>
      </c>
      <c r="GE22" s="13">
        <f>'Total Weekday Boardings'!GE22/23</f>
        <v>753</v>
      </c>
      <c r="GF22" s="13">
        <f>'Total Weekday Boardings'!GF22/20</f>
        <v>756.3</v>
      </c>
      <c r="GG22" s="21">
        <f>'Total Weekday Boardings'!GG22/23</f>
        <v>716.304347826087</v>
      </c>
      <c r="GH22" s="13">
        <f>'Total Weekday Boardings'!GH22/22</f>
        <v>862</v>
      </c>
      <c r="GI22" s="13">
        <f>'Total Weekday Boardings'!GI22/21</f>
        <v>866.33333333333337</v>
      </c>
      <c r="GJ22" s="13">
        <f>'Total Weekday Boardings'!GJ22/23</f>
        <v>871.17391304347825</v>
      </c>
      <c r="GK22" s="13">
        <f>'Total Weekday Boardings'!GK22/21</f>
        <v>737.47619047619048</v>
      </c>
      <c r="GL22" s="13">
        <f>'Total Weekday Boardings'!GL22/22</f>
        <v>642.27272727272725</v>
      </c>
    </row>
    <row r="23" spans="1:194" ht="15" thickBot="1" x14ac:dyDescent="0.35">
      <c r="A23" s="3" t="s">
        <v>36</v>
      </c>
      <c r="B23" s="17"/>
      <c r="C23" s="18">
        <f>'Total Weekday Boardings'!C23/'Service Days per Month'!C$4</f>
        <v>352.71428571428572</v>
      </c>
      <c r="D23" s="18">
        <f>'Total Weekday Boardings'!D23/'Service Days per Month'!D$4</f>
        <v>1339.7</v>
      </c>
      <c r="E23" s="18">
        <f>'Total Weekday Boardings'!E23/'Service Days per Month'!E$4</f>
        <v>1274.7727272727273</v>
      </c>
      <c r="F23" s="18">
        <f>'Total Weekday Boardings'!F23/'Service Days per Month'!F$4</f>
        <v>1288.4545454545455</v>
      </c>
      <c r="G23" s="18">
        <f>'Total Weekday Boardings'!G23/'Service Days per Month'!G$4</f>
        <v>1242.4000000000001</v>
      </c>
      <c r="H23" s="19">
        <f>'Total Weekday Boardings'!H23/'Service Days per Month'!H$4</f>
        <v>1197.8181818181818</v>
      </c>
      <c r="I23" s="17">
        <f>'Total Weekday Boardings'!I23/'Service Days per Month'!I$4</f>
        <v>1121</v>
      </c>
      <c r="J23" s="18">
        <f>'Total Weekday Boardings'!J23/'Service Days per Month'!J$4</f>
        <v>1344.4285714285713</v>
      </c>
      <c r="K23" s="18">
        <f>'Total Weekday Boardings'!K23/'Service Days per Month'!K$4</f>
        <v>1646.5714285714287</v>
      </c>
      <c r="L23" s="18">
        <f>'Total Weekday Boardings'!L23/'Service Days per Month'!L$4</f>
        <v>1596.6818181818182</v>
      </c>
      <c r="M23" s="18">
        <f>'Total Weekday Boardings'!M23/'Service Days per Month'!M$4</f>
        <v>1461.15</v>
      </c>
      <c r="N23" s="18">
        <f>'Total Weekday Boardings'!N23/'Service Days per Month'!N$4</f>
        <v>1678.2727272727273</v>
      </c>
      <c r="O23" s="18">
        <f>'Total Weekday Boardings'!O23/'Service Days per Month'!O$4</f>
        <v>1532.65</v>
      </c>
      <c r="P23" s="18">
        <f>'Total Weekday Boardings'!P23/'Service Days per Month'!P$4</f>
        <v>1734.45</v>
      </c>
      <c r="Q23" s="18">
        <f>'Total Weekday Boardings'!Q23/'Service Days per Month'!Q$4</f>
        <v>1737.7826086956522</v>
      </c>
      <c r="R23" s="18">
        <f>'Total Weekday Boardings'!R23/'Service Days per Month'!R$4</f>
        <v>1833.590909090909</v>
      </c>
      <c r="S23" s="18">
        <f>'Total Weekday Boardings'!S23/'Service Days per Month'!S$4</f>
        <v>1531.95</v>
      </c>
      <c r="T23" s="19">
        <f>'Total Weekday Boardings'!T23/'Service Days per Month'!T$4</f>
        <v>674.13636363636363</v>
      </c>
      <c r="U23" s="17">
        <f>'Total Weekday Boardings'!U23/'Service Days per Month'!U$4</f>
        <v>555.33333333333337</v>
      </c>
      <c r="V23" s="18">
        <f>'Total Weekday Boardings'!V23/'Service Days per Month'!V$4</f>
        <v>615.40909090909088</v>
      </c>
      <c r="W23" s="18">
        <f>'Total Weekday Boardings'!W23/'Service Days per Month'!W$4</f>
        <v>679</v>
      </c>
      <c r="X23" s="18">
        <f>'Total Weekday Boardings'!X23/'Service Days per Month'!X$4</f>
        <v>744.33333333333337</v>
      </c>
      <c r="Y23" s="18">
        <f>'Total Weekday Boardings'!Y23/'Service Days per Month'!Y$4</f>
        <v>795.36842105263156</v>
      </c>
      <c r="Z23" s="18">
        <f>'Total Weekday Boardings'!Z23/'Service Days per Month'!Z$4</f>
        <v>747.85714285714289</v>
      </c>
      <c r="AA23" s="18">
        <f>'Total Weekday Boardings'!AA23/'Service Days per Month'!AA$4</f>
        <v>806.3</v>
      </c>
      <c r="AB23" s="18">
        <f>'Total Weekday Boardings'!AB23/'Service Days per Month'!AB$4</f>
        <v>833.42105263157896</v>
      </c>
      <c r="AC23" s="18">
        <f>'Total Weekday Boardings'!AC23/'Service Days per Month'!AC$4</f>
        <v>831.21739130434787</v>
      </c>
      <c r="AD23" s="18">
        <f>'Total Weekday Boardings'!AD23/'Service Days per Month'!AD$4</f>
        <v>928.14285714285711</v>
      </c>
      <c r="AE23" s="18">
        <f>'Total Weekday Boardings'!AE23/'Service Days per Month'!AE$4</f>
        <v>818.85714285714289</v>
      </c>
      <c r="AF23" s="19">
        <f>'Total Weekday Boardings'!AF23/'Service Days per Month'!AF$4</f>
        <v>787.5454545454545</v>
      </c>
      <c r="AG23" s="17">
        <f>'Total Weekday Boardings'!AG23/'Service Days per Month'!AG$4</f>
        <v>769.1</v>
      </c>
      <c r="AH23" s="18">
        <f>'Total Weekday Boardings'!AH23/'Service Days per Month'!AH$4</f>
        <v>835.6521739130435</v>
      </c>
      <c r="AI23" s="18">
        <f>'Total Weekday Boardings'!AI23/'Service Days per Month'!AI$4</f>
        <v>899.23809523809518</v>
      </c>
      <c r="AJ23" s="18">
        <f>'Total Weekday Boardings'!AJ23/'Service Days per Month'!AJ$4</f>
        <v>902.61904761904759</v>
      </c>
      <c r="AK23" s="18">
        <f>'Total Weekday Boardings'!AK23/'Service Days per Month'!AK$4</f>
        <v>806.78947368421052</v>
      </c>
      <c r="AL23" s="18">
        <f>'Total Weekday Boardings'!AL23/'Service Days per Month'!AL$4</f>
        <v>744.85714285714289</v>
      </c>
      <c r="AM23" s="18">
        <f>'Total Weekday Boardings'!AM23/'Service Days per Month'!AM$4</f>
        <v>854.65</v>
      </c>
      <c r="AN23" s="18">
        <f>'Total Weekday Boardings'!AN23/'Service Days per Month'!AN$4</f>
        <v>869.2</v>
      </c>
      <c r="AO23" s="18">
        <f>'Total Weekday Boardings'!AO23/'Service Days per Month'!AO$4</f>
        <v>872.90909090909088</v>
      </c>
      <c r="AP23" s="18">
        <f>'Total Weekday Boardings'!AP23/'Service Days per Month'!AP$4</f>
        <v>922.23809523809518</v>
      </c>
      <c r="AQ23" s="18">
        <f>'Total Weekday Boardings'!AQ23/'Service Days per Month'!AQ$4</f>
        <v>886.77272727272725</v>
      </c>
      <c r="AR23" s="19">
        <f>'Total Weekday Boardings'!AR23/'Service Days per Month'!AR$4</f>
        <v>857.47619047619048</v>
      </c>
      <c r="AS23" s="17">
        <f>'Total Weekday Boardings'!AS23/'Service Days per Month'!AS$4</f>
        <v>801.23809523809518</v>
      </c>
      <c r="AT23" s="18">
        <f>'Total Weekday Boardings'!AT23/'Service Days per Month'!AT$4</f>
        <v>841.26086956521738</v>
      </c>
      <c r="AU23" s="18">
        <f>'Total Weekday Boardings'!AU23/'Service Days per Month'!AU$4</f>
        <v>1144.578947368421</v>
      </c>
      <c r="AV23" s="18">
        <f>'Total Weekday Boardings'!AV23/'Service Days per Month'!AV$4</f>
        <v>958.13043478260875</v>
      </c>
      <c r="AW23" s="18">
        <f>'Total Weekday Boardings'!AW23/'Service Days per Month'!AW$4</f>
        <v>965.47368421052636</v>
      </c>
      <c r="AX23" s="18">
        <f>'Total Weekday Boardings'!AX23/'Service Days per Month'!AX$4</f>
        <v>843.9473684210526</v>
      </c>
      <c r="AY23" s="18">
        <f>'Total Weekday Boardings'!AY23/'Service Days per Month'!AY$4</f>
        <v>855.61904761904759</v>
      </c>
      <c r="AZ23" s="18">
        <f>'Total Weekday Boardings'!AZ23/'Service Days per Month'!AZ$4</f>
        <v>961</v>
      </c>
      <c r="BA23" s="18">
        <f>'Total Weekday Boardings'!BA23/'Service Days per Month'!BA$4</f>
        <v>898.61904761904759</v>
      </c>
      <c r="BB23" s="18">
        <f>'Total Weekday Boardings'!BB23/'Service Days per Month'!BB$4</f>
        <v>925.5454545454545</v>
      </c>
      <c r="BC23" s="18">
        <f>'Total Weekday Boardings'!BC23/'Service Days per Month'!BC$4</f>
        <v>866.72727272727275</v>
      </c>
      <c r="BD23" s="19">
        <f>'Total Weekday Boardings'!BD23/'Service Days per Month'!BD$4</f>
        <v>812.5</v>
      </c>
      <c r="BE23" s="17">
        <f>'Total Weekday Boardings'!BE23/'Service Days per Month'!BE$4</f>
        <v>752.5454545454545</v>
      </c>
      <c r="BF23" s="18">
        <f>'Total Weekday Boardings'!BF23/'Service Days per Month'!BF$4</f>
        <v>826.63636363636363</v>
      </c>
      <c r="BG23" s="18">
        <f>'Total Weekday Boardings'!BG23/'Service Days per Month'!BG$4</f>
        <v>916</v>
      </c>
      <c r="BH23" s="18">
        <f>'Total Weekday Boardings'!BH23/'Service Days per Month'!BH$4</f>
        <v>912</v>
      </c>
      <c r="BI23" s="18">
        <f>'Total Weekday Boardings'!BI23/'Service Days per Month'!BI$4</f>
        <v>935.0254084431516</v>
      </c>
      <c r="BJ23" s="18">
        <f>'Total Weekday Boardings'!BJ23/'Service Days per Month'!BJ$4</f>
        <v>815.55</v>
      </c>
      <c r="BK23" s="18">
        <f>'Total Weekday Boardings'!BK23/'Service Days per Month'!BK$4</f>
        <v>911.57142857142856</v>
      </c>
      <c r="BL23" s="18">
        <f>'Total Weekday Boardings'!BL23/'Service Days per Month'!BL$4</f>
        <v>943.47368421052636</v>
      </c>
      <c r="BM23" s="18">
        <f>'Total Weekday Boardings'!BM23/'Service Days per Month'!BM$4</f>
        <v>881.85714285714289</v>
      </c>
      <c r="BN23" s="18">
        <f>'Total Weekday Boardings'!BN23/'Service Days per Month'!BN$4</f>
        <v>905.81818181818187</v>
      </c>
      <c r="BO23" s="18">
        <f>'Total Weekday Boardings'!BO23/'Service Days per Month'!BO$4</f>
        <v>838.33333333333337</v>
      </c>
      <c r="BP23" s="19">
        <f>'Total Weekday Boardings'!BP23/'Service Days per Month'!BP$4</f>
        <v>823.33333333333337</v>
      </c>
      <c r="BQ23" s="17">
        <f>'Total Weekday Boardings'!BQ23/'Service Days per Month'!BQ$4</f>
        <v>796.0454545454545</v>
      </c>
      <c r="BR23" s="18">
        <f>'Total Weekday Boardings'!BR23/'Service Days per Month'!BR$4</f>
        <v>823.90476190476193</v>
      </c>
      <c r="BS23" s="18">
        <f>'Total Weekday Boardings'!BS23/'Service Days per Month'!BS$4</f>
        <v>849.38095238095241</v>
      </c>
      <c r="BT23" s="18">
        <f>'Total Weekday Boardings'!BT23/'Service Days per Month'!BT$4</f>
        <v>853.52173913043475</v>
      </c>
      <c r="BU23" s="18">
        <f>'Total Weekday Boardings'!BU23/'Service Days per Month'!BU$4</f>
        <v>821.88235294117646</v>
      </c>
      <c r="BV23" s="18">
        <f>'Total Weekday Boardings'!BV23/'Service Days per Month'!BV$4</f>
        <v>781.47619047619048</v>
      </c>
      <c r="BW23" s="18">
        <f>'Total Weekday Boardings'!BW23/'Service Days per Month'!BW$4</f>
        <v>846.15</v>
      </c>
      <c r="BX23" s="18">
        <f>'Total Weekday Boardings'!BX23/'Service Days per Month'!BX$4</f>
        <v>826.0526315789474</v>
      </c>
      <c r="BY23" s="18">
        <f>'Total Weekday Boardings'!BY23/'Service Days per Month'!BY$4</f>
        <v>818.59090909090912</v>
      </c>
      <c r="BZ23" s="18">
        <f>'Total Weekday Boardings'!BZ23/'Service Days per Month'!BZ$4</f>
        <v>832.63636363636363</v>
      </c>
      <c r="CA23" s="18">
        <f>'Total Weekday Boardings'!CA23/'Service Days per Month'!CA$4</f>
        <v>779.4</v>
      </c>
      <c r="CB23" s="19">
        <f>'Total Weekday Boardings'!CB23/'Service Days per Month'!CB$4</f>
        <v>775.31818181818187</v>
      </c>
      <c r="CC23" s="20">
        <f>'Total Weekday Boardings'!CC23/'Service Days per Month'!CC$4</f>
        <v>749.40909090909088</v>
      </c>
      <c r="CD23" s="18">
        <f>'Total Weekday Boardings'!CD23/'Service Days per Month'!CD$4</f>
        <v>771.14285714285711</v>
      </c>
      <c r="CE23" s="18">
        <f>'Total Weekday Boardings'!CE23/'Service Days per Month'!CE$4</f>
        <v>884.52380952380952</v>
      </c>
      <c r="CF23" s="18">
        <f>'Total Weekday Boardings'!CF23/'Service Days per Month'!CF$4</f>
        <v>918.68181818181813</v>
      </c>
      <c r="CG23" s="18">
        <f>'Total Weekday Boardings'!CG23/'Service Days per Month'!CG$4</f>
        <v>858.94444444444446</v>
      </c>
      <c r="CH23" s="18">
        <f>'Total Weekday Boardings'!CH23/'Service Days per Month'!CH$4</f>
        <v>847.57142857142856</v>
      </c>
      <c r="CI23" s="18">
        <f>'Total Weekday Boardings'!CI23/'Service Days per Month'!CI$4</f>
        <v>885.36842105263156</v>
      </c>
      <c r="CJ23" s="18">
        <f>'Total Weekday Boardings'!CJ23/'Service Days per Month'!CJ$4</f>
        <v>910.3</v>
      </c>
      <c r="CK23" s="18">
        <f>'Total Weekday Boardings'!CK23/'Service Days per Month'!CK$4</f>
        <v>1108.7826086956522</v>
      </c>
      <c r="CL23" s="18">
        <f>'Total Weekday Boardings'!CL23/'Service Days per Month'!CL$4</f>
        <v>1115.047619047619</v>
      </c>
      <c r="CM23" s="18">
        <f>'Total Weekday Boardings'!CM23/'Service Days per Month'!CM$4</f>
        <v>849.23809523809518</v>
      </c>
      <c r="CN23" s="21">
        <f>'Total Weekday Boardings'!CN23/'Service Days per Month'!CN$4</f>
        <v>1042.1363636363637</v>
      </c>
      <c r="CO23" s="17">
        <f>'Total Weekday Boardings'!CO23/'Service Days per Month'!CO$4</f>
        <v>822.7</v>
      </c>
      <c r="CP23" s="18">
        <f>'Total Weekday Boardings'!CP23/'Service Days per Month'!CP$4</f>
        <v>792.39130434782612</v>
      </c>
      <c r="CQ23" s="18">
        <f>'Total Weekday Boardings'!CQ23/'Service Days per Month'!CQ$4</f>
        <v>802.28571428571433</v>
      </c>
      <c r="CR23" s="18">
        <f>'Total Weekday Boardings'!CR23/'Service Days per Month'!CR$4</f>
        <v>809.42857142857144</v>
      </c>
      <c r="CS23" s="18">
        <f>'Total Weekday Boardings'!CS23/'Service Days per Month'!CS$4</f>
        <v>787.0526315789474</v>
      </c>
      <c r="CT23" s="18">
        <f>'Total Weekday Boardings'!CT23/'Service Days per Month'!CT$4</f>
        <v>750.95238095238096</v>
      </c>
      <c r="CU23" s="18">
        <f>'Total Weekday Boardings'!CU23/'Service Days per Month'!CU$4</f>
        <v>805.1</v>
      </c>
      <c r="CV23" s="18">
        <f>'Total Weekday Boardings'!CV23/'Service Days per Month'!CV$4</f>
        <v>812.15789473684208</v>
      </c>
      <c r="CW23" s="18">
        <f>'Total Weekday Boardings'!CW23/'Service Days per Month'!CW$4</f>
        <v>843.78260869565213</v>
      </c>
      <c r="CX23" s="18">
        <f>'Total Weekday Boardings'!CX23/'Service Days per Month'!CX$4</f>
        <v>848.6</v>
      </c>
      <c r="CY23" s="18">
        <f>'Total Weekday Boardings'!CY23/'Service Days per Month'!CY$4</f>
        <v>781.68181818181813</v>
      </c>
      <c r="CZ23" s="19">
        <f>'Total Weekday Boardings'!CZ23/'Service Days per Month'!CZ$4</f>
        <v>759.0454545454545</v>
      </c>
      <c r="DA23" s="17">
        <f>'Total Weekday Boardings'!DA23/'Service Days per Month'!DA$4</f>
        <v>730.4</v>
      </c>
      <c r="DB23" s="18">
        <f>'Total Weekday Boardings'!DB23/'Service Days per Month'!DB$4</f>
        <v>804.17391304347825</v>
      </c>
      <c r="DC23" s="18">
        <f>'Total Weekday Boardings'!DC23/'Service Days per Month'!DC$4</f>
        <v>796.1</v>
      </c>
      <c r="DD23" s="18">
        <f>'Total Weekday Boardings'!DD23/'Service Days per Month'!DD$4</f>
        <v>800.40909090909088</v>
      </c>
      <c r="DE23" s="18">
        <f>'Total Weekday Boardings'!DE23/'Service Days per Month'!DE$4</f>
        <v>777.10526315789468</v>
      </c>
      <c r="DF23" s="18">
        <f>'Total Weekday Boardings'!DF23/'Service Days per Month'!DF$4</f>
        <v>729.4</v>
      </c>
      <c r="DG23" s="18">
        <f>'Total Weekday Boardings'!DG23/'Service Days per Month'!DG$4</f>
        <v>1014.2857142857143</v>
      </c>
      <c r="DH23" s="18">
        <f>'Total Weekday Boardings'!DH23/'Service Days per Month'!DH$4</f>
        <v>1001.3684210526316</v>
      </c>
      <c r="DI23" s="18">
        <f>'Total Weekday Boardings'!DI23/'Service Days per Month'!DI$4</f>
        <v>1036.1818181818182</v>
      </c>
      <c r="DJ23" s="18">
        <f>'Total Weekday Boardings'!DJ23/'Service Days per Month'!DJ$4</f>
        <v>1154.7619047619048</v>
      </c>
      <c r="DK23" s="18">
        <f>'Total Weekday Boardings'!DK23/'Service Days per Month'!DK$4</f>
        <v>1034.909090909091</v>
      </c>
      <c r="DL23" s="19">
        <f>'Total Weekday Boardings'!DL23/'Service Days per Month'!DL$4</f>
        <v>926.38095238095241</v>
      </c>
      <c r="DM23" s="17">
        <f>'Total Weekday Boardings'!DM23/'Service Days per Month'!DM$4</f>
        <v>890.28571428571433</v>
      </c>
      <c r="DN23" s="18">
        <f>'Total Weekday Boardings'!DN23/'Service Days per Month'!DN$4</f>
        <v>957.91304347826087</v>
      </c>
      <c r="DO23" s="18">
        <f>'Total Weekday Boardings'!DO23/'Service Days per Month'!DO$4</f>
        <v>983.31578947368416</v>
      </c>
      <c r="DP23" s="18">
        <f>'Total Weekday Boardings'!DP23/'Service Days per Month'!DP$4</f>
        <v>998.17391304347825</v>
      </c>
      <c r="DQ23" s="18">
        <f>'Total Weekday Boardings'!DQ23/'Service Days per Month'!DQ$4</f>
        <v>1020</v>
      </c>
      <c r="DR23" s="18">
        <f>'Total Weekday Boardings'!DR23/'Service Days per Month'!DR$4</f>
        <v>978.45</v>
      </c>
      <c r="DS23" s="18">
        <f>'Total Weekday Boardings'!DS23/'Service Days per Month'!DS$4</f>
        <v>1005.0454545454545</v>
      </c>
      <c r="DT23" s="18">
        <f>'Total Weekday Boardings'!DT23/'Service Days per Month'!DT$4</f>
        <v>937.8</v>
      </c>
      <c r="DU23" s="18">
        <f>'Total Weekday Boardings'!DU23/'Service Days per Month'!DU$4</f>
        <v>999.52380952380952</v>
      </c>
      <c r="DV23" s="18">
        <f>'Total Weekday Boardings'!DV23/'Service Days per Month'!DV$4</f>
        <v>799</v>
      </c>
      <c r="DW23" s="18">
        <f>'Total Weekday Boardings'!DW23/'Service Days per Month'!DW$4</f>
        <v>1008.5454545454545</v>
      </c>
      <c r="DX23" s="19">
        <f>'Total Weekday Boardings'!DX23/'Service Days per Month'!DX$4</f>
        <v>950.1</v>
      </c>
      <c r="DY23" s="17">
        <f>'Total Weekday Boardings'!DY23/'Service Days per Month'!DY$4</f>
        <v>913.22727272727275</v>
      </c>
      <c r="DZ23" s="18">
        <f>'Total Weekday Boardings'!DZ23/'Service Days per Month'!DZ$4</f>
        <v>1038</v>
      </c>
      <c r="EA23" s="18">
        <f>'Total Weekday Boardings'!EA23/'Service Days per Month'!EA$4</f>
        <v>985.55</v>
      </c>
      <c r="EB23" s="18">
        <f>'Total Weekday Boardings'!EB23/'Service Days per Month'!EB$4</f>
        <v>1046.1304347826087</v>
      </c>
      <c r="EC23" s="18">
        <f>'Total Weekday Boardings'!EC23/'Service Days per Month'!EC$4</f>
        <v>1030.8</v>
      </c>
      <c r="ED23" s="18">
        <f>'Total Weekday Boardings'!ED23/'Service Days per Month'!ED$4</f>
        <v>1006.0952380952381</v>
      </c>
      <c r="EE23" s="18">
        <f>'Total Weekday Boardings'!EE23/'Service Days per Month'!EE$4</f>
        <v>975.21739130434787</v>
      </c>
      <c r="EF23" s="18">
        <f>'Total Weekday Boardings'!EF23/'Service Days per Month'!EF$4</f>
        <v>1068.0999999999999</v>
      </c>
      <c r="EG23" s="18">
        <f>'Total Weekday Boardings'!EG23/'Service Days per Month'!EG$4</f>
        <v>758.09090909090912</v>
      </c>
      <c r="EH23" s="18">
        <f>'Total Weekday Boardings'!EH23/'Service Days per Month'!EH$4</f>
        <v>379.86363636363637</v>
      </c>
      <c r="EI23" s="18">
        <f>'Total Weekday Boardings'!EI23/'Service Days per Month'!EI$4</f>
        <v>376.85</v>
      </c>
      <c r="EJ23" s="19">
        <f>'Total Weekday Boardings'!EJ23/'Service Days per Month'!EJ$4</f>
        <v>360.09090909090907</v>
      </c>
      <c r="EK23" s="17">
        <f>'Total Weekday Boardings'!EK23/'Service Days per Month'!EK$4</f>
        <v>343.40909090909093</v>
      </c>
      <c r="EL23" s="18">
        <f>'Total Weekday Boardings'!EL23/'Service Days per Month'!EL$4</f>
        <v>383.8095238095238</v>
      </c>
      <c r="EM23" s="18">
        <f>'Total Weekday Boardings'!EM23/'Service Days per Month'!EM$4</f>
        <v>409.66666666666669</v>
      </c>
      <c r="EN23" s="18">
        <f>'Total Weekday Boardings'!EN23/'Service Days per Month'!EN$4</f>
        <v>448.90909090909093</v>
      </c>
      <c r="EO23" s="18">
        <f>'Total Weekday Boardings'!EO23/'Service Days per Month'!EO$4</f>
        <v>543.65</v>
      </c>
      <c r="EP23" s="18">
        <f>'Total Weekday Boardings'!EP23/'Service Days per Month'!EP$4</f>
        <v>189.95454545454547</v>
      </c>
      <c r="EQ23" s="18">
        <f>'Total Weekday Boardings'!EQ23/'Service Days per Month'!EQ$4</f>
        <v>161.95238095238096</v>
      </c>
      <c r="ER23" s="18">
        <f>'Total Weekday Boardings'!ER23/'Service Days per Month'!ER$4</f>
        <v>172.65</v>
      </c>
      <c r="ES23" s="18">
        <f>'Total Weekday Boardings'!ES23/'Service Days per Month'!ES$4</f>
        <v>133.30434782608697</v>
      </c>
      <c r="ET23" s="18">
        <f>'Total Weekday Boardings'!ET23/'Service Days per Month'!ET$4</f>
        <v>436.13636363636363</v>
      </c>
      <c r="EU23" s="18">
        <f>'Total Weekday Boardings'!EU23/'Service Days per Month'!EU$4</f>
        <v>429.4</v>
      </c>
      <c r="EV23" s="19">
        <f>'Total Weekday Boardings'!EV23/'Service Days per Month'!EV$4</f>
        <v>469.72727272727275</v>
      </c>
      <c r="EW23" s="17">
        <f>'Total Weekday Boardings'!EW23/'Service Days per Month'!EW$4</f>
        <v>502.90476190476193</v>
      </c>
      <c r="EX23" s="18">
        <f>'Total Weekday Boardings'!EX23/'Service Days per Month'!EX$4</f>
        <v>484.31818181818181</v>
      </c>
      <c r="EY23" s="18">
        <f>'Total Weekday Boardings'!EY23/'Service Days per Month'!EY$4</f>
        <v>476.14285714285717</v>
      </c>
      <c r="EZ23" s="18">
        <f>'Total Weekday Boardings'!EZ23/'Service Days per Month'!EZ$4</f>
        <v>510.66666666666669</v>
      </c>
      <c r="FA23" s="18">
        <f>'Total Weekday Boardings'!FA23/'Service Days per Month'!FA$4</f>
        <v>558.95238095238096</v>
      </c>
      <c r="FB23" s="18">
        <f>'Total Weekday Boardings'!FB23/'Service Days per Month'!FB$4</f>
        <v>498.5</v>
      </c>
      <c r="FC23" s="18">
        <f>'Total Weekday Boardings'!FC23/'Service Days per Month'!FC$4</f>
        <v>434.28571428571428</v>
      </c>
      <c r="FD23" s="18">
        <f>'Total Weekday Boardings'!FD23/'Service Days per Month'!FD$4</f>
        <v>579.45000000000005</v>
      </c>
      <c r="FE23" s="18">
        <f>'Total Weekday Boardings'!FE23/'Service Days per Month'!FE$4</f>
        <v>600.56521739130437</v>
      </c>
      <c r="FF23" s="18">
        <f>'Total Weekday Boardings'!FF23/'Service Days per Month'!FF$4</f>
        <v>335.71428571428572</v>
      </c>
      <c r="FG23" s="18">
        <f>'Total Weekday Boardings'!FG23/'Service Days per Month'!FG$4</f>
        <v>446.47619047619048</v>
      </c>
      <c r="FH23" s="19">
        <f>'Total Weekday Boardings'!FH23/'Service Days per Month'!FH$4</f>
        <v>745.77272727272725</v>
      </c>
      <c r="FI23" s="17">
        <v>500</v>
      </c>
      <c r="FJ23" s="18">
        <v>323.04347826086956</v>
      </c>
      <c r="FK23" s="18">
        <v>325.47619047619048</v>
      </c>
      <c r="FL23" s="18">
        <v>343.23809523809524</v>
      </c>
      <c r="FM23" s="18">
        <v>324.47619047619048</v>
      </c>
      <c r="FN23" s="18">
        <v>316.42857142857144</v>
      </c>
      <c r="FO23" s="18">
        <v>359.52380952380952</v>
      </c>
      <c r="FP23" s="18">
        <v>333.9</v>
      </c>
      <c r="FQ23" s="18">
        <v>403.52173913043481</v>
      </c>
      <c r="FR23" s="18">
        <f>'Total Weekday Boardings'!FR23/20</f>
        <v>431.6</v>
      </c>
      <c r="FS23" s="18">
        <f>'Total Weekday Boardings'!FS23/22</f>
        <v>415.90909090909093</v>
      </c>
      <c r="FT23" s="21">
        <f>'Total Weekday Boardings'!FT23/23</f>
        <v>368.43478260869563</v>
      </c>
      <c r="FU23" s="17">
        <f>'Total Weekday Boardings'!FU23/21</f>
        <v>381.33333333333331</v>
      </c>
      <c r="FV23" s="18">
        <f>'Total Weekday Boardings'!FV23/23</f>
        <v>367.47826086956519</v>
      </c>
      <c r="FW23" s="18">
        <f>'Total Weekday Boardings'!FW23/21</f>
        <v>360.76190476190476</v>
      </c>
      <c r="FX23" s="18">
        <f>'Total Weekday Boardings'!FX23/22</f>
        <v>443.18181818181819</v>
      </c>
      <c r="FY23" s="18">
        <f>'Total Weekday Boardings'!FY23/22</f>
        <v>388.86363636363637</v>
      </c>
      <c r="FZ23" s="18">
        <f>'Total Weekday Boardings'!FZ23/21</f>
        <v>336.33333333333331</v>
      </c>
      <c r="GA23" s="18">
        <f>'Total Weekday Boardings'!GA23/23</f>
        <v>311.78260869565219</v>
      </c>
      <c r="GB23" s="18">
        <f>'Total Weekday Boardings'!GB23/21</f>
        <v>402.47619047619048</v>
      </c>
      <c r="GC23" s="18">
        <f>'Total Weekday Boardings'!GC23/21</f>
        <v>388.90476190476193</v>
      </c>
      <c r="GD23" s="18">
        <f>'Total Weekday Boardings'!GD23/22</f>
        <v>368.13636363636363</v>
      </c>
      <c r="GE23" s="13">
        <f>'Total Weekday Boardings'!GE23/23</f>
        <v>362.73913043478262</v>
      </c>
      <c r="GF23" s="13">
        <f>'Total Weekday Boardings'!GF23/20</f>
        <v>377.25</v>
      </c>
      <c r="GG23" s="21">
        <f>'Total Weekday Boardings'!GG23/23</f>
        <v>331.73913043478262</v>
      </c>
      <c r="GH23" s="13">
        <f>'Total Weekday Boardings'!GH23/22</f>
        <v>371</v>
      </c>
      <c r="GI23" s="13">
        <f>'Total Weekday Boardings'!GI23/21</f>
        <v>365.8095238095238</v>
      </c>
      <c r="GJ23" s="13">
        <f>'Total Weekday Boardings'!GJ23/23</f>
        <v>355.56521739130437</v>
      </c>
      <c r="GK23" s="13">
        <f>'Total Weekday Boardings'!GK23/21</f>
        <v>356.52380952380952</v>
      </c>
      <c r="GL23" s="13">
        <f>'Total Weekday Boardings'!GL23/22</f>
        <v>326.54545454545456</v>
      </c>
    </row>
    <row r="24" spans="1:194" ht="15" thickBot="1" x14ac:dyDescent="0.35">
      <c r="A24" s="3" t="s">
        <v>37</v>
      </c>
      <c r="B24" s="17"/>
      <c r="C24" s="18">
        <f>'Total Weekday Boardings'!C24/'Service Days per Month'!C$4</f>
        <v>338.95238095238096</v>
      </c>
      <c r="D24" s="18">
        <f>'Total Weekday Boardings'!D24/'Service Days per Month'!D$4</f>
        <v>513.1</v>
      </c>
      <c r="E24" s="18">
        <f>'Total Weekday Boardings'!E24/'Service Days per Month'!E$4</f>
        <v>317.22727272727275</v>
      </c>
      <c r="F24" s="18">
        <f>'Total Weekday Boardings'!F24/'Service Days per Month'!F$4</f>
        <v>438.59090909090907</v>
      </c>
      <c r="G24" s="18">
        <f>'Total Weekday Boardings'!G24/'Service Days per Month'!G$4</f>
        <v>387.35</v>
      </c>
      <c r="H24" s="19">
        <f>'Total Weekday Boardings'!H24/'Service Days per Month'!H$4</f>
        <v>388.40909090909093</v>
      </c>
      <c r="I24" s="17">
        <f>'Total Weekday Boardings'!I24/'Service Days per Month'!I$4</f>
        <v>404.47826086956519</v>
      </c>
      <c r="J24" s="18">
        <f>'Total Weekday Boardings'!J24/'Service Days per Month'!J$4</f>
        <v>527.28571428571433</v>
      </c>
      <c r="K24" s="18">
        <f>'Total Weekday Boardings'!K24/'Service Days per Month'!K$4</f>
        <v>449.57142857142856</v>
      </c>
      <c r="L24" s="18">
        <f>'Total Weekday Boardings'!L24/'Service Days per Month'!L$4</f>
        <v>475.95454545454544</v>
      </c>
      <c r="M24" s="18">
        <f>'Total Weekday Boardings'!M24/'Service Days per Month'!M$4</f>
        <v>605.29999999999995</v>
      </c>
      <c r="N24" s="18">
        <f>'Total Weekday Boardings'!N24/'Service Days per Month'!N$4</f>
        <v>456.72727272727275</v>
      </c>
      <c r="O24" s="18">
        <f>'Total Weekday Boardings'!O24/'Service Days per Month'!O$4</f>
        <v>456.9</v>
      </c>
      <c r="P24" s="18">
        <f>'Total Weekday Boardings'!P24/'Service Days per Month'!P$4</f>
        <v>513.75</v>
      </c>
      <c r="Q24" s="18">
        <f>'Total Weekday Boardings'!Q24/'Service Days per Month'!Q$4</f>
        <v>514.73913043478262</v>
      </c>
      <c r="R24" s="18">
        <f>'Total Weekday Boardings'!R24/'Service Days per Month'!R$4</f>
        <v>546.59090909090912</v>
      </c>
      <c r="S24" s="18">
        <f>'Total Weekday Boardings'!S24/'Service Days per Month'!S$4</f>
        <v>442.15</v>
      </c>
      <c r="T24" s="19">
        <f>'Total Weekday Boardings'!T24/'Service Days per Month'!T$4</f>
        <v>762.59090909090912</v>
      </c>
      <c r="U24" s="17">
        <f>'Total Weekday Boardings'!U24/'Service Days per Month'!U$4</f>
        <v>706.76190476190482</v>
      </c>
      <c r="V24" s="18">
        <f>'Total Weekday Boardings'!V24/'Service Days per Month'!V$4</f>
        <v>799.40909090909088</v>
      </c>
      <c r="W24" s="18">
        <f>'Total Weekday Boardings'!W24/'Service Days per Month'!W$4</f>
        <v>848.90476190476193</v>
      </c>
      <c r="X24" s="18">
        <f>'Total Weekday Boardings'!X24/'Service Days per Month'!X$4</f>
        <v>917.14285714285711</v>
      </c>
      <c r="Y24" s="18">
        <f>'Total Weekday Boardings'!Y24/'Service Days per Month'!Y$4</f>
        <v>988.42105263157896</v>
      </c>
      <c r="Z24" s="18">
        <f>'Total Weekday Boardings'!Z24/'Service Days per Month'!Z$4</f>
        <v>877</v>
      </c>
      <c r="AA24" s="18">
        <f>'Total Weekday Boardings'!AA24/'Service Days per Month'!AA$4</f>
        <v>1003.35</v>
      </c>
      <c r="AB24" s="18">
        <f>'Total Weekday Boardings'!AB24/'Service Days per Month'!AB$4</f>
        <v>1091.1578947368421</v>
      </c>
      <c r="AC24" s="18">
        <f>'Total Weekday Boardings'!AC24/'Service Days per Month'!AC$4</f>
        <v>994.17391304347825</v>
      </c>
      <c r="AD24" s="18">
        <f>'Total Weekday Boardings'!AD24/'Service Days per Month'!AD$4</f>
        <v>1017.047619047619</v>
      </c>
      <c r="AE24" s="18">
        <f>'Total Weekday Boardings'!AE24/'Service Days per Month'!AE$4</f>
        <v>956.38095238095241</v>
      </c>
      <c r="AF24" s="19">
        <f>'Total Weekday Boardings'!AF24/'Service Days per Month'!AF$4</f>
        <v>955.72727272727275</v>
      </c>
      <c r="AG24" s="17">
        <f>'Total Weekday Boardings'!AG24/'Service Days per Month'!AG$4</f>
        <v>917.5</v>
      </c>
      <c r="AH24" s="18">
        <f>'Total Weekday Boardings'!AH24/'Service Days per Month'!AH$4</f>
        <v>909.17391304347825</v>
      </c>
      <c r="AI24" s="18">
        <f>'Total Weekday Boardings'!AI24/'Service Days per Month'!AI$4</f>
        <v>980.76190476190482</v>
      </c>
      <c r="AJ24" s="18">
        <f>'Total Weekday Boardings'!AJ24/'Service Days per Month'!AJ$4</f>
        <v>977</v>
      </c>
      <c r="AK24" s="18">
        <f>'Total Weekday Boardings'!AK24/'Service Days per Month'!AK$4</f>
        <v>911.31578947368416</v>
      </c>
      <c r="AL24" s="18">
        <f>'Total Weekday Boardings'!AL24/'Service Days per Month'!AL$4</f>
        <v>879.38095238095241</v>
      </c>
      <c r="AM24" s="18">
        <f>'Total Weekday Boardings'!AM24/'Service Days per Month'!AM$4</f>
        <v>973.1</v>
      </c>
      <c r="AN24" s="18">
        <f>'Total Weekday Boardings'!AN24/'Service Days per Month'!AN$4</f>
        <v>1034.1500000000001</v>
      </c>
      <c r="AO24" s="18">
        <f>'Total Weekday Boardings'!AO24/'Service Days per Month'!AO$4</f>
        <v>1099.4545454545455</v>
      </c>
      <c r="AP24" s="18">
        <f>'Total Weekday Boardings'!AP24/'Service Days per Month'!AP$4</f>
        <v>1114</v>
      </c>
      <c r="AQ24" s="18">
        <f>'Total Weekday Boardings'!AQ24/'Service Days per Month'!AQ$4</f>
        <v>1100</v>
      </c>
      <c r="AR24" s="19">
        <f>'Total Weekday Boardings'!AR24/'Service Days per Month'!AR$4</f>
        <v>1025.4761904761904</v>
      </c>
      <c r="AS24" s="17">
        <f>'Total Weekday Boardings'!AS24/'Service Days per Month'!AS$4</f>
        <v>981.38095238095241</v>
      </c>
      <c r="AT24" s="18">
        <f>'Total Weekday Boardings'!AT24/'Service Days per Month'!AT$4</f>
        <v>1030.5217391304348</v>
      </c>
      <c r="AU24" s="18">
        <f>'Total Weekday Boardings'!AU24/'Service Days per Month'!AU$4</f>
        <v>863.26315789473688</v>
      </c>
      <c r="AV24" s="18">
        <f>'Total Weekday Boardings'!AV24/'Service Days per Month'!AV$4</f>
        <v>1063.8260869565217</v>
      </c>
      <c r="AW24" s="18">
        <f>'Total Weekday Boardings'!AW24/'Service Days per Month'!AW$4</f>
        <v>1143.578947368421</v>
      </c>
      <c r="AX24" s="18">
        <f>'Total Weekday Boardings'!AX24/'Service Days per Month'!AX$4</f>
        <v>1037.1052631578948</v>
      </c>
      <c r="AY24" s="18">
        <f>'Total Weekday Boardings'!AY24/'Service Days per Month'!AY$4</f>
        <v>975.09523809523807</v>
      </c>
      <c r="AZ24" s="18">
        <f>'Total Weekday Boardings'!AZ24/'Service Days per Month'!AZ$4</f>
        <v>1072.0526315789473</v>
      </c>
      <c r="BA24" s="18">
        <f>'Total Weekday Boardings'!BA24/'Service Days per Month'!BA$4</f>
        <v>1087.7619047619048</v>
      </c>
      <c r="BB24" s="18">
        <f>'Total Weekday Boardings'!BB24/'Service Days per Month'!BB$4</f>
        <v>1068.3181818181818</v>
      </c>
      <c r="BC24" s="18">
        <f>'Total Weekday Boardings'!BC24/'Service Days per Month'!BC$4</f>
        <v>1072.9545454545455</v>
      </c>
      <c r="BD24" s="19">
        <f>'Total Weekday Boardings'!BD24/'Service Days per Month'!BD$4</f>
        <v>962.25</v>
      </c>
      <c r="BE24" s="17">
        <f>'Total Weekday Boardings'!BE24/'Service Days per Month'!BE$4</f>
        <v>926.18181818181813</v>
      </c>
      <c r="BF24" s="18">
        <f>'Total Weekday Boardings'!BF24/'Service Days per Month'!BF$4</f>
        <v>1018.1363636363636</v>
      </c>
      <c r="BG24" s="18">
        <f>'Total Weekday Boardings'!BG24/'Service Days per Month'!BG$4</f>
        <v>1121.3499999999999</v>
      </c>
      <c r="BH24" s="18">
        <f>'Total Weekday Boardings'!BH24/'Service Days per Month'!BH$4</f>
        <v>1138.6521739130435</v>
      </c>
      <c r="BI24" s="18">
        <f>'Total Weekday Boardings'!BI24/'Service Days per Month'!BI$4</f>
        <v>1156.0171476681919</v>
      </c>
      <c r="BJ24" s="18">
        <f>'Total Weekday Boardings'!BJ24/'Service Days per Month'!BJ$4</f>
        <v>1100.8</v>
      </c>
      <c r="BK24" s="18">
        <f>'Total Weekday Boardings'!BK24/'Service Days per Month'!BK$4</f>
        <v>1201.4285714285713</v>
      </c>
      <c r="BL24" s="18">
        <f>'Total Weekday Boardings'!BL24/'Service Days per Month'!BL$4</f>
        <v>1213.5263157894738</v>
      </c>
      <c r="BM24" s="18">
        <f>'Total Weekday Boardings'!BM24/'Service Days per Month'!BM$4</f>
        <v>1176.8571428571429</v>
      </c>
      <c r="BN24" s="18">
        <f>'Total Weekday Boardings'!BN24/'Service Days per Month'!BN$4</f>
        <v>1108.8636363636363</v>
      </c>
      <c r="BO24" s="18">
        <f>'Total Weekday Boardings'!BO24/'Service Days per Month'!BO$4</f>
        <v>1113.6190476190477</v>
      </c>
      <c r="BP24" s="19">
        <f>'Total Weekday Boardings'!BP24/'Service Days per Month'!BP$4</f>
        <v>1051.6190476190477</v>
      </c>
      <c r="BQ24" s="17">
        <f>'Total Weekday Boardings'!BQ24/'Service Days per Month'!BQ$4</f>
        <v>952.22727272727275</v>
      </c>
      <c r="BR24" s="18">
        <f>'Total Weekday Boardings'!BR24/'Service Days per Month'!BR$4</f>
        <v>1005.0952380952381</v>
      </c>
      <c r="BS24" s="18">
        <f>'Total Weekday Boardings'!BS24/'Service Days per Month'!BS$4</f>
        <v>1045.7142857142858</v>
      </c>
      <c r="BT24" s="18">
        <f>'Total Weekday Boardings'!BT24/'Service Days per Month'!BT$4</f>
        <v>1078.4782608695652</v>
      </c>
      <c r="BU24" s="18">
        <f>'Total Weekday Boardings'!BU24/'Service Days per Month'!BU$4</f>
        <v>1121.0588235294117</v>
      </c>
      <c r="BV24" s="18">
        <f>'Total Weekday Boardings'!BV24/'Service Days per Month'!BV$4</f>
        <v>1057.7619047619048</v>
      </c>
      <c r="BW24" s="18">
        <f>'Total Weekday Boardings'!BW24/'Service Days per Month'!BW$4</f>
        <v>1857.3</v>
      </c>
      <c r="BX24" s="18">
        <f>'Total Weekday Boardings'!BX24/'Service Days per Month'!BX$4</f>
        <v>1108.8421052631579</v>
      </c>
      <c r="BY24" s="18">
        <f>'Total Weekday Boardings'!BY24/'Service Days per Month'!BY$4</f>
        <v>1075.3636363636363</v>
      </c>
      <c r="BZ24" s="18">
        <f>'Total Weekday Boardings'!BZ24/'Service Days per Month'!BZ$4</f>
        <v>1085.7272727272727</v>
      </c>
      <c r="CA24" s="18">
        <f>'Total Weekday Boardings'!CA24/'Service Days per Month'!CA$4</f>
        <v>1034.55</v>
      </c>
      <c r="CB24" s="19">
        <f>'Total Weekday Boardings'!CB24/'Service Days per Month'!CB$4</f>
        <v>1029.909090909091</v>
      </c>
      <c r="CC24" s="20">
        <f>'Total Weekday Boardings'!CC24/'Service Days per Month'!CC$4</f>
        <v>985.13636363636363</v>
      </c>
      <c r="CD24" s="18">
        <f>'Total Weekday Boardings'!CD24/'Service Days per Month'!CD$4</f>
        <v>1027.8095238095239</v>
      </c>
      <c r="CE24" s="18">
        <f>'Total Weekday Boardings'!CE24/'Service Days per Month'!CE$4</f>
        <v>997</v>
      </c>
      <c r="CF24" s="18">
        <f>'Total Weekday Boardings'!CF24/'Service Days per Month'!CF$4</f>
        <v>1001.7727272727273</v>
      </c>
      <c r="CG24" s="18">
        <f>'Total Weekday Boardings'!CG24/'Service Days per Month'!CG$4</f>
        <v>1001.3888888888889</v>
      </c>
      <c r="CH24" s="18">
        <f>'Total Weekday Boardings'!CH24/'Service Days per Month'!CH$4</f>
        <v>997.57142857142856</v>
      </c>
      <c r="CI24" s="18">
        <f>'Total Weekday Boardings'!CI24/'Service Days per Month'!CI$4</f>
        <v>1092.0526315789473</v>
      </c>
      <c r="CJ24" s="18">
        <f>'Total Weekday Boardings'!CJ24/'Service Days per Month'!CJ$4</f>
        <v>1016.1</v>
      </c>
      <c r="CK24" s="18">
        <f>'Total Weekday Boardings'!CK24/'Service Days per Month'!CK$4</f>
        <v>853.43478260869563</v>
      </c>
      <c r="CL24" s="18">
        <f>'Total Weekday Boardings'!CL24/'Service Days per Month'!CL$4</f>
        <v>901.04761904761904</v>
      </c>
      <c r="CM24" s="18">
        <f>'Total Weekday Boardings'!CM24/'Service Days per Month'!CM$4</f>
        <v>1048.952380952381</v>
      </c>
      <c r="CN24" s="21">
        <f>'Total Weekday Boardings'!CN24/'Service Days per Month'!CN$4</f>
        <v>833.22727272727275</v>
      </c>
      <c r="CO24" s="17">
        <f>'Total Weekday Boardings'!CO24/'Service Days per Month'!CO$4</f>
        <v>988.05</v>
      </c>
      <c r="CP24" s="18">
        <f>'Total Weekday Boardings'!CP24/'Service Days per Month'!CP$4</f>
        <v>993.13043478260875</v>
      </c>
      <c r="CQ24" s="18">
        <f>'Total Weekday Boardings'!CQ24/'Service Days per Month'!CQ$4</f>
        <v>1026.1904761904761</v>
      </c>
      <c r="CR24" s="18">
        <f>'Total Weekday Boardings'!CR24/'Service Days per Month'!CR$4</f>
        <v>1027.8571428571429</v>
      </c>
      <c r="CS24" s="18">
        <f>'Total Weekday Boardings'!CS24/'Service Days per Month'!CS$4</f>
        <v>1020.2105263157895</v>
      </c>
      <c r="CT24" s="18">
        <f>'Total Weekday Boardings'!CT24/'Service Days per Month'!CT$4</f>
        <v>995.42857142857144</v>
      </c>
      <c r="CU24" s="18">
        <f>'Total Weekday Boardings'!CU24/'Service Days per Month'!CU$4</f>
        <v>1032.5</v>
      </c>
      <c r="CV24" s="18">
        <f>'Total Weekday Boardings'!CV24/'Service Days per Month'!CV$4</f>
        <v>1033.7894736842106</v>
      </c>
      <c r="CW24" s="18">
        <f>'Total Weekday Boardings'!CW24/'Service Days per Month'!CW$4</f>
        <v>1051.608695652174</v>
      </c>
      <c r="CX24" s="18">
        <f>'Total Weekday Boardings'!CX24/'Service Days per Month'!CX$4</f>
        <v>1083.55</v>
      </c>
      <c r="CY24" s="18">
        <f>'Total Weekday Boardings'!CY24/'Service Days per Month'!CY$4</f>
        <v>1097.7727272727273</v>
      </c>
      <c r="CZ24" s="19">
        <f>'Total Weekday Boardings'!CZ24/'Service Days per Month'!CZ$4</f>
        <v>1003.0909090909091</v>
      </c>
      <c r="DA24" s="17">
        <f>'Total Weekday Boardings'!DA24/'Service Days per Month'!DA$4</f>
        <v>945.3</v>
      </c>
      <c r="DB24" s="18">
        <f>'Total Weekday Boardings'!DB24/'Service Days per Month'!DB$4</f>
        <v>1027.0434782608695</v>
      </c>
      <c r="DC24" s="18">
        <f>'Total Weekday Boardings'!DC24/'Service Days per Month'!DC$4</f>
        <v>1043.9000000000001</v>
      </c>
      <c r="DD24" s="18">
        <f>'Total Weekday Boardings'!DD24/'Service Days per Month'!DD$4</f>
        <v>1023.0454545454545</v>
      </c>
      <c r="DE24" s="18">
        <f>'Total Weekday Boardings'!DE24/'Service Days per Month'!DE$4</f>
        <v>1029.3684210526317</v>
      </c>
      <c r="DF24" s="18">
        <f>'Total Weekday Boardings'!DF24/'Service Days per Month'!DF$4</f>
        <v>983.1</v>
      </c>
      <c r="DG24" s="18">
        <f>'Total Weekday Boardings'!DG24/'Service Days per Month'!DG$4</f>
        <v>795.42857142857144</v>
      </c>
      <c r="DH24" s="18">
        <f>'Total Weekday Boardings'!DH24/'Service Days per Month'!DH$4</f>
        <v>804.47368421052636</v>
      </c>
      <c r="DI24" s="18">
        <f>'Total Weekday Boardings'!DI24/'Service Days per Month'!DI$4</f>
        <v>841.5</v>
      </c>
      <c r="DJ24" s="18">
        <f>'Total Weekday Boardings'!DJ24/'Service Days per Month'!DJ$4</f>
        <v>1053.8571428571429</v>
      </c>
      <c r="DK24" s="18">
        <f>'Total Weekday Boardings'!DK24/'Service Days per Month'!DK$4</f>
        <v>838.63636363636363</v>
      </c>
      <c r="DL24" s="19">
        <f>'Total Weekday Boardings'!DL24/'Service Days per Month'!DL$4</f>
        <v>770.90476190476193</v>
      </c>
      <c r="DM24" s="17">
        <f>'Total Weekday Boardings'!DM24/'Service Days per Month'!DM$4</f>
        <v>721.61904761904759</v>
      </c>
      <c r="DN24" s="18">
        <f>'Total Weekday Boardings'!DN24/'Service Days per Month'!DN$4</f>
        <v>744.78260869565213</v>
      </c>
      <c r="DO24" s="18">
        <f>'Total Weekday Boardings'!DO24/'Service Days per Month'!DO$4</f>
        <v>740.78947368421052</v>
      </c>
      <c r="DP24" s="18">
        <f>'Total Weekday Boardings'!DP24/'Service Days per Month'!DP$4</f>
        <v>785.304347826087</v>
      </c>
      <c r="DQ24" s="18">
        <f>'Total Weekday Boardings'!DQ24/'Service Days per Month'!DQ$4</f>
        <v>771.66666666666663</v>
      </c>
      <c r="DR24" s="18">
        <f>'Total Weekday Boardings'!DR24/'Service Days per Month'!DR$4</f>
        <v>736.9</v>
      </c>
      <c r="DS24" s="18">
        <f>'Total Weekday Boardings'!DS24/'Service Days per Month'!DS$4</f>
        <v>793.63636363636363</v>
      </c>
      <c r="DT24" s="18">
        <f>'Total Weekday Boardings'!DT24/'Service Days per Month'!DT$4</f>
        <v>761</v>
      </c>
      <c r="DU24" s="18">
        <f>'Total Weekday Boardings'!DU24/'Service Days per Month'!DU$4</f>
        <v>790.33333333333337</v>
      </c>
      <c r="DV24" s="18">
        <f>'Total Weekday Boardings'!DV24/'Service Days per Month'!DV$4</f>
        <v>976.77272727272725</v>
      </c>
      <c r="DW24" s="18">
        <f>'Total Weekday Boardings'!DW24/'Service Days per Month'!DW$4</f>
        <v>744.72727272727275</v>
      </c>
      <c r="DX24" s="19">
        <f>'Total Weekday Boardings'!DX24/'Service Days per Month'!DX$4</f>
        <v>709.7</v>
      </c>
      <c r="DY24" s="17">
        <f>'Total Weekday Boardings'!DY24/'Service Days per Month'!DY$4</f>
        <v>635.27272727272725</v>
      </c>
      <c r="DZ24" s="18">
        <f>'Total Weekday Boardings'!DZ24/'Service Days per Month'!DZ$4</f>
        <v>733.63636363636363</v>
      </c>
      <c r="EA24" s="18">
        <f>'Total Weekday Boardings'!EA24/'Service Days per Month'!EA$4</f>
        <v>723</v>
      </c>
      <c r="EB24" s="18">
        <f>'Total Weekday Boardings'!EB24/'Service Days per Month'!EB$4</f>
        <v>729.304347826087</v>
      </c>
      <c r="EC24" s="18">
        <f>'Total Weekday Boardings'!EC24/'Service Days per Month'!EC$4</f>
        <v>693.8</v>
      </c>
      <c r="ED24" s="18">
        <f>'Total Weekday Boardings'!ED24/'Service Days per Month'!ED$4</f>
        <v>640.47619047619048</v>
      </c>
      <c r="EE24" s="18">
        <f>'Total Weekday Boardings'!EE24/'Service Days per Month'!EE$4</f>
        <v>633.3478260869565</v>
      </c>
      <c r="EF24" s="18">
        <f>'Total Weekday Boardings'!EF24/'Service Days per Month'!EF$4</f>
        <v>699.8</v>
      </c>
      <c r="EG24" s="18">
        <f>'Total Weekday Boardings'!EG24/'Service Days per Month'!EG$4</f>
        <v>483.36363636363637</v>
      </c>
      <c r="EH24" s="18">
        <f>'Total Weekday Boardings'!EH24/'Service Days per Month'!EH$4</f>
        <v>234.72727272727272</v>
      </c>
      <c r="EI24" s="18">
        <f>'Total Weekday Boardings'!EI24/'Service Days per Month'!EI$4</f>
        <v>219.7</v>
      </c>
      <c r="EJ24" s="19">
        <f>'Total Weekday Boardings'!EJ24/'Service Days per Month'!EJ$4</f>
        <v>221.81818181818181</v>
      </c>
      <c r="EK24" s="17">
        <f>'Total Weekday Boardings'!EK24/'Service Days per Month'!EK$4</f>
        <v>215.36363636363637</v>
      </c>
      <c r="EL24" s="18">
        <f>'Total Weekday Boardings'!EL24/'Service Days per Month'!EL$4</f>
        <v>216.61904761904762</v>
      </c>
      <c r="EM24" s="18">
        <f>'Total Weekday Boardings'!EM24/'Service Days per Month'!EM$4</f>
        <v>244.71428571428572</v>
      </c>
      <c r="EN24" s="18">
        <f>'Total Weekday Boardings'!EN24/'Service Days per Month'!EN$4</f>
        <v>250.63636363636363</v>
      </c>
      <c r="EO24" s="18">
        <f>'Total Weekday Boardings'!EO24/'Service Days per Month'!EO$4</f>
        <v>285.75</v>
      </c>
      <c r="EP24" s="18">
        <f>'Total Weekday Boardings'!EP24/'Service Days per Month'!EP$4</f>
        <v>333.54545454545456</v>
      </c>
      <c r="EQ24" s="18">
        <f>'Total Weekday Boardings'!EQ24/'Service Days per Month'!EQ$4</f>
        <v>105.42857142857143</v>
      </c>
      <c r="ER24" s="18">
        <f>'Total Weekday Boardings'!ER24/'Service Days per Month'!ER$4</f>
        <v>327.85</v>
      </c>
      <c r="ES24" s="18">
        <f>'Total Weekday Boardings'!ES24/'Service Days per Month'!ES$4</f>
        <v>441.60869565217394</v>
      </c>
      <c r="ET24" s="18">
        <f>'Total Weekday Boardings'!ET24/'Service Days per Month'!ET$4</f>
        <v>249.13636363636363</v>
      </c>
      <c r="EU24" s="18">
        <f>'Total Weekday Boardings'!EU24/'Service Days per Month'!EU$4</f>
        <v>240.45</v>
      </c>
      <c r="EV24" s="19">
        <f>'Total Weekday Boardings'!EV24/'Service Days per Month'!EV$4</f>
        <v>263.86363636363637</v>
      </c>
      <c r="EW24" s="17">
        <f>'Total Weekday Boardings'!EW24/'Service Days per Month'!EW$4</f>
        <v>265.47619047619048</v>
      </c>
      <c r="EX24" s="18">
        <f>'Total Weekday Boardings'!EX24/'Service Days per Month'!EX$4</f>
        <v>263.54545454545456</v>
      </c>
      <c r="EY24" s="18">
        <f>'Total Weekday Boardings'!EY24/'Service Days per Month'!EY$4</f>
        <v>265.66666666666669</v>
      </c>
      <c r="EZ24" s="18">
        <f>'Total Weekday Boardings'!EZ24/'Service Days per Month'!EZ$4</f>
        <v>284.66666666666669</v>
      </c>
      <c r="FA24" s="18">
        <f>'Total Weekday Boardings'!FA24/'Service Days per Month'!FA$4</f>
        <v>296.1904761904762</v>
      </c>
      <c r="FB24" s="18">
        <f>'Total Weekday Boardings'!FB24/'Service Days per Month'!FB$4</f>
        <v>285.90909090909093</v>
      </c>
      <c r="FC24" s="18">
        <f>'Total Weekday Boardings'!FC24/'Service Days per Month'!FC$4</f>
        <v>263.14285714285717</v>
      </c>
      <c r="FD24" s="18">
        <f>'Total Weekday Boardings'!FD24/'Service Days per Month'!FD$4</f>
        <v>323.14999999999998</v>
      </c>
      <c r="FE24" s="18">
        <f>'Total Weekday Boardings'!FE24/'Service Days per Month'!FE$4</f>
        <v>379.26086956521738</v>
      </c>
      <c r="FF24" s="18">
        <f>'Total Weekday Boardings'!FF24/'Service Days per Month'!FF$4</f>
        <v>537.23809523809518</v>
      </c>
      <c r="FG24" s="18">
        <f>'Total Weekday Boardings'!FG24/'Service Days per Month'!FG$4</f>
        <v>357.76190476190476</v>
      </c>
      <c r="FH24" s="19">
        <f>'Total Weekday Boardings'!FH24/'Service Days per Month'!FH$4</f>
        <v>0</v>
      </c>
      <c r="FI24" s="17">
        <v>271.14999999999998</v>
      </c>
      <c r="FJ24" s="18">
        <v>504.56521739130437</v>
      </c>
      <c r="FK24" s="18">
        <v>564.09523809523807</v>
      </c>
      <c r="FL24" s="18">
        <v>559.04761904761904</v>
      </c>
      <c r="FM24" s="18">
        <v>520</v>
      </c>
      <c r="FN24" s="18">
        <v>534.66666666666663</v>
      </c>
      <c r="FO24" s="18">
        <v>582.38095238095241</v>
      </c>
      <c r="FP24" s="18">
        <v>633.54999999999995</v>
      </c>
      <c r="FQ24" s="18">
        <v>689.82608695652175</v>
      </c>
      <c r="FR24" s="18">
        <f>'Total Weekday Boardings'!FR24/20</f>
        <v>708.9</v>
      </c>
      <c r="FS24" s="18">
        <f>'Total Weekday Boardings'!FS24/22</f>
        <v>691.40909090909088</v>
      </c>
      <c r="FT24" s="21">
        <f>'Total Weekday Boardings'!FT24/23</f>
        <v>623.91304347826087</v>
      </c>
      <c r="FU24" s="17">
        <f>'Total Weekday Boardings'!FU24/21</f>
        <v>629.80952380952385</v>
      </c>
      <c r="FV24" s="18">
        <f>'Total Weekday Boardings'!FV24/23</f>
        <v>630.95652173913038</v>
      </c>
      <c r="FW24" s="18">
        <f>'Total Weekday Boardings'!FW24/21</f>
        <v>556.33333333333337</v>
      </c>
      <c r="FX24" s="18">
        <f>'Total Weekday Boardings'!FX24/22</f>
        <v>720.31818181818187</v>
      </c>
      <c r="FY24" s="18">
        <f>'Total Weekday Boardings'!FY24/22</f>
        <v>670.27272727272725</v>
      </c>
      <c r="FZ24" s="18">
        <f>'Total Weekday Boardings'!FZ24/21</f>
        <v>609.71428571428567</v>
      </c>
      <c r="GA24" s="18">
        <f>'Total Weekday Boardings'!GA24/23</f>
        <v>676.08695652173913</v>
      </c>
      <c r="GB24" s="18">
        <f>'Total Weekday Boardings'!GB24/21</f>
        <v>725.76190476190482</v>
      </c>
      <c r="GC24" s="18">
        <f>'Total Weekday Boardings'!GC24/21</f>
        <v>740.95238095238096</v>
      </c>
      <c r="GD24" s="18">
        <f>'Total Weekday Boardings'!GD24/22</f>
        <v>717.4545454545455</v>
      </c>
      <c r="GE24" s="13">
        <f>'Total Weekday Boardings'!GE24/23</f>
        <v>656.73913043478262</v>
      </c>
      <c r="GF24" s="13">
        <f>'Total Weekday Boardings'!GF24/20</f>
        <v>679.3</v>
      </c>
      <c r="GG24" s="21">
        <f>'Total Weekday Boardings'!GG24/23</f>
        <v>628.60869565217388</v>
      </c>
      <c r="GH24" s="13">
        <f>'Total Weekday Boardings'!GH24/22</f>
        <v>695.81818181818187</v>
      </c>
      <c r="GI24" s="13">
        <f>'Total Weekday Boardings'!GI24/21</f>
        <v>662.14285714285711</v>
      </c>
      <c r="GJ24" s="13">
        <f>'Total Weekday Boardings'!GJ24/23</f>
        <v>670.47826086956525</v>
      </c>
      <c r="GK24" s="13">
        <f>'Total Weekday Boardings'!GK24/21</f>
        <v>644.71428571428567</v>
      </c>
      <c r="GL24" s="13">
        <f>'Total Weekday Boardings'!GL24/22</f>
        <v>581.4545454545455</v>
      </c>
    </row>
    <row r="25" spans="1:194" ht="15" thickBot="1" x14ac:dyDescent="0.35">
      <c r="A25" s="3" t="s">
        <v>38</v>
      </c>
      <c r="B25" s="17"/>
      <c r="C25" s="18">
        <f>'Total Weekday Boardings'!C25/'Service Days per Month'!C$4</f>
        <v>811.80952380952385</v>
      </c>
      <c r="D25" s="18">
        <f>'Total Weekday Boardings'!D25/'Service Days per Month'!D$4</f>
        <v>888.45</v>
      </c>
      <c r="E25" s="18">
        <f>'Total Weekday Boardings'!E25/'Service Days per Month'!E$4</f>
        <v>1228.7272727272727</v>
      </c>
      <c r="F25" s="18">
        <f>'Total Weekday Boardings'!F25/'Service Days per Month'!F$4</f>
        <v>1664.1363636363637</v>
      </c>
      <c r="G25" s="18">
        <f>'Total Weekday Boardings'!G25/'Service Days per Month'!G$4</f>
        <v>1181.8</v>
      </c>
      <c r="H25" s="19">
        <f>'Total Weekday Boardings'!H25/'Service Days per Month'!H$4</f>
        <v>1045.4545454545455</v>
      </c>
      <c r="I25" s="17">
        <f>'Total Weekday Boardings'!I25/'Service Days per Month'!I$4</f>
        <v>418.60869565217394</v>
      </c>
      <c r="J25" s="18">
        <f>'Total Weekday Boardings'!J25/'Service Days per Month'!J$4</f>
        <v>545.71428571428567</v>
      </c>
      <c r="K25" s="18">
        <f>'Total Weekday Boardings'!K25/'Service Days per Month'!K$4</f>
        <v>1430.6190476190477</v>
      </c>
      <c r="L25" s="18">
        <f>'Total Weekday Boardings'!L25/'Service Days per Month'!L$4</f>
        <v>608.63636363636363</v>
      </c>
      <c r="M25" s="18">
        <f>'Total Weekday Boardings'!M25/'Service Days per Month'!M$4</f>
        <v>529.65</v>
      </c>
      <c r="N25" s="18">
        <f>'Total Weekday Boardings'!N25/'Service Days per Month'!N$4</f>
        <v>521.72727272727275</v>
      </c>
      <c r="O25" s="18">
        <f>'Total Weekday Boardings'!O25/'Service Days per Month'!O$4</f>
        <v>584.20000000000005</v>
      </c>
      <c r="P25" s="18">
        <f>'Total Weekday Boardings'!P25/'Service Days per Month'!P$4</f>
        <v>886.9</v>
      </c>
      <c r="Q25" s="18">
        <f>'Total Weekday Boardings'!Q25/'Service Days per Month'!Q$4</f>
        <v>975.56521739130437</v>
      </c>
      <c r="R25" s="18">
        <f>'Total Weekday Boardings'!R25/'Service Days per Month'!R$4</f>
        <v>698.9545454545455</v>
      </c>
      <c r="S25" s="18">
        <f>'Total Weekday Boardings'!S25/'Service Days per Month'!S$4</f>
        <v>568.54999999999995</v>
      </c>
      <c r="T25" s="19">
        <f>'Total Weekday Boardings'!T25/'Service Days per Month'!T$4</f>
        <v>911.4545454545455</v>
      </c>
      <c r="U25" s="17">
        <f>'Total Weekday Boardings'!U25/'Service Days per Month'!U$4</f>
        <v>623.47619047619048</v>
      </c>
      <c r="V25" s="18">
        <f>'Total Weekday Boardings'!V25/'Service Days per Month'!V$4</f>
        <v>564.0454545454545</v>
      </c>
      <c r="W25" s="18">
        <f>'Total Weekday Boardings'!W25/'Service Days per Month'!W$4</f>
        <v>584.76190476190482</v>
      </c>
      <c r="X25" s="18">
        <f>'Total Weekday Boardings'!X25/'Service Days per Month'!X$4</f>
        <v>545.47619047619048</v>
      </c>
      <c r="Y25" s="18">
        <f>'Total Weekday Boardings'!Y25/'Service Days per Month'!Y$4</f>
        <v>559.15789473684208</v>
      </c>
      <c r="Z25" s="18">
        <f>'Total Weekday Boardings'!Z25/'Service Days per Month'!Z$4</f>
        <v>508</v>
      </c>
      <c r="AA25" s="18">
        <f>'Total Weekday Boardings'!AA25/'Service Days per Month'!AA$4</f>
        <v>829.45</v>
      </c>
      <c r="AB25" s="18">
        <f>'Total Weekday Boardings'!AB25/'Service Days per Month'!AB$4</f>
        <v>886.68421052631584</v>
      </c>
      <c r="AC25" s="18">
        <f>'Total Weekday Boardings'!AC25/'Service Days per Month'!AC$4</f>
        <v>933.04347826086962</v>
      </c>
      <c r="AD25" s="18">
        <f>'Total Weekday Boardings'!AD25/'Service Days per Month'!AD$4</f>
        <v>1411.4761904761904</v>
      </c>
      <c r="AE25" s="18">
        <f>'Total Weekday Boardings'!AE25/'Service Days per Month'!AE$4</f>
        <v>921.76190476190482</v>
      </c>
      <c r="AF25" s="19">
        <f>'Total Weekday Boardings'!AF25/'Service Days per Month'!AF$4</f>
        <v>1017.5</v>
      </c>
      <c r="AG25" s="17">
        <f>'Total Weekday Boardings'!AG25/'Service Days per Month'!AG$4</f>
        <v>1197.3</v>
      </c>
      <c r="AH25" s="18">
        <f>'Total Weekday Boardings'!AH25/'Service Days per Month'!AH$4</f>
        <v>1038.0434782608695</v>
      </c>
      <c r="AI25" s="18">
        <f>'Total Weekday Boardings'!AI25/'Service Days per Month'!AI$4</f>
        <v>1047.4285714285713</v>
      </c>
      <c r="AJ25" s="18">
        <f>'Total Weekday Boardings'!AJ25/'Service Days per Month'!AJ$4</f>
        <v>804.95238095238096</v>
      </c>
      <c r="AK25" s="18">
        <f>'Total Weekday Boardings'!AK25/'Service Days per Month'!AK$4</f>
        <v>469.78947368421052</v>
      </c>
      <c r="AL25" s="18">
        <f>'Total Weekday Boardings'!AL25/'Service Days per Month'!AL$4</f>
        <v>595.85714285714289</v>
      </c>
      <c r="AM25" s="18">
        <f>'Total Weekday Boardings'!AM25/'Service Days per Month'!AM$4</f>
        <v>791.15</v>
      </c>
      <c r="AN25" s="18">
        <f>'Total Weekday Boardings'!AN25/'Service Days per Month'!AN$4</f>
        <v>833.85</v>
      </c>
      <c r="AO25" s="18">
        <f>'Total Weekday Boardings'!AO25/'Service Days per Month'!AO$4</f>
        <v>983.86363636363637</v>
      </c>
      <c r="AP25" s="18">
        <f>'Total Weekday Boardings'!AP25/'Service Days per Month'!AP$4</f>
        <v>1386.5238095238096</v>
      </c>
      <c r="AQ25" s="18">
        <f>'Total Weekday Boardings'!AQ25/'Service Days per Month'!AQ$4</f>
        <v>1058</v>
      </c>
      <c r="AR25" s="19">
        <f>'Total Weekday Boardings'!AR25/'Service Days per Month'!AR$4</f>
        <v>998.33333333333337</v>
      </c>
      <c r="AS25" s="17">
        <f>'Total Weekday Boardings'!AS25/'Service Days per Month'!AS$4</f>
        <v>870.33333333333337</v>
      </c>
      <c r="AT25" s="18">
        <f>'Total Weekday Boardings'!AT25/'Service Days per Month'!AT$4</f>
        <v>787.304347826087</v>
      </c>
      <c r="AU25" s="18">
        <f>'Total Weekday Boardings'!AU25/'Service Days per Month'!AU$4</f>
        <v>602.89473684210532</v>
      </c>
      <c r="AV25" s="18">
        <f>'Total Weekday Boardings'!AV25/'Service Days per Month'!AV$4</f>
        <v>873.3478260869565</v>
      </c>
      <c r="AW25" s="18">
        <f>'Total Weekday Boardings'!AW25/'Service Days per Month'!AW$4</f>
        <v>788.36842105263156</v>
      </c>
      <c r="AX25" s="18">
        <f>'Total Weekday Boardings'!AX25/'Service Days per Month'!AX$4</f>
        <v>651.89473684210532</v>
      </c>
      <c r="AY25" s="18">
        <f>'Total Weekday Boardings'!AY25/'Service Days per Month'!AY$4</f>
        <v>833.57142857142856</v>
      </c>
      <c r="AZ25" s="18">
        <f>'Total Weekday Boardings'!AZ25/'Service Days per Month'!AZ$4</f>
        <v>782.73684210526312</v>
      </c>
      <c r="BA25" s="18">
        <f>'Total Weekday Boardings'!BA25/'Service Days per Month'!BA$4</f>
        <v>995.04761904761904</v>
      </c>
      <c r="BB25" s="18">
        <f>'Total Weekday Boardings'!BB25/'Service Days per Month'!BB$4</f>
        <v>1226.2727272727273</v>
      </c>
      <c r="BC25" s="18">
        <f>'Total Weekday Boardings'!BC25/'Service Days per Month'!BC$4</f>
        <v>969.5</v>
      </c>
      <c r="BD25" s="19">
        <f>'Total Weekday Boardings'!BD25/'Service Days per Month'!BD$4</f>
        <v>792.8</v>
      </c>
      <c r="BE25" s="17">
        <f>'Total Weekday Boardings'!BE25/'Service Days per Month'!BE$4</f>
        <v>868.27272727272725</v>
      </c>
      <c r="BF25" s="18">
        <f>'Total Weekday Boardings'!BF25/'Service Days per Month'!BF$4</f>
        <v>839.22727272727275</v>
      </c>
      <c r="BG25" s="18">
        <f>'Total Weekday Boardings'!BG25/'Service Days per Month'!BG$4</f>
        <v>813.8</v>
      </c>
      <c r="BH25" s="18">
        <f>'Total Weekday Boardings'!BH25/'Service Days per Month'!BH$4</f>
        <v>671.3478260869565</v>
      </c>
      <c r="BI25" s="18">
        <f>'Total Weekday Boardings'!BI25/'Service Days per Month'!BI$4</f>
        <v>743.06580741708945</v>
      </c>
      <c r="BJ25" s="18">
        <f>'Total Weekday Boardings'!BJ25/'Service Days per Month'!BJ$4</f>
        <v>596.54999999999995</v>
      </c>
      <c r="BK25" s="18">
        <f>'Total Weekday Boardings'!BK25/'Service Days per Month'!BK$4</f>
        <v>755.04761904761904</v>
      </c>
      <c r="BL25" s="18">
        <f>'Total Weekday Boardings'!BL25/'Service Days per Month'!BL$4</f>
        <v>975.21052631578948</v>
      </c>
      <c r="BM25" s="18">
        <f>'Total Weekday Boardings'!BM25/'Service Days per Month'!BM$4</f>
        <v>1116.7619047619048</v>
      </c>
      <c r="BN25" s="18">
        <f>'Total Weekday Boardings'!BN25/'Service Days per Month'!BN$4</f>
        <v>1164.1363636363637</v>
      </c>
      <c r="BO25" s="18">
        <f>'Total Weekday Boardings'!BO25/'Service Days per Month'!BO$4</f>
        <v>802.47619047619048</v>
      </c>
      <c r="BP25" s="19">
        <f>'Total Weekday Boardings'!BP25/'Service Days per Month'!BP$4</f>
        <v>1049.8571428571429</v>
      </c>
      <c r="BQ25" s="17">
        <f>'Total Weekday Boardings'!BQ25/'Service Days per Month'!BQ$4</f>
        <v>738.63636363636363</v>
      </c>
      <c r="BR25" s="18">
        <f>'Total Weekday Boardings'!BR25/'Service Days per Month'!BR$4</f>
        <v>773.52380952380952</v>
      </c>
      <c r="BS25" s="18">
        <f>'Total Weekday Boardings'!BS25/'Service Days per Month'!BS$4</f>
        <v>766.76190476190482</v>
      </c>
      <c r="BT25" s="18">
        <f>'Total Weekday Boardings'!BT25/'Service Days per Month'!BT$4</f>
        <v>651.56521739130437</v>
      </c>
      <c r="BU25" s="18">
        <f>'Total Weekday Boardings'!BU25/'Service Days per Month'!BU$4</f>
        <v>776.41176470588232</v>
      </c>
      <c r="BV25" s="18">
        <f>'Total Weekday Boardings'!BV25/'Service Days per Month'!BV$4</f>
        <v>655.57142857142856</v>
      </c>
      <c r="BW25" s="18">
        <f>'Total Weekday Boardings'!BW25/'Service Days per Month'!BW$4</f>
        <v>1942.85</v>
      </c>
      <c r="BX25" s="18">
        <f>'Total Weekday Boardings'!BX25/'Service Days per Month'!BX$4</f>
        <v>905.63157894736844</v>
      </c>
      <c r="BY25" s="18">
        <f>'Total Weekday Boardings'!BY25/'Service Days per Month'!BY$4</f>
        <v>838.40909090909088</v>
      </c>
      <c r="BZ25" s="18">
        <f>'Total Weekday Boardings'!BZ25/'Service Days per Month'!BZ$4</f>
        <v>1082.7272727272727</v>
      </c>
      <c r="CA25" s="18">
        <f>'Total Weekday Boardings'!CA25/'Service Days per Month'!CA$4</f>
        <v>1018.2</v>
      </c>
      <c r="CB25" s="19">
        <f>'Total Weekday Boardings'!CB25/'Service Days per Month'!CB$4</f>
        <v>842.36363636363637</v>
      </c>
      <c r="CC25" s="20">
        <f>'Total Weekday Boardings'!CC25/'Service Days per Month'!CC$4</f>
        <v>646.9545454545455</v>
      </c>
      <c r="CD25" s="18">
        <f>'Total Weekday Boardings'!CD25/'Service Days per Month'!CD$4</f>
        <v>752.76190476190482</v>
      </c>
      <c r="CE25" s="18">
        <f>'Total Weekday Boardings'!CE25/'Service Days per Month'!CE$4</f>
        <v>797.33333333333337</v>
      </c>
      <c r="CF25" s="18">
        <f>'Total Weekday Boardings'!CF25/'Service Days per Month'!CF$4</f>
        <v>870.86363636363637</v>
      </c>
      <c r="CG25" s="18">
        <f>'Total Weekday Boardings'!CG25/'Service Days per Month'!CG$4</f>
        <v>788.27777777777783</v>
      </c>
      <c r="CH25" s="18">
        <f>'Total Weekday Boardings'!CH25/'Service Days per Month'!CH$4</f>
        <v>690.28571428571433</v>
      </c>
      <c r="CI25" s="18">
        <f>'Total Weekday Boardings'!CI25/'Service Days per Month'!CI$4</f>
        <v>772.36842105263156</v>
      </c>
      <c r="CJ25" s="18">
        <f>'Total Weekday Boardings'!CJ25/'Service Days per Month'!CJ$4</f>
        <v>842.25</v>
      </c>
      <c r="CK25" s="18">
        <f>'Total Weekday Boardings'!CK25/'Service Days per Month'!CK$4</f>
        <v>908</v>
      </c>
      <c r="CL25" s="18">
        <f>'Total Weekday Boardings'!CL25/'Service Days per Month'!CL$4</f>
        <v>1333.952380952381</v>
      </c>
      <c r="CM25" s="18">
        <f>'Total Weekday Boardings'!CM25/'Service Days per Month'!CM$4</f>
        <v>990.80952380952385</v>
      </c>
      <c r="CN25" s="21">
        <f>'Total Weekday Boardings'!CN25/'Service Days per Month'!CN$4</f>
        <v>1116.5</v>
      </c>
      <c r="CO25" s="17">
        <f>'Total Weekday Boardings'!CO25/'Service Days per Month'!CO$4</f>
        <v>714.05</v>
      </c>
      <c r="CP25" s="18">
        <f>'Total Weekday Boardings'!CP25/'Service Days per Month'!CP$4</f>
        <v>757.86956521739125</v>
      </c>
      <c r="CQ25" s="18">
        <f>'Total Weekday Boardings'!CQ25/'Service Days per Month'!CQ$4</f>
        <v>721.33333333333337</v>
      </c>
      <c r="CR25" s="18">
        <f>'Total Weekday Boardings'!CR25/'Service Days per Month'!CR$4</f>
        <v>661.04761904761904</v>
      </c>
      <c r="CS25" s="18">
        <f>'Total Weekday Boardings'!CS25/'Service Days per Month'!CS$4</f>
        <v>632.9473684210526</v>
      </c>
      <c r="CT25" s="18">
        <f>'Total Weekday Boardings'!CT25/'Service Days per Month'!CT$4</f>
        <v>617.57142857142856</v>
      </c>
      <c r="CU25" s="18">
        <f>'Total Weekday Boardings'!CU25/'Service Days per Month'!CU$4</f>
        <v>627.9</v>
      </c>
      <c r="CV25" s="18">
        <f>'Total Weekday Boardings'!CV25/'Service Days per Month'!CV$4</f>
        <v>707.9473684210526</v>
      </c>
      <c r="CW25" s="18">
        <f>'Total Weekday Boardings'!CW25/'Service Days per Month'!CW$4</f>
        <v>942.04347826086962</v>
      </c>
      <c r="CX25" s="18">
        <f>'Total Weekday Boardings'!CX25/'Service Days per Month'!CX$4</f>
        <v>1110.5999999999999</v>
      </c>
      <c r="CY25" s="18">
        <f>'Total Weekday Boardings'!CY25/'Service Days per Month'!CY$4</f>
        <v>1039.7727272727273</v>
      </c>
      <c r="CZ25" s="19">
        <f>'Total Weekday Boardings'!CZ25/'Service Days per Month'!CZ$4</f>
        <v>803</v>
      </c>
      <c r="DA25" s="17">
        <f>'Total Weekday Boardings'!DA25/'Service Days per Month'!DA$4</f>
        <v>634.6</v>
      </c>
      <c r="DB25" s="18">
        <f>'Total Weekday Boardings'!DB25/'Service Days per Month'!DB$4</f>
        <v>864.13043478260875</v>
      </c>
      <c r="DC25" s="18">
        <f>'Total Weekday Boardings'!DC25/'Service Days per Month'!DC$4</f>
        <v>783.7</v>
      </c>
      <c r="DD25" s="18">
        <f>'Total Weekday Boardings'!DD25/'Service Days per Month'!DD$4</f>
        <v>805.68181818181813</v>
      </c>
      <c r="DE25" s="18">
        <f>'Total Weekday Boardings'!DE25/'Service Days per Month'!DE$4</f>
        <v>636.26315789473688</v>
      </c>
      <c r="DF25" s="18">
        <f>'Total Weekday Boardings'!DF25/'Service Days per Month'!DF$4</f>
        <v>575.5</v>
      </c>
      <c r="DG25" s="18">
        <f>'Total Weekday Boardings'!DG25/'Service Days per Month'!DG$4</f>
        <v>440.8095238095238</v>
      </c>
      <c r="DH25" s="18">
        <f>'Total Weekday Boardings'!DH25/'Service Days per Month'!DH$4</f>
        <v>450.15789473684208</v>
      </c>
      <c r="DI25" s="18">
        <f>'Total Weekday Boardings'!DI25/'Service Days per Month'!DI$4</f>
        <v>597.72727272727275</v>
      </c>
      <c r="DJ25" s="18">
        <f>'Total Weekday Boardings'!DJ25/'Service Days per Month'!DJ$4</f>
        <v>740.71428571428567</v>
      </c>
      <c r="DK25" s="18">
        <f>'Total Weekday Boardings'!DK25/'Service Days per Month'!DK$4</f>
        <v>742.68181818181813</v>
      </c>
      <c r="DL25" s="19">
        <f>'Total Weekday Boardings'!DL25/'Service Days per Month'!DL$4</f>
        <v>578.76190476190482</v>
      </c>
      <c r="DM25" s="17">
        <f>'Total Weekday Boardings'!DM25/'Service Days per Month'!DM$4</f>
        <v>535.14285714285711</v>
      </c>
      <c r="DN25" s="18">
        <f>'Total Weekday Boardings'!DN25/'Service Days per Month'!DN$4</f>
        <v>515.47826086956525</v>
      </c>
      <c r="DO25" s="18">
        <f>'Total Weekday Boardings'!DO25/'Service Days per Month'!DO$4</f>
        <v>614.21052631578948</v>
      </c>
      <c r="DP25" s="18">
        <f>'Total Weekday Boardings'!DP25/'Service Days per Month'!DP$4</f>
        <v>498</v>
      </c>
      <c r="DQ25" s="18">
        <f>'Total Weekday Boardings'!DQ25/'Service Days per Month'!DQ$4</f>
        <v>482.66666666666669</v>
      </c>
      <c r="DR25" s="18">
        <f>'Total Weekday Boardings'!DR25/'Service Days per Month'!DR$4</f>
        <v>444.65</v>
      </c>
      <c r="DS25" s="18">
        <f>'Total Weekday Boardings'!DS25/'Service Days per Month'!DS$4</f>
        <v>506.18181818181819</v>
      </c>
      <c r="DT25" s="18">
        <f>'Total Weekday Boardings'!DT25/'Service Days per Month'!DT$4</f>
        <v>423.8</v>
      </c>
      <c r="DU25" s="18">
        <f>'Total Weekday Boardings'!DU25/'Service Days per Month'!DU$4</f>
        <v>545.76190476190482</v>
      </c>
      <c r="DV25" s="18">
        <f>'Total Weekday Boardings'!DV25/'Service Days per Month'!DV$4</f>
        <v>625.22727272727275</v>
      </c>
      <c r="DW25" s="18">
        <f>'Total Weekday Boardings'!DW25/'Service Days per Month'!DW$4</f>
        <v>892.18181818181813</v>
      </c>
      <c r="DX25" s="19">
        <f>'Total Weekday Boardings'!DX25/'Service Days per Month'!DX$4</f>
        <v>853.95</v>
      </c>
      <c r="DY25" s="17">
        <f>'Total Weekday Boardings'!DY25/'Service Days per Month'!DY$4</f>
        <v>620</v>
      </c>
      <c r="DZ25" s="18">
        <f>'Total Weekday Boardings'!DZ25/'Service Days per Month'!DZ$4</f>
        <v>816.27272727272725</v>
      </c>
      <c r="EA25" s="18">
        <f>'Total Weekday Boardings'!EA25/'Service Days per Month'!EA$4</f>
        <v>787.1</v>
      </c>
      <c r="EB25" s="18">
        <f>'Total Weekday Boardings'!EB25/'Service Days per Month'!EB$4</f>
        <v>584.3478260869565</v>
      </c>
      <c r="EC25" s="18">
        <f>'Total Weekday Boardings'!EC25/'Service Days per Month'!EC$4</f>
        <v>750.75</v>
      </c>
      <c r="ED25" s="18">
        <f>'Total Weekday Boardings'!ED25/'Service Days per Month'!ED$4</f>
        <v>605.47619047619048</v>
      </c>
      <c r="EE25" s="18">
        <f>'Total Weekday Boardings'!EE25/'Service Days per Month'!EE$4</f>
        <v>683.78260869565213</v>
      </c>
      <c r="EF25" s="18">
        <f>'Total Weekday Boardings'!EF25/'Service Days per Month'!EF$4</f>
        <v>682.5</v>
      </c>
      <c r="EG25" s="18">
        <f>'Total Weekday Boardings'!EG25/'Service Days per Month'!EG$4</f>
        <v>316.68181818181819</v>
      </c>
      <c r="EH25" s="18">
        <f>'Total Weekday Boardings'!EH25/'Service Days per Month'!EH$4</f>
        <v>178.90909090909091</v>
      </c>
      <c r="EI25" s="18">
        <f>'Total Weekday Boardings'!EI25/'Service Days per Month'!EI$4</f>
        <v>157.1</v>
      </c>
      <c r="EJ25" s="19">
        <f>'Total Weekday Boardings'!EJ25/'Service Days per Month'!EJ$4</f>
        <v>181.40909090909091</v>
      </c>
      <c r="EK25" s="17">
        <f>'Total Weekday Boardings'!EK25/'Service Days per Month'!EK$4</f>
        <v>194.22727272727272</v>
      </c>
      <c r="EL25" s="18">
        <f>'Total Weekday Boardings'!EL25/'Service Days per Month'!EL$4</f>
        <v>210</v>
      </c>
      <c r="EM25" s="18">
        <f>'Total Weekday Boardings'!EM25/'Service Days per Month'!EM$4</f>
        <v>231.66666666666666</v>
      </c>
      <c r="EN25" s="18">
        <f>'Total Weekday Boardings'!EN25/'Service Days per Month'!EN$4</f>
        <v>164.18181818181819</v>
      </c>
      <c r="EO25" s="18">
        <f>'Total Weekday Boardings'!EO25/'Service Days per Month'!EO$4</f>
        <v>496.1</v>
      </c>
      <c r="EP25" s="18">
        <f>'Total Weekday Boardings'!EP25/'Service Days per Month'!EP$4</f>
        <v>155.18181818181819</v>
      </c>
      <c r="EQ25" s="18">
        <f>'Total Weekday Boardings'!EQ25/'Service Days per Month'!EQ$4</f>
        <v>50.095238095238095</v>
      </c>
      <c r="ER25" s="18">
        <f>'Total Weekday Boardings'!ER25/'Service Days per Month'!ER$4</f>
        <v>63.85</v>
      </c>
      <c r="ES25" s="18">
        <f>'Total Weekday Boardings'!ES25/'Service Days per Month'!ES$4</f>
        <v>132.91304347826087</v>
      </c>
      <c r="ET25" s="18">
        <f>'Total Weekday Boardings'!ET25/'Service Days per Month'!ET$4</f>
        <v>328.36363636363637</v>
      </c>
      <c r="EU25" s="18">
        <f>'Total Weekday Boardings'!EU25/'Service Days per Month'!EU$4</f>
        <v>320.39999999999998</v>
      </c>
      <c r="EV25" s="19">
        <f>'Total Weekday Boardings'!EV25/'Service Days per Month'!EV$4</f>
        <v>396.36363636363637</v>
      </c>
      <c r="EW25" s="17">
        <f>'Total Weekday Boardings'!EW25/'Service Days per Month'!EW$4</f>
        <v>465.04761904761904</v>
      </c>
      <c r="EX25" s="18">
        <f>'Total Weekday Boardings'!EX25/'Service Days per Month'!EX$4</f>
        <v>370.5</v>
      </c>
      <c r="EY25" s="18">
        <f>'Total Weekday Boardings'!EY25/'Service Days per Month'!EY$4</f>
        <v>375.8095238095238</v>
      </c>
      <c r="EZ25" s="18">
        <f>'Total Weekday Boardings'!EZ25/'Service Days per Month'!EZ$4</f>
        <v>345.47619047619048</v>
      </c>
      <c r="FA25" s="18">
        <f>'Total Weekday Boardings'!FA25/'Service Days per Month'!FA$4</f>
        <v>392.28571428571428</v>
      </c>
      <c r="FB25" s="18">
        <f>'Total Weekday Boardings'!FB25/'Service Days per Month'!FB$4</f>
        <v>399</v>
      </c>
      <c r="FC25" s="18">
        <f>'Total Weekday Boardings'!FC25/'Service Days per Month'!FC$4</f>
        <v>336.8095238095238</v>
      </c>
      <c r="FD25" s="18">
        <f>'Total Weekday Boardings'!FD25/'Service Days per Month'!FD$4</f>
        <v>433.75</v>
      </c>
      <c r="FE25" s="18">
        <f>'Total Weekday Boardings'!FE25/'Service Days per Month'!FE$4</f>
        <v>431.60869565217394</v>
      </c>
      <c r="FF25" s="18">
        <f>'Total Weekday Boardings'!FF25/'Service Days per Month'!FF$4</f>
        <v>682.42857142857144</v>
      </c>
      <c r="FG25" s="18">
        <f>'Total Weekday Boardings'!FG25/'Service Days per Month'!FG$4</f>
        <v>363</v>
      </c>
      <c r="FH25" s="19">
        <f>'Total Weekday Boardings'!FH25/'Service Days per Month'!FH$4</f>
        <v>0</v>
      </c>
      <c r="FI25" s="17">
        <v>342.55</v>
      </c>
      <c r="FJ25" s="18">
        <v>349.6521739130435</v>
      </c>
      <c r="FK25" s="18">
        <v>483.76190476190476</v>
      </c>
      <c r="FL25" s="18">
        <v>353.90476190476193</v>
      </c>
      <c r="FM25" s="18">
        <v>471</v>
      </c>
      <c r="FN25" s="18">
        <v>384.14285714285717</v>
      </c>
      <c r="FO25" s="18">
        <v>401.14285714285717</v>
      </c>
      <c r="FP25" s="18">
        <v>592.45000000000005</v>
      </c>
      <c r="FQ25" s="18">
        <v>638.73913043478262</v>
      </c>
      <c r="FR25" s="18">
        <f>'Total Weekday Boardings'!FR25/20</f>
        <v>711.9</v>
      </c>
      <c r="FS25" s="18">
        <f>'Total Weekday Boardings'!FS25/22</f>
        <v>544.9545454545455</v>
      </c>
      <c r="FT25" s="21">
        <f>'Total Weekday Boardings'!FT25/23</f>
        <v>557.3478260869565</v>
      </c>
      <c r="FU25" s="17">
        <f>'Total Weekday Boardings'!FU25/21</f>
        <v>516.71428571428567</v>
      </c>
      <c r="FV25" s="18">
        <f>'Total Weekday Boardings'!FV25/23</f>
        <v>462.04347826086956</v>
      </c>
      <c r="FW25" s="18">
        <f>'Total Weekday Boardings'!FW25/21</f>
        <v>463.09523809523807</v>
      </c>
      <c r="FX25" s="18">
        <f>'Total Weekday Boardings'!FX25/22</f>
        <v>1027.3636363636363</v>
      </c>
      <c r="FY25" s="18">
        <f>'Total Weekday Boardings'!FY25/22</f>
        <v>599.36363636363637</v>
      </c>
      <c r="FZ25" s="18">
        <f>'Total Weekday Boardings'!FZ25/21</f>
        <v>514.80952380952385</v>
      </c>
      <c r="GA25" s="18">
        <f>'Total Weekday Boardings'!GA25/23</f>
        <v>383.21739130434781</v>
      </c>
      <c r="GB25" s="18">
        <f>'Total Weekday Boardings'!GB25/21</f>
        <v>368.57142857142856</v>
      </c>
      <c r="GC25" s="18">
        <f>'Total Weekday Boardings'!GC25/21</f>
        <v>635.33333333333337</v>
      </c>
      <c r="GD25" s="18">
        <f>'Total Weekday Boardings'!GD25/22</f>
        <v>787.72727272727275</v>
      </c>
      <c r="GE25" s="13">
        <f>'Total Weekday Boardings'!GE25/23</f>
        <v>552.95652173913038</v>
      </c>
      <c r="GF25" s="13">
        <f>'Total Weekday Boardings'!GF25/20</f>
        <v>640.29999999999995</v>
      </c>
      <c r="GG25" s="21">
        <f>'Total Weekday Boardings'!GG25/23</f>
        <v>485.30434782608694</v>
      </c>
      <c r="GH25" s="13">
        <f>'Total Weekday Boardings'!GH25/22</f>
        <v>615</v>
      </c>
      <c r="GI25" s="13">
        <f>'Total Weekday Boardings'!GI25/21</f>
        <v>619.66666666666663</v>
      </c>
      <c r="GJ25" s="13">
        <f>'Total Weekday Boardings'!GJ25/23</f>
        <v>463</v>
      </c>
      <c r="GK25" s="13">
        <f>'Total Weekday Boardings'!GK25/21</f>
        <v>512.47619047619048</v>
      </c>
      <c r="GL25" s="13">
        <f>'Total Weekday Boardings'!GL25/22</f>
        <v>431.31818181818181</v>
      </c>
    </row>
    <row r="26" spans="1:194" ht="15" thickBot="1" x14ac:dyDescent="0.35">
      <c r="A26" s="3" t="s">
        <v>39</v>
      </c>
      <c r="B26" s="17"/>
      <c r="C26" s="18">
        <f>'Total Weekday Boardings'!C26/'Service Days per Month'!C$4</f>
        <v>465.42857142857144</v>
      </c>
      <c r="D26" s="18">
        <f>'Total Weekday Boardings'!D26/'Service Days per Month'!D$4</f>
        <v>629.15</v>
      </c>
      <c r="E26" s="18">
        <f>'Total Weekday Boardings'!E26/'Service Days per Month'!E$4</f>
        <v>767.5</v>
      </c>
      <c r="F26" s="18">
        <f>'Total Weekday Boardings'!F26/'Service Days per Month'!F$4</f>
        <v>1139.3181818181818</v>
      </c>
      <c r="G26" s="18">
        <f>'Total Weekday Boardings'!G26/'Service Days per Month'!G$4</f>
        <v>990.15</v>
      </c>
      <c r="H26" s="19">
        <f>'Total Weekday Boardings'!H26/'Service Days per Month'!H$4</f>
        <v>749.77272727272725</v>
      </c>
      <c r="I26" s="17">
        <f>'Total Weekday Boardings'!I26/'Service Days per Month'!I$4</f>
        <v>298.60869565217394</v>
      </c>
      <c r="J26" s="18">
        <f>'Total Weekday Boardings'!J26/'Service Days per Month'!J$4</f>
        <v>389.23809523809524</v>
      </c>
      <c r="K26" s="18">
        <f>'Total Weekday Boardings'!K26/'Service Days per Month'!K$4</f>
        <v>821.90476190476193</v>
      </c>
      <c r="L26" s="18">
        <f>'Total Weekday Boardings'!L26/'Service Days per Month'!L$4</f>
        <v>446.72727272727275</v>
      </c>
      <c r="M26" s="18">
        <f>'Total Weekday Boardings'!M26/'Service Days per Month'!M$4</f>
        <v>382.25</v>
      </c>
      <c r="N26" s="18">
        <f>'Total Weekday Boardings'!N26/'Service Days per Month'!N$4</f>
        <v>637.27272727272725</v>
      </c>
      <c r="O26" s="18">
        <f>'Total Weekday Boardings'!O26/'Service Days per Month'!O$4</f>
        <v>428.8</v>
      </c>
      <c r="P26" s="18">
        <f>'Total Weekday Boardings'!P26/'Service Days per Month'!P$4</f>
        <v>863.45</v>
      </c>
      <c r="Q26" s="18">
        <f>'Total Weekday Boardings'!Q26/'Service Days per Month'!Q$4</f>
        <v>952.08695652173913</v>
      </c>
      <c r="R26" s="18">
        <f>'Total Weekday Boardings'!R26/'Service Days per Month'!R$4</f>
        <v>513</v>
      </c>
      <c r="S26" s="18">
        <f>'Total Weekday Boardings'!S26/'Service Days per Month'!S$4</f>
        <v>586.65</v>
      </c>
      <c r="T26" s="19">
        <f>'Total Weekday Boardings'!T26/'Service Days per Month'!T$4</f>
        <v>1238.3181818181818</v>
      </c>
      <c r="U26" s="17">
        <f>'Total Weekday Boardings'!U26/'Service Days per Month'!U$4</f>
        <v>823.14285714285711</v>
      </c>
      <c r="V26" s="18">
        <f>'Total Weekday Boardings'!V26/'Service Days per Month'!V$4</f>
        <v>721.09090909090912</v>
      </c>
      <c r="W26" s="18">
        <f>'Total Weekday Boardings'!W26/'Service Days per Month'!W$4</f>
        <v>782.28571428571433</v>
      </c>
      <c r="X26" s="18">
        <f>'Total Weekday Boardings'!X26/'Service Days per Month'!X$4</f>
        <v>700.09523809523807</v>
      </c>
      <c r="Y26" s="18">
        <f>'Total Weekday Boardings'!Y26/'Service Days per Month'!Y$4</f>
        <v>718.36842105263156</v>
      </c>
      <c r="Z26" s="18">
        <f>'Total Weekday Boardings'!Z26/'Service Days per Month'!Z$4</f>
        <v>740.33333333333337</v>
      </c>
      <c r="AA26" s="18">
        <f>'Total Weekday Boardings'!AA26/'Service Days per Month'!AA$4</f>
        <v>516.9</v>
      </c>
      <c r="AB26" s="18">
        <f>'Total Weekday Boardings'!AB26/'Service Days per Month'!AB$4</f>
        <v>519.63157894736844</v>
      </c>
      <c r="AC26" s="18">
        <f>'Total Weekday Boardings'!AC26/'Service Days per Month'!AC$4</f>
        <v>543.56521739130437</v>
      </c>
      <c r="AD26" s="18">
        <f>'Total Weekday Boardings'!AD26/'Service Days per Month'!AD$4</f>
        <v>829.09523809523807</v>
      </c>
      <c r="AE26" s="18">
        <f>'Total Weekday Boardings'!AE26/'Service Days per Month'!AE$4</f>
        <v>586</v>
      </c>
      <c r="AF26" s="19">
        <f>'Total Weekday Boardings'!AF26/'Service Days per Month'!AF$4</f>
        <v>745.5</v>
      </c>
      <c r="AG26" s="17">
        <f>'Total Weekday Boardings'!AG26/'Service Days per Month'!AG$4</f>
        <v>852.95</v>
      </c>
      <c r="AH26" s="18">
        <f>'Total Weekday Boardings'!AH26/'Service Days per Month'!AH$4</f>
        <v>781.52173913043475</v>
      </c>
      <c r="AI26" s="18">
        <f>'Total Weekday Boardings'!AI26/'Service Days per Month'!AI$4</f>
        <v>718.80952380952385</v>
      </c>
      <c r="AJ26" s="18">
        <f>'Total Weekday Boardings'!AJ26/'Service Days per Month'!AJ$4</f>
        <v>598.57142857142856</v>
      </c>
      <c r="AK26" s="18">
        <f>'Total Weekday Boardings'!AK26/'Service Days per Month'!AK$4</f>
        <v>401.89473684210526</v>
      </c>
      <c r="AL26" s="18">
        <f>'Total Weekday Boardings'!AL26/'Service Days per Month'!AL$4</f>
        <v>398.71428571428572</v>
      </c>
      <c r="AM26" s="18">
        <f>'Total Weekday Boardings'!AM26/'Service Days per Month'!AM$4</f>
        <v>516.20000000000005</v>
      </c>
      <c r="AN26" s="18">
        <f>'Total Weekday Boardings'!AN26/'Service Days per Month'!AN$4</f>
        <v>591.4</v>
      </c>
      <c r="AO26" s="18">
        <f>'Total Weekday Boardings'!AO26/'Service Days per Month'!AO$4</f>
        <v>692.18181818181813</v>
      </c>
      <c r="AP26" s="18">
        <f>'Total Weekday Boardings'!AP26/'Service Days per Month'!AP$4</f>
        <v>869.52380952380952</v>
      </c>
      <c r="AQ26" s="18">
        <f>'Total Weekday Boardings'!AQ26/'Service Days per Month'!AQ$4</f>
        <v>720.0454545454545</v>
      </c>
      <c r="AR26" s="19">
        <f>'Total Weekday Boardings'!AR26/'Service Days per Month'!AR$4</f>
        <v>678</v>
      </c>
      <c r="AS26" s="17">
        <f>'Total Weekday Boardings'!AS26/'Service Days per Month'!AS$4</f>
        <v>591.85714285714289</v>
      </c>
      <c r="AT26" s="18">
        <f>'Total Weekday Boardings'!AT26/'Service Days per Month'!AT$4</f>
        <v>547.04347826086962</v>
      </c>
      <c r="AU26" s="18">
        <f>'Total Weekday Boardings'!AU26/'Service Days per Month'!AU$4</f>
        <v>1062.3157894736842</v>
      </c>
      <c r="AV26" s="18">
        <f>'Total Weekday Boardings'!AV26/'Service Days per Month'!AV$4</f>
        <v>532.95652173913038</v>
      </c>
      <c r="AW26" s="18">
        <f>'Total Weekday Boardings'!AW26/'Service Days per Month'!AW$4</f>
        <v>469.42105263157896</v>
      </c>
      <c r="AX26" s="18">
        <f>'Total Weekday Boardings'!AX26/'Service Days per Month'!AX$4</f>
        <v>394.21052631578948</v>
      </c>
      <c r="AY26" s="18">
        <f>'Total Weekday Boardings'!AY26/'Service Days per Month'!AY$4</f>
        <v>463.42857142857144</v>
      </c>
      <c r="AZ26" s="18">
        <f>'Total Weekday Boardings'!AZ26/'Service Days per Month'!AZ$4</f>
        <v>453.73684210526318</v>
      </c>
      <c r="BA26" s="18">
        <f>'Total Weekday Boardings'!BA26/'Service Days per Month'!BA$4</f>
        <v>548.23809523809518</v>
      </c>
      <c r="BB26" s="18">
        <f>'Total Weekday Boardings'!BB26/'Service Days per Month'!BB$4</f>
        <v>715.36363636363637</v>
      </c>
      <c r="BC26" s="18">
        <f>'Total Weekday Boardings'!BC26/'Service Days per Month'!BC$4</f>
        <v>727.09090909090912</v>
      </c>
      <c r="BD26" s="19">
        <f>'Total Weekday Boardings'!BD26/'Service Days per Month'!BD$4</f>
        <v>551.9</v>
      </c>
      <c r="BE26" s="17">
        <f>'Total Weekday Boardings'!BE26/'Service Days per Month'!BE$4</f>
        <v>591.86363636363637</v>
      </c>
      <c r="BF26" s="18">
        <f>'Total Weekday Boardings'!BF26/'Service Days per Month'!BF$4</f>
        <v>529.36363636363637</v>
      </c>
      <c r="BG26" s="18">
        <f>'Total Weekday Boardings'!BG26/'Service Days per Month'!BG$4</f>
        <v>521.04999999999995</v>
      </c>
      <c r="BH26" s="18">
        <f>'Total Weekday Boardings'!BH26/'Service Days per Month'!BH$4</f>
        <v>390.30434782608694</v>
      </c>
      <c r="BI26" s="18">
        <f>'Total Weekday Boardings'!BI26/'Service Days per Month'!BI$4</f>
        <v>418.83623312927358</v>
      </c>
      <c r="BJ26" s="18">
        <f>'Total Weekday Boardings'!BJ26/'Service Days per Month'!BJ$4</f>
        <v>340.9</v>
      </c>
      <c r="BK26" s="18">
        <f>'Total Weekday Boardings'!BK26/'Service Days per Month'!BK$4</f>
        <v>439.57142857142856</v>
      </c>
      <c r="BL26" s="18">
        <f>'Total Weekday Boardings'!BL26/'Service Days per Month'!BL$4</f>
        <v>516</v>
      </c>
      <c r="BM26" s="18">
        <f>'Total Weekday Boardings'!BM26/'Service Days per Month'!BM$4</f>
        <v>720.95238095238096</v>
      </c>
      <c r="BN26" s="18">
        <f>'Total Weekday Boardings'!BN26/'Service Days per Month'!BN$4</f>
        <v>669.22727272727275</v>
      </c>
      <c r="BO26" s="18">
        <f>'Total Weekday Boardings'!BO26/'Service Days per Month'!BO$4</f>
        <v>543.71428571428567</v>
      </c>
      <c r="BP26" s="19">
        <f>'Total Weekday Boardings'!BP26/'Service Days per Month'!BP$4</f>
        <v>735.19047619047615</v>
      </c>
      <c r="BQ26" s="17">
        <f>'Total Weekday Boardings'!BQ26/'Service Days per Month'!BQ$4</f>
        <v>479.72727272727275</v>
      </c>
      <c r="BR26" s="18">
        <f>'Total Weekday Boardings'!BR26/'Service Days per Month'!BR$4</f>
        <v>499.1904761904762</v>
      </c>
      <c r="BS26" s="18">
        <f>'Total Weekday Boardings'!BS26/'Service Days per Month'!BS$4</f>
        <v>471.57142857142856</v>
      </c>
      <c r="BT26" s="18">
        <f>'Total Weekday Boardings'!BT26/'Service Days per Month'!BT$4</f>
        <v>413.04347826086956</v>
      </c>
      <c r="BU26" s="18">
        <f>'Total Weekday Boardings'!BU26/'Service Days per Month'!BU$4</f>
        <v>459.11764705882354</v>
      </c>
      <c r="BV26" s="18">
        <f>'Total Weekday Boardings'!BV26/'Service Days per Month'!BV$4</f>
        <v>385.95238095238096</v>
      </c>
      <c r="BW26" s="18">
        <f>'Total Weekday Boardings'!BW26/'Service Days per Month'!BW$4</f>
        <v>713.5</v>
      </c>
      <c r="BX26" s="18">
        <f>'Total Weekday Boardings'!BX26/'Service Days per Month'!BX$4</f>
        <v>574</v>
      </c>
      <c r="BY26" s="18">
        <f>'Total Weekday Boardings'!BY26/'Service Days per Month'!BY$4</f>
        <v>522.68181818181813</v>
      </c>
      <c r="BZ26" s="18">
        <f>'Total Weekday Boardings'!BZ26/'Service Days per Month'!BZ$4</f>
        <v>670.18181818181813</v>
      </c>
      <c r="CA26" s="18">
        <f>'Total Weekday Boardings'!CA26/'Service Days per Month'!CA$4</f>
        <v>737.2</v>
      </c>
      <c r="CB26" s="19">
        <f>'Total Weekday Boardings'!CB26/'Service Days per Month'!CB$4</f>
        <v>619.77272727272725</v>
      </c>
      <c r="CC26" s="20">
        <f>'Total Weekday Boardings'!CC26/'Service Days per Month'!CC$4</f>
        <v>447.22727272727275</v>
      </c>
      <c r="CD26" s="18">
        <f>'Total Weekday Boardings'!CD26/'Service Days per Month'!CD$4</f>
        <v>595.95238095238096</v>
      </c>
      <c r="CE26" s="18">
        <f>'Total Weekday Boardings'!CE26/'Service Days per Month'!CE$4</f>
        <v>497.76190476190476</v>
      </c>
      <c r="CF26" s="18">
        <f>'Total Weekday Boardings'!CF26/'Service Days per Month'!CF$4</f>
        <v>534.5454545454545</v>
      </c>
      <c r="CG26" s="18">
        <f>'Total Weekday Boardings'!CG26/'Service Days per Month'!CG$4</f>
        <v>450.72222222222223</v>
      </c>
      <c r="CH26" s="18">
        <f>'Total Weekday Boardings'!CH26/'Service Days per Month'!CH$4</f>
        <v>375.61904761904759</v>
      </c>
      <c r="CI26" s="18">
        <f>'Total Weekday Boardings'!CI26/'Service Days per Month'!CI$4</f>
        <v>434.84210526315792</v>
      </c>
      <c r="CJ26" s="18">
        <f>'Total Weekday Boardings'!CJ26/'Service Days per Month'!CJ$4</f>
        <v>458.8</v>
      </c>
      <c r="CK26" s="18">
        <f>'Total Weekday Boardings'!CK26/'Service Days per Month'!CK$4</f>
        <v>506.30434782608694</v>
      </c>
      <c r="CL26" s="18">
        <f>'Total Weekday Boardings'!CL26/'Service Days per Month'!CL$4</f>
        <v>825.52380952380952</v>
      </c>
      <c r="CM26" s="18">
        <f>'Total Weekday Boardings'!CM26/'Service Days per Month'!CM$4</f>
        <v>676.19047619047615</v>
      </c>
      <c r="CN26" s="21">
        <f>'Total Weekday Boardings'!CN26/'Service Days per Month'!CN$4</f>
        <v>792.18181818181813</v>
      </c>
      <c r="CO26" s="17">
        <f>'Total Weekday Boardings'!CO26/'Service Days per Month'!CO$4</f>
        <v>517.25</v>
      </c>
      <c r="CP26" s="18">
        <f>'Total Weekday Boardings'!CP26/'Service Days per Month'!CP$4</f>
        <v>557.17391304347825</v>
      </c>
      <c r="CQ26" s="18">
        <f>'Total Weekday Boardings'!CQ26/'Service Days per Month'!CQ$4</f>
        <v>537.80952380952385</v>
      </c>
      <c r="CR26" s="18">
        <f>'Total Weekday Boardings'!CR26/'Service Days per Month'!CR$4</f>
        <v>467.61904761904759</v>
      </c>
      <c r="CS26" s="18">
        <f>'Total Weekday Boardings'!CS26/'Service Days per Month'!CS$4</f>
        <v>415.05263157894734</v>
      </c>
      <c r="CT26" s="18">
        <f>'Total Weekday Boardings'!CT26/'Service Days per Month'!CT$4</f>
        <v>387.47619047619048</v>
      </c>
      <c r="CU26" s="18">
        <f>'Total Weekday Boardings'!CU26/'Service Days per Month'!CU$4</f>
        <v>415.05</v>
      </c>
      <c r="CV26" s="18">
        <f>'Total Weekday Boardings'!CV26/'Service Days per Month'!CV$4</f>
        <v>461.4736842105263</v>
      </c>
      <c r="CW26" s="18">
        <f>'Total Weekday Boardings'!CW26/'Service Days per Month'!CW$4</f>
        <v>605.13043478260875</v>
      </c>
      <c r="CX26" s="18">
        <f>'Total Weekday Boardings'!CX26/'Service Days per Month'!CX$4</f>
        <v>715.95</v>
      </c>
      <c r="CY26" s="18">
        <f>'Total Weekday Boardings'!CY26/'Service Days per Month'!CY$4</f>
        <v>828.4545454545455</v>
      </c>
      <c r="CZ26" s="19">
        <f>'Total Weekday Boardings'!CZ26/'Service Days per Month'!CZ$4</f>
        <v>682.0454545454545</v>
      </c>
      <c r="DA26" s="17">
        <f>'Total Weekday Boardings'!DA26/'Service Days per Month'!DA$4</f>
        <v>536</v>
      </c>
      <c r="DB26" s="18">
        <f>'Total Weekday Boardings'!DB26/'Service Days per Month'!DB$4</f>
        <v>612.08695652173913</v>
      </c>
      <c r="DC26" s="18">
        <f>'Total Weekday Boardings'!DC26/'Service Days per Month'!DC$4</f>
        <v>637.85</v>
      </c>
      <c r="DD26" s="18">
        <f>'Total Weekday Boardings'!DD26/'Service Days per Month'!DD$4</f>
        <v>613.27272727272725</v>
      </c>
      <c r="DE26" s="18">
        <f>'Total Weekday Boardings'!DE26/'Service Days per Month'!DE$4</f>
        <v>473.78947368421052</v>
      </c>
      <c r="DF26" s="18">
        <f>'Total Weekday Boardings'!DF26/'Service Days per Month'!DF$4</f>
        <v>471.75</v>
      </c>
      <c r="DG26" s="18">
        <f>'Total Weekday Boardings'!DG26/'Service Days per Month'!DG$4</f>
        <v>604.95238095238096</v>
      </c>
      <c r="DH26" s="18">
        <f>'Total Weekday Boardings'!DH26/'Service Days per Month'!DH$4</f>
        <v>599.52631578947364</v>
      </c>
      <c r="DI26" s="18">
        <f>'Total Weekday Boardings'!DI26/'Service Days per Month'!DI$4</f>
        <v>885.09090909090912</v>
      </c>
      <c r="DJ26" s="18">
        <f>'Total Weekday Boardings'!DJ26/'Service Days per Month'!DJ$4</f>
        <v>997.38095238095241</v>
      </c>
      <c r="DK26" s="18">
        <f>'Total Weekday Boardings'!DK26/'Service Days per Month'!DK$4</f>
        <v>993.27272727272725</v>
      </c>
      <c r="DL26" s="19">
        <f>'Total Weekday Boardings'!DL26/'Service Days per Month'!DL$4</f>
        <v>683.47619047619048</v>
      </c>
      <c r="DM26" s="17">
        <f>'Total Weekday Boardings'!DM26/'Service Days per Month'!DM$4</f>
        <v>686.23809523809518</v>
      </c>
      <c r="DN26" s="18">
        <f>'Total Weekday Boardings'!DN26/'Service Days per Month'!DN$4</f>
        <v>687.6521739130435</v>
      </c>
      <c r="DO26" s="18">
        <f>'Total Weekday Boardings'!DO26/'Service Days per Month'!DO$4</f>
        <v>790.26315789473688</v>
      </c>
      <c r="DP26" s="18">
        <f>'Total Weekday Boardings'!DP26/'Service Days per Month'!DP$4</f>
        <v>658.52173913043475</v>
      </c>
      <c r="DQ26" s="18">
        <f>'Total Weekday Boardings'!DQ26/'Service Days per Month'!DQ$4</f>
        <v>659.42857142857144</v>
      </c>
      <c r="DR26" s="18">
        <f>'Total Weekday Boardings'!DR26/'Service Days per Month'!DR$4</f>
        <v>588.54999999999995</v>
      </c>
      <c r="DS26" s="18">
        <f>'Total Weekday Boardings'!DS26/'Service Days per Month'!DS$4</f>
        <v>654.09090909090912</v>
      </c>
      <c r="DT26" s="18">
        <f>'Total Weekday Boardings'!DT26/'Service Days per Month'!DT$4</f>
        <v>614.79999999999995</v>
      </c>
      <c r="DU26" s="18">
        <f>'Total Weekday Boardings'!DU26/'Service Days per Month'!DU$4</f>
        <v>738.57142857142856</v>
      </c>
      <c r="DV26" s="18">
        <f>'Total Weekday Boardings'!DV26/'Service Days per Month'!DV$4</f>
        <v>841.18181818181813</v>
      </c>
      <c r="DW26" s="18">
        <f>'Total Weekday Boardings'!DW26/'Service Days per Month'!DW$4</f>
        <v>634.22727272727275</v>
      </c>
      <c r="DX26" s="19">
        <f>'Total Weekday Boardings'!DX26/'Service Days per Month'!DX$4</f>
        <v>636.6</v>
      </c>
      <c r="DY26" s="17">
        <f>'Total Weekday Boardings'!DY26/'Service Days per Month'!DY$4</f>
        <v>453.68181818181819</v>
      </c>
      <c r="DZ26" s="18">
        <f>'Total Weekday Boardings'!DZ26/'Service Days per Month'!DZ$4</f>
        <v>525.81818181818187</v>
      </c>
      <c r="EA26" s="18">
        <f>'Total Weekday Boardings'!EA26/'Service Days per Month'!EA$4</f>
        <v>560.9</v>
      </c>
      <c r="EB26" s="18">
        <f>'Total Weekday Boardings'!EB26/'Service Days per Month'!EB$4</f>
        <v>425.30434782608694</v>
      </c>
      <c r="EC26" s="18">
        <f>'Total Weekday Boardings'!EC26/'Service Days per Month'!EC$4</f>
        <v>502.75</v>
      </c>
      <c r="ED26" s="18">
        <f>'Total Weekday Boardings'!ED26/'Service Days per Month'!ED$4</f>
        <v>442.71428571428572</v>
      </c>
      <c r="EE26" s="18">
        <f>'Total Weekday Boardings'!EE26/'Service Days per Month'!EE$4</f>
        <v>428.82608695652175</v>
      </c>
      <c r="EF26" s="18">
        <f>'Total Weekday Boardings'!EF26/'Service Days per Month'!EF$4</f>
        <v>462.45</v>
      </c>
      <c r="EG26" s="18">
        <f>'Total Weekday Boardings'!EG26/'Service Days per Month'!EG$4</f>
        <v>439.04545454545456</v>
      </c>
      <c r="EH26" s="18">
        <f>'Total Weekday Boardings'!EH26/'Service Days per Month'!EH$4</f>
        <v>194.18181818181819</v>
      </c>
      <c r="EI26" s="18">
        <f>'Total Weekday Boardings'!EI26/'Service Days per Month'!EI$4</f>
        <v>195.9</v>
      </c>
      <c r="EJ26" s="19">
        <f>'Total Weekday Boardings'!EJ26/'Service Days per Month'!EJ$4</f>
        <v>195.45454545454547</v>
      </c>
      <c r="EK26" s="17">
        <f>'Total Weekday Boardings'!EK26/'Service Days per Month'!EK$4</f>
        <v>183.04545454545453</v>
      </c>
      <c r="EL26" s="18">
        <f>'Total Weekday Boardings'!EL26/'Service Days per Month'!EL$4</f>
        <v>204.23809523809524</v>
      </c>
      <c r="EM26" s="18">
        <f>'Total Weekday Boardings'!EM26/'Service Days per Month'!EM$4</f>
        <v>206.95238095238096</v>
      </c>
      <c r="EN26" s="18">
        <f>'Total Weekday Boardings'!EN26/'Service Days per Month'!EN$4</f>
        <v>216.81818181818181</v>
      </c>
      <c r="EO26" s="18">
        <f>'Total Weekday Boardings'!EO26/'Service Days per Month'!EO$4</f>
        <v>330.95</v>
      </c>
      <c r="EP26" s="18">
        <f>'Total Weekday Boardings'!EP26/'Service Days per Month'!EP$4</f>
        <v>127.81818181818181</v>
      </c>
      <c r="EQ26" s="18">
        <f>'Total Weekday Boardings'!EQ26/'Service Days per Month'!EQ$4</f>
        <v>76.857142857142861</v>
      </c>
      <c r="ER26" s="18">
        <f>'Total Weekday Boardings'!ER26/'Service Days per Month'!ER$4</f>
        <v>246</v>
      </c>
      <c r="ES26" s="18">
        <f>'Total Weekday Boardings'!ES26/'Service Days per Month'!ES$4</f>
        <v>217.30434782608697</v>
      </c>
      <c r="ET26" s="18">
        <f>'Total Weekday Boardings'!ET26/'Service Days per Month'!ET$4</f>
        <v>244.36363636363637</v>
      </c>
      <c r="EU26" s="18">
        <f>'Total Weekday Boardings'!EU26/'Service Days per Month'!EU$4</f>
        <v>223.4</v>
      </c>
      <c r="EV26" s="19">
        <f>'Total Weekday Boardings'!EV26/'Service Days per Month'!EV$4</f>
        <v>277.86363636363637</v>
      </c>
      <c r="EW26" s="17">
        <f>'Total Weekday Boardings'!EW26/'Service Days per Month'!EW$4</f>
        <v>308.71428571428572</v>
      </c>
      <c r="EX26" s="18">
        <f>'Total Weekday Boardings'!EX26/'Service Days per Month'!EX$4</f>
        <v>249.04545454545453</v>
      </c>
      <c r="EY26" s="18">
        <f>'Total Weekday Boardings'!EY26/'Service Days per Month'!EY$4</f>
        <v>226.76190476190476</v>
      </c>
      <c r="EZ26" s="18">
        <f>'Total Weekday Boardings'!EZ26/'Service Days per Month'!EZ$4</f>
        <v>248.38095238095238</v>
      </c>
      <c r="FA26" s="18">
        <f>'Total Weekday Boardings'!FA26/'Service Days per Month'!FA$4</f>
        <v>270.8095238095238</v>
      </c>
      <c r="FB26" s="18">
        <f>'Total Weekday Boardings'!FB26/'Service Days per Month'!FB$4</f>
        <v>254.68181818181819</v>
      </c>
      <c r="FC26" s="18">
        <f>'Total Weekday Boardings'!FC26/'Service Days per Month'!FC$4</f>
        <v>204.1904761904762</v>
      </c>
      <c r="FD26" s="18">
        <f>'Total Weekday Boardings'!FD26/'Service Days per Month'!FD$4</f>
        <v>283.05</v>
      </c>
      <c r="FE26" s="18">
        <f>'Total Weekday Boardings'!FE26/'Service Days per Month'!FE$4</f>
        <v>276</v>
      </c>
      <c r="FF26" s="18">
        <f>'Total Weekday Boardings'!FF26/'Service Days per Month'!FF$4</f>
        <v>207.47619047619048</v>
      </c>
      <c r="FG26" s="18">
        <f>'Total Weekday Boardings'!FG26/'Service Days per Month'!FG$4</f>
        <v>482.71428571428572</v>
      </c>
      <c r="FH26" s="19">
        <f>'Total Weekday Boardings'!FH26/'Service Days per Month'!FH$4</f>
        <v>561.72727272727275</v>
      </c>
      <c r="FI26" s="17">
        <v>282</v>
      </c>
      <c r="FJ26" s="18">
        <v>250.17391304347825</v>
      </c>
      <c r="FK26" s="18">
        <v>362.28571428571428</v>
      </c>
      <c r="FL26" s="18">
        <v>259.57142857142856</v>
      </c>
      <c r="FM26" s="18">
        <v>316.28571428571428</v>
      </c>
      <c r="FN26" s="18">
        <v>266.23809523809524</v>
      </c>
      <c r="FO26" s="18">
        <v>268.90476190476193</v>
      </c>
      <c r="FP26" s="18">
        <v>352.3</v>
      </c>
      <c r="FQ26" s="18">
        <v>411.73913043478262</v>
      </c>
      <c r="FR26" s="18">
        <f>'Total Weekday Boardings'!FR26/20</f>
        <v>501.05</v>
      </c>
      <c r="FS26" s="18">
        <f>'Total Weekday Boardings'!FS26/22</f>
        <v>412.95454545454544</v>
      </c>
      <c r="FT26" s="21">
        <f>'Total Weekday Boardings'!FT26/23</f>
        <v>387.3478260869565</v>
      </c>
      <c r="FU26" s="17">
        <f>'Total Weekday Boardings'!FU26/21</f>
        <v>367.66666666666669</v>
      </c>
      <c r="FV26" s="18">
        <f>'Total Weekday Boardings'!FV26/23</f>
        <v>304.21739130434781</v>
      </c>
      <c r="FW26" s="18">
        <f>'Total Weekday Boardings'!FW26/21</f>
        <v>306.28571428571428</v>
      </c>
      <c r="FX26" s="18">
        <f>'Total Weekday Boardings'!FX26/22</f>
        <v>664.77272727272725</v>
      </c>
      <c r="FY26" s="18">
        <f>'Total Weekday Boardings'!FY26/22</f>
        <v>394.63636363636363</v>
      </c>
      <c r="FZ26" s="18">
        <f>'Total Weekday Boardings'!FZ26/21</f>
        <v>354.14285714285717</v>
      </c>
      <c r="GA26" s="18">
        <f>'Total Weekday Boardings'!GA26/23</f>
        <v>334.82608695652175</v>
      </c>
      <c r="GB26" s="18">
        <f>'Total Weekday Boardings'!GB26/21</f>
        <v>551</v>
      </c>
      <c r="GC26" s="18">
        <f>'Total Weekday Boardings'!GC26/21</f>
        <v>392.33333333333331</v>
      </c>
      <c r="GD26" s="18">
        <f>'Total Weekday Boardings'!GD26/22</f>
        <v>484.27272727272725</v>
      </c>
      <c r="GE26" s="13">
        <f>'Total Weekday Boardings'!GE26/23</f>
        <v>358.17391304347825</v>
      </c>
      <c r="GF26" s="13">
        <f>'Total Weekday Boardings'!GF26/20</f>
        <v>430.3</v>
      </c>
      <c r="GG26" s="21">
        <f>'Total Weekday Boardings'!GG26/23</f>
        <v>333.17391304347825</v>
      </c>
      <c r="GH26" s="13">
        <f>'Total Weekday Boardings'!GH26/22</f>
        <v>428.59090909090907</v>
      </c>
      <c r="GI26" s="13">
        <f>'Total Weekday Boardings'!GI26/21</f>
        <v>432.66666666666669</v>
      </c>
      <c r="GJ26" s="13">
        <f>'Total Weekday Boardings'!GJ26/23</f>
        <v>299</v>
      </c>
      <c r="GK26" s="13">
        <f>'Total Weekday Boardings'!GK26/21</f>
        <v>348.1904761904762</v>
      </c>
      <c r="GL26" s="13">
        <f>'Total Weekday Boardings'!GL26/22</f>
        <v>254.81818181818181</v>
      </c>
    </row>
    <row r="27" spans="1:194" ht="15" thickBot="1" x14ac:dyDescent="0.35">
      <c r="A27" s="3" t="s">
        <v>40</v>
      </c>
      <c r="B27" s="17"/>
      <c r="C27" s="18">
        <f>'Total Weekday Boardings'!C27/'Service Days per Month'!C$4</f>
        <v>242.33333333333334</v>
      </c>
      <c r="D27" s="18">
        <f>'Total Weekday Boardings'!D27/'Service Days per Month'!D$4</f>
        <v>267.45</v>
      </c>
      <c r="E27" s="18">
        <f>'Total Weekday Boardings'!E27/'Service Days per Month'!E$4</f>
        <v>245.40909090909091</v>
      </c>
      <c r="F27" s="18">
        <f>'Total Weekday Boardings'!F27/'Service Days per Month'!F$4</f>
        <v>258.59090909090907</v>
      </c>
      <c r="G27" s="18">
        <f>'Total Weekday Boardings'!G27/'Service Days per Month'!G$4</f>
        <v>266.45</v>
      </c>
      <c r="H27" s="19">
        <f>'Total Weekday Boardings'!H27/'Service Days per Month'!H$4</f>
        <v>292.59090909090907</v>
      </c>
      <c r="I27" s="17">
        <f>'Total Weekday Boardings'!I27/'Service Days per Month'!I$4</f>
        <v>235.30434782608697</v>
      </c>
      <c r="J27" s="18">
        <f>'Total Weekday Boardings'!J27/'Service Days per Month'!J$4</f>
        <v>306.71428571428572</v>
      </c>
      <c r="K27" s="18">
        <f>'Total Weekday Boardings'!K27/'Service Days per Month'!K$4</f>
        <v>310.90476190476193</v>
      </c>
      <c r="L27" s="18">
        <f>'Total Weekday Boardings'!L27/'Service Days per Month'!L$4</f>
        <v>242.36363636363637</v>
      </c>
      <c r="M27" s="18">
        <f>'Total Weekday Boardings'!M27/'Service Days per Month'!M$4</f>
        <v>278.10000000000002</v>
      </c>
      <c r="N27" s="18">
        <f>'Total Weekday Boardings'!N27/'Service Days per Month'!N$4</f>
        <v>336.72727272727275</v>
      </c>
      <c r="O27" s="18">
        <f>'Total Weekday Boardings'!O27/'Service Days per Month'!O$4</f>
        <v>232.2</v>
      </c>
      <c r="P27" s="18">
        <f>'Total Weekday Boardings'!P27/'Service Days per Month'!P$4</f>
        <v>378.75</v>
      </c>
      <c r="Q27" s="18">
        <f>'Total Weekday Boardings'!Q27/'Service Days per Month'!Q$4</f>
        <v>388.17391304347825</v>
      </c>
      <c r="R27" s="18">
        <f>'Total Weekday Boardings'!R27/'Service Days per Month'!R$4</f>
        <v>277.77272727272725</v>
      </c>
      <c r="S27" s="18">
        <f>'Total Weekday Boardings'!S27/'Service Days per Month'!S$4</f>
        <v>219.2</v>
      </c>
      <c r="T27" s="19">
        <f>'Total Weekday Boardings'!T27/'Service Days per Month'!T$4</f>
        <v>224.22727272727272</v>
      </c>
      <c r="U27" s="17">
        <f>'Total Weekday Boardings'!U27/'Service Days per Month'!U$4</f>
        <v>192.23809523809524</v>
      </c>
      <c r="V27" s="18">
        <f>'Total Weekday Boardings'!V27/'Service Days per Month'!V$4</f>
        <v>223.86363636363637</v>
      </c>
      <c r="W27" s="18">
        <f>'Total Weekday Boardings'!W27/'Service Days per Month'!W$4</f>
        <v>261.38095238095241</v>
      </c>
      <c r="X27" s="18">
        <f>'Total Weekday Boardings'!X27/'Service Days per Month'!X$4</f>
        <v>245.95238095238096</v>
      </c>
      <c r="Y27" s="18">
        <f>'Total Weekday Boardings'!Y27/'Service Days per Month'!Y$4</f>
        <v>258.5263157894737</v>
      </c>
      <c r="Z27" s="18">
        <f>'Total Weekday Boardings'!Z27/'Service Days per Month'!Z$4</f>
        <v>222.57142857142858</v>
      </c>
      <c r="AA27" s="18">
        <f>'Total Weekday Boardings'!AA27/'Service Days per Month'!AA$4</f>
        <v>351.4</v>
      </c>
      <c r="AB27" s="18">
        <f>'Total Weekday Boardings'!AB27/'Service Days per Month'!AB$4</f>
        <v>344.15789473684208</v>
      </c>
      <c r="AC27" s="18">
        <f>'Total Weekday Boardings'!AC27/'Service Days per Month'!AC$4</f>
        <v>330.60869565217394</v>
      </c>
      <c r="AD27" s="18">
        <f>'Total Weekday Boardings'!AD27/'Service Days per Month'!AD$4</f>
        <v>356.47619047619048</v>
      </c>
      <c r="AE27" s="18">
        <f>'Total Weekday Boardings'!AE27/'Service Days per Month'!AE$4</f>
        <v>333.38095238095241</v>
      </c>
      <c r="AF27" s="19">
        <f>'Total Weekday Boardings'!AF27/'Service Days per Month'!AF$4</f>
        <v>335.04545454545456</v>
      </c>
      <c r="AG27" s="17">
        <f>'Total Weekday Boardings'!AG27/'Service Days per Month'!AG$4</f>
        <v>327</v>
      </c>
      <c r="AH27" s="18">
        <f>'Total Weekday Boardings'!AH27/'Service Days per Month'!AH$4</f>
        <v>320.08695652173913</v>
      </c>
      <c r="AI27" s="18">
        <f>'Total Weekday Boardings'!AI27/'Service Days per Month'!AI$4</f>
        <v>358.1904761904762</v>
      </c>
      <c r="AJ27" s="18">
        <f>'Total Weekday Boardings'!AJ27/'Service Days per Month'!AJ$4</f>
        <v>349.42857142857144</v>
      </c>
      <c r="AK27" s="18">
        <f>'Total Weekday Boardings'!AK27/'Service Days per Month'!AK$4</f>
        <v>332.21052631578948</v>
      </c>
      <c r="AL27" s="18">
        <f>'Total Weekday Boardings'!AL27/'Service Days per Month'!AL$4</f>
        <v>356.38095238095241</v>
      </c>
      <c r="AM27" s="18">
        <f>'Total Weekday Boardings'!AM27/'Service Days per Month'!AM$4</f>
        <v>376.25</v>
      </c>
      <c r="AN27" s="18">
        <f>'Total Weekday Boardings'!AN27/'Service Days per Month'!AN$4</f>
        <v>375.25</v>
      </c>
      <c r="AO27" s="18">
        <f>'Total Weekday Boardings'!AO27/'Service Days per Month'!AO$4</f>
        <v>391</v>
      </c>
      <c r="AP27" s="18">
        <f>'Total Weekday Boardings'!AP27/'Service Days per Month'!AP$4</f>
        <v>404.95238095238096</v>
      </c>
      <c r="AQ27" s="18">
        <f>'Total Weekday Boardings'!AQ27/'Service Days per Month'!AQ$4</f>
        <v>417.22727272727275</v>
      </c>
      <c r="AR27" s="19">
        <f>'Total Weekday Boardings'!AR27/'Service Days per Month'!AR$4</f>
        <v>376.85714285714283</v>
      </c>
      <c r="AS27" s="17">
        <f>'Total Weekday Boardings'!AS27/'Service Days per Month'!AS$4</f>
        <v>383.85714285714283</v>
      </c>
      <c r="AT27" s="18">
        <f>'Total Weekday Boardings'!AT27/'Service Days per Month'!AT$4</f>
        <v>369.47826086956519</v>
      </c>
      <c r="AU27" s="18">
        <f>'Total Weekday Boardings'!AU27/'Service Days per Month'!AU$4</f>
        <v>319.5263157894737</v>
      </c>
      <c r="AV27" s="18">
        <f>'Total Weekday Boardings'!AV27/'Service Days per Month'!AV$4</f>
        <v>401.86956521739131</v>
      </c>
      <c r="AW27" s="18">
        <f>'Total Weekday Boardings'!AW27/'Service Days per Month'!AW$4</f>
        <v>407.73684210526318</v>
      </c>
      <c r="AX27" s="18">
        <f>'Total Weekday Boardings'!AX27/'Service Days per Month'!AX$4</f>
        <v>392.05263157894734</v>
      </c>
      <c r="AY27" s="18">
        <f>'Total Weekday Boardings'!AY27/'Service Days per Month'!AY$4</f>
        <v>378.33333333333331</v>
      </c>
      <c r="AZ27" s="18">
        <f>'Total Weekday Boardings'!AZ27/'Service Days per Month'!AZ$4</f>
        <v>391.26315789473682</v>
      </c>
      <c r="BA27" s="18">
        <f>'Total Weekday Boardings'!BA27/'Service Days per Month'!BA$4</f>
        <v>382.8095238095238</v>
      </c>
      <c r="BB27" s="18">
        <f>'Total Weekday Boardings'!BB27/'Service Days per Month'!BB$4</f>
        <v>398.59090909090907</v>
      </c>
      <c r="BC27" s="18">
        <f>'Total Weekday Boardings'!BC27/'Service Days per Month'!BC$4</f>
        <v>411.31818181818181</v>
      </c>
      <c r="BD27" s="19">
        <f>'Total Weekday Boardings'!BD27/'Service Days per Month'!BD$4</f>
        <v>371.5</v>
      </c>
      <c r="BE27" s="17">
        <f>'Total Weekday Boardings'!BE27/'Service Days per Month'!BE$4</f>
        <v>359.90909090909093</v>
      </c>
      <c r="BF27" s="18">
        <f>'Total Weekday Boardings'!BF27/'Service Days per Month'!BF$4</f>
        <v>405.95454545454544</v>
      </c>
      <c r="BG27" s="18">
        <f>'Total Weekday Boardings'!BG27/'Service Days per Month'!BG$4</f>
        <v>419.3</v>
      </c>
      <c r="BH27" s="18">
        <f>'Total Weekday Boardings'!BH27/'Service Days per Month'!BH$4</f>
        <v>417.60869565217394</v>
      </c>
      <c r="BI27" s="18">
        <f>'Total Weekday Boardings'!BI27/'Service Days per Month'!BI$4</f>
        <v>438.17230972897914</v>
      </c>
      <c r="BJ27" s="18">
        <f>'Total Weekday Boardings'!BJ27/'Service Days per Month'!BJ$4</f>
        <v>372.05</v>
      </c>
      <c r="BK27" s="18">
        <f>'Total Weekday Boardings'!BK27/'Service Days per Month'!BK$4</f>
        <v>427.47619047619048</v>
      </c>
      <c r="BL27" s="18">
        <f>'Total Weekday Boardings'!BL27/'Service Days per Month'!BL$4</f>
        <v>447.78947368421052</v>
      </c>
      <c r="BM27" s="18">
        <f>'Total Weekday Boardings'!BM27/'Service Days per Month'!BM$4</f>
        <v>629.28571428571433</v>
      </c>
      <c r="BN27" s="18">
        <f>'Total Weekday Boardings'!BN27/'Service Days per Month'!BN$4</f>
        <v>430.22727272727275</v>
      </c>
      <c r="BO27" s="18">
        <f>'Total Weekday Boardings'!BO27/'Service Days per Month'!BO$4</f>
        <v>412.42857142857144</v>
      </c>
      <c r="BP27" s="19">
        <f>'Total Weekday Boardings'!BP27/'Service Days per Month'!BP$4</f>
        <v>381.47619047619048</v>
      </c>
      <c r="BQ27" s="17">
        <f>'Total Weekday Boardings'!BQ27/'Service Days per Month'!BQ$4</f>
        <v>373.72727272727275</v>
      </c>
      <c r="BR27" s="18">
        <f>'Total Weekday Boardings'!BR27/'Service Days per Month'!BR$4</f>
        <v>391</v>
      </c>
      <c r="BS27" s="18">
        <f>'Total Weekday Boardings'!BS27/'Service Days per Month'!BS$4</f>
        <v>407.14285714285717</v>
      </c>
      <c r="BT27" s="18">
        <f>'Total Weekday Boardings'!BT27/'Service Days per Month'!BT$4</f>
        <v>410.86956521739131</v>
      </c>
      <c r="BU27" s="18">
        <f>'Total Weekday Boardings'!BU27/'Service Days per Month'!BU$4</f>
        <v>408.88235294117646</v>
      </c>
      <c r="BV27" s="18">
        <f>'Total Weekday Boardings'!BV27/'Service Days per Month'!BV$4</f>
        <v>402.61904761904759</v>
      </c>
      <c r="BW27" s="18">
        <f>'Total Weekday Boardings'!BW27/'Service Days per Month'!BW$4</f>
        <v>469.45</v>
      </c>
      <c r="BX27" s="18">
        <f>'Total Weekday Boardings'!BX27/'Service Days per Month'!BX$4</f>
        <v>420.4736842105263</v>
      </c>
      <c r="BY27" s="18">
        <f>'Total Weekday Boardings'!BY27/'Service Days per Month'!BY$4</f>
        <v>407.40909090909093</v>
      </c>
      <c r="BZ27" s="18">
        <f>'Total Weekday Boardings'!BZ27/'Service Days per Month'!BZ$4</f>
        <v>390.81818181818181</v>
      </c>
      <c r="CA27" s="18">
        <f>'Total Weekday Boardings'!CA27/'Service Days per Month'!CA$4</f>
        <v>387.95</v>
      </c>
      <c r="CB27" s="19">
        <f>'Total Weekday Boardings'!CB27/'Service Days per Month'!CB$4</f>
        <v>359.18181818181819</v>
      </c>
      <c r="CC27" s="20">
        <f>'Total Weekday Boardings'!CC27/'Service Days per Month'!CC$4</f>
        <v>364.72727272727275</v>
      </c>
      <c r="CD27" s="18">
        <f>'Total Weekday Boardings'!CD27/'Service Days per Month'!CD$4</f>
        <v>383.47619047619048</v>
      </c>
      <c r="CE27" s="18">
        <f>'Total Weekday Boardings'!CE27/'Service Days per Month'!CE$4</f>
        <v>424.1904761904762</v>
      </c>
      <c r="CF27" s="18">
        <f>'Total Weekday Boardings'!CF27/'Service Days per Month'!CF$4</f>
        <v>420.5</v>
      </c>
      <c r="CG27" s="18">
        <f>'Total Weekday Boardings'!CG27/'Service Days per Month'!CG$4</f>
        <v>467.72222222222223</v>
      </c>
      <c r="CH27" s="18">
        <f>'Total Weekday Boardings'!CH27/'Service Days per Month'!CH$4</f>
        <v>415.8095238095238</v>
      </c>
      <c r="CI27" s="18">
        <f>'Total Weekday Boardings'!CI27/'Service Days per Month'!CI$4</f>
        <v>445.89473684210526</v>
      </c>
      <c r="CJ27" s="18">
        <f>'Total Weekday Boardings'!CJ27/'Service Days per Month'!CJ$4</f>
        <v>429.75</v>
      </c>
      <c r="CK27" s="18">
        <f>'Total Weekday Boardings'!CK27/'Service Days per Month'!CK$4</f>
        <v>423.6521739130435</v>
      </c>
      <c r="CL27" s="18">
        <f>'Total Weekday Boardings'!CL27/'Service Days per Month'!CL$4</f>
        <v>449.14285714285717</v>
      </c>
      <c r="CM27" s="18">
        <f>'Total Weekday Boardings'!CM27/'Service Days per Month'!CM$4</f>
        <v>306.23809523809524</v>
      </c>
      <c r="CN27" s="21">
        <f>'Total Weekday Boardings'!CN27/'Service Days per Month'!CN$4</f>
        <v>435.59090909090907</v>
      </c>
      <c r="CO27" s="17">
        <f>'Total Weekday Boardings'!CO27/'Service Days per Month'!CO$4</f>
        <v>400.85</v>
      </c>
      <c r="CP27" s="18">
        <f>'Total Weekday Boardings'!CP27/'Service Days per Month'!CP$4</f>
        <v>420.08695652173913</v>
      </c>
      <c r="CQ27" s="18">
        <f>'Total Weekday Boardings'!CQ27/'Service Days per Month'!CQ$4</f>
        <v>445.33333333333331</v>
      </c>
      <c r="CR27" s="18">
        <f>'Total Weekday Boardings'!CR27/'Service Days per Month'!CR$4</f>
        <v>461.57142857142856</v>
      </c>
      <c r="CS27" s="18">
        <f>'Total Weekday Boardings'!CS27/'Service Days per Month'!CS$4</f>
        <v>441</v>
      </c>
      <c r="CT27" s="18">
        <f>'Total Weekday Boardings'!CT27/'Service Days per Month'!CT$4</f>
        <v>417.71428571428572</v>
      </c>
      <c r="CU27" s="18">
        <f>'Total Weekday Boardings'!CU27/'Service Days per Month'!CU$4</f>
        <v>470.6</v>
      </c>
      <c r="CV27" s="18">
        <f>'Total Weekday Boardings'!CV27/'Service Days per Month'!CV$4</f>
        <v>475.94736842105266</v>
      </c>
      <c r="CW27" s="18">
        <f>'Total Weekday Boardings'!CW27/'Service Days per Month'!CW$4</f>
        <v>450.21739130434781</v>
      </c>
      <c r="CX27" s="18">
        <f>'Total Weekday Boardings'!CX27/'Service Days per Month'!CX$4</f>
        <v>455.65</v>
      </c>
      <c r="CY27" s="18">
        <f>'Total Weekday Boardings'!CY27/'Service Days per Month'!CY$4</f>
        <v>418.86363636363637</v>
      </c>
      <c r="CZ27" s="19">
        <f>'Total Weekday Boardings'!CZ27/'Service Days per Month'!CZ$4</f>
        <v>402.86363636363637</v>
      </c>
      <c r="DA27" s="17">
        <f>'Total Weekday Boardings'!DA27/'Service Days per Month'!DA$4</f>
        <v>284.8</v>
      </c>
      <c r="DB27" s="18">
        <f>'Total Weekday Boardings'!DB27/'Service Days per Month'!DB$4</f>
        <v>422.08695652173913</v>
      </c>
      <c r="DC27" s="18">
        <f>'Total Weekday Boardings'!DC27/'Service Days per Month'!DC$4</f>
        <v>418.45</v>
      </c>
      <c r="DD27" s="18">
        <f>'Total Weekday Boardings'!DD27/'Service Days per Month'!DD$4</f>
        <v>426.31818181818181</v>
      </c>
      <c r="DE27" s="18">
        <f>'Total Weekday Boardings'!DE27/'Service Days per Month'!DE$4</f>
        <v>420.21052631578948</v>
      </c>
      <c r="DF27" s="18">
        <f>'Total Weekday Boardings'!DF27/'Service Days per Month'!DF$4</f>
        <v>397.85</v>
      </c>
      <c r="DG27" s="18">
        <f>'Total Weekday Boardings'!DG27/'Service Days per Month'!DG$4</f>
        <v>337.66666666666669</v>
      </c>
      <c r="DH27" s="18">
        <f>'Total Weekday Boardings'!DH27/'Service Days per Month'!DH$4</f>
        <v>347.10526315789474</v>
      </c>
      <c r="DI27" s="18">
        <f>'Total Weekday Boardings'!DI27/'Service Days per Month'!DI$4</f>
        <v>339.86363636363637</v>
      </c>
      <c r="DJ27" s="18">
        <f>'Total Weekday Boardings'!DJ27/'Service Days per Month'!DJ$4</f>
        <v>327.61904761904759</v>
      </c>
      <c r="DK27" s="18">
        <f>'Total Weekday Boardings'!DK27/'Service Days per Month'!DK$4</f>
        <v>314.31818181818181</v>
      </c>
      <c r="DL27" s="19">
        <f>'Total Weekday Boardings'!DL27/'Service Days per Month'!DL$4</f>
        <v>282.47619047619048</v>
      </c>
      <c r="DM27" s="17">
        <f>'Total Weekday Boardings'!DM27/'Service Days per Month'!DM$4</f>
        <v>282.33333333333331</v>
      </c>
      <c r="DN27" s="18">
        <f>'Total Weekday Boardings'!DN27/'Service Days per Month'!DN$4</f>
        <v>292.56521739130437</v>
      </c>
      <c r="DO27" s="18">
        <f>'Total Weekday Boardings'!DO27/'Service Days per Month'!DO$4</f>
        <v>310.84210526315792</v>
      </c>
      <c r="DP27" s="18">
        <f>'Total Weekday Boardings'!DP27/'Service Days per Month'!DP$4</f>
        <v>331.08695652173913</v>
      </c>
      <c r="DQ27" s="18">
        <f>'Total Weekday Boardings'!DQ27/'Service Days per Month'!DQ$4</f>
        <v>331.1904761904762</v>
      </c>
      <c r="DR27" s="18">
        <f>'Total Weekday Boardings'!DR27/'Service Days per Month'!DR$4</f>
        <v>306.89999999999998</v>
      </c>
      <c r="DS27" s="18">
        <f>'Total Weekday Boardings'!DS27/'Service Days per Month'!DS$4</f>
        <v>318.40909090909093</v>
      </c>
      <c r="DT27" s="18">
        <f>'Total Weekday Boardings'!DT27/'Service Days per Month'!DT$4</f>
        <v>323.55</v>
      </c>
      <c r="DU27" s="18">
        <f>'Total Weekday Boardings'!DU27/'Service Days per Month'!DU$4</f>
        <v>317.38095238095241</v>
      </c>
      <c r="DV27" s="18">
        <f>'Total Weekday Boardings'!DV27/'Service Days per Month'!DV$4</f>
        <v>116.04545454545455</v>
      </c>
      <c r="DW27" s="18">
        <f>'Total Weekday Boardings'!DW27/'Service Days per Month'!DW$4</f>
        <v>340</v>
      </c>
      <c r="DX27" s="19">
        <f>'Total Weekday Boardings'!DX27/'Service Days per Month'!DX$4</f>
        <v>360.2</v>
      </c>
      <c r="DY27" s="17">
        <f>'Total Weekday Boardings'!DY27/'Service Days per Month'!DY$4</f>
        <v>340.22727272727275</v>
      </c>
      <c r="DZ27" s="18">
        <f>'Total Weekday Boardings'!DZ27/'Service Days per Month'!DZ$4</f>
        <v>345.09090909090907</v>
      </c>
      <c r="EA27" s="18">
        <f>'Total Weekday Boardings'!EA27/'Service Days per Month'!EA$4</f>
        <v>369.4</v>
      </c>
      <c r="EB27" s="18">
        <f>'Total Weekday Boardings'!EB27/'Service Days per Month'!EB$4</f>
        <v>401.43478260869563</v>
      </c>
      <c r="EC27" s="18">
        <f>'Total Weekday Boardings'!EC27/'Service Days per Month'!EC$4</f>
        <v>400.45</v>
      </c>
      <c r="ED27" s="18">
        <f>'Total Weekday Boardings'!ED27/'Service Days per Month'!ED$4</f>
        <v>356.95238095238096</v>
      </c>
      <c r="EE27" s="18">
        <f>'Total Weekday Boardings'!EE27/'Service Days per Month'!EE$4</f>
        <v>345.08695652173913</v>
      </c>
      <c r="EF27" s="18">
        <f>'Total Weekday Boardings'!EF27/'Service Days per Month'!EF$4</f>
        <v>373.7</v>
      </c>
      <c r="EG27" s="18">
        <f>'Total Weekday Boardings'!EG27/'Service Days per Month'!EG$4</f>
        <v>234.5</v>
      </c>
      <c r="EH27" s="18">
        <f>'Total Weekday Boardings'!EH27/'Service Days per Month'!EH$4</f>
        <v>144.81818181818181</v>
      </c>
      <c r="EI27" s="18">
        <f>'Total Weekday Boardings'!EI27/'Service Days per Month'!EI$4</f>
        <v>141.35</v>
      </c>
      <c r="EJ27" s="19">
        <f>'Total Weekday Boardings'!EJ27/'Service Days per Month'!EJ$4</f>
        <v>135.72727272727272</v>
      </c>
      <c r="EK27" s="17">
        <f>'Total Weekday Boardings'!EK27/'Service Days per Month'!EK$4</f>
        <v>127.04545454545455</v>
      </c>
      <c r="EL27" s="18">
        <f>'Total Weekday Boardings'!EL27/'Service Days per Month'!EL$4</f>
        <v>127.95238095238095</v>
      </c>
      <c r="EM27" s="18">
        <f>'Total Weekday Boardings'!EM27/'Service Days per Month'!EM$4</f>
        <v>165.38095238095238</v>
      </c>
      <c r="EN27" s="18">
        <f>'Total Weekday Boardings'!EN27/'Service Days per Month'!EN$4</f>
        <v>139.81818181818181</v>
      </c>
      <c r="EO27" s="18">
        <f>'Total Weekday Boardings'!EO27/'Service Days per Month'!EO$4</f>
        <v>131.19999999999999</v>
      </c>
      <c r="EP27" s="18">
        <f>'Total Weekday Boardings'!EP27/'Service Days per Month'!EP$4</f>
        <v>125.81818181818181</v>
      </c>
      <c r="EQ27" s="18">
        <f>'Total Weekday Boardings'!EQ27/'Service Days per Month'!EQ$4</f>
        <v>57.904761904761905</v>
      </c>
      <c r="ER27" s="18">
        <f>'Total Weekday Boardings'!ER27/'Service Days per Month'!ER$4</f>
        <v>125.2</v>
      </c>
      <c r="ES27" s="18">
        <f>'Total Weekday Boardings'!ES27/'Service Days per Month'!ES$4</f>
        <v>115.17391304347827</v>
      </c>
      <c r="ET27" s="18">
        <f>'Total Weekday Boardings'!ET27/'Service Days per Month'!ET$4</f>
        <v>125</v>
      </c>
      <c r="EU27" s="18">
        <f>'Total Weekday Boardings'!EU27/'Service Days per Month'!EU$4</f>
        <v>122.4</v>
      </c>
      <c r="EV27" s="19">
        <f>'Total Weekday Boardings'!EV27/'Service Days per Month'!EV$4</f>
        <v>135.72727272727272</v>
      </c>
      <c r="EW27" s="17">
        <f>'Total Weekday Boardings'!EW27/'Service Days per Month'!EW$4</f>
        <v>120.38095238095238</v>
      </c>
      <c r="EX27" s="18">
        <f>'Total Weekday Boardings'!EX27/'Service Days per Month'!EX$4</f>
        <v>133.13636363636363</v>
      </c>
      <c r="EY27" s="18">
        <f>'Total Weekday Boardings'!EY27/'Service Days per Month'!EY$4</f>
        <v>142.28571428571428</v>
      </c>
      <c r="EZ27" s="18">
        <f>'Total Weekday Boardings'!EZ27/'Service Days per Month'!EZ$4</f>
        <v>154.33333333333334</v>
      </c>
      <c r="FA27" s="18">
        <f>'Total Weekday Boardings'!FA27/'Service Days per Month'!FA$4</f>
        <v>162.33333333333334</v>
      </c>
      <c r="FB27" s="18">
        <f>'Total Weekday Boardings'!FB27/'Service Days per Month'!FB$4</f>
        <v>153.86363636363637</v>
      </c>
      <c r="FC27" s="18">
        <f>'Total Weekday Boardings'!FC27/'Service Days per Month'!FC$4</f>
        <v>135.71428571428572</v>
      </c>
      <c r="FD27" s="18">
        <f>'Total Weekday Boardings'!FD27/'Service Days per Month'!FD$4</f>
        <v>176.05</v>
      </c>
      <c r="FE27" s="18">
        <f>'Total Weekday Boardings'!FE27/'Service Days per Month'!FE$4</f>
        <v>190</v>
      </c>
      <c r="FF27" s="18">
        <f>'Total Weekday Boardings'!FF27/'Service Days per Month'!FF$4</f>
        <v>190.85714285714286</v>
      </c>
      <c r="FG27" s="18">
        <f>'Total Weekday Boardings'!FG27/'Service Days per Month'!FG$4</f>
        <v>197.42857142857142</v>
      </c>
      <c r="FH27" s="19">
        <f>'Total Weekday Boardings'!FH27/'Service Days per Month'!FH$4</f>
        <v>168.09090909090909</v>
      </c>
      <c r="FI27" s="17">
        <v>149.44999999999999</v>
      </c>
      <c r="FJ27" s="18">
        <v>156.95652173913044</v>
      </c>
      <c r="FK27" s="18">
        <v>170.95238095238096</v>
      </c>
      <c r="FL27" s="18">
        <v>164.71428571428572</v>
      </c>
      <c r="FM27" s="18">
        <v>151.61904761904762</v>
      </c>
      <c r="FN27" s="18">
        <v>154.52380952380952</v>
      </c>
      <c r="FO27" s="18">
        <v>178.42857142857142</v>
      </c>
      <c r="FP27" s="18">
        <v>174.95</v>
      </c>
      <c r="FQ27" s="18">
        <v>196.47826086956522</v>
      </c>
      <c r="FR27" s="18">
        <f>'Total Weekday Boardings'!FR27/20</f>
        <v>220.5</v>
      </c>
      <c r="FS27" s="18">
        <f>'Total Weekday Boardings'!FS27/22</f>
        <v>211.22727272727272</v>
      </c>
      <c r="FT27" s="21">
        <f>'Total Weekday Boardings'!FT27/23</f>
        <v>185.43478260869566</v>
      </c>
      <c r="FU27" s="17">
        <f>'Total Weekday Boardings'!FU27/21</f>
        <v>172.85714285714286</v>
      </c>
      <c r="FV27" s="18">
        <f>'Total Weekday Boardings'!FV27/23</f>
        <v>196.91304347826087</v>
      </c>
      <c r="FW27" s="18">
        <f>'Total Weekday Boardings'!FW27/21</f>
        <v>189.71428571428572</v>
      </c>
      <c r="FX27" s="18">
        <f>'Total Weekday Boardings'!FX27/22</f>
        <v>237.31818181818181</v>
      </c>
      <c r="FY27" s="18">
        <f>'Total Weekday Boardings'!FY27/22</f>
        <v>203.18181818181819</v>
      </c>
      <c r="FZ27" s="18">
        <f>'Total Weekday Boardings'!FZ27/21</f>
        <v>194.28571428571428</v>
      </c>
      <c r="GA27" s="18">
        <f>'Total Weekday Boardings'!GA27/23</f>
        <v>202.43478260869566</v>
      </c>
      <c r="GB27" s="18">
        <f>'Total Weekday Boardings'!GB27/21</f>
        <v>225.52380952380952</v>
      </c>
      <c r="GC27" s="18">
        <f>'Total Weekday Boardings'!GC27/21</f>
        <v>212.14285714285714</v>
      </c>
      <c r="GD27" s="18">
        <f>'Total Weekday Boardings'!GD27/22</f>
        <v>194.27272727272728</v>
      </c>
      <c r="GE27" s="13">
        <f>'Total Weekday Boardings'!GE27/23</f>
        <v>182.78260869565219</v>
      </c>
      <c r="GF27" s="13">
        <f>'Total Weekday Boardings'!GF27/20</f>
        <v>177.55</v>
      </c>
      <c r="GG27" s="21">
        <f>'Total Weekday Boardings'!GG27/23</f>
        <v>157.47826086956522</v>
      </c>
      <c r="GH27" s="13">
        <f>'Total Weekday Boardings'!GH27/22</f>
        <v>185.13636363636363</v>
      </c>
      <c r="GI27" s="13">
        <f>'Total Weekday Boardings'!GI27/21</f>
        <v>187.0952380952381</v>
      </c>
      <c r="GJ27" s="13">
        <f>'Total Weekday Boardings'!GJ27/23</f>
        <v>186.08695652173913</v>
      </c>
      <c r="GK27" s="13">
        <f>'Total Weekday Boardings'!GK27/21</f>
        <v>177.66666666666666</v>
      </c>
      <c r="GL27" s="13">
        <f>'Total Weekday Boardings'!GL27/22</f>
        <v>155.63636363636363</v>
      </c>
    </row>
    <row r="28" spans="1:194" ht="15" thickBot="1" x14ac:dyDescent="0.35">
      <c r="A28" s="3" t="s">
        <v>41</v>
      </c>
      <c r="B28" s="17"/>
      <c r="C28" s="18">
        <f>'Total Weekday Boardings'!C28/'Service Days per Month'!C$4</f>
        <v>147.66666666666666</v>
      </c>
      <c r="D28" s="18">
        <f>'Total Weekday Boardings'!D28/'Service Days per Month'!D$4</f>
        <v>286.25</v>
      </c>
      <c r="E28" s="18">
        <f>'Total Weekday Boardings'!E28/'Service Days per Month'!E$4</f>
        <v>219.27272727272728</v>
      </c>
      <c r="F28" s="18">
        <f>'Total Weekday Boardings'!F28/'Service Days per Month'!F$4</f>
        <v>253.36363636363637</v>
      </c>
      <c r="G28" s="18">
        <f>'Total Weekday Boardings'!G28/'Service Days per Month'!G$4</f>
        <v>221.8</v>
      </c>
      <c r="H28" s="19">
        <f>'Total Weekday Boardings'!H28/'Service Days per Month'!H$4</f>
        <v>207.95454545454547</v>
      </c>
      <c r="I28" s="17">
        <f>'Total Weekday Boardings'!I28/'Service Days per Month'!I$4</f>
        <v>182.08695652173913</v>
      </c>
      <c r="J28" s="18">
        <f>'Total Weekday Boardings'!J28/'Service Days per Month'!J$4</f>
        <v>237.33333333333334</v>
      </c>
      <c r="K28" s="18">
        <f>'Total Weekday Boardings'!K28/'Service Days per Month'!K$4</f>
        <v>203.85714285714286</v>
      </c>
      <c r="L28" s="18">
        <f>'Total Weekday Boardings'!L28/'Service Days per Month'!L$4</f>
        <v>200.90909090909091</v>
      </c>
      <c r="M28" s="18">
        <f>'Total Weekday Boardings'!M28/'Service Days per Month'!M$4</f>
        <v>196.5</v>
      </c>
      <c r="N28" s="18">
        <f>'Total Weekday Boardings'!N28/'Service Days per Month'!N$4</f>
        <v>285.09090909090907</v>
      </c>
      <c r="O28" s="18">
        <f>'Total Weekday Boardings'!O28/'Service Days per Month'!O$4</f>
        <v>192.85</v>
      </c>
      <c r="P28" s="18">
        <f>'Total Weekday Boardings'!P28/'Service Days per Month'!P$4</f>
        <v>218.45</v>
      </c>
      <c r="Q28" s="18">
        <f>'Total Weekday Boardings'!Q28/'Service Days per Month'!Q$4</f>
        <v>231.95652173913044</v>
      </c>
      <c r="R28" s="18">
        <f>'Total Weekday Boardings'!R28/'Service Days per Month'!R$4</f>
        <v>230.72727272727272</v>
      </c>
      <c r="S28" s="18">
        <f>'Total Weekday Boardings'!S28/'Service Days per Month'!S$4</f>
        <v>202.55</v>
      </c>
      <c r="T28" s="19">
        <f>'Total Weekday Boardings'!T28/'Service Days per Month'!T$4</f>
        <v>322</v>
      </c>
      <c r="U28" s="17">
        <f>'Total Weekday Boardings'!U28/'Service Days per Month'!U$4</f>
        <v>302.42857142857144</v>
      </c>
      <c r="V28" s="18">
        <f>'Total Weekday Boardings'!V28/'Service Days per Month'!V$4</f>
        <v>298.59090909090907</v>
      </c>
      <c r="W28" s="18">
        <f>'Total Weekday Boardings'!W28/'Service Days per Month'!W$4</f>
        <v>318.33333333333331</v>
      </c>
      <c r="X28" s="18">
        <f>'Total Weekday Boardings'!X28/'Service Days per Month'!X$4</f>
        <v>332.95238095238096</v>
      </c>
      <c r="Y28" s="18">
        <f>'Total Weekday Boardings'!Y28/'Service Days per Month'!Y$4</f>
        <v>341.68421052631578</v>
      </c>
      <c r="Z28" s="18">
        <f>'Total Weekday Boardings'!Z28/'Service Days per Month'!Z$4</f>
        <v>326.61904761904759</v>
      </c>
      <c r="AA28" s="18">
        <f>'Total Weekday Boardings'!AA28/'Service Days per Month'!AA$4</f>
        <v>249.5</v>
      </c>
      <c r="AB28" s="18">
        <f>'Total Weekday Boardings'!AB28/'Service Days per Month'!AB$4</f>
        <v>273.57894736842104</v>
      </c>
      <c r="AC28" s="18">
        <f>'Total Weekday Boardings'!AC28/'Service Days per Month'!AC$4</f>
        <v>255.2608695652174</v>
      </c>
      <c r="AD28" s="18">
        <f>'Total Weekday Boardings'!AD28/'Service Days per Month'!AD$4</f>
        <v>287.42857142857144</v>
      </c>
      <c r="AE28" s="18">
        <f>'Total Weekday Boardings'!AE28/'Service Days per Month'!AE$4</f>
        <v>256.61904761904759</v>
      </c>
      <c r="AF28" s="19">
        <f>'Total Weekday Boardings'!AF28/'Service Days per Month'!AF$4</f>
        <v>229.09090909090909</v>
      </c>
      <c r="AG28" s="17">
        <f>'Total Weekday Boardings'!AG28/'Service Days per Month'!AG$4</f>
        <v>242.4</v>
      </c>
      <c r="AH28" s="18">
        <f>'Total Weekday Boardings'!AH28/'Service Days per Month'!AH$4</f>
        <v>247.08695652173913</v>
      </c>
      <c r="AI28" s="18">
        <f>'Total Weekday Boardings'!AI28/'Service Days per Month'!AI$4</f>
        <v>275.76190476190476</v>
      </c>
      <c r="AJ28" s="18">
        <f>'Total Weekday Boardings'!AJ28/'Service Days per Month'!AJ$4</f>
        <v>264.71428571428572</v>
      </c>
      <c r="AK28" s="18">
        <f>'Total Weekday Boardings'!AK28/'Service Days per Month'!AK$4</f>
        <v>251.36842105263159</v>
      </c>
      <c r="AL28" s="18">
        <f>'Total Weekday Boardings'!AL28/'Service Days per Month'!AL$4</f>
        <v>246.9047619047619</v>
      </c>
      <c r="AM28" s="18">
        <f>'Total Weekday Boardings'!AM28/'Service Days per Month'!AM$4</f>
        <v>265.7</v>
      </c>
      <c r="AN28" s="18">
        <f>'Total Weekday Boardings'!AN28/'Service Days per Month'!AN$4</f>
        <v>258.14999999999998</v>
      </c>
      <c r="AO28" s="18">
        <f>'Total Weekday Boardings'!AO28/'Service Days per Month'!AO$4</f>
        <v>268.90909090909093</v>
      </c>
      <c r="AP28" s="18">
        <f>'Total Weekday Boardings'!AP28/'Service Days per Month'!AP$4</f>
        <v>315.23809523809524</v>
      </c>
      <c r="AQ28" s="18">
        <f>'Total Weekday Boardings'!AQ28/'Service Days per Month'!AQ$4</f>
        <v>274.36363636363637</v>
      </c>
      <c r="AR28" s="19">
        <f>'Total Weekday Boardings'!AR28/'Service Days per Month'!AR$4</f>
        <v>262.28571428571428</v>
      </c>
      <c r="AS28" s="17">
        <f>'Total Weekday Boardings'!AS28/'Service Days per Month'!AS$4</f>
        <v>240.38095238095238</v>
      </c>
      <c r="AT28" s="18">
        <f>'Total Weekday Boardings'!AT28/'Service Days per Month'!AT$4</f>
        <v>258.52173913043481</v>
      </c>
      <c r="AU28" s="18">
        <f>'Total Weekday Boardings'!AU28/'Service Days per Month'!AU$4</f>
        <v>397.5263157894737</v>
      </c>
      <c r="AV28" s="18">
        <f>'Total Weekday Boardings'!AV28/'Service Days per Month'!AV$4</f>
        <v>286.47826086956519</v>
      </c>
      <c r="AW28" s="18">
        <f>'Total Weekday Boardings'!AW28/'Service Days per Month'!AW$4</f>
        <v>307.63157894736844</v>
      </c>
      <c r="AX28" s="18">
        <f>'Total Weekday Boardings'!AX28/'Service Days per Month'!AX$4</f>
        <v>270.42105263157896</v>
      </c>
      <c r="AY28" s="18">
        <f>'Total Weekday Boardings'!AY28/'Service Days per Month'!AY$4</f>
        <v>272.57142857142856</v>
      </c>
      <c r="AZ28" s="18">
        <f>'Total Weekday Boardings'!AZ28/'Service Days per Month'!AZ$4</f>
        <v>293.94736842105266</v>
      </c>
      <c r="BA28" s="18">
        <f>'Total Weekday Boardings'!BA28/'Service Days per Month'!BA$4</f>
        <v>268.61904761904759</v>
      </c>
      <c r="BB28" s="18">
        <f>'Total Weekday Boardings'!BB28/'Service Days per Month'!BB$4</f>
        <v>296.18181818181819</v>
      </c>
      <c r="BC28" s="18">
        <f>'Total Weekday Boardings'!BC28/'Service Days per Month'!BC$4</f>
        <v>268.77272727272725</v>
      </c>
      <c r="BD28" s="19">
        <f>'Total Weekday Boardings'!BD28/'Service Days per Month'!BD$4</f>
        <v>251.2</v>
      </c>
      <c r="BE28" s="17">
        <f>'Total Weekday Boardings'!BE28/'Service Days per Month'!BE$4</f>
        <v>245.40909090909091</v>
      </c>
      <c r="BF28" s="18">
        <f>'Total Weekday Boardings'!BF28/'Service Days per Month'!BF$4</f>
        <v>273.04545454545456</v>
      </c>
      <c r="BG28" s="18">
        <f>'Total Weekday Boardings'!BG28/'Service Days per Month'!BG$4</f>
        <v>297.85000000000002</v>
      </c>
      <c r="BH28" s="18">
        <f>'Total Weekday Boardings'!BH28/'Service Days per Month'!BH$4</f>
        <v>294.82608695652175</v>
      </c>
      <c r="BI28" s="18">
        <f>'Total Weekday Boardings'!BI28/'Service Days per Month'!BI$4</f>
        <v>310.66629736860216</v>
      </c>
      <c r="BJ28" s="18">
        <f>'Total Weekday Boardings'!BJ28/'Service Days per Month'!BJ$4</f>
        <v>266.14999999999998</v>
      </c>
      <c r="BK28" s="18">
        <f>'Total Weekday Boardings'!BK28/'Service Days per Month'!BK$4</f>
        <v>301.14285714285717</v>
      </c>
      <c r="BL28" s="18">
        <f>'Total Weekday Boardings'!BL28/'Service Days per Month'!BL$4</f>
        <v>321</v>
      </c>
      <c r="BM28" s="18">
        <f>'Total Weekday Boardings'!BM28/'Service Days per Month'!BM$4</f>
        <v>344.85714285714283</v>
      </c>
      <c r="BN28" s="18">
        <f>'Total Weekday Boardings'!BN28/'Service Days per Month'!BN$4</f>
        <v>335.22727272727275</v>
      </c>
      <c r="BO28" s="18">
        <f>'Total Weekday Boardings'!BO28/'Service Days per Month'!BO$4</f>
        <v>310</v>
      </c>
      <c r="BP28" s="19">
        <f>'Total Weekday Boardings'!BP28/'Service Days per Month'!BP$4</f>
        <v>279.90476190476193</v>
      </c>
      <c r="BQ28" s="17">
        <f>'Total Weekday Boardings'!BQ28/'Service Days per Month'!BQ$4</f>
        <v>269.72727272727275</v>
      </c>
      <c r="BR28" s="18">
        <f>'Total Weekday Boardings'!BR28/'Service Days per Month'!BR$4</f>
        <v>300.8095238095238</v>
      </c>
      <c r="BS28" s="18">
        <f>'Total Weekday Boardings'!BS28/'Service Days per Month'!BS$4</f>
        <v>316.04761904761904</v>
      </c>
      <c r="BT28" s="18">
        <f>'Total Weekday Boardings'!BT28/'Service Days per Month'!BT$4</f>
        <v>329.3478260869565</v>
      </c>
      <c r="BU28" s="18">
        <f>'Total Weekday Boardings'!BU28/'Service Days per Month'!BU$4</f>
        <v>309.23529411764707</v>
      </c>
      <c r="BV28" s="18">
        <f>'Total Weekday Boardings'!BV28/'Service Days per Month'!BV$4</f>
        <v>280.85714285714283</v>
      </c>
      <c r="BW28" s="18">
        <f>'Total Weekday Boardings'!BW28/'Service Days per Month'!BW$4</f>
        <v>313.85000000000002</v>
      </c>
      <c r="BX28" s="18">
        <f>'Total Weekday Boardings'!BX28/'Service Days per Month'!BX$4</f>
        <v>312.4736842105263</v>
      </c>
      <c r="BY28" s="18">
        <f>'Total Weekday Boardings'!BY28/'Service Days per Month'!BY$4</f>
        <v>301.59090909090907</v>
      </c>
      <c r="BZ28" s="18">
        <f>'Total Weekday Boardings'!BZ28/'Service Days per Month'!BZ$4</f>
        <v>318.63636363636363</v>
      </c>
      <c r="CA28" s="18">
        <f>'Total Weekday Boardings'!CA28/'Service Days per Month'!CA$4</f>
        <v>289.3</v>
      </c>
      <c r="CB28" s="19">
        <f>'Total Weekday Boardings'!CB28/'Service Days per Month'!CB$4</f>
        <v>260.72727272727275</v>
      </c>
      <c r="CC28" s="20">
        <f>'Total Weekday Boardings'!CC28/'Service Days per Month'!CC$4</f>
        <v>267.18181818181819</v>
      </c>
      <c r="CD28" s="18">
        <f>'Total Weekday Boardings'!CD28/'Service Days per Month'!CD$4</f>
        <v>292.57142857142856</v>
      </c>
      <c r="CE28" s="18">
        <f>'Total Weekday Boardings'!CE28/'Service Days per Month'!CE$4</f>
        <v>335.61904761904759</v>
      </c>
      <c r="CF28" s="18">
        <f>'Total Weekday Boardings'!CF28/'Service Days per Month'!CF$4</f>
        <v>333.68181818181819</v>
      </c>
      <c r="CG28" s="18">
        <f>'Total Weekday Boardings'!CG28/'Service Days per Month'!CG$4</f>
        <v>330.94444444444446</v>
      </c>
      <c r="CH28" s="18">
        <f>'Total Weekday Boardings'!CH28/'Service Days per Month'!CH$4</f>
        <v>297.23809523809524</v>
      </c>
      <c r="CI28" s="18">
        <f>'Total Weekday Boardings'!CI28/'Service Days per Month'!CI$4</f>
        <v>304.89473684210526</v>
      </c>
      <c r="CJ28" s="18">
        <f>'Total Weekday Boardings'!CJ28/'Service Days per Month'!CJ$4</f>
        <v>330.45</v>
      </c>
      <c r="CK28" s="18">
        <f>'Total Weekday Boardings'!CK28/'Service Days per Month'!CK$4</f>
        <v>329</v>
      </c>
      <c r="CL28" s="18">
        <f>'Total Weekday Boardings'!CL28/'Service Days per Month'!CL$4</f>
        <v>344.61904761904759</v>
      </c>
      <c r="CM28" s="18">
        <f>'Total Weekday Boardings'!CM28/'Service Days per Month'!CM$4</f>
        <v>433.09523809523807</v>
      </c>
      <c r="CN28" s="21">
        <f>'Total Weekday Boardings'!CN28/'Service Days per Month'!CN$4</f>
        <v>303.45454545454544</v>
      </c>
      <c r="CO28" s="17">
        <f>'Total Weekday Boardings'!CO28/'Service Days per Month'!CO$4</f>
        <v>296.25</v>
      </c>
      <c r="CP28" s="18">
        <f>'Total Weekday Boardings'!CP28/'Service Days per Month'!CP$4</f>
        <v>333.47826086956519</v>
      </c>
      <c r="CQ28" s="18">
        <f>'Total Weekday Boardings'!CQ28/'Service Days per Month'!CQ$4</f>
        <v>358.1904761904762</v>
      </c>
      <c r="CR28" s="18">
        <f>'Total Weekday Boardings'!CR28/'Service Days per Month'!CR$4</f>
        <v>352.85714285714283</v>
      </c>
      <c r="CS28" s="18">
        <f>'Total Weekday Boardings'!CS28/'Service Days per Month'!CS$4</f>
        <v>324.05263157894734</v>
      </c>
      <c r="CT28" s="18">
        <f>'Total Weekday Boardings'!CT28/'Service Days per Month'!CT$4</f>
        <v>298.76190476190476</v>
      </c>
      <c r="CU28" s="18">
        <f>'Total Weekday Boardings'!CU28/'Service Days per Month'!CU$4</f>
        <v>332.25</v>
      </c>
      <c r="CV28" s="18">
        <f>'Total Weekday Boardings'!CV28/'Service Days per Month'!CV$4</f>
        <v>340.84210526315792</v>
      </c>
      <c r="CW28" s="18">
        <f>'Total Weekday Boardings'!CW28/'Service Days per Month'!CW$4</f>
        <v>343.3478260869565</v>
      </c>
      <c r="CX28" s="18">
        <f>'Total Weekday Boardings'!CX28/'Service Days per Month'!CX$4</f>
        <v>339.15</v>
      </c>
      <c r="CY28" s="18">
        <f>'Total Weekday Boardings'!CY28/'Service Days per Month'!CY$4</f>
        <v>319.36363636363637</v>
      </c>
      <c r="CZ28" s="19">
        <f>'Total Weekday Boardings'!CZ28/'Service Days per Month'!CZ$4</f>
        <v>298.36363636363637</v>
      </c>
      <c r="DA28" s="17">
        <f>'Total Weekday Boardings'!DA28/'Service Days per Month'!DA$4</f>
        <v>378.5</v>
      </c>
      <c r="DB28" s="18">
        <f>'Total Weekday Boardings'!DB28/'Service Days per Month'!DB$4</f>
        <v>307.6521739130435</v>
      </c>
      <c r="DC28" s="18">
        <f>'Total Weekday Boardings'!DC28/'Service Days per Month'!DC$4</f>
        <v>305.3</v>
      </c>
      <c r="DD28" s="18">
        <f>'Total Weekday Boardings'!DD28/'Service Days per Month'!DD$4</f>
        <v>324.95454545454544</v>
      </c>
      <c r="DE28" s="18">
        <f>'Total Weekday Boardings'!DE28/'Service Days per Month'!DE$4</f>
        <v>337.94736842105266</v>
      </c>
      <c r="DF28" s="18">
        <f>'Total Weekday Boardings'!DF28/'Service Days per Month'!DF$4</f>
        <v>313.14999999999998</v>
      </c>
      <c r="DG28" s="18">
        <f>'Total Weekday Boardings'!DG28/'Service Days per Month'!DG$4</f>
        <v>441.14285714285717</v>
      </c>
      <c r="DH28" s="18">
        <f>'Total Weekday Boardings'!DH28/'Service Days per Month'!DH$4</f>
        <v>442.10526315789474</v>
      </c>
      <c r="DI28" s="18">
        <f>'Total Weekday Boardings'!DI28/'Service Days per Month'!DI$4</f>
        <v>418.63636363636363</v>
      </c>
      <c r="DJ28" s="18">
        <f>'Total Weekday Boardings'!DJ28/'Service Days per Month'!DJ$4</f>
        <v>423.47619047619048</v>
      </c>
      <c r="DK28" s="18">
        <f>'Total Weekday Boardings'!DK28/'Service Days per Month'!DK$4</f>
        <v>425.54545454545456</v>
      </c>
      <c r="DL28" s="19">
        <f>'Total Weekday Boardings'!DL28/'Service Days per Month'!DL$4</f>
        <v>380.23809523809524</v>
      </c>
      <c r="DM28" s="17">
        <f>'Total Weekday Boardings'!DM28/'Service Days per Month'!DM$4</f>
        <v>375.61904761904759</v>
      </c>
      <c r="DN28" s="18">
        <f>'Total Weekday Boardings'!DN28/'Service Days per Month'!DN$4</f>
        <v>395.95652173913044</v>
      </c>
      <c r="DO28" s="18">
        <f>'Total Weekday Boardings'!DO28/'Service Days per Month'!DO$4</f>
        <v>399.94736842105266</v>
      </c>
      <c r="DP28" s="18">
        <f>'Total Weekday Boardings'!DP28/'Service Days per Month'!DP$4</f>
        <v>400</v>
      </c>
      <c r="DQ28" s="18">
        <f>'Total Weekday Boardings'!DQ28/'Service Days per Month'!DQ$4</f>
        <v>381.57142857142856</v>
      </c>
      <c r="DR28" s="18">
        <f>'Total Weekday Boardings'!DR28/'Service Days per Month'!DR$4</f>
        <v>381.65</v>
      </c>
      <c r="DS28" s="18">
        <f>'Total Weekday Boardings'!DS28/'Service Days per Month'!DS$4</f>
        <v>399.86363636363637</v>
      </c>
      <c r="DT28" s="18">
        <f>'Total Weekday Boardings'!DT28/'Service Days per Month'!DT$4</f>
        <v>400.5</v>
      </c>
      <c r="DU28" s="18">
        <f>'Total Weekday Boardings'!DU28/'Service Days per Month'!DU$4</f>
        <v>377.76190476190476</v>
      </c>
      <c r="DV28" s="18">
        <f>'Total Weekday Boardings'!DV28/'Service Days per Month'!DV$4</f>
        <v>322.04545454545456</v>
      </c>
      <c r="DW28" s="18">
        <f>'Total Weekday Boardings'!DW28/'Service Days per Month'!DW$4</f>
        <v>299</v>
      </c>
      <c r="DX28" s="19">
        <f>'Total Weekday Boardings'!DX28/'Service Days per Month'!DX$4</f>
        <v>266.89999999999998</v>
      </c>
      <c r="DY28" s="17">
        <f>'Total Weekday Boardings'!DY28/'Service Days per Month'!DY$4</f>
        <v>247.31818181818181</v>
      </c>
      <c r="DZ28" s="18">
        <f>'Total Weekday Boardings'!DZ28/'Service Days per Month'!DZ$4</f>
        <v>273.31818181818181</v>
      </c>
      <c r="EA28" s="18">
        <f>'Total Weekday Boardings'!EA28/'Service Days per Month'!EA$4</f>
        <v>311.64999999999998</v>
      </c>
      <c r="EB28" s="18">
        <f>'Total Weekday Boardings'!EB28/'Service Days per Month'!EB$4</f>
        <v>333.86956521739131</v>
      </c>
      <c r="EC28" s="18">
        <f>'Total Weekday Boardings'!EC28/'Service Days per Month'!EC$4</f>
        <v>337.25</v>
      </c>
      <c r="ED28" s="18">
        <f>'Total Weekday Boardings'!ED28/'Service Days per Month'!ED$4</f>
        <v>285.57142857142856</v>
      </c>
      <c r="EE28" s="18">
        <f>'Total Weekday Boardings'!EE28/'Service Days per Month'!EE$4</f>
        <v>282.04347826086956</v>
      </c>
      <c r="EF28" s="18">
        <f>'Total Weekday Boardings'!EF28/'Service Days per Month'!EF$4</f>
        <v>310.39999999999998</v>
      </c>
      <c r="EG28" s="18">
        <f>'Total Weekday Boardings'!EG28/'Service Days per Month'!EG$4</f>
        <v>282.18181818181819</v>
      </c>
      <c r="EH28" s="18">
        <f>'Total Weekday Boardings'!EH28/'Service Days per Month'!EH$4</f>
        <v>197</v>
      </c>
      <c r="EI28" s="18">
        <f>'Total Weekday Boardings'!EI28/'Service Days per Month'!EI$4</f>
        <v>193.1</v>
      </c>
      <c r="EJ28" s="19">
        <f>'Total Weekday Boardings'!EJ28/'Service Days per Month'!EJ$4</f>
        <v>188.18181818181819</v>
      </c>
      <c r="EK28" s="17">
        <f>'Total Weekday Boardings'!EK28/'Service Days per Month'!EK$4</f>
        <v>154.72727272727272</v>
      </c>
      <c r="EL28" s="18">
        <f>'Total Weekday Boardings'!EL28/'Service Days per Month'!EL$4</f>
        <v>160.38095238095238</v>
      </c>
      <c r="EM28" s="18">
        <f>'Total Weekday Boardings'!EM28/'Service Days per Month'!EM$4</f>
        <v>129.52380952380952</v>
      </c>
      <c r="EN28" s="18">
        <f>'Total Weekday Boardings'!EN28/'Service Days per Month'!EN$4</f>
        <v>163.31818181818181</v>
      </c>
      <c r="EO28" s="18">
        <f>'Total Weekday Boardings'!EO28/'Service Days per Month'!EO$4</f>
        <v>175.55</v>
      </c>
      <c r="EP28" s="18">
        <f>'Total Weekday Boardings'!EP28/'Service Days per Month'!EP$4</f>
        <v>109.04545454545455</v>
      </c>
      <c r="EQ28" s="18">
        <f>'Total Weekday Boardings'!EQ28/'Service Days per Month'!EQ$4</f>
        <v>67.666666666666671</v>
      </c>
      <c r="ER28" s="18">
        <f>'Total Weekday Boardings'!ER28/'Service Days per Month'!ER$4</f>
        <v>148.5</v>
      </c>
      <c r="ES28" s="18">
        <f>'Total Weekday Boardings'!ES28/'Service Days per Month'!ES$4</f>
        <v>164.86956521739131</v>
      </c>
      <c r="ET28" s="18">
        <f>'Total Weekday Boardings'!ET28/'Service Days per Month'!ET$4</f>
        <v>145.31818181818181</v>
      </c>
      <c r="EU28" s="18">
        <f>'Total Weekday Boardings'!EU28/'Service Days per Month'!EU$4</f>
        <v>146.1</v>
      </c>
      <c r="EV28" s="19">
        <f>'Total Weekday Boardings'!EV28/'Service Days per Month'!EV$4</f>
        <v>156.81818181818181</v>
      </c>
      <c r="EW28" s="17">
        <f>'Total Weekday Boardings'!EW28/'Service Days per Month'!EW$4</f>
        <v>162.57142857142858</v>
      </c>
      <c r="EX28" s="18">
        <f>'Total Weekday Boardings'!EX28/'Service Days per Month'!EX$4</f>
        <v>167.63636363636363</v>
      </c>
      <c r="EY28" s="18">
        <f>'Total Weekday Boardings'!EY28/'Service Days per Month'!EY$4</f>
        <v>170.14285714285714</v>
      </c>
      <c r="EZ28" s="18">
        <f>'Total Weekday Boardings'!EZ28/'Service Days per Month'!EZ$4</f>
        <v>183.52380952380952</v>
      </c>
      <c r="FA28" s="18">
        <f>'Total Weekday Boardings'!FA28/'Service Days per Month'!FA$4</f>
        <v>185.38095238095238</v>
      </c>
      <c r="FB28" s="18">
        <f>'Total Weekday Boardings'!FB28/'Service Days per Month'!FB$4</f>
        <v>180.18181818181819</v>
      </c>
      <c r="FC28" s="18">
        <f>'Total Weekday Boardings'!FC28/'Service Days per Month'!FC$4</f>
        <v>176.95238095238096</v>
      </c>
      <c r="FD28" s="18">
        <f>'Total Weekday Boardings'!FD28/'Service Days per Month'!FD$4</f>
        <v>222.3</v>
      </c>
      <c r="FE28" s="18">
        <f>'Total Weekday Boardings'!FE28/'Service Days per Month'!FE$4</f>
        <v>226.47826086956522</v>
      </c>
      <c r="FF28" s="18">
        <f>'Total Weekday Boardings'!FF28/'Service Days per Month'!FF$4</f>
        <v>294.1904761904762</v>
      </c>
      <c r="FG28" s="18">
        <f>'Total Weekday Boardings'!FG28/'Service Days per Month'!FG$4</f>
        <v>302.23809523809524</v>
      </c>
      <c r="FH28" s="19">
        <f>'Total Weekday Boardings'!FH28/'Service Days per Month'!FH$4</f>
        <v>220.04545454545453</v>
      </c>
      <c r="FI28" s="17">
        <v>176.95</v>
      </c>
      <c r="FJ28" s="18">
        <v>177.2608695652174</v>
      </c>
      <c r="FK28" s="18">
        <v>197.85714285714286</v>
      </c>
      <c r="FL28" s="18">
        <v>193.28571428571428</v>
      </c>
      <c r="FM28" s="18">
        <v>193.52380952380952</v>
      </c>
      <c r="FN28" s="18">
        <v>194.04761904761904</v>
      </c>
      <c r="FO28" s="18">
        <v>214</v>
      </c>
      <c r="FP28" s="18">
        <v>213.25</v>
      </c>
      <c r="FQ28" s="18">
        <v>234.65217391304347</v>
      </c>
      <c r="FR28" s="18">
        <f>'Total Weekday Boardings'!FR28/20</f>
        <v>250.85</v>
      </c>
      <c r="FS28" s="18">
        <f>'Total Weekday Boardings'!FS28/22</f>
        <v>245.22727272727272</v>
      </c>
      <c r="FT28" s="21">
        <f>'Total Weekday Boardings'!FT28/23</f>
        <v>209.47826086956522</v>
      </c>
      <c r="FU28" s="17">
        <f>'Total Weekday Boardings'!FU28/21</f>
        <v>200.57142857142858</v>
      </c>
      <c r="FV28" s="18">
        <f>'Total Weekday Boardings'!FV28/23</f>
        <v>206.43478260869566</v>
      </c>
      <c r="FW28" s="18">
        <f>'Total Weekday Boardings'!FW28/21</f>
        <v>223.33333333333334</v>
      </c>
      <c r="FX28" s="18">
        <f>'Total Weekday Boardings'!FX28/22</f>
        <v>242.36363636363637</v>
      </c>
      <c r="FY28" s="18">
        <f>'Total Weekday Boardings'!FY28/22</f>
        <v>212.63636363636363</v>
      </c>
      <c r="FZ28" s="18">
        <f>'Total Weekday Boardings'!FZ28/21</f>
        <v>194</v>
      </c>
      <c r="GA28" s="18">
        <f>'Total Weekday Boardings'!GA28/23</f>
        <v>223.60869565217391</v>
      </c>
      <c r="GB28" s="18">
        <f>'Total Weekday Boardings'!GB28/21</f>
        <v>233.23809523809524</v>
      </c>
      <c r="GC28" s="18">
        <f>'Total Weekday Boardings'!GC28/21</f>
        <v>228.71428571428572</v>
      </c>
      <c r="GD28" s="18">
        <f>'Total Weekday Boardings'!GD28/22</f>
        <v>206.13636363636363</v>
      </c>
      <c r="GE28" s="13">
        <f>'Total Weekday Boardings'!GE28/23</f>
        <v>202.95652173913044</v>
      </c>
      <c r="GF28" s="13">
        <f>'Total Weekday Boardings'!GF28/20</f>
        <v>214.4</v>
      </c>
      <c r="GG28" s="21">
        <f>'Total Weekday Boardings'!GG28/23</f>
        <v>208.56521739130434</v>
      </c>
      <c r="GH28" s="13">
        <f>'Total Weekday Boardings'!GH28/22</f>
        <v>226.72727272727272</v>
      </c>
      <c r="GI28" s="13">
        <f>'Total Weekday Boardings'!GI28/21</f>
        <v>224.85714285714286</v>
      </c>
      <c r="GJ28" s="13">
        <f>'Total Weekday Boardings'!GJ28/23</f>
        <v>214.56521739130434</v>
      </c>
      <c r="GK28" s="13">
        <f>'Total Weekday Boardings'!GK28/21</f>
        <v>214.23809523809524</v>
      </c>
      <c r="GL28" s="13">
        <f>'Total Weekday Boardings'!GL28/22</f>
        <v>183.95454545454547</v>
      </c>
    </row>
    <row r="29" spans="1:194" ht="15" thickBot="1" x14ac:dyDescent="0.35">
      <c r="A29" s="3" t="s">
        <v>42</v>
      </c>
      <c r="B29" s="17"/>
      <c r="C29" s="18">
        <f>'Total Weekday Boardings'!C29/'Service Days per Month'!C$4</f>
        <v>363.71428571428572</v>
      </c>
      <c r="D29" s="18">
        <f>'Total Weekday Boardings'!D29/'Service Days per Month'!D$4</f>
        <v>495.3</v>
      </c>
      <c r="E29" s="18">
        <f>'Total Weekday Boardings'!E29/'Service Days per Month'!E$4</f>
        <v>545.81818181818187</v>
      </c>
      <c r="F29" s="18">
        <f>'Total Weekday Boardings'!F29/'Service Days per Month'!F$4</f>
        <v>299</v>
      </c>
      <c r="G29" s="18">
        <f>'Total Weekday Boardings'!G29/'Service Days per Month'!G$4</f>
        <v>309.55</v>
      </c>
      <c r="H29" s="19">
        <f>'Total Weekday Boardings'!H29/'Service Days per Month'!H$4</f>
        <v>308.36363636363637</v>
      </c>
      <c r="I29" s="17">
        <f>'Total Weekday Boardings'!I29/'Service Days per Month'!I$4</f>
        <v>296.91304347826087</v>
      </c>
      <c r="J29" s="18">
        <f>'Total Weekday Boardings'!J29/'Service Days per Month'!J$4</f>
        <v>387.04761904761904</v>
      </c>
      <c r="K29" s="18">
        <f>'Total Weekday Boardings'!K29/'Service Days per Month'!K$4</f>
        <v>417.90476190476193</v>
      </c>
      <c r="L29" s="18">
        <f>'Total Weekday Boardings'!L29/'Service Days per Month'!L$4</f>
        <v>357.95454545454544</v>
      </c>
      <c r="M29" s="18">
        <f>'Total Weekday Boardings'!M29/'Service Days per Month'!M$4</f>
        <v>402.85</v>
      </c>
      <c r="N29" s="18">
        <f>'Total Weekday Boardings'!N29/'Service Days per Month'!N$4</f>
        <v>379.22727272727275</v>
      </c>
      <c r="O29" s="18">
        <f>'Total Weekday Boardings'!O29/'Service Days per Month'!O$4</f>
        <v>343.6</v>
      </c>
      <c r="P29" s="18">
        <f>'Total Weekday Boardings'!P29/'Service Days per Month'!P$4</f>
        <v>426.6</v>
      </c>
      <c r="Q29" s="18">
        <f>'Total Weekday Boardings'!Q29/'Service Days per Month'!Q$4</f>
        <v>431.26086956521738</v>
      </c>
      <c r="R29" s="18">
        <f>'Total Weekday Boardings'!R29/'Service Days per Month'!R$4</f>
        <v>411.09090909090907</v>
      </c>
      <c r="S29" s="18">
        <f>'Total Weekday Boardings'!S29/'Service Days per Month'!S$4</f>
        <v>352.15</v>
      </c>
      <c r="T29" s="19">
        <f>'Total Weekday Boardings'!T29/'Service Days per Month'!T$4</f>
        <v>388.95454545454544</v>
      </c>
      <c r="U29" s="17">
        <f>'Total Weekday Boardings'!U29/'Service Days per Month'!U$4</f>
        <v>358.42857142857144</v>
      </c>
      <c r="V29" s="18">
        <f>'Total Weekday Boardings'!V29/'Service Days per Month'!V$4</f>
        <v>399.86363636363637</v>
      </c>
      <c r="W29" s="18">
        <f>'Total Weekday Boardings'!W29/'Service Days per Month'!W$4</f>
        <v>442.47619047619048</v>
      </c>
      <c r="X29" s="18">
        <f>'Total Weekday Boardings'!X29/'Service Days per Month'!X$4</f>
        <v>427.14285714285717</v>
      </c>
      <c r="Y29" s="18">
        <f>'Total Weekday Boardings'!Y29/'Service Days per Month'!Y$4</f>
        <v>435.73684210526318</v>
      </c>
      <c r="Z29" s="18">
        <f>'Total Weekday Boardings'!Z29/'Service Days per Month'!Z$4</f>
        <v>434.33333333333331</v>
      </c>
      <c r="AA29" s="18">
        <f>'Total Weekday Boardings'!AA29/'Service Days per Month'!AA$4</f>
        <v>488.85</v>
      </c>
      <c r="AB29" s="18">
        <f>'Total Weekday Boardings'!AB29/'Service Days per Month'!AB$4</f>
        <v>488.68421052631578</v>
      </c>
      <c r="AC29" s="18">
        <f>'Total Weekday Boardings'!AC29/'Service Days per Month'!AC$4</f>
        <v>492.52173913043481</v>
      </c>
      <c r="AD29" s="18">
        <f>'Total Weekday Boardings'!AD29/'Service Days per Month'!AD$4</f>
        <v>522.14285714285711</v>
      </c>
      <c r="AE29" s="18">
        <f>'Total Weekday Boardings'!AE29/'Service Days per Month'!AE$4</f>
        <v>490</v>
      </c>
      <c r="AF29" s="19">
        <f>'Total Weekday Boardings'!AF29/'Service Days per Month'!AF$4</f>
        <v>444.04545454545456</v>
      </c>
      <c r="AG29" s="17">
        <f>'Total Weekday Boardings'!AG29/'Service Days per Month'!AG$4</f>
        <v>425.55</v>
      </c>
      <c r="AH29" s="18">
        <f>'Total Weekday Boardings'!AH29/'Service Days per Month'!AH$4</f>
        <v>463.73913043478262</v>
      </c>
      <c r="AI29" s="18">
        <f>'Total Weekday Boardings'!AI29/'Service Days per Month'!AI$4</f>
        <v>509.76190476190476</v>
      </c>
      <c r="AJ29" s="18">
        <f>'Total Weekday Boardings'!AJ29/'Service Days per Month'!AJ$4</f>
        <v>503.47619047619048</v>
      </c>
      <c r="AK29" s="18">
        <f>'Total Weekday Boardings'!AK29/'Service Days per Month'!AK$4</f>
        <v>486.89473684210526</v>
      </c>
      <c r="AL29" s="18">
        <f>'Total Weekday Boardings'!AL29/'Service Days per Month'!AL$4</f>
        <v>452.47619047619048</v>
      </c>
      <c r="AM29" s="18">
        <f>'Total Weekday Boardings'!AM29/'Service Days per Month'!AM$4</f>
        <v>509.15</v>
      </c>
      <c r="AN29" s="18">
        <f>'Total Weekday Boardings'!AN29/'Service Days per Month'!AN$4</f>
        <v>494</v>
      </c>
      <c r="AO29" s="18">
        <f>'Total Weekday Boardings'!AO29/'Service Days per Month'!AO$4</f>
        <v>483.90909090909093</v>
      </c>
      <c r="AP29" s="18">
        <f>'Total Weekday Boardings'!AP29/'Service Days per Month'!AP$4</f>
        <v>550.90476190476193</v>
      </c>
      <c r="AQ29" s="18">
        <f>'Total Weekday Boardings'!AQ29/'Service Days per Month'!AQ$4</f>
        <v>517.0454545454545</v>
      </c>
      <c r="AR29" s="19">
        <f>'Total Weekday Boardings'!AR29/'Service Days per Month'!AR$4</f>
        <v>500.71428571428572</v>
      </c>
      <c r="AS29" s="17">
        <f>'Total Weekday Boardings'!AS29/'Service Days per Month'!AS$4</f>
        <v>471.28571428571428</v>
      </c>
      <c r="AT29" s="18">
        <f>'Total Weekday Boardings'!AT29/'Service Days per Month'!AT$4</f>
        <v>522.91304347826087</v>
      </c>
      <c r="AU29" s="18">
        <f>'Total Weekday Boardings'!AU29/'Service Days per Month'!AU$4</f>
        <v>541.47368421052636</v>
      </c>
      <c r="AV29" s="18">
        <f>'Total Weekday Boardings'!AV29/'Service Days per Month'!AV$4</f>
        <v>595.91304347826087</v>
      </c>
      <c r="AW29" s="18">
        <f>'Total Weekday Boardings'!AW29/'Service Days per Month'!AW$4</f>
        <v>626.21052631578948</v>
      </c>
      <c r="AX29" s="18">
        <f>'Total Weekday Boardings'!AX29/'Service Days per Month'!AX$4</f>
        <v>585.0526315789474</v>
      </c>
      <c r="AY29" s="18">
        <f>'Total Weekday Boardings'!AY29/'Service Days per Month'!AY$4</f>
        <v>550.38095238095241</v>
      </c>
      <c r="AZ29" s="18">
        <f>'Total Weekday Boardings'!AZ29/'Service Days per Month'!AZ$4</f>
        <v>613.68421052631584</v>
      </c>
      <c r="BA29" s="18">
        <f>'Total Weekday Boardings'!BA29/'Service Days per Month'!BA$4</f>
        <v>576.47619047619048</v>
      </c>
      <c r="BB29" s="18">
        <f>'Total Weekday Boardings'!BB29/'Service Days per Month'!BB$4</f>
        <v>591</v>
      </c>
      <c r="BC29" s="18">
        <f>'Total Weekday Boardings'!BC29/'Service Days per Month'!BC$4</f>
        <v>563.0454545454545</v>
      </c>
      <c r="BD29" s="19">
        <f>'Total Weekday Boardings'!BD29/'Service Days per Month'!BD$4</f>
        <v>506.15</v>
      </c>
      <c r="BE29" s="17">
        <f>'Total Weekday Boardings'!BE29/'Service Days per Month'!BE$4</f>
        <v>510.13636363636363</v>
      </c>
      <c r="BF29" s="18">
        <f>'Total Weekday Boardings'!BF29/'Service Days per Month'!BF$4</f>
        <v>565.09090909090912</v>
      </c>
      <c r="BG29" s="18">
        <f>'Total Weekday Boardings'!BG29/'Service Days per Month'!BG$4</f>
        <v>601.4</v>
      </c>
      <c r="BH29" s="18">
        <f>'Total Weekday Boardings'!BH29/'Service Days per Month'!BH$4</f>
        <v>625.78260869565213</v>
      </c>
      <c r="BI29" s="18">
        <f>'Total Weekday Boardings'!BI29/'Service Days per Month'!BI$4</f>
        <v>660.73335372153178</v>
      </c>
      <c r="BJ29" s="18">
        <f>'Total Weekday Boardings'!BJ29/'Service Days per Month'!BJ$4</f>
        <v>569</v>
      </c>
      <c r="BK29" s="18">
        <f>'Total Weekday Boardings'!BK29/'Service Days per Month'!BK$4</f>
        <v>610.14285714285711</v>
      </c>
      <c r="BL29" s="18">
        <f>'Total Weekday Boardings'!BL29/'Service Days per Month'!BL$4</f>
        <v>603.89473684210532</v>
      </c>
      <c r="BM29" s="18">
        <f>'Total Weekday Boardings'!BM29/'Service Days per Month'!BM$4</f>
        <v>601.90476190476193</v>
      </c>
      <c r="BN29" s="18">
        <f>'Total Weekday Boardings'!BN29/'Service Days per Month'!BN$4</f>
        <v>591.90909090909088</v>
      </c>
      <c r="BO29" s="18">
        <f>'Total Weekday Boardings'!BO29/'Service Days per Month'!BO$4</f>
        <v>547.38095238095241</v>
      </c>
      <c r="BP29" s="19">
        <f>'Total Weekday Boardings'!BP29/'Service Days per Month'!BP$4</f>
        <v>498.38095238095241</v>
      </c>
      <c r="BQ29" s="17">
        <f>'Total Weekday Boardings'!BQ29/'Service Days per Month'!BQ$4</f>
        <v>501.54545454545456</v>
      </c>
      <c r="BR29" s="18">
        <f>'Total Weekday Boardings'!BR29/'Service Days per Month'!BR$4</f>
        <v>554.23809523809518</v>
      </c>
      <c r="BS29" s="18">
        <f>'Total Weekday Boardings'!BS29/'Service Days per Month'!BS$4</f>
        <v>590</v>
      </c>
      <c r="BT29" s="18">
        <f>'Total Weekday Boardings'!BT29/'Service Days per Month'!BT$4</f>
        <v>623.17391304347825</v>
      </c>
      <c r="BU29" s="18">
        <f>'Total Weekday Boardings'!BU29/'Service Days per Month'!BU$4</f>
        <v>617.35294117647061</v>
      </c>
      <c r="BV29" s="18">
        <f>'Total Weekday Boardings'!BV29/'Service Days per Month'!BV$4</f>
        <v>577.09523809523807</v>
      </c>
      <c r="BW29" s="18">
        <f>'Total Weekday Boardings'!BW29/'Service Days per Month'!BW$4</f>
        <v>617.9</v>
      </c>
      <c r="BX29" s="18">
        <f>'Total Weekday Boardings'!BX29/'Service Days per Month'!BX$4</f>
        <v>604.42105263157896</v>
      </c>
      <c r="BY29" s="18">
        <f>'Total Weekday Boardings'!BY29/'Service Days per Month'!BY$4</f>
        <v>586.13636363636363</v>
      </c>
      <c r="BZ29" s="18">
        <f>'Total Weekday Boardings'!BZ29/'Service Days per Month'!BZ$4</f>
        <v>597.5</v>
      </c>
      <c r="CA29" s="18">
        <f>'Total Weekday Boardings'!CA29/'Service Days per Month'!CA$4</f>
        <v>509.95</v>
      </c>
      <c r="CB29" s="19">
        <f>'Total Weekday Boardings'!CB29/'Service Days per Month'!CB$4</f>
        <v>495.45454545454544</v>
      </c>
      <c r="CC29" s="20">
        <f>'Total Weekday Boardings'!CC29/'Service Days per Month'!CC$4</f>
        <v>500.90909090909093</v>
      </c>
      <c r="CD29" s="18">
        <f>'Total Weekday Boardings'!CD29/'Service Days per Month'!CD$4</f>
        <v>533.95238095238096</v>
      </c>
      <c r="CE29" s="18">
        <f>'Total Weekday Boardings'!CE29/'Service Days per Month'!CE$4</f>
        <v>627.09523809523807</v>
      </c>
      <c r="CF29" s="18">
        <f>'Total Weekday Boardings'!CF29/'Service Days per Month'!CF$4</f>
        <v>635.09090909090912</v>
      </c>
      <c r="CG29" s="18">
        <f>'Total Weekday Boardings'!CG29/'Service Days per Month'!CG$4</f>
        <v>635.22222222222217</v>
      </c>
      <c r="CH29" s="18">
        <f>'Total Weekday Boardings'!CH29/'Service Days per Month'!CH$4</f>
        <v>604.28571428571433</v>
      </c>
      <c r="CI29" s="18">
        <f>'Total Weekday Boardings'!CI29/'Service Days per Month'!CI$4</f>
        <v>577.31578947368416</v>
      </c>
      <c r="CJ29" s="18">
        <f>'Total Weekday Boardings'!CJ29/'Service Days per Month'!CJ$4</f>
        <v>600.70000000000005</v>
      </c>
      <c r="CK29" s="18">
        <f>'Total Weekday Boardings'!CK29/'Service Days per Month'!CK$4</f>
        <v>609.3478260869565</v>
      </c>
      <c r="CL29" s="18">
        <f>'Total Weekday Boardings'!CL29/'Service Days per Month'!CL$4</f>
        <v>618.52380952380952</v>
      </c>
      <c r="CM29" s="18">
        <f>'Total Weekday Boardings'!CM29/'Service Days per Month'!CM$4</f>
        <v>537.52380952380952</v>
      </c>
      <c r="CN29" s="21">
        <f>'Total Weekday Boardings'!CN29/'Service Days per Month'!CN$4</f>
        <v>625.72727272727275</v>
      </c>
      <c r="CO29" s="17">
        <f>'Total Weekday Boardings'!CO29/'Service Days per Month'!CO$4</f>
        <v>491.15</v>
      </c>
      <c r="CP29" s="18">
        <f>'Total Weekday Boardings'!CP29/'Service Days per Month'!CP$4</f>
        <v>527.95652173913038</v>
      </c>
      <c r="CQ29" s="18">
        <f>'Total Weekday Boardings'!CQ29/'Service Days per Month'!CQ$4</f>
        <v>572.90476190476193</v>
      </c>
      <c r="CR29" s="18">
        <f>'Total Weekday Boardings'!CR29/'Service Days per Month'!CR$4</f>
        <v>567.09523809523807</v>
      </c>
      <c r="CS29" s="18">
        <f>'Total Weekday Boardings'!CS29/'Service Days per Month'!CS$4</f>
        <v>536.36842105263156</v>
      </c>
      <c r="CT29" s="18">
        <f>'Total Weekday Boardings'!CT29/'Service Days per Month'!CT$4</f>
        <v>506.85714285714283</v>
      </c>
      <c r="CU29" s="18">
        <f>'Total Weekday Boardings'!CU29/'Service Days per Month'!CU$4</f>
        <v>527.65</v>
      </c>
      <c r="CV29" s="18">
        <f>'Total Weekday Boardings'!CV29/'Service Days per Month'!CV$4</f>
        <v>537.68421052631584</v>
      </c>
      <c r="CW29" s="18">
        <f>'Total Weekday Boardings'!CW29/'Service Days per Month'!CW$4</f>
        <v>504.3478260869565</v>
      </c>
      <c r="CX29" s="18">
        <f>'Total Weekday Boardings'!CX29/'Service Days per Month'!CX$4</f>
        <v>506.9</v>
      </c>
      <c r="CY29" s="18">
        <f>'Total Weekday Boardings'!CY29/'Service Days per Month'!CY$4</f>
        <v>466.59090909090907</v>
      </c>
      <c r="CZ29" s="19">
        <f>'Total Weekday Boardings'!CZ29/'Service Days per Month'!CZ$4</f>
        <v>442.54545454545456</v>
      </c>
      <c r="DA29" s="17">
        <f>'Total Weekday Boardings'!DA29/'Service Days per Month'!DA$4</f>
        <v>446.2</v>
      </c>
      <c r="DB29" s="18">
        <f>'Total Weekday Boardings'!DB29/'Service Days per Month'!DB$4</f>
        <v>482.69565217391306</v>
      </c>
      <c r="DC29" s="18">
        <f>'Total Weekday Boardings'!DC29/'Service Days per Month'!DC$4</f>
        <v>493.15</v>
      </c>
      <c r="DD29" s="18">
        <f>'Total Weekday Boardings'!DD29/'Service Days per Month'!DD$4</f>
        <v>510.81818181818181</v>
      </c>
      <c r="DE29" s="18">
        <f>'Total Weekday Boardings'!DE29/'Service Days per Month'!DE$4</f>
        <v>495.5263157894737</v>
      </c>
      <c r="DF29" s="18">
        <f>'Total Weekday Boardings'!DF29/'Service Days per Month'!DF$4</f>
        <v>488.3</v>
      </c>
      <c r="DG29" s="18">
        <f>'Total Weekday Boardings'!DG29/'Service Days per Month'!DG$4</f>
        <v>494.09523809523807</v>
      </c>
      <c r="DH29" s="18">
        <f>'Total Weekday Boardings'!DH29/'Service Days per Month'!DH$4</f>
        <v>504.42105263157896</v>
      </c>
      <c r="DI29" s="18">
        <f>'Total Weekday Boardings'!DI29/'Service Days per Month'!DI$4</f>
        <v>515.31818181818187</v>
      </c>
      <c r="DJ29" s="18">
        <f>'Total Weekday Boardings'!DJ29/'Service Days per Month'!DJ$4</f>
        <v>504.04761904761904</v>
      </c>
      <c r="DK29" s="18">
        <f>'Total Weekday Boardings'!DK29/'Service Days per Month'!DK$4</f>
        <v>494.36363636363637</v>
      </c>
      <c r="DL29" s="19">
        <f>'Total Weekday Boardings'!DL29/'Service Days per Month'!DL$4</f>
        <v>480.71428571428572</v>
      </c>
      <c r="DM29" s="17">
        <f>'Total Weekday Boardings'!DM29/'Service Days per Month'!DM$4</f>
        <v>455.8095238095238</v>
      </c>
      <c r="DN29" s="18">
        <f>'Total Weekday Boardings'!DN29/'Service Days per Month'!DN$4</f>
        <v>446.91304347826087</v>
      </c>
      <c r="DO29" s="18">
        <f>'Total Weekday Boardings'!DO29/'Service Days per Month'!DO$4</f>
        <v>452.89473684210526</v>
      </c>
      <c r="DP29" s="18">
        <f>'Total Weekday Boardings'!DP29/'Service Days per Month'!DP$4</f>
        <v>473.95652173913044</v>
      </c>
      <c r="DQ29" s="18">
        <f>'Total Weekday Boardings'!DQ29/'Service Days per Month'!DQ$4</f>
        <v>480.09523809523807</v>
      </c>
      <c r="DR29" s="18">
        <f>'Total Weekday Boardings'!DR29/'Service Days per Month'!DR$4</f>
        <v>478.1</v>
      </c>
      <c r="DS29" s="18">
        <f>'Total Weekday Boardings'!DS29/'Service Days per Month'!DS$4</f>
        <v>466.95454545454544</v>
      </c>
      <c r="DT29" s="18">
        <f>'Total Weekday Boardings'!DT29/'Service Days per Month'!DT$4</f>
        <v>472.9</v>
      </c>
      <c r="DU29" s="18">
        <f>'Total Weekday Boardings'!DU29/'Service Days per Month'!DU$4</f>
        <v>452.42857142857144</v>
      </c>
      <c r="DV29" s="18">
        <f>'Total Weekday Boardings'!DV29/'Service Days per Month'!DV$4</f>
        <v>451.95454545454544</v>
      </c>
      <c r="DW29" s="18">
        <f>'Total Weekday Boardings'!DW29/'Service Days per Month'!DW$4</f>
        <v>419.90909090909093</v>
      </c>
      <c r="DX29" s="19">
        <f>'Total Weekday Boardings'!DX29/'Service Days per Month'!DX$4</f>
        <v>390.25</v>
      </c>
      <c r="DY29" s="17">
        <f>'Total Weekday Boardings'!DY29/'Service Days per Month'!DY$4</f>
        <v>348.13636363636363</v>
      </c>
      <c r="DZ29" s="18">
        <f>'Total Weekday Boardings'!DZ29/'Service Days per Month'!DZ$4</f>
        <v>381.54545454545456</v>
      </c>
      <c r="EA29" s="18">
        <f>'Total Weekday Boardings'!EA29/'Service Days per Month'!EA$4</f>
        <v>404.65</v>
      </c>
      <c r="EB29" s="18">
        <f>'Total Weekday Boardings'!EB29/'Service Days per Month'!EB$4</f>
        <v>426.86956521739131</v>
      </c>
      <c r="EC29" s="18">
        <f>'Total Weekday Boardings'!EC29/'Service Days per Month'!EC$4</f>
        <v>445</v>
      </c>
      <c r="ED29" s="18">
        <f>'Total Weekday Boardings'!ED29/'Service Days per Month'!ED$4</f>
        <v>390.57142857142856</v>
      </c>
      <c r="EE29" s="18">
        <f>'Total Weekday Boardings'!EE29/'Service Days per Month'!EE$4</f>
        <v>403.26086956521738</v>
      </c>
      <c r="EF29" s="18">
        <f>'Total Weekday Boardings'!EF29/'Service Days per Month'!EF$4</f>
        <v>437.4</v>
      </c>
      <c r="EG29" s="18">
        <f>'Total Weekday Boardings'!EG29/'Service Days per Month'!EG$4</f>
        <v>423.86363636363637</v>
      </c>
      <c r="EH29" s="18">
        <f>'Total Weekday Boardings'!EH29/'Service Days per Month'!EH$4</f>
        <v>278.13636363636363</v>
      </c>
      <c r="EI29" s="18">
        <f>'Total Weekday Boardings'!EI29/'Service Days per Month'!EI$4</f>
        <v>279.45</v>
      </c>
      <c r="EJ29" s="19">
        <f>'Total Weekday Boardings'!EJ29/'Service Days per Month'!EJ$4</f>
        <v>281</v>
      </c>
      <c r="EK29" s="17">
        <f>'Total Weekday Boardings'!EK29/'Service Days per Month'!EK$4</f>
        <v>250.63636363636363</v>
      </c>
      <c r="EL29" s="18">
        <f>'Total Weekday Boardings'!EL29/'Service Days per Month'!EL$4</f>
        <v>261.71428571428572</v>
      </c>
      <c r="EM29" s="18">
        <f>'Total Weekday Boardings'!EM29/'Service Days per Month'!EM$4</f>
        <v>215.42857142857142</v>
      </c>
      <c r="EN29" s="18">
        <f>'Total Weekday Boardings'!EN29/'Service Days per Month'!EN$4</f>
        <v>271.86363636363637</v>
      </c>
      <c r="EO29" s="18">
        <f>'Total Weekday Boardings'!EO29/'Service Days per Month'!EO$4</f>
        <v>209.9</v>
      </c>
      <c r="EP29" s="18">
        <f>'Total Weekday Boardings'!EP29/'Service Days per Month'!EP$4</f>
        <v>163.18181818181819</v>
      </c>
      <c r="EQ29" s="18">
        <f>'Total Weekday Boardings'!EQ29/'Service Days per Month'!EQ$4</f>
        <v>96.904761904761898</v>
      </c>
      <c r="ER29" s="18">
        <f>'Total Weekday Boardings'!ER29/'Service Days per Month'!ER$4</f>
        <v>200.75</v>
      </c>
      <c r="ES29" s="18">
        <f>'Total Weekday Boardings'!ES29/'Service Days per Month'!ES$4</f>
        <v>188.65217391304347</v>
      </c>
      <c r="ET29" s="18">
        <f>'Total Weekday Boardings'!ET29/'Service Days per Month'!ET$4</f>
        <v>216.13636363636363</v>
      </c>
      <c r="EU29" s="18">
        <f>'Total Weekday Boardings'!EU29/'Service Days per Month'!EU$4</f>
        <v>200.55</v>
      </c>
      <c r="EV29" s="19">
        <f>'Total Weekday Boardings'!EV29/'Service Days per Month'!EV$4</f>
        <v>217.59090909090909</v>
      </c>
      <c r="EW29" s="17">
        <f>'Total Weekday Boardings'!EW29/'Service Days per Month'!EW$4</f>
        <v>192.61904761904762</v>
      </c>
      <c r="EX29" s="18">
        <f>'Total Weekday Boardings'!EX29/'Service Days per Month'!EX$4</f>
        <v>219.22727272727272</v>
      </c>
      <c r="EY29" s="18">
        <f>'Total Weekday Boardings'!EY29/'Service Days per Month'!EY$4</f>
        <v>207.61904761904762</v>
      </c>
      <c r="EZ29" s="18">
        <f>'Total Weekday Boardings'!EZ29/'Service Days per Month'!EZ$4</f>
        <v>230.0952380952381</v>
      </c>
      <c r="FA29" s="18">
        <f>'Total Weekday Boardings'!FA29/'Service Days per Month'!FA$4</f>
        <v>229.57142857142858</v>
      </c>
      <c r="FB29" s="18">
        <f>'Total Weekday Boardings'!FB29/'Service Days per Month'!FB$4</f>
        <v>222.04545454545453</v>
      </c>
      <c r="FC29" s="18">
        <f>'Total Weekday Boardings'!FC29/'Service Days per Month'!FC$4</f>
        <v>214.23809523809524</v>
      </c>
      <c r="FD29" s="18">
        <f>'Total Weekday Boardings'!FD29/'Service Days per Month'!FD$4</f>
        <v>270.60000000000002</v>
      </c>
      <c r="FE29" s="18">
        <f>'Total Weekday Boardings'!FE29/'Service Days per Month'!FE$4</f>
        <v>305.26086956521738</v>
      </c>
      <c r="FF29" s="18">
        <f>'Total Weekday Boardings'!FF29/'Service Days per Month'!FF$4</f>
        <v>275.85714285714283</v>
      </c>
      <c r="FG29" s="18">
        <f>'Total Weekday Boardings'!FG29/'Service Days per Month'!FG$4</f>
        <v>286.33333333333331</v>
      </c>
      <c r="FH29" s="19">
        <f>'Total Weekday Boardings'!FH29/'Service Days per Month'!FH$4</f>
        <v>226</v>
      </c>
      <c r="FI29" s="17">
        <v>230.9</v>
      </c>
      <c r="FJ29" s="18">
        <v>237.13043478260869</v>
      </c>
      <c r="FK29" s="18">
        <v>246.9047619047619</v>
      </c>
      <c r="FL29" s="18">
        <v>259</v>
      </c>
      <c r="FM29" s="18">
        <v>244.04761904761904</v>
      </c>
      <c r="FN29" s="18">
        <v>238.71428571428572</v>
      </c>
      <c r="FO29" s="18">
        <v>278.14285714285717</v>
      </c>
      <c r="FP29" s="18">
        <v>252.45</v>
      </c>
      <c r="FQ29" s="18">
        <v>292.21739130434781</v>
      </c>
      <c r="FR29" s="18">
        <f>'Total Weekday Boardings'!FR29/20</f>
        <v>305.3</v>
      </c>
      <c r="FS29" s="18">
        <f>'Total Weekday Boardings'!FS29/22</f>
        <v>300.31818181818181</v>
      </c>
      <c r="FT29" s="21">
        <f>'Total Weekday Boardings'!FT29/23</f>
        <v>253.39130434782609</v>
      </c>
      <c r="FU29" s="17">
        <f>'Total Weekday Boardings'!FU29/21</f>
        <v>263.8095238095238</v>
      </c>
      <c r="FV29" s="18">
        <f>'Total Weekday Boardings'!FV29/23</f>
        <v>267.30434782608694</v>
      </c>
      <c r="FW29" s="18">
        <f>'Total Weekday Boardings'!FW29/21</f>
        <v>260.09523809523807</v>
      </c>
      <c r="FX29" s="18">
        <f>'Total Weekday Boardings'!FX29/22</f>
        <v>299.40909090909093</v>
      </c>
      <c r="FY29" s="18">
        <f>'Total Weekday Boardings'!FY29/22</f>
        <v>276.09090909090907</v>
      </c>
      <c r="FZ29" s="18">
        <f>'Total Weekday Boardings'!FZ29/21</f>
        <v>271.85714285714283</v>
      </c>
      <c r="GA29" s="18">
        <f>'Total Weekday Boardings'!GA29/23</f>
        <v>271.95652173913044</v>
      </c>
      <c r="GB29" s="18">
        <f>'Total Weekday Boardings'!GB29/21</f>
        <v>311.85714285714283</v>
      </c>
      <c r="GC29" s="18">
        <f>'Total Weekday Boardings'!GC29/21</f>
        <v>305.57142857142856</v>
      </c>
      <c r="GD29" s="18">
        <f>'Total Weekday Boardings'!GD29/22</f>
        <v>269.86363636363637</v>
      </c>
      <c r="GE29" s="13">
        <f>'Total Weekday Boardings'!GE29/23</f>
        <v>268.78260869565219</v>
      </c>
      <c r="GF29" s="13">
        <f>'Total Weekday Boardings'!GF29/20</f>
        <v>284.5</v>
      </c>
      <c r="GG29" s="21">
        <f>'Total Weekday Boardings'!GG29/23</f>
        <v>256.86956521739131</v>
      </c>
      <c r="GH29" s="13">
        <f>'Total Weekday Boardings'!GH29/22</f>
        <v>291</v>
      </c>
      <c r="GI29" s="13">
        <f>'Total Weekday Boardings'!GI29/21</f>
        <v>279.42857142857144</v>
      </c>
      <c r="GJ29" s="13">
        <f>'Total Weekday Boardings'!GJ29/23</f>
        <v>311.56521739130437</v>
      </c>
      <c r="GK29" s="13">
        <f>'Total Weekday Boardings'!GK29/21</f>
        <v>273.52380952380952</v>
      </c>
      <c r="GL29" s="13">
        <f>'Total Weekday Boardings'!GL29/22</f>
        <v>246.36363636363637</v>
      </c>
    </row>
    <row r="30" spans="1:194" ht="15" thickBot="1" x14ac:dyDescent="0.35">
      <c r="A30" s="3" t="s">
        <v>43</v>
      </c>
      <c r="B30" s="17"/>
      <c r="C30" s="18">
        <f>'Total Weekday Boardings'!C30/'Service Days per Month'!C$4</f>
        <v>40.047619047619051</v>
      </c>
      <c r="D30" s="18">
        <f>'Total Weekday Boardings'!D30/'Service Days per Month'!D$4</f>
        <v>72.5</v>
      </c>
      <c r="E30" s="18">
        <f>'Total Weekday Boardings'!E30/'Service Days per Month'!E$4</f>
        <v>65.909090909090907</v>
      </c>
      <c r="F30" s="18">
        <f>'Total Weekday Boardings'!F30/'Service Days per Month'!F$4</f>
        <v>286.81818181818181</v>
      </c>
      <c r="G30" s="18">
        <f>'Total Weekday Boardings'!G30/'Service Days per Month'!G$4</f>
        <v>323.2</v>
      </c>
      <c r="H30" s="19">
        <f>'Total Weekday Boardings'!H30/'Service Days per Month'!H$4</f>
        <v>306.86363636363637</v>
      </c>
      <c r="I30" s="17">
        <f>'Total Weekday Boardings'!I30/'Service Days per Month'!I$4</f>
        <v>281.21739130434781</v>
      </c>
      <c r="J30" s="18">
        <f>'Total Weekday Boardings'!J30/'Service Days per Month'!J$4</f>
        <v>366.61904761904759</v>
      </c>
      <c r="K30" s="18">
        <f>'Total Weekday Boardings'!K30/'Service Days per Month'!K$4</f>
        <v>254.14285714285714</v>
      </c>
      <c r="L30" s="18">
        <f>'Total Weekday Boardings'!L30/'Service Days per Month'!L$4</f>
        <v>340.40909090909093</v>
      </c>
      <c r="M30" s="18">
        <f>'Total Weekday Boardings'!M30/'Service Days per Month'!M$4</f>
        <v>373.4</v>
      </c>
      <c r="N30" s="18">
        <f>'Total Weekday Boardings'!N30/'Service Days per Month'!N$4</f>
        <v>333.36363636363637</v>
      </c>
      <c r="O30" s="18">
        <f>'Total Weekday Boardings'!O30/'Service Days per Month'!O$4</f>
        <v>326.75</v>
      </c>
      <c r="P30" s="18">
        <f>'Total Weekday Boardings'!P30/'Service Days per Month'!P$4</f>
        <v>375.1</v>
      </c>
      <c r="Q30" s="18">
        <f>'Total Weekday Boardings'!Q30/'Service Days per Month'!Q$4</f>
        <v>375.82608695652175</v>
      </c>
      <c r="R30" s="18">
        <f>'Total Weekday Boardings'!R30/'Service Days per Month'!R$4</f>
        <v>394.95454545454544</v>
      </c>
      <c r="S30" s="18">
        <f>'Total Weekday Boardings'!S30/'Service Days per Month'!S$4</f>
        <v>316.39999999999998</v>
      </c>
      <c r="T30" s="19">
        <f>'Total Weekday Boardings'!T30/'Service Days per Month'!T$4</f>
        <v>421</v>
      </c>
      <c r="U30" s="17">
        <f>'Total Weekday Boardings'!U30/'Service Days per Month'!U$4</f>
        <v>372.28571428571428</v>
      </c>
      <c r="V30" s="18">
        <f>'Total Weekday Boardings'!V30/'Service Days per Month'!V$4</f>
        <v>441.13636363636363</v>
      </c>
      <c r="W30" s="18">
        <f>'Total Weekday Boardings'!W30/'Service Days per Month'!W$4</f>
        <v>527</v>
      </c>
      <c r="X30" s="18">
        <f>'Total Weekday Boardings'!X30/'Service Days per Month'!X$4</f>
        <v>561.52380952380952</v>
      </c>
      <c r="Y30" s="18">
        <f>'Total Weekday Boardings'!Y30/'Service Days per Month'!Y$4</f>
        <v>542.84210526315792</v>
      </c>
      <c r="Z30" s="18">
        <f>'Total Weekday Boardings'!Z30/'Service Days per Month'!Z$4</f>
        <v>503.28571428571428</v>
      </c>
      <c r="AA30" s="18">
        <f>'Total Weekday Boardings'!AA30/'Service Days per Month'!AA$4</f>
        <v>581.04999999999995</v>
      </c>
      <c r="AB30" s="18">
        <f>'Total Weekday Boardings'!AB30/'Service Days per Month'!AB$4</f>
        <v>560.68421052631584</v>
      </c>
      <c r="AC30" s="18">
        <f>'Total Weekday Boardings'!AC30/'Service Days per Month'!AC$4</f>
        <v>523.56521739130437</v>
      </c>
      <c r="AD30" s="18">
        <f>'Total Weekday Boardings'!AD30/'Service Days per Month'!AD$4</f>
        <v>580.38095238095241</v>
      </c>
      <c r="AE30" s="18">
        <f>'Total Weekday Boardings'!AE30/'Service Days per Month'!AE$4</f>
        <v>486.1904761904762</v>
      </c>
      <c r="AF30" s="19">
        <f>'Total Weekday Boardings'!AF30/'Service Days per Month'!AF$4</f>
        <v>429.31818181818181</v>
      </c>
      <c r="AG30" s="17">
        <f>'Total Weekday Boardings'!AG30/'Service Days per Month'!AG$4</f>
        <v>437.4</v>
      </c>
      <c r="AH30" s="18">
        <f>'Total Weekday Boardings'!AH30/'Service Days per Month'!AH$4</f>
        <v>498.60869565217394</v>
      </c>
      <c r="AI30" s="18">
        <f>'Total Weekday Boardings'!AI30/'Service Days per Month'!AI$4</f>
        <v>530.61904761904759</v>
      </c>
      <c r="AJ30" s="18">
        <f>'Total Weekday Boardings'!AJ30/'Service Days per Month'!AJ$4</f>
        <v>539.90476190476193</v>
      </c>
      <c r="AK30" s="18">
        <f>'Total Weekday Boardings'!AK30/'Service Days per Month'!AK$4</f>
        <v>511.42105263157896</v>
      </c>
      <c r="AL30" s="18">
        <f>'Total Weekday Boardings'!AL30/'Service Days per Month'!AL$4</f>
        <v>477.33333333333331</v>
      </c>
      <c r="AM30" s="18">
        <f>'Total Weekday Boardings'!AM30/'Service Days per Month'!AM$4</f>
        <v>552.54999999999995</v>
      </c>
      <c r="AN30" s="18">
        <f>'Total Weekday Boardings'!AN30/'Service Days per Month'!AN$4</f>
        <v>551.70000000000005</v>
      </c>
      <c r="AO30" s="18">
        <f>'Total Weekday Boardings'!AO30/'Service Days per Month'!AO$4</f>
        <v>565.27272727272725</v>
      </c>
      <c r="AP30" s="18">
        <f>'Total Weekday Boardings'!AP30/'Service Days per Month'!AP$4</f>
        <v>555.66666666666663</v>
      </c>
      <c r="AQ30" s="18">
        <f>'Total Weekday Boardings'!AQ30/'Service Days per Month'!AQ$4</f>
        <v>523.68181818181813</v>
      </c>
      <c r="AR30" s="19">
        <f>'Total Weekday Boardings'!AR30/'Service Days per Month'!AR$4</f>
        <v>475.1904761904762</v>
      </c>
      <c r="AS30" s="17">
        <f>'Total Weekday Boardings'!AS30/'Service Days per Month'!AS$4</f>
        <v>466.1904761904762</v>
      </c>
      <c r="AT30" s="18">
        <f>'Total Weekday Boardings'!AT30/'Service Days per Month'!AT$4</f>
        <v>521.52173913043475</v>
      </c>
      <c r="AU30" s="18">
        <f>'Total Weekday Boardings'!AU30/'Service Days per Month'!AU$4</f>
        <v>575.42105263157896</v>
      </c>
      <c r="AV30" s="18">
        <f>'Total Weekday Boardings'!AV30/'Service Days per Month'!AV$4</f>
        <v>570.3478260869565</v>
      </c>
      <c r="AW30" s="18">
        <f>'Total Weekday Boardings'!AW30/'Service Days per Month'!AW$4</f>
        <v>640.89473684210532</v>
      </c>
      <c r="AX30" s="18">
        <f>'Total Weekday Boardings'!AX30/'Service Days per Month'!AX$4</f>
        <v>588.47368421052636</v>
      </c>
      <c r="AY30" s="18">
        <f>'Total Weekday Boardings'!AY30/'Service Days per Month'!AY$4</f>
        <v>547.19047619047615</v>
      </c>
      <c r="AZ30" s="18">
        <f>'Total Weekday Boardings'!AZ30/'Service Days per Month'!AZ$4</f>
        <v>577.57894736842104</v>
      </c>
      <c r="BA30" s="18">
        <f>'Total Weekday Boardings'!BA30/'Service Days per Month'!BA$4</f>
        <v>533.95238095238096</v>
      </c>
      <c r="BB30" s="18">
        <f>'Total Weekday Boardings'!BB30/'Service Days per Month'!BB$4</f>
        <v>555.5454545454545</v>
      </c>
      <c r="BC30" s="18">
        <f>'Total Weekday Boardings'!BC30/'Service Days per Month'!BC$4</f>
        <v>518.9545454545455</v>
      </c>
      <c r="BD30" s="19">
        <f>'Total Weekday Boardings'!BD30/'Service Days per Month'!BD$4</f>
        <v>503.7</v>
      </c>
      <c r="BE30" s="17">
        <f>'Total Weekday Boardings'!BE30/'Service Days per Month'!BE$4</f>
        <v>511.54545454545456</v>
      </c>
      <c r="BF30" s="18">
        <f>'Total Weekday Boardings'!BF30/'Service Days per Month'!BF$4</f>
        <v>583.4545454545455</v>
      </c>
      <c r="BG30" s="18">
        <f>'Total Weekday Boardings'!BG30/'Service Days per Month'!BG$4</f>
        <v>599.20000000000005</v>
      </c>
      <c r="BH30" s="18">
        <f>'Total Weekday Boardings'!BH30/'Service Days per Month'!BH$4</f>
        <v>590.695652173913</v>
      </c>
      <c r="BI30" s="18">
        <f>'Total Weekday Boardings'!BI30/'Service Days per Month'!BI$4</f>
        <v>634.33540566802071</v>
      </c>
      <c r="BJ30" s="18">
        <f>'Total Weekday Boardings'!BJ30/'Service Days per Month'!BJ$4</f>
        <v>566.65</v>
      </c>
      <c r="BK30" s="18">
        <f>'Total Weekday Boardings'!BK30/'Service Days per Month'!BK$4</f>
        <v>630.38095238095241</v>
      </c>
      <c r="BL30" s="18">
        <f>'Total Weekday Boardings'!BL30/'Service Days per Month'!BL$4</f>
        <v>598.78947368421052</v>
      </c>
      <c r="BM30" s="18">
        <f>'Total Weekday Boardings'!BM30/'Service Days per Month'!BM$4</f>
        <v>603.38095238095241</v>
      </c>
      <c r="BN30" s="18">
        <f>'Total Weekday Boardings'!BN30/'Service Days per Month'!BN$4</f>
        <v>557.90909090909088</v>
      </c>
      <c r="BO30" s="18">
        <f>'Total Weekday Boardings'!BO30/'Service Days per Month'!BO$4</f>
        <v>556.38095238095241</v>
      </c>
      <c r="BP30" s="19">
        <f>'Total Weekday Boardings'!BP30/'Service Days per Month'!BP$4</f>
        <v>520.28571428571433</v>
      </c>
      <c r="BQ30" s="17">
        <f>'Total Weekday Boardings'!BQ30/'Service Days per Month'!BQ$4</f>
        <v>494.54545454545456</v>
      </c>
      <c r="BR30" s="18">
        <f>'Total Weekday Boardings'!BR30/'Service Days per Month'!BR$4</f>
        <v>539.76190476190482</v>
      </c>
      <c r="BS30" s="18">
        <f>'Total Weekday Boardings'!BS30/'Service Days per Month'!BS$4</f>
        <v>576.66666666666663</v>
      </c>
      <c r="BT30" s="18">
        <f>'Total Weekday Boardings'!BT30/'Service Days per Month'!BT$4</f>
        <v>587.60869565217388</v>
      </c>
      <c r="BU30" s="18">
        <f>'Total Weekday Boardings'!BU30/'Service Days per Month'!BU$4</f>
        <v>574.05882352941171</v>
      </c>
      <c r="BV30" s="18">
        <f>'Total Weekday Boardings'!BV30/'Service Days per Month'!BV$4</f>
        <v>566.95238095238096</v>
      </c>
      <c r="BW30" s="18">
        <f>'Total Weekday Boardings'!BW30/'Service Days per Month'!BW$4</f>
        <v>608.79999999999995</v>
      </c>
      <c r="BX30" s="18">
        <f>'Total Weekday Boardings'!BX30/'Service Days per Month'!BX$4</f>
        <v>593.73684210526312</v>
      </c>
      <c r="BY30" s="18">
        <f>'Total Weekday Boardings'!BY30/'Service Days per Month'!BY$4</f>
        <v>573.86363636363637</v>
      </c>
      <c r="BZ30" s="18">
        <f>'Total Weekday Boardings'!BZ30/'Service Days per Month'!BZ$4</f>
        <v>567.13636363636363</v>
      </c>
      <c r="CA30" s="18">
        <f>'Total Weekday Boardings'!CA30/'Service Days per Month'!CA$4</f>
        <v>557.85</v>
      </c>
      <c r="CB30" s="19">
        <f>'Total Weekday Boardings'!CB30/'Service Days per Month'!CB$4</f>
        <v>568.36363636363637</v>
      </c>
      <c r="CC30" s="20">
        <f>'Total Weekday Boardings'!CC30/'Service Days per Month'!CC$4</f>
        <v>533.22727272727275</v>
      </c>
      <c r="CD30" s="18">
        <f>'Total Weekday Boardings'!CD30/'Service Days per Month'!CD$4</f>
        <v>584.38095238095241</v>
      </c>
      <c r="CE30" s="18">
        <f>'Total Weekday Boardings'!CE30/'Service Days per Month'!CE$4</f>
        <v>607.19047619047615</v>
      </c>
      <c r="CF30" s="18">
        <f>'Total Weekday Boardings'!CF30/'Service Days per Month'!CF$4</f>
        <v>597.68181818181813</v>
      </c>
      <c r="CG30" s="18">
        <f>'Total Weekday Boardings'!CG30/'Service Days per Month'!CG$4</f>
        <v>591.38888888888891</v>
      </c>
      <c r="CH30" s="18">
        <f>'Total Weekday Boardings'!CH30/'Service Days per Month'!CH$4</f>
        <v>573.66666666666663</v>
      </c>
      <c r="CI30" s="18">
        <f>'Total Weekday Boardings'!CI30/'Service Days per Month'!CI$4</f>
        <v>605.68421052631584</v>
      </c>
      <c r="CJ30" s="18">
        <f>'Total Weekday Boardings'!CJ30/'Service Days per Month'!CJ$4</f>
        <v>592.5</v>
      </c>
      <c r="CK30" s="18">
        <f>'Total Weekday Boardings'!CK30/'Service Days per Month'!CK$4</f>
        <v>585.3478260869565</v>
      </c>
      <c r="CL30" s="18">
        <f>'Total Weekday Boardings'!CL30/'Service Days per Month'!CL$4</f>
        <v>558.52380952380952</v>
      </c>
      <c r="CM30" s="18">
        <f>'Total Weekday Boardings'!CM30/'Service Days per Month'!CM$4</f>
        <v>624.57142857142856</v>
      </c>
      <c r="CN30" s="21">
        <f>'Total Weekday Boardings'!CN30/'Service Days per Month'!CN$4</f>
        <v>508.68181818181819</v>
      </c>
      <c r="CO30" s="17">
        <f>'Total Weekday Boardings'!CO30/'Service Days per Month'!CO$4</f>
        <v>567.15</v>
      </c>
      <c r="CP30" s="18">
        <f>'Total Weekday Boardings'!CP30/'Service Days per Month'!CP$4</f>
        <v>603.6521739130435</v>
      </c>
      <c r="CQ30" s="18">
        <f>'Total Weekday Boardings'!CQ30/'Service Days per Month'!CQ$4</f>
        <v>619.71428571428567</v>
      </c>
      <c r="CR30" s="18">
        <f>'Total Weekday Boardings'!CR30/'Service Days per Month'!CR$4</f>
        <v>615.28571428571433</v>
      </c>
      <c r="CS30" s="18">
        <f>'Total Weekday Boardings'!CS30/'Service Days per Month'!CS$4</f>
        <v>599.63157894736844</v>
      </c>
      <c r="CT30" s="18">
        <f>'Total Weekday Boardings'!CT30/'Service Days per Month'!CT$4</f>
        <v>584.80952380952385</v>
      </c>
      <c r="CU30" s="18">
        <f>'Total Weekday Boardings'!CU30/'Service Days per Month'!CU$4</f>
        <v>607.95000000000005</v>
      </c>
      <c r="CV30" s="18">
        <f>'Total Weekday Boardings'!CV30/'Service Days per Month'!CV$4</f>
        <v>608.78947368421052</v>
      </c>
      <c r="CW30" s="18">
        <f>'Total Weekday Boardings'!CW30/'Service Days per Month'!CW$4</f>
        <v>606</v>
      </c>
      <c r="CX30" s="18">
        <f>'Total Weekday Boardings'!CX30/'Service Days per Month'!CX$4</f>
        <v>607.1</v>
      </c>
      <c r="CY30" s="18">
        <f>'Total Weekday Boardings'!CY30/'Service Days per Month'!CY$4</f>
        <v>579.5454545454545</v>
      </c>
      <c r="CZ30" s="19">
        <f>'Total Weekday Boardings'!CZ30/'Service Days per Month'!CZ$4</f>
        <v>562.4545454545455</v>
      </c>
      <c r="DA30" s="17">
        <f>'Total Weekday Boardings'!DA30/'Service Days per Month'!DA$4</f>
        <v>593.29999999999995</v>
      </c>
      <c r="DB30" s="18">
        <f>'Total Weekday Boardings'!DB30/'Service Days per Month'!DB$4</f>
        <v>628.3478260869565</v>
      </c>
      <c r="DC30" s="18">
        <f>'Total Weekday Boardings'!DC30/'Service Days per Month'!DC$4</f>
        <v>641.54999999999995</v>
      </c>
      <c r="DD30" s="18">
        <f>'Total Weekday Boardings'!DD30/'Service Days per Month'!DD$4</f>
        <v>596.4545454545455</v>
      </c>
      <c r="DE30" s="18">
        <f>'Total Weekday Boardings'!DE30/'Service Days per Month'!DE$4</f>
        <v>589.21052631578948</v>
      </c>
      <c r="DF30" s="18">
        <f>'Total Weekday Boardings'!DF30/'Service Days per Month'!DF$4</f>
        <v>566.70000000000005</v>
      </c>
      <c r="DG30" s="18">
        <f>'Total Weekday Boardings'!DG30/'Service Days per Month'!DG$4</f>
        <v>575.47619047619048</v>
      </c>
      <c r="DH30" s="18">
        <f>'Total Weekday Boardings'!DH30/'Service Days per Month'!DH$4</f>
        <v>599.21052631578948</v>
      </c>
      <c r="DI30" s="18">
        <f>'Total Weekday Boardings'!DI30/'Service Days per Month'!DI$4</f>
        <v>599.22727272727275</v>
      </c>
      <c r="DJ30" s="18">
        <f>'Total Weekday Boardings'!DJ30/'Service Days per Month'!DJ$4</f>
        <v>589.19047619047615</v>
      </c>
      <c r="DK30" s="18">
        <f>'Total Weekday Boardings'!DK30/'Service Days per Month'!DK$4</f>
        <v>570</v>
      </c>
      <c r="DL30" s="19">
        <f>'Total Weekday Boardings'!DL30/'Service Days per Month'!DL$4</f>
        <v>547.14285714285711</v>
      </c>
      <c r="DM30" s="17">
        <f>'Total Weekday Boardings'!DM30/'Service Days per Month'!DM$4</f>
        <v>531.14285714285711</v>
      </c>
      <c r="DN30" s="18">
        <f>'Total Weekday Boardings'!DN30/'Service Days per Month'!DN$4</f>
        <v>581.17391304347825</v>
      </c>
      <c r="DO30" s="18">
        <f>'Total Weekday Boardings'!DO30/'Service Days per Month'!DO$4</f>
        <v>552.63157894736844</v>
      </c>
      <c r="DP30" s="18">
        <f>'Total Weekday Boardings'!DP30/'Service Days per Month'!DP$4</f>
        <v>586.56521739130437</v>
      </c>
      <c r="DQ30" s="18">
        <f>'Total Weekday Boardings'!DQ30/'Service Days per Month'!DQ$4</f>
        <v>596.04761904761904</v>
      </c>
      <c r="DR30" s="18">
        <f>'Total Weekday Boardings'!DR30/'Service Days per Month'!DR$4</f>
        <v>572.85</v>
      </c>
      <c r="DS30" s="18">
        <f>'Total Weekday Boardings'!DS30/'Service Days per Month'!DS$4</f>
        <v>568.5454545454545</v>
      </c>
      <c r="DT30" s="18">
        <f>'Total Weekday Boardings'!DT30/'Service Days per Month'!DT$4</f>
        <v>539.04999999999995</v>
      </c>
      <c r="DU30" s="18">
        <f>'Total Weekday Boardings'!DU30/'Service Days per Month'!DU$4</f>
        <v>549.38095238095241</v>
      </c>
      <c r="DV30" s="18">
        <f>'Total Weekday Boardings'!DV30/'Service Days per Month'!DV$4</f>
        <v>154.59090909090909</v>
      </c>
      <c r="DW30" s="18">
        <f>'Total Weekday Boardings'!DW30/'Service Days per Month'!DW$4</f>
        <v>507.59090909090907</v>
      </c>
      <c r="DX30" s="19">
        <f>'Total Weekday Boardings'!DX30/'Service Days per Month'!DX$4</f>
        <v>474.65</v>
      </c>
      <c r="DY30" s="17">
        <f>'Total Weekday Boardings'!DY30/'Service Days per Month'!DY$4</f>
        <v>465.45454545454544</v>
      </c>
      <c r="DZ30" s="18">
        <f>'Total Weekday Boardings'!DZ30/'Service Days per Month'!DZ$4</f>
        <v>468.72727272727275</v>
      </c>
      <c r="EA30" s="18">
        <f>'Total Weekday Boardings'!EA30/'Service Days per Month'!EA$4</f>
        <v>489.6</v>
      </c>
      <c r="EB30" s="18">
        <f>'Total Weekday Boardings'!EB30/'Service Days per Month'!EB$4</f>
        <v>498.26086956521738</v>
      </c>
      <c r="EC30" s="18">
        <f>'Total Weekday Boardings'!EC30/'Service Days per Month'!EC$4</f>
        <v>487.8</v>
      </c>
      <c r="ED30" s="18">
        <f>'Total Weekday Boardings'!ED30/'Service Days per Month'!ED$4</f>
        <v>505.85714285714283</v>
      </c>
      <c r="EE30" s="18">
        <f>'Total Weekday Boardings'!EE30/'Service Days per Month'!EE$4</f>
        <v>503.17391304347825</v>
      </c>
      <c r="EF30" s="18">
        <f>'Total Weekday Boardings'!EF30/'Service Days per Month'!EF$4</f>
        <v>518.25</v>
      </c>
      <c r="EG30" s="18">
        <f>'Total Weekday Boardings'!EG30/'Service Days per Month'!EG$4</f>
        <v>348.68181818181819</v>
      </c>
      <c r="EH30" s="18">
        <f>'Total Weekday Boardings'!EH30/'Service Days per Month'!EH$4</f>
        <v>233.36363636363637</v>
      </c>
      <c r="EI30" s="18">
        <f>'Total Weekday Boardings'!EI30/'Service Days per Month'!EI$4</f>
        <v>239.15</v>
      </c>
      <c r="EJ30" s="19">
        <f>'Total Weekday Boardings'!EJ30/'Service Days per Month'!EJ$4</f>
        <v>214.95454545454547</v>
      </c>
      <c r="EK30" s="17">
        <f>'Total Weekday Boardings'!EK30/'Service Days per Month'!EK$4</f>
        <v>206.36363636363637</v>
      </c>
      <c r="EL30" s="18">
        <f>'Total Weekday Boardings'!EL30/'Service Days per Month'!EL$4</f>
        <v>196.52380952380952</v>
      </c>
      <c r="EM30" s="18">
        <f>'Total Weekday Boardings'!EM30/'Service Days per Month'!EM$4</f>
        <v>256.33333333333331</v>
      </c>
      <c r="EN30" s="18">
        <f>'Total Weekday Boardings'!EN30/'Service Days per Month'!EN$4</f>
        <v>214.5</v>
      </c>
      <c r="EO30" s="18">
        <f>'Total Weekday Boardings'!EO30/'Service Days per Month'!EO$4</f>
        <v>250.3</v>
      </c>
      <c r="EP30" s="18">
        <f>'Total Weekday Boardings'!EP30/'Service Days per Month'!EP$4</f>
        <v>206.31818181818181</v>
      </c>
      <c r="EQ30" s="18">
        <f>'Total Weekday Boardings'!EQ30/'Service Days per Month'!EQ$4</f>
        <v>98.047619047619051</v>
      </c>
      <c r="ER30" s="18">
        <f>'Total Weekday Boardings'!ER30/'Service Days per Month'!ER$4</f>
        <v>194.15</v>
      </c>
      <c r="ES30" s="18">
        <f>'Total Weekday Boardings'!ES30/'Service Days per Month'!ES$4</f>
        <v>215.04347826086956</v>
      </c>
      <c r="ET30" s="18">
        <f>'Total Weekday Boardings'!ET30/'Service Days per Month'!ET$4</f>
        <v>229.72727272727272</v>
      </c>
      <c r="EU30" s="18">
        <f>'Total Weekday Boardings'!EU30/'Service Days per Month'!EU$4</f>
        <v>223.45</v>
      </c>
      <c r="EV30" s="19">
        <f>'Total Weekday Boardings'!EV30/'Service Days per Month'!EV$4</f>
        <v>236.77272727272728</v>
      </c>
      <c r="EW30" s="17">
        <f>'Total Weekday Boardings'!EW30/'Service Days per Month'!EW$4</f>
        <v>228.23809523809524</v>
      </c>
      <c r="EX30" s="18">
        <f>'Total Weekday Boardings'!EX30/'Service Days per Month'!EX$4</f>
        <v>245.77272727272728</v>
      </c>
      <c r="EY30" s="18">
        <f>'Total Weekday Boardings'!EY30/'Service Days per Month'!EY$4</f>
        <v>251.28571428571428</v>
      </c>
      <c r="EZ30" s="18">
        <f>'Total Weekday Boardings'!EZ30/'Service Days per Month'!EZ$4</f>
        <v>285.76190476190476</v>
      </c>
      <c r="FA30" s="18">
        <f>'Total Weekday Boardings'!FA30/'Service Days per Month'!FA$4</f>
        <v>313.33333333333331</v>
      </c>
      <c r="FB30" s="18">
        <f>'Total Weekday Boardings'!FB30/'Service Days per Month'!FB$4</f>
        <v>296.77272727272725</v>
      </c>
      <c r="FC30" s="18">
        <f>'Total Weekday Boardings'!FC30/'Service Days per Month'!FC$4</f>
        <v>271</v>
      </c>
      <c r="FD30" s="18">
        <f>'Total Weekday Boardings'!FD30/'Service Days per Month'!FD$4</f>
        <v>351.35</v>
      </c>
      <c r="FE30" s="18">
        <f>'Total Weekday Boardings'!FE30/'Service Days per Month'!FE$4</f>
        <v>332.17391304347825</v>
      </c>
      <c r="FF30" s="18">
        <f>'Total Weekday Boardings'!FF30/'Service Days per Month'!FF$4</f>
        <v>329.52380952380952</v>
      </c>
      <c r="FG30" s="18">
        <f>'Total Weekday Boardings'!FG30/'Service Days per Month'!FG$4</f>
        <v>302.04761904761904</v>
      </c>
      <c r="FH30" s="19">
        <f>'Total Weekday Boardings'!FH30/'Service Days per Month'!FH$4</f>
        <v>270.22727272727275</v>
      </c>
      <c r="FI30" s="17">
        <v>284.3</v>
      </c>
      <c r="FJ30" s="18">
        <v>297.60869565217394</v>
      </c>
      <c r="FK30" s="18">
        <v>337.66666666666669</v>
      </c>
      <c r="FL30" s="18">
        <v>335.95238095238096</v>
      </c>
      <c r="FM30" s="18">
        <v>310.90476190476193</v>
      </c>
      <c r="FN30" s="18">
        <v>329.66666666666669</v>
      </c>
      <c r="FO30" s="18">
        <v>352.28571428571428</v>
      </c>
      <c r="FP30" s="18">
        <v>346.35</v>
      </c>
      <c r="FQ30" s="18">
        <v>397.3478260869565</v>
      </c>
      <c r="FR30" s="18">
        <f>'Total Weekday Boardings'!FR30/20</f>
        <v>407.15</v>
      </c>
      <c r="FS30" s="18">
        <f>'Total Weekday Boardings'!FS30/22</f>
        <v>382.81818181818181</v>
      </c>
      <c r="FT30" s="21">
        <f>'Total Weekday Boardings'!FT30/23</f>
        <v>352.13043478260869</v>
      </c>
      <c r="FU30" s="17">
        <f>'Total Weekday Boardings'!FU30/21</f>
        <v>341.90476190476193</v>
      </c>
      <c r="FV30" s="18">
        <f>'Total Weekday Boardings'!FV30/23</f>
        <v>369.69565217391306</v>
      </c>
      <c r="FW30" s="18">
        <f>'Total Weekday Boardings'!FW30/21</f>
        <v>365.76190476190476</v>
      </c>
      <c r="FX30" s="18">
        <f>'Total Weekday Boardings'!FX30/22</f>
        <v>412</v>
      </c>
      <c r="FY30" s="18">
        <f>'Total Weekday Boardings'!FY30/22</f>
        <v>393.27272727272725</v>
      </c>
      <c r="FZ30" s="18">
        <f>'Total Weekday Boardings'!FZ30/21</f>
        <v>352.1904761904762</v>
      </c>
      <c r="GA30" s="18">
        <f>'Total Weekday Boardings'!GA30/23</f>
        <v>385.6521739130435</v>
      </c>
      <c r="GB30" s="18">
        <f>'Total Weekday Boardings'!GB30/21</f>
        <v>430.95238095238096</v>
      </c>
      <c r="GC30" s="18">
        <f>'Total Weekday Boardings'!GC30/21</f>
        <v>420.61904761904759</v>
      </c>
      <c r="GD30" s="18">
        <f>'Total Weekday Boardings'!GD30/22</f>
        <v>388.77272727272725</v>
      </c>
      <c r="GE30" s="13">
        <f>'Total Weekday Boardings'!GE30/23</f>
        <v>359.21739130434781</v>
      </c>
      <c r="GF30" s="13">
        <f>'Total Weekday Boardings'!GF30/20</f>
        <v>380.35</v>
      </c>
      <c r="GG30" s="21">
        <f>'Total Weekday Boardings'!GG30/23</f>
        <v>351.3478260869565</v>
      </c>
      <c r="GH30" s="13">
        <f>'Total Weekday Boardings'!GH30/22</f>
        <v>380.68181818181819</v>
      </c>
      <c r="GI30" s="13">
        <f>'Total Weekday Boardings'!GI30/21</f>
        <v>364.90476190476193</v>
      </c>
      <c r="GJ30" s="13">
        <f>'Total Weekday Boardings'!GJ30/23</f>
        <v>467.17391304347825</v>
      </c>
      <c r="GK30" s="13">
        <f>'Total Weekday Boardings'!GK30/21</f>
        <v>357.95238095238096</v>
      </c>
      <c r="GL30" s="13">
        <f>'Total Weekday Boardings'!GL30/22</f>
        <v>328.68181818181819</v>
      </c>
    </row>
    <row r="31" spans="1:194" ht="15" thickBot="1" x14ac:dyDescent="0.35">
      <c r="A31" s="3" t="s">
        <v>14</v>
      </c>
      <c r="B31" s="17"/>
      <c r="C31" s="18">
        <f>'Total Weekday Boardings'!C31/'Service Days per Month'!C$4</f>
        <v>393.14285714285717</v>
      </c>
      <c r="D31" s="18">
        <f>'Total Weekday Boardings'!D31/'Service Days per Month'!D$4</f>
        <v>212.8</v>
      </c>
      <c r="E31" s="18">
        <f>'Total Weekday Boardings'!E31/'Service Days per Month'!E$4</f>
        <v>193.45454545454547</v>
      </c>
      <c r="F31" s="18">
        <f>'Total Weekday Boardings'!F31/'Service Days per Month'!F$4</f>
        <v>258.27272727272725</v>
      </c>
      <c r="G31" s="18">
        <f>'Total Weekday Boardings'!G31/'Service Days per Month'!G$4</f>
        <v>221.2</v>
      </c>
      <c r="H31" s="19">
        <f>'Total Weekday Boardings'!H31/'Service Days per Month'!H$4</f>
        <v>283.90909090909093</v>
      </c>
      <c r="I31" s="17">
        <f>'Total Weekday Boardings'!I31/'Service Days per Month'!I$4</f>
        <v>247.04347826086956</v>
      </c>
      <c r="J31" s="18">
        <f>'Total Weekday Boardings'!J31/'Service Days per Month'!J$4</f>
        <v>318.09523809523807</v>
      </c>
      <c r="K31" s="18">
        <f>'Total Weekday Boardings'!K31/'Service Days per Month'!K$4</f>
        <v>362.09523809523807</v>
      </c>
      <c r="L31" s="18">
        <f>'Total Weekday Boardings'!L31/'Service Days per Month'!L$4</f>
        <v>236.04545454545453</v>
      </c>
      <c r="M31" s="18">
        <f>'Total Weekday Boardings'!M31/'Service Days per Month'!M$4</f>
        <v>295.75</v>
      </c>
      <c r="N31" s="18">
        <f>'Total Weekday Boardings'!N31/'Service Days per Month'!N$4</f>
        <v>339.36363636363637</v>
      </c>
      <c r="O31" s="18">
        <f>'Total Weekday Boardings'!O31/'Service Days per Month'!O$4</f>
        <v>226.55</v>
      </c>
      <c r="P31" s="18">
        <f>'Total Weekday Boardings'!P31/'Service Days per Month'!P$4</f>
        <v>278.45</v>
      </c>
      <c r="Q31" s="18">
        <f>'Total Weekday Boardings'!Q31/'Service Days per Month'!Q$4</f>
        <v>278.91304347826087</v>
      </c>
      <c r="R31" s="18">
        <f>'Total Weekday Boardings'!R31/'Service Days per Month'!R$4</f>
        <v>271.04545454545456</v>
      </c>
      <c r="S31" s="18">
        <f>'Total Weekday Boardings'!S31/'Service Days per Month'!S$4</f>
        <v>236</v>
      </c>
      <c r="T31" s="19">
        <f>'Total Weekday Boardings'!T31/'Service Days per Month'!T$4</f>
        <v>306.68181818181819</v>
      </c>
      <c r="U31" s="17">
        <f>'Total Weekday Boardings'!U31/'Service Days per Month'!U$4</f>
        <v>218.52380952380952</v>
      </c>
      <c r="V31" s="18">
        <f>'Total Weekday Boardings'!V31/'Service Days per Month'!V$4</f>
        <v>270.81818181818181</v>
      </c>
      <c r="W31" s="18">
        <f>'Total Weekday Boardings'!W31/'Service Days per Month'!W$4</f>
        <v>357.71428571428572</v>
      </c>
      <c r="X31" s="18">
        <f>'Total Weekday Boardings'!X31/'Service Days per Month'!X$4</f>
        <v>345.14285714285717</v>
      </c>
      <c r="Y31" s="18">
        <f>'Total Weekday Boardings'!Y31/'Service Days per Month'!Y$4</f>
        <v>355.68421052631578</v>
      </c>
      <c r="Z31" s="18">
        <f>'Total Weekday Boardings'!Z31/'Service Days per Month'!Z$4</f>
        <v>291.85714285714283</v>
      </c>
      <c r="AA31" s="18">
        <f>'Total Weekday Boardings'!AA31/'Service Days per Month'!AA$4</f>
        <v>374</v>
      </c>
      <c r="AB31" s="18">
        <f>'Total Weekday Boardings'!AB31/'Service Days per Month'!AB$4</f>
        <v>389.63157894736844</v>
      </c>
      <c r="AC31" s="18">
        <f>'Total Weekday Boardings'!AC31/'Service Days per Month'!AC$4</f>
        <v>351.47826086956519</v>
      </c>
      <c r="AD31" s="18">
        <f>'Total Weekday Boardings'!AD31/'Service Days per Month'!AD$4</f>
        <v>401.61904761904759</v>
      </c>
      <c r="AE31" s="18">
        <f>'Total Weekday Boardings'!AE31/'Service Days per Month'!AE$4</f>
        <v>297.71428571428572</v>
      </c>
      <c r="AF31" s="19">
        <f>'Total Weekday Boardings'!AF31/'Service Days per Month'!AF$4</f>
        <v>312.68181818181819</v>
      </c>
      <c r="AG31" s="17">
        <f>'Total Weekday Boardings'!AG31/'Service Days per Month'!AG$4</f>
        <v>267.95</v>
      </c>
      <c r="AH31" s="18">
        <f>'Total Weekday Boardings'!AH31/'Service Days per Month'!AH$4</f>
        <v>354.69565217391306</v>
      </c>
      <c r="AI31" s="18">
        <f>'Total Weekday Boardings'!AI31/'Service Days per Month'!AI$4</f>
        <v>419.23809523809524</v>
      </c>
      <c r="AJ31" s="18">
        <f>'Total Weekday Boardings'!AJ31/'Service Days per Month'!AJ$4</f>
        <v>379.04761904761904</v>
      </c>
      <c r="AK31" s="18">
        <f>'Total Weekday Boardings'!AK31/'Service Days per Month'!AK$4</f>
        <v>333.94736842105266</v>
      </c>
      <c r="AL31" s="18">
        <f>'Total Weekday Boardings'!AL31/'Service Days per Month'!AL$4</f>
        <v>281.42857142857144</v>
      </c>
      <c r="AM31" s="18">
        <f>'Total Weekday Boardings'!AM31/'Service Days per Month'!AM$4</f>
        <v>354.35</v>
      </c>
      <c r="AN31" s="18">
        <f>'Total Weekday Boardings'!AN31/'Service Days per Month'!AN$4</f>
        <v>363.95</v>
      </c>
      <c r="AO31" s="18">
        <f>'Total Weekday Boardings'!AO31/'Service Days per Month'!AO$4</f>
        <v>364.22727272727275</v>
      </c>
      <c r="AP31" s="18">
        <f>'Total Weekday Boardings'!AP31/'Service Days per Month'!AP$4</f>
        <v>395.85714285714283</v>
      </c>
      <c r="AQ31" s="18">
        <f>'Total Weekday Boardings'!AQ31/'Service Days per Month'!AQ$4</f>
        <v>319</v>
      </c>
      <c r="AR31" s="19">
        <f>'Total Weekday Boardings'!AR31/'Service Days per Month'!AR$4</f>
        <v>291.90476190476193</v>
      </c>
      <c r="AS31" s="17">
        <f>'Total Weekday Boardings'!AS31/'Service Days per Month'!AS$4</f>
        <v>252.0952380952381</v>
      </c>
      <c r="AT31" s="18">
        <f>'Total Weekday Boardings'!AT31/'Service Days per Month'!AT$4</f>
        <v>318.43478260869563</v>
      </c>
      <c r="AU31" s="18">
        <f>'Total Weekday Boardings'!AU31/'Service Days per Month'!AU$4</f>
        <v>347.84210526315792</v>
      </c>
      <c r="AV31" s="18">
        <f>'Total Weekday Boardings'!AV31/'Service Days per Month'!AV$4</f>
        <v>406.52173913043481</v>
      </c>
      <c r="AW31" s="18">
        <f>'Total Weekday Boardings'!AW31/'Service Days per Month'!AW$4</f>
        <v>395.42105263157896</v>
      </c>
      <c r="AX31" s="18">
        <f>'Total Weekday Boardings'!AX31/'Service Days per Month'!AX$4</f>
        <v>314.78947368421052</v>
      </c>
      <c r="AY31" s="18">
        <f>'Total Weekday Boardings'!AY31/'Service Days per Month'!AY$4</f>
        <v>375.71428571428572</v>
      </c>
      <c r="AZ31" s="18">
        <f>'Total Weekday Boardings'!AZ31/'Service Days per Month'!AZ$4</f>
        <v>400.26315789473682</v>
      </c>
      <c r="BA31" s="18">
        <f>'Total Weekday Boardings'!BA31/'Service Days per Month'!BA$4</f>
        <v>365.76190476190476</v>
      </c>
      <c r="BB31" s="18">
        <f>'Total Weekday Boardings'!BB31/'Service Days per Month'!BB$4</f>
        <v>412.54545454545456</v>
      </c>
      <c r="BC31" s="18">
        <f>'Total Weekday Boardings'!BC31/'Service Days per Month'!BC$4</f>
        <v>310.86363636363637</v>
      </c>
      <c r="BD31" s="19">
        <f>'Total Weekday Boardings'!BD31/'Service Days per Month'!BD$4</f>
        <v>292.7</v>
      </c>
      <c r="BE31" s="17">
        <f>'Total Weekday Boardings'!BE31/'Service Days per Month'!BE$4</f>
        <v>273.68181818181819</v>
      </c>
      <c r="BF31" s="18">
        <f>'Total Weekday Boardings'!BF31/'Service Days per Month'!BF$4</f>
        <v>320.72727272727275</v>
      </c>
      <c r="BG31" s="18">
        <f>'Total Weekday Boardings'!BG31/'Service Days per Month'!BG$4</f>
        <v>388.9</v>
      </c>
      <c r="BH31" s="18">
        <f>'Total Weekday Boardings'!BH31/'Service Days per Month'!BH$4</f>
        <v>416.78260869565219</v>
      </c>
      <c r="BI31" s="18">
        <f>'Total Weekday Boardings'!BI31/'Service Days per Month'!BI$4</f>
        <v>400.17271571564481</v>
      </c>
      <c r="BJ31" s="18">
        <f>'Total Weekday Boardings'!BJ31/'Service Days per Month'!BJ$4</f>
        <v>311.05</v>
      </c>
      <c r="BK31" s="18">
        <f>'Total Weekday Boardings'!BK31/'Service Days per Month'!BK$4</f>
        <v>384.04761904761904</v>
      </c>
      <c r="BL31" s="18">
        <f>'Total Weekday Boardings'!BL31/'Service Days per Month'!BL$4</f>
        <v>416.21052631578948</v>
      </c>
      <c r="BM31" s="18">
        <f>'Total Weekday Boardings'!BM31/'Service Days per Month'!BM$4</f>
        <v>384.71428571428572</v>
      </c>
      <c r="BN31" s="18">
        <f>'Total Weekday Boardings'!BN31/'Service Days per Month'!BN$4</f>
        <v>386.13636363636363</v>
      </c>
      <c r="BO31" s="18">
        <f>'Total Weekday Boardings'!BO31/'Service Days per Month'!BO$4</f>
        <v>274.28571428571428</v>
      </c>
      <c r="BP31" s="19">
        <f>'Total Weekday Boardings'!BP31/'Service Days per Month'!BP$4</f>
        <v>312.09523809523807</v>
      </c>
      <c r="BQ31" s="17">
        <f>'Total Weekday Boardings'!BQ31/'Service Days per Month'!BQ$4</f>
        <v>255.54545454545453</v>
      </c>
      <c r="BR31" s="18">
        <f>'Total Weekday Boardings'!BR31/'Service Days per Month'!BR$4</f>
        <v>303.57142857142856</v>
      </c>
      <c r="BS31" s="18">
        <f>'Total Weekday Boardings'!BS31/'Service Days per Month'!BS$4</f>
        <v>355.61904761904759</v>
      </c>
      <c r="BT31" s="18">
        <f>'Total Weekday Boardings'!BT31/'Service Days per Month'!BT$4</f>
        <v>351.78260869565219</v>
      </c>
      <c r="BU31" s="18">
        <f>'Total Weekday Boardings'!BU31/'Service Days per Month'!BU$4</f>
        <v>369.8235294117647</v>
      </c>
      <c r="BV31" s="18">
        <f>'Total Weekday Boardings'!BV31/'Service Days per Month'!BV$4</f>
        <v>312.23809523809524</v>
      </c>
      <c r="BW31" s="18">
        <f>'Total Weekday Boardings'!BW31/'Service Days per Month'!BW$4</f>
        <v>393.05</v>
      </c>
      <c r="BX31" s="18">
        <f>'Total Weekday Boardings'!BX31/'Service Days per Month'!BX$4</f>
        <v>404.42105263157896</v>
      </c>
      <c r="BY31" s="18">
        <f>'Total Weekday Boardings'!BY31/'Service Days per Month'!BY$4</f>
        <v>363.18181818181819</v>
      </c>
      <c r="BZ31" s="18">
        <f>'Total Weekday Boardings'!BZ31/'Service Days per Month'!BZ$4</f>
        <v>414.36363636363637</v>
      </c>
      <c r="CA31" s="18">
        <f>'Total Weekday Boardings'!CA31/'Service Days per Month'!CA$4</f>
        <v>336.7</v>
      </c>
      <c r="CB31" s="19">
        <f>'Total Weekday Boardings'!CB31/'Service Days per Month'!CB$4</f>
        <v>288</v>
      </c>
      <c r="CC31" s="20">
        <f>'Total Weekday Boardings'!CC31/'Service Days per Month'!CC$4</f>
        <v>278.13636363636363</v>
      </c>
      <c r="CD31" s="18">
        <f>'Total Weekday Boardings'!CD31/'Service Days per Month'!CD$4</f>
        <v>490.04761904761904</v>
      </c>
      <c r="CE31" s="18">
        <f>'Total Weekday Boardings'!CE31/'Service Days per Month'!CE$4</f>
        <v>1015.7142857142857</v>
      </c>
      <c r="CF31" s="18">
        <f>'Total Weekday Boardings'!CF31/'Service Days per Month'!CF$4</f>
        <v>1018</v>
      </c>
      <c r="CG31" s="18">
        <f>'Total Weekday Boardings'!CG31/'Service Days per Month'!CG$4</f>
        <v>954.22222222222217</v>
      </c>
      <c r="CH31" s="18">
        <f>'Total Weekday Boardings'!CH31/'Service Days per Month'!CH$4</f>
        <v>817.52380952380952</v>
      </c>
      <c r="CI31" s="18">
        <f>'Total Weekday Boardings'!CI31/'Service Days per Month'!CI$4</f>
        <v>909.10526315789468</v>
      </c>
      <c r="CJ31" s="18">
        <f>'Total Weekday Boardings'!CJ31/'Service Days per Month'!CJ$4</f>
        <v>952.95</v>
      </c>
      <c r="CK31" s="18">
        <f>'Total Weekday Boardings'!CK31/'Service Days per Month'!CK$4</f>
        <v>892.43478260869563</v>
      </c>
      <c r="CL31" s="18">
        <f>'Total Weekday Boardings'!CL31/'Service Days per Month'!CL$4</f>
        <v>1001.6666666666666</v>
      </c>
      <c r="CM31" s="18">
        <f>'Total Weekday Boardings'!CM31/'Service Days per Month'!CM$4</f>
        <v>838.90476190476193</v>
      </c>
      <c r="CN31" s="21">
        <f>'Total Weekday Boardings'!CN31/'Service Days per Month'!CN$4</f>
        <v>838.90909090909088</v>
      </c>
      <c r="CO31" s="17">
        <f>'Total Weekday Boardings'!CO31/'Service Days per Month'!CO$4</f>
        <v>725.55</v>
      </c>
      <c r="CP31" s="18">
        <f>'Total Weekday Boardings'!CP31/'Service Days per Month'!CP$4</f>
        <v>880.39130434782612</v>
      </c>
      <c r="CQ31" s="18">
        <f>'Total Weekday Boardings'!CQ31/'Service Days per Month'!CQ$4</f>
        <v>1010.2380952380952</v>
      </c>
      <c r="CR31" s="18">
        <f>'Total Weekday Boardings'!CR31/'Service Days per Month'!CR$4</f>
        <v>1013.3333333333334</v>
      </c>
      <c r="CS31" s="18">
        <f>'Total Weekday Boardings'!CS31/'Service Days per Month'!CS$4</f>
        <v>968.21052631578948</v>
      </c>
      <c r="CT31" s="18">
        <f>'Total Weekday Boardings'!CT31/'Service Days per Month'!CT$4</f>
        <v>795.61904761904759</v>
      </c>
      <c r="CU31" s="18">
        <f>'Total Weekday Boardings'!CU31/'Service Days per Month'!CU$4</f>
        <v>913.5</v>
      </c>
      <c r="CV31" s="18">
        <f>'Total Weekday Boardings'!CV31/'Service Days per Month'!CV$4</f>
        <v>950.10526315789468</v>
      </c>
      <c r="CW31" s="18">
        <f>'Total Weekday Boardings'!CW31/'Service Days per Month'!CW$4</f>
        <v>906.304347826087</v>
      </c>
      <c r="CX31" s="18">
        <f>'Total Weekday Boardings'!CX31/'Service Days per Month'!CX$4</f>
        <v>942.45</v>
      </c>
      <c r="CY31" s="18">
        <f>'Total Weekday Boardings'!CY31/'Service Days per Month'!CY$4</f>
        <v>812.09090909090912</v>
      </c>
      <c r="CZ31" s="19">
        <f>'Total Weekday Boardings'!CZ31/'Service Days per Month'!CZ$4</f>
        <v>711.0454545454545</v>
      </c>
      <c r="DA31" s="17">
        <f>'Total Weekday Boardings'!DA31/'Service Days per Month'!DA$4</f>
        <v>664.45</v>
      </c>
      <c r="DB31" s="18">
        <f>'Total Weekday Boardings'!DB31/'Service Days per Month'!DB$4</f>
        <v>867.13043478260875</v>
      </c>
      <c r="DC31" s="18">
        <f>'Total Weekday Boardings'!DC31/'Service Days per Month'!DC$4</f>
        <v>910.3</v>
      </c>
      <c r="DD31" s="18">
        <f>'Total Weekday Boardings'!DD31/'Service Days per Month'!DD$4</f>
        <v>982.5</v>
      </c>
      <c r="DE31" s="18">
        <f>'Total Weekday Boardings'!DE31/'Service Days per Month'!DE$4</f>
        <v>924.9473684210526</v>
      </c>
      <c r="DF31" s="18">
        <f>'Total Weekday Boardings'!DF31/'Service Days per Month'!DF$4</f>
        <v>719.35</v>
      </c>
      <c r="DG31" s="18">
        <f>'Total Weekday Boardings'!DG31/'Service Days per Month'!DG$4</f>
        <v>830.57142857142856</v>
      </c>
      <c r="DH31" s="18">
        <f>'Total Weekday Boardings'!DH31/'Service Days per Month'!DH$4</f>
        <v>856.89473684210532</v>
      </c>
      <c r="DI31" s="18">
        <f>'Total Weekday Boardings'!DI31/'Service Days per Month'!DI$4</f>
        <v>841.68181818181813</v>
      </c>
      <c r="DJ31" s="18">
        <f>'Total Weekday Boardings'!DJ31/'Service Days per Month'!DJ$4</f>
        <v>876.66666666666663</v>
      </c>
      <c r="DK31" s="18">
        <f>'Total Weekday Boardings'!DK31/'Service Days per Month'!DK$4</f>
        <v>719.31818181818187</v>
      </c>
      <c r="DL31" s="19">
        <f>'Total Weekday Boardings'!DL31/'Service Days per Month'!DL$4</f>
        <v>629.95238095238096</v>
      </c>
      <c r="DM31" s="17">
        <f>'Total Weekday Boardings'!DM31/'Service Days per Month'!DM$4</f>
        <v>597.47619047619048</v>
      </c>
      <c r="DN31" s="18">
        <f>'Total Weekday Boardings'!DN31/'Service Days per Month'!DN$4</f>
        <v>711.56521739130437</v>
      </c>
      <c r="DO31" s="18">
        <f>'Total Weekday Boardings'!DO31/'Service Days per Month'!DO$4</f>
        <v>809.9473684210526</v>
      </c>
      <c r="DP31" s="18">
        <f>'Total Weekday Boardings'!DP31/'Service Days per Month'!DP$4</f>
        <v>801.39130434782612</v>
      </c>
      <c r="DQ31" s="18">
        <f>'Total Weekday Boardings'!DQ31/'Service Days per Month'!DQ$4</f>
        <v>746.71428571428567</v>
      </c>
      <c r="DR31" s="18">
        <f>'Total Weekday Boardings'!DR31/'Service Days per Month'!DR$4</f>
        <v>629.4</v>
      </c>
      <c r="DS31" s="18">
        <f>'Total Weekday Boardings'!DS31/'Service Days per Month'!DS$4</f>
        <v>761.31818181818187</v>
      </c>
      <c r="DT31" s="18">
        <f>'Total Weekday Boardings'!DT31/'Service Days per Month'!DT$4</f>
        <v>765.45</v>
      </c>
      <c r="DU31" s="18">
        <f>'Total Weekday Boardings'!DU31/'Service Days per Month'!DU$4</f>
        <v>731.57142857142856</v>
      </c>
      <c r="DV31" s="18">
        <f>'Total Weekday Boardings'!DV31/'Service Days per Month'!DV$4</f>
        <v>784.13636363636363</v>
      </c>
      <c r="DW31" s="18">
        <f>'Total Weekday Boardings'!DW31/'Service Days per Month'!DW$4</f>
        <v>683.22727272727275</v>
      </c>
      <c r="DX31" s="19">
        <f>'Total Weekday Boardings'!DX31/'Service Days per Month'!DX$4</f>
        <v>642.85</v>
      </c>
      <c r="DY31" s="17">
        <f>'Total Weekday Boardings'!DY31/'Service Days per Month'!DY$4</f>
        <v>573.72727272727275</v>
      </c>
      <c r="DZ31" s="18">
        <f>'Total Weekday Boardings'!DZ31/'Service Days per Month'!DZ$4</f>
        <v>752.68181818181813</v>
      </c>
      <c r="EA31" s="18">
        <f>'Total Weekday Boardings'!EA31/'Service Days per Month'!EA$4</f>
        <v>808.35</v>
      </c>
      <c r="EB31" s="18">
        <f>'Total Weekday Boardings'!EB31/'Service Days per Month'!EB$4</f>
        <v>827.91304347826087</v>
      </c>
      <c r="EC31" s="18">
        <f>'Total Weekday Boardings'!EC31/'Service Days per Month'!EC$4</f>
        <v>799.55</v>
      </c>
      <c r="ED31" s="18">
        <f>'Total Weekday Boardings'!ED31/'Service Days per Month'!ED$4</f>
        <v>667.28571428571433</v>
      </c>
      <c r="EE31" s="18">
        <f>'Total Weekday Boardings'!EE31/'Service Days per Month'!EE$4</f>
        <v>700.82608695652175</v>
      </c>
      <c r="EF31" s="18">
        <f>'Total Weekday Boardings'!EF31/'Service Days per Month'!EF$4</f>
        <v>805.8</v>
      </c>
      <c r="EG31" s="18">
        <f>'Total Weekday Boardings'!EG31/'Service Days per Month'!EG$4</f>
        <v>525.09090909090912</v>
      </c>
      <c r="EH31" s="18">
        <f>'Total Weekday Boardings'!EH31/'Service Days per Month'!EH$4</f>
        <v>319.90909090909093</v>
      </c>
      <c r="EI31" s="18">
        <f>'Total Weekday Boardings'!EI31/'Service Days per Month'!EI$4</f>
        <v>307.35000000000002</v>
      </c>
      <c r="EJ31" s="19">
        <f>'Total Weekday Boardings'!EJ31/'Service Days per Month'!EJ$4</f>
        <v>285.54545454545456</v>
      </c>
      <c r="EK31" s="17">
        <f>'Total Weekday Boardings'!EK31/'Service Days per Month'!EK$4</f>
        <v>315.36363636363637</v>
      </c>
      <c r="EL31" s="18">
        <f>'Total Weekday Boardings'!EL31/'Service Days per Month'!EL$4</f>
        <v>289.28571428571428</v>
      </c>
      <c r="EM31" s="18">
        <f>'Total Weekday Boardings'!EM31/'Service Days per Month'!EM$4</f>
        <v>335.47619047619048</v>
      </c>
      <c r="EN31" s="18">
        <f>'Total Weekday Boardings'!EN31/'Service Days per Month'!EN$4</f>
        <v>357.5</v>
      </c>
      <c r="EO31" s="18">
        <f>'Total Weekday Boardings'!EO31/'Service Days per Month'!EO$4</f>
        <v>330.7</v>
      </c>
      <c r="EP31" s="18">
        <f>'Total Weekday Boardings'!EP31/'Service Days per Month'!EP$4</f>
        <v>277.09090909090907</v>
      </c>
      <c r="EQ31" s="18">
        <f>'Total Weekday Boardings'!EQ31/'Service Days per Month'!EQ$4</f>
        <v>147.66666666666666</v>
      </c>
      <c r="ER31" s="18">
        <f>'Total Weekday Boardings'!ER31/'Service Days per Month'!ER$4</f>
        <v>300</v>
      </c>
      <c r="ES31" s="18">
        <f>'Total Weekday Boardings'!ES31/'Service Days per Month'!ES$4</f>
        <v>379.69565217391306</v>
      </c>
      <c r="ET31" s="18">
        <f>'Total Weekday Boardings'!ET31/'Service Days per Month'!ET$4</f>
        <v>325.68181818181819</v>
      </c>
      <c r="EU31" s="18">
        <f>'Total Weekday Boardings'!EU31/'Service Days per Month'!EU$4</f>
        <v>306.85000000000002</v>
      </c>
      <c r="EV31" s="19">
        <f>'Total Weekday Boardings'!EV31/'Service Days per Month'!EV$4</f>
        <v>326.77272727272725</v>
      </c>
      <c r="EW31" s="17">
        <f>'Total Weekday Boardings'!EW31/'Service Days per Month'!EW$4</f>
        <v>305.66666666666669</v>
      </c>
      <c r="EX31" s="18">
        <f>'Total Weekday Boardings'!EX31/'Service Days per Month'!EX$4</f>
        <v>358.5</v>
      </c>
      <c r="EY31" s="18">
        <f>'Total Weekday Boardings'!EY31/'Service Days per Month'!EY$4</f>
        <v>386.38095238095241</v>
      </c>
      <c r="EZ31" s="18">
        <f>'Total Weekday Boardings'!EZ31/'Service Days per Month'!EZ$4</f>
        <v>409.33333333333331</v>
      </c>
      <c r="FA31" s="18">
        <f>'Total Weekday Boardings'!FA31/'Service Days per Month'!FA$4</f>
        <v>399.76190476190476</v>
      </c>
      <c r="FB31" s="18">
        <f>'Total Weekday Boardings'!FB31/'Service Days per Month'!FB$4</f>
        <v>343.22727272727275</v>
      </c>
      <c r="FC31" s="18">
        <f>'Total Weekday Boardings'!FC31/'Service Days per Month'!FC$4</f>
        <v>331.71428571428572</v>
      </c>
      <c r="FD31" s="18">
        <f>'Total Weekday Boardings'!FD31/'Service Days per Month'!FD$4</f>
        <v>428.2</v>
      </c>
      <c r="FE31" s="18">
        <f>'Total Weekday Boardings'!FE31/'Service Days per Month'!FE$4</f>
        <v>457.04347826086956</v>
      </c>
      <c r="FF31" s="18">
        <f>'Total Weekday Boardings'!FF31/'Service Days per Month'!FF$4</f>
        <v>455.95238095238096</v>
      </c>
      <c r="FG31" s="18">
        <f>'Total Weekday Boardings'!FG31/'Service Days per Month'!FG$4</f>
        <v>389.90476190476193</v>
      </c>
      <c r="FH31" s="19">
        <f>'Total Weekday Boardings'!FH31/'Service Days per Month'!FH$4</f>
        <v>309.95454545454544</v>
      </c>
      <c r="FI31" s="17">
        <v>309.5</v>
      </c>
      <c r="FJ31" s="18">
        <v>367.73913043478262</v>
      </c>
      <c r="FK31" s="18">
        <v>436.47619047619048</v>
      </c>
      <c r="FL31" s="18">
        <v>412.90476190476193</v>
      </c>
      <c r="FM31" s="18">
        <v>410</v>
      </c>
      <c r="FN31" s="18">
        <v>342</v>
      </c>
      <c r="FO31" s="18">
        <v>401.90476190476193</v>
      </c>
      <c r="FP31" s="18">
        <v>445.4</v>
      </c>
      <c r="FQ31" s="18">
        <v>459.78260869565219</v>
      </c>
      <c r="FR31" s="18">
        <f>'Total Weekday Boardings'!FR31/20</f>
        <v>508.4</v>
      </c>
      <c r="FS31" s="18">
        <f>'Total Weekday Boardings'!FS31/22</f>
        <v>451.86363636363637</v>
      </c>
      <c r="FT31" s="21">
        <f>'Total Weekday Boardings'!FT31/23</f>
        <v>362.52173913043481</v>
      </c>
      <c r="FU31" s="17">
        <f>'Total Weekday Boardings'!FU31/21</f>
        <v>344</v>
      </c>
      <c r="FV31" s="18">
        <f>'Total Weekday Boardings'!FV31/23</f>
        <v>385.3478260869565</v>
      </c>
      <c r="FW31" s="18">
        <f>'Total Weekday Boardings'!FW31/21</f>
        <v>412.90476190476193</v>
      </c>
      <c r="FX31" s="18">
        <f>'Total Weekday Boardings'!FX31/22</f>
        <v>587.27272727272725</v>
      </c>
      <c r="FY31" s="18">
        <f>'Total Weekday Boardings'!FY31/22</f>
        <v>443.63636363636363</v>
      </c>
      <c r="FZ31" s="18">
        <f>'Total Weekday Boardings'!FZ31/21</f>
        <v>359.85714285714283</v>
      </c>
      <c r="GA31" s="18">
        <f>'Total Weekday Boardings'!GA31/23</f>
        <v>399.26086956521738</v>
      </c>
      <c r="GB31" s="18">
        <f>'Total Weekday Boardings'!GB31/21</f>
        <v>471</v>
      </c>
      <c r="GC31" s="18">
        <f>'Total Weekday Boardings'!GC31/21</f>
        <v>468.09523809523807</v>
      </c>
      <c r="GD31" s="18">
        <f>'Total Weekday Boardings'!GD31/22</f>
        <v>483.27272727272725</v>
      </c>
      <c r="GE31" s="13">
        <f>'Total Weekday Boardings'!GE31/23</f>
        <v>378.78260869565219</v>
      </c>
      <c r="GF31" s="13">
        <f>'Total Weekday Boardings'!GF31/20</f>
        <v>411.6</v>
      </c>
      <c r="GG31" s="21">
        <f>'Total Weekday Boardings'!GG31/23</f>
        <v>348.43478260869563</v>
      </c>
      <c r="GH31" s="13">
        <f>'Total Weekday Boardings'!GH31/22</f>
        <v>437.45454545454544</v>
      </c>
      <c r="GI31" s="13">
        <f>'Total Weekday Boardings'!GI31/21</f>
        <v>488.71428571428572</v>
      </c>
      <c r="GJ31" s="13">
        <f>'Total Weekday Boardings'!GJ31/23</f>
        <v>409.04347826086956</v>
      </c>
      <c r="GK31" s="13">
        <f>'Total Weekday Boardings'!GK31/21</f>
        <v>374.47619047619048</v>
      </c>
      <c r="GL31" s="13">
        <f>'Total Weekday Boardings'!GL31/22</f>
        <v>305.77272727272725</v>
      </c>
    </row>
    <row r="32" spans="1:194" ht="15" thickBot="1" x14ac:dyDescent="0.35">
      <c r="A32" s="3" t="s">
        <v>15</v>
      </c>
      <c r="B32" s="17"/>
      <c r="C32" s="18">
        <f>'Total Weekday Boardings'!C32/'Service Days per Month'!C$4</f>
        <v>1292.6190476190477</v>
      </c>
      <c r="D32" s="18">
        <f>'Total Weekday Boardings'!D32/'Service Days per Month'!D$4</f>
        <v>1669.4</v>
      </c>
      <c r="E32" s="18">
        <f>'Total Weekday Boardings'!E32/'Service Days per Month'!E$4</f>
        <v>1431.3181818181818</v>
      </c>
      <c r="F32" s="18">
        <f>'Total Weekday Boardings'!F32/'Service Days per Month'!F$4</f>
        <v>1841</v>
      </c>
      <c r="G32" s="18">
        <f>'Total Weekday Boardings'!G32/'Service Days per Month'!G$4</f>
        <v>1489.95</v>
      </c>
      <c r="H32" s="19">
        <f>'Total Weekday Boardings'!H32/'Service Days per Month'!H$4</f>
        <v>1742.7272727272727</v>
      </c>
      <c r="I32" s="17">
        <f>'Total Weekday Boardings'!I32/'Service Days per Month'!I$4</f>
        <v>1274.8260869565217</v>
      </c>
      <c r="J32" s="18">
        <f>'Total Weekday Boardings'!J32/'Service Days per Month'!J$4</f>
        <v>1661.9047619047619</v>
      </c>
      <c r="K32" s="18">
        <f>'Total Weekday Boardings'!K32/'Service Days per Month'!K$4</f>
        <v>2232.0476190476193</v>
      </c>
      <c r="L32" s="18">
        <f>'Total Weekday Boardings'!L32/'Service Days per Month'!L$4</f>
        <v>2363.318181818182</v>
      </c>
      <c r="M32" s="18">
        <f>'Total Weekday Boardings'!M32/'Service Days per Month'!M$4</f>
        <v>2317</v>
      </c>
      <c r="N32" s="18">
        <f>'Total Weekday Boardings'!N32/'Service Days per Month'!N$4</f>
        <v>1531.909090909091</v>
      </c>
      <c r="O32" s="18">
        <f>'Total Weekday Boardings'!O32/'Service Days per Month'!O$4</f>
        <v>2268.5</v>
      </c>
      <c r="P32" s="18">
        <f>'Total Weekday Boardings'!P32/'Service Days per Month'!P$4</f>
        <v>1723.2</v>
      </c>
      <c r="Q32" s="18">
        <f>'Total Weekday Boardings'!Q32/'Service Days per Month'!Q$4</f>
        <v>1726.5217391304348</v>
      </c>
      <c r="R32" s="18">
        <f>'Total Weekday Boardings'!R32/'Service Days per Month'!R$4</f>
        <v>2714</v>
      </c>
      <c r="S32" s="18">
        <f>'Total Weekday Boardings'!S32/'Service Days per Month'!S$4</f>
        <v>2748.95</v>
      </c>
      <c r="T32" s="19">
        <f>'Total Weekday Boardings'!T32/'Service Days per Month'!T$4</f>
        <v>1039.8636363636363</v>
      </c>
      <c r="U32" s="17">
        <f>'Total Weekday Boardings'!U32/'Service Days per Month'!U$4</f>
        <v>806.52380952380952</v>
      </c>
      <c r="V32" s="18">
        <f>'Total Weekday Boardings'!V32/'Service Days per Month'!V$4</f>
        <v>956.22727272727275</v>
      </c>
      <c r="W32" s="18">
        <f>'Total Weekday Boardings'!W32/'Service Days per Month'!W$4</f>
        <v>1127</v>
      </c>
      <c r="X32" s="18">
        <f>'Total Weekday Boardings'!X32/'Service Days per Month'!X$4</f>
        <v>1135.6666666666667</v>
      </c>
      <c r="Y32" s="18">
        <f>'Total Weekday Boardings'!Y32/'Service Days per Month'!Y$4</f>
        <v>1102.3684210526317</v>
      </c>
      <c r="Z32" s="18">
        <f>'Total Weekday Boardings'!Z32/'Service Days per Month'!Z$4</f>
        <v>1012.4761904761905</v>
      </c>
      <c r="AA32" s="18">
        <f>'Total Weekday Boardings'!AA32/'Service Days per Month'!AA$4</f>
        <v>1082.2</v>
      </c>
      <c r="AB32" s="18">
        <f>'Total Weekday Boardings'!AB32/'Service Days per Month'!AB$4</f>
        <v>1199</v>
      </c>
      <c r="AC32" s="18">
        <f>'Total Weekday Boardings'!AC32/'Service Days per Month'!AC$4</f>
        <v>1124.8695652173913</v>
      </c>
      <c r="AD32" s="18">
        <f>'Total Weekday Boardings'!AD32/'Service Days per Month'!AD$4</f>
        <v>1223.1428571428571</v>
      </c>
      <c r="AE32" s="18">
        <f>'Total Weekday Boardings'!AE32/'Service Days per Month'!AE$4</f>
        <v>1067.2380952380952</v>
      </c>
      <c r="AF32" s="19">
        <f>'Total Weekday Boardings'!AF32/'Service Days per Month'!AF$4</f>
        <v>1066.6818181818182</v>
      </c>
      <c r="AG32" s="17">
        <f>'Total Weekday Boardings'!AG32/'Service Days per Month'!AG$4</f>
        <v>1006.1</v>
      </c>
      <c r="AH32" s="18">
        <f>'Total Weekday Boardings'!AH32/'Service Days per Month'!AH$4</f>
        <v>1201.391304347826</v>
      </c>
      <c r="AI32" s="18">
        <f>'Total Weekday Boardings'!AI32/'Service Days per Month'!AI$4</f>
        <v>1267.952380952381</v>
      </c>
      <c r="AJ32" s="18">
        <f>'Total Weekday Boardings'!AJ32/'Service Days per Month'!AJ$4</f>
        <v>1232.6666666666667</v>
      </c>
      <c r="AK32" s="18">
        <f>'Total Weekday Boardings'!AK32/'Service Days per Month'!AK$4</f>
        <v>1111.7368421052631</v>
      </c>
      <c r="AL32" s="18">
        <f>'Total Weekday Boardings'!AL32/'Service Days per Month'!AL$4</f>
        <v>1003</v>
      </c>
      <c r="AM32" s="18">
        <f>'Total Weekday Boardings'!AM32/'Service Days per Month'!AM$4</f>
        <v>1171.3</v>
      </c>
      <c r="AN32" s="18">
        <f>'Total Weekday Boardings'!AN32/'Service Days per Month'!AN$4</f>
        <v>1180.25</v>
      </c>
      <c r="AO32" s="18">
        <f>'Total Weekday Boardings'!AO32/'Service Days per Month'!AO$4</f>
        <v>1221.3181818181818</v>
      </c>
      <c r="AP32" s="18">
        <f>'Total Weekday Boardings'!AP32/'Service Days per Month'!AP$4</f>
        <v>1329.952380952381</v>
      </c>
      <c r="AQ32" s="18">
        <f>'Total Weekday Boardings'!AQ32/'Service Days per Month'!AQ$4</f>
        <v>1187.8636363636363</v>
      </c>
      <c r="AR32" s="19">
        <f>'Total Weekday Boardings'!AR32/'Service Days per Month'!AR$4</f>
        <v>1124.3809523809523</v>
      </c>
      <c r="AS32" s="17">
        <f>'Total Weekday Boardings'!AS32/'Service Days per Month'!AS$4</f>
        <v>1018.1428571428571</v>
      </c>
      <c r="AT32" s="18">
        <f>'Total Weekday Boardings'!AT32/'Service Days per Month'!AT$4</f>
        <v>1174.4782608695652</v>
      </c>
      <c r="AU32" s="18">
        <f>'Total Weekday Boardings'!AU32/'Service Days per Month'!AU$4</f>
        <v>1436.421052631579</v>
      </c>
      <c r="AV32" s="18">
        <f>'Total Weekday Boardings'!AV32/'Service Days per Month'!AV$4</f>
        <v>1446.2173913043478</v>
      </c>
      <c r="AW32" s="18">
        <f>'Total Weekday Boardings'!AW32/'Service Days per Month'!AW$4</f>
        <v>1388.3684210526317</v>
      </c>
      <c r="AX32" s="18">
        <f>'Total Weekday Boardings'!AX32/'Service Days per Month'!AX$4</f>
        <v>1200.2105263157894</v>
      </c>
      <c r="AY32" s="18">
        <f>'Total Weekday Boardings'!AY32/'Service Days per Month'!AY$4</f>
        <v>1249</v>
      </c>
      <c r="AZ32" s="18">
        <f>'Total Weekday Boardings'!AZ32/'Service Days per Month'!AZ$4</f>
        <v>1304.2631578947369</v>
      </c>
      <c r="BA32" s="18">
        <f>'Total Weekday Boardings'!BA32/'Service Days per Month'!BA$4</f>
        <v>1245</v>
      </c>
      <c r="BB32" s="18">
        <f>'Total Weekday Boardings'!BB32/'Service Days per Month'!BB$4</f>
        <v>1512.4545454545455</v>
      </c>
      <c r="BC32" s="18">
        <f>'Total Weekday Boardings'!BC32/'Service Days per Month'!BC$4</f>
        <v>1322.2727272727273</v>
      </c>
      <c r="BD32" s="19">
        <f>'Total Weekday Boardings'!BD32/'Service Days per Month'!BD$4</f>
        <v>1228.3</v>
      </c>
      <c r="BE32" s="17">
        <f>'Total Weekday Boardings'!BE32/'Service Days per Month'!BE$4</f>
        <v>1285.3636363636363</v>
      </c>
      <c r="BF32" s="18">
        <f>'Total Weekday Boardings'!BF32/'Service Days per Month'!BF$4</f>
        <v>1373.1363636363637</v>
      </c>
      <c r="BG32" s="18">
        <f>'Total Weekday Boardings'!BG32/'Service Days per Month'!BG$4</f>
        <v>1526.65</v>
      </c>
      <c r="BH32" s="18">
        <f>'Total Weekday Boardings'!BH32/'Service Days per Month'!BH$4</f>
        <v>1536.5652173913043</v>
      </c>
      <c r="BI32" s="18">
        <f>'Total Weekday Boardings'!BI32/'Service Days per Month'!BI$4</f>
        <v>1541.1693748947901</v>
      </c>
      <c r="BJ32" s="18">
        <f>'Total Weekday Boardings'!BJ32/'Service Days per Month'!BJ$4</f>
        <v>1321.5</v>
      </c>
      <c r="BK32" s="18">
        <f>'Total Weekday Boardings'!BK32/'Service Days per Month'!BK$4</f>
        <v>1495.952380952381</v>
      </c>
      <c r="BL32" s="18">
        <f>'Total Weekday Boardings'!BL32/'Service Days per Month'!BL$4</f>
        <v>1532.7894736842106</v>
      </c>
      <c r="BM32" s="18">
        <f>'Total Weekday Boardings'!BM32/'Service Days per Month'!BM$4</f>
        <v>1590.4761904761904</v>
      </c>
      <c r="BN32" s="18">
        <f>'Total Weekday Boardings'!BN32/'Service Days per Month'!BN$4</f>
        <v>1578.7727272727273</v>
      </c>
      <c r="BO32" s="18">
        <f>'Total Weekday Boardings'!BO32/'Service Days per Month'!BO$4</f>
        <v>1344.3333333333333</v>
      </c>
      <c r="BP32" s="19">
        <f>'Total Weekday Boardings'!BP32/'Service Days per Month'!BP$4</f>
        <v>1319.6190476190477</v>
      </c>
      <c r="BQ32" s="17">
        <f>'Total Weekday Boardings'!BQ32/'Service Days per Month'!BQ$4</f>
        <v>1222.6363636363637</v>
      </c>
      <c r="BR32" s="18">
        <f>'Total Weekday Boardings'!BR32/'Service Days per Month'!BR$4</f>
        <v>1338.2857142857142</v>
      </c>
      <c r="BS32" s="18">
        <f>'Total Weekday Boardings'!BS32/'Service Days per Month'!BS$4</f>
        <v>1535</v>
      </c>
      <c r="BT32" s="18">
        <f>'Total Weekday Boardings'!BT32/'Service Days per Month'!BT$4</f>
        <v>1563.0869565217392</v>
      </c>
      <c r="BU32" s="18">
        <f>'Total Weekday Boardings'!BU32/'Service Days per Month'!BU$4</f>
        <v>1493.7647058823529</v>
      </c>
      <c r="BV32" s="18">
        <f>'Total Weekday Boardings'!BV32/'Service Days per Month'!BV$4</f>
        <v>1433.8095238095239</v>
      </c>
      <c r="BW32" s="18">
        <f>'Total Weekday Boardings'!BW32/'Service Days per Month'!BW$4</f>
        <v>1732.1</v>
      </c>
      <c r="BX32" s="18">
        <f>'Total Weekday Boardings'!BX32/'Service Days per Month'!BX$4</f>
        <v>1543.6842105263158</v>
      </c>
      <c r="BY32" s="18">
        <f>'Total Weekday Boardings'!BY32/'Service Days per Month'!BY$4</f>
        <v>1524.3181818181818</v>
      </c>
      <c r="BZ32" s="18">
        <f>'Total Weekday Boardings'!BZ32/'Service Days per Month'!BZ$4</f>
        <v>1552.8636363636363</v>
      </c>
      <c r="CA32" s="18">
        <f>'Total Weekday Boardings'!CA32/'Service Days per Month'!CA$4</f>
        <v>1421.25</v>
      </c>
      <c r="CB32" s="19">
        <f>'Total Weekday Boardings'!CB32/'Service Days per Month'!CB$4</f>
        <v>1297.6363636363637</v>
      </c>
      <c r="CC32" s="20">
        <f>'Total Weekday Boardings'!CC32/'Service Days per Month'!CC$4</f>
        <v>1257.8181818181818</v>
      </c>
      <c r="CD32" s="18">
        <f>'Total Weekday Boardings'!CD32/'Service Days per Month'!CD$4</f>
        <v>1514.1904761904761</v>
      </c>
      <c r="CE32" s="18">
        <f>'Total Weekday Boardings'!CE32/'Service Days per Month'!CE$4</f>
        <v>2102.9523809523807</v>
      </c>
      <c r="CF32" s="18">
        <f>'Total Weekday Boardings'!CF32/'Service Days per Month'!CF$4</f>
        <v>2318.909090909091</v>
      </c>
      <c r="CG32" s="18">
        <f>'Total Weekday Boardings'!CG32/'Service Days per Month'!CG$4</f>
        <v>2213.1666666666665</v>
      </c>
      <c r="CH32" s="18">
        <f>'Total Weekday Boardings'!CH32/'Service Days per Month'!CH$4</f>
        <v>2045.0952380952381</v>
      </c>
      <c r="CI32" s="18">
        <f>'Total Weekday Boardings'!CI32/'Service Days per Month'!CI$4</f>
        <v>2090.8947368421054</v>
      </c>
      <c r="CJ32" s="18">
        <f>'Total Weekday Boardings'!CJ32/'Service Days per Month'!CJ$4</f>
        <v>2111.6999999999998</v>
      </c>
      <c r="CK32" s="18">
        <f>'Total Weekday Boardings'!CK32/'Service Days per Month'!CK$4</f>
        <v>2220.521739130435</v>
      </c>
      <c r="CL32" s="18">
        <f>'Total Weekday Boardings'!CL32/'Service Days per Month'!CL$4</f>
        <v>2178.7619047619046</v>
      </c>
      <c r="CM32" s="18">
        <f>'Total Weekday Boardings'!CM32/'Service Days per Month'!CM$4</f>
        <v>2085.5714285714284</v>
      </c>
      <c r="CN32" s="21">
        <f>'Total Weekday Boardings'!CN32/'Service Days per Month'!CN$4</f>
        <v>1990.9545454545455</v>
      </c>
      <c r="CO32" s="17">
        <f>'Total Weekday Boardings'!CO32/'Service Days per Month'!CO$4</f>
        <v>1921.4</v>
      </c>
      <c r="CP32" s="18">
        <f>'Total Weekday Boardings'!CP32/'Service Days per Month'!CP$4</f>
        <v>1977.2173913043478</v>
      </c>
      <c r="CQ32" s="18">
        <f>'Total Weekday Boardings'!CQ32/'Service Days per Month'!CQ$4</f>
        <v>1998.952380952381</v>
      </c>
      <c r="CR32" s="18">
        <f>'Total Weekday Boardings'!CR32/'Service Days per Month'!CR$4</f>
        <v>2080.2380952380954</v>
      </c>
      <c r="CS32" s="18">
        <f>'Total Weekday Boardings'!CS32/'Service Days per Month'!CS$4</f>
        <v>1955.3157894736842</v>
      </c>
      <c r="CT32" s="18">
        <f>'Total Weekday Boardings'!CT32/'Service Days per Month'!CT$4</f>
        <v>1883.5714285714287</v>
      </c>
      <c r="CU32" s="18">
        <f>'Total Weekday Boardings'!CU32/'Service Days per Month'!CU$4</f>
        <v>2045.5</v>
      </c>
      <c r="CV32" s="18">
        <f>'Total Weekday Boardings'!CV32/'Service Days per Month'!CV$4</f>
        <v>2057.8947368421054</v>
      </c>
      <c r="CW32" s="18">
        <f>'Total Weekday Boardings'!CW32/'Service Days per Month'!CW$4</f>
        <v>2162</v>
      </c>
      <c r="CX32" s="18">
        <f>'Total Weekday Boardings'!CX32/'Service Days per Month'!CX$4</f>
        <v>2092.5500000000002</v>
      </c>
      <c r="CY32" s="18">
        <f>'Total Weekday Boardings'!CY32/'Service Days per Month'!CY$4</f>
        <v>1978.7272727272727</v>
      </c>
      <c r="CZ32" s="19">
        <f>'Total Weekday Boardings'!CZ32/'Service Days per Month'!CZ$4</f>
        <v>1899.1818181818182</v>
      </c>
      <c r="DA32" s="17">
        <f>'Total Weekday Boardings'!DA32/'Service Days per Month'!DA$4</f>
        <v>1780.95</v>
      </c>
      <c r="DB32" s="18">
        <f>'Total Weekday Boardings'!DB32/'Service Days per Month'!DB$4</f>
        <v>1908.8260869565217</v>
      </c>
      <c r="DC32" s="18">
        <f>'Total Weekday Boardings'!DC32/'Service Days per Month'!DC$4</f>
        <v>1910.5</v>
      </c>
      <c r="DD32" s="18">
        <f>'Total Weekday Boardings'!DD32/'Service Days per Month'!DD$4</f>
        <v>2040.909090909091</v>
      </c>
      <c r="DE32" s="18">
        <f>'Total Weekday Boardings'!DE32/'Service Days per Month'!DE$4</f>
        <v>2010.578947368421</v>
      </c>
      <c r="DF32" s="18">
        <f>'Total Weekday Boardings'!DF32/'Service Days per Month'!DF$4</f>
        <v>1877.4</v>
      </c>
      <c r="DG32" s="18">
        <f>'Total Weekday Boardings'!DG32/'Service Days per Month'!DG$4</f>
        <v>1976.5238095238096</v>
      </c>
      <c r="DH32" s="18">
        <f>'Total Weekday Boardings'!DH32/'Service Days per Month'!DH$4</f>
        <v>1997.1578947368421</v>
      </c>
      <c r="DI32" s="18">
        <f>'Total Weekday Boardings'!DI32/'Service Days per Month'!DI$4</f>
        <v>2003.6818181818182</v>
      </c>
      <c r="DJ32" s="18">
        <f>'Total Weekday Boardings'!DJ32/'Service Days per Month'!DJ$4</f>
        <v>2006.8571428571429</v>
      </c>
      <c r="DK32" s="18">
        <f>'Total Weekday Boardings'!DK32/'Service Days per Month'!DK$4</f>
        <v>1966.909090909091</v>
      </c>
      <c r="DL32" s="19">
        <f>'Total Weekday Boardings'!DL32/'Service Days per Month'!DL$4</f>
        <v>1830.8095238095239</v>
      </c>
      <c r="DM32" s="17">
        <f>'Total Weekday Boardings'!DM32/'Service Days per Month'!DM$4</f>
        <v>1846.5238095238096</v>
      </c>
      <c r="DN32" s="18">
        <f>'Total Weekday Boardings'!DN32/'Service Days per Month'!DN$4</f>
        <v>1903.1739130434783</v>
      </c>
      <c r="DO32" s="18">
        <f>'Total Weekday Boardings'!DO32/'Service Days per Month'!DO$4</f>
        <v>1960.1578947368421</v>
      </c>
      <c r="DP32" s="18">
        <f>'Total Weekday Boardings'!DP32/'Service Days per Month'!DP$4</f>
        <v>1971.2173913043478</v>
      </c>
      <c r="DQ32" s="18">
        <f>'Total Weekday Boardings'!DQ32/'Service Days per Month'!DQ$4</f>
        <v>1949.1428571428571</v>
      </c>
      <c r="DR32" s="18">
        <f>'Total Weekday Boardings'!DR32/'Service Days per Month'!DR$4</f>
        <v>1871.65</v>
      </c>
      <c r="DS32" s="18">
        <f>'Total Weekday Boardings'!DS32/'Service Days per Month'!DS$4</f>
        <v>2027.1818181818182</v>
      </c>
      <c r="DT32" s="18">
        <f>'Total Weekday Boardings'!DT32/'Service Days per Month'!DT$4</f>
        <v>1992</v>
      </c>
      <c r="DU32" s="18">
        <f>'Total Weekday Boardings'!DU32/'Service Days per Month'!DU$4</f>
        <v>1962.2857142857142</v>
      </c>
      <c r="DV32" s="18">
        <f>'Total Weekday Boardings'!DV32/'Service Days per Month'!DV$4</f>
        <v>1826.4545454545455</v>
      </c>
      <c r="DW32" s="18">
        <f>'Total Weekday Boardings'!DW32/'Service Days per Month'!DW$4</f>
        <v>1644</v>
      </c>
      <c r="DX32" s="19">
        <f>'Total Weekday Boardings'!DX32/'Service Days per Month'!DX$4</f>
        <v>1827.5</v>
      </c>
      <c r="DY32" s="17">
        <f>'Total Weekday Boardings'!DY32/'Service Days per Month'!DY$4</f>
        <v>1798</v>
      </c>
      <c r="DZ32" s="18">
        <f>'Total Weekday Boardings'!DZ32/'Service Days per Month'!DZ$4</f>
        <v>1941.6818181818182</v>
      </c>
      <c r="EA32" s="18">
        <f>'Total Weekday Boardings'!EA32/'Service Days per Month'!EA$4</f>
        <v>1852.4</v>
      </c>
      <c r="EB32" s="18">
        <f>'Total Weekday Boardings'!EB32/'Service Days per Month'!EB$4</f>
        <v>1893.608695652174</v>
      </c>
      <c r="EC32" s="18">
        <f>'Total Weekday Boardings'!EC32/'Service Days per Month'!EC$4</f>
        <v>1844.75</v>
      </c>
      <c r="ED32" s="18">
        <f>'Total Weekday Boardings'!ED32/'Service Days per Month'!ED$4</f>
        <v>1798.6666666666667</v>
      </c>
      <c r="EE32" s="18">
        <f>'Total Weekday Boardings'!EE32/'Service Days per Month'!EE$4</f>
        <v>1738.608695652174</v>
      </c>
      <c r="EF32" s="18">
        <f>'Total Weekday Boardings'!EF32/'Service Days per Month'!EF$4</f>
        <v>1906.75</v>
      </c>
      <c r="EG32" s="18">
        <f>'Total Weekday Boardings'!EG32/'Service Days per Month'!EG$4</f>
        <v>1412.590909090909</v>
      </c>
      <c r="EH32" s="18">
        <f>'Total Weekday Boardings'!EH32/'Service Days per Month'!EH$4</f>
        <v>784.72727272727275</v>
      </c>
      <c r="EI32" s="18">
        <f>'Total Weekday Boardings'!EI32/'Service Days per Month'!EI$4</f>
        <v>759.55</v>
      </c>
      <c r="EJ32" s="19">
        <f>'Total Weekday Boardings'!EJ32/'Service Days per Month'!EJ$4</f>
        <v>745.63636363636363</v>
      </c>
      <c r="EK32" s="17">
        <f>'Total Weekday Boardings'!EK32/'Service Days per Month'!EK$4</f>
        <v>773.36363636363637</v>
      </c>
      <c r="EL32" s="18">
        <f>'Total Weekday Boardings'!EL32/'Service Days per Month'!EL$4</f>
        <v>795.33333333333337</v>
      </c>
      <c r="EM32" s="18">
        <f>'Total Weekday Boardings'!EM32/'Service Days per Month'!EM$4</f>
        <v>792.76190476190482</v>
      </c>
      <c r="EN32" s="18">
        <f>'Total Weekday Boardings'!EN32/'Service Days per Month'!EN$4</f>
        <v>814.18181818181813</v>
      </c>
      <c r="EO32" s="18">
        <f>'Total Weekday Boardings'!EO32/'Service Days per Month'!EO$4</f>
        <v>1009.1</v>
      </c>
      <c r="EP32" s="18">
        <f>'Total Weekday Boardings'!EP32/'Service Days per Month'!EP$4</f>
        <v>628.59090909090912</v>
      </c>
      <c r="EQ32" s="18">
        <f>'Total Weekday Boardings'!EQ32/'Service Days per Month'!EQ$4</f>
        <v>344.71428571428572</v>
      </c>
      <c r="ER32" s="18">
        <f>'Total Weekday Boardings'!ER32/'Service Days per Month'!ER$4</f>
        <v>704.9</v>
      </c>
      <c r="ES32" s="18">
        <f>'Total Weekday Boardings'!ES32/'Service Days per Month'!ES$4</f>
        <v>810.21739130434787</v>
      </c>
      <c r="ET32" s="18">
        <f>'Total Weekday Boardings'!ET32/'Service Days per Month'!ET$4</f>
        <v>827.68181818181813</v>
      </c>
      <c r="EU32" s="18">
        <f>'Total Weekday Boardings'!EU32/'Service Days per Month'!EU$4</f>
        <v>833.3</v>
      </c>
      <c r="EV32" s="19">
        <f>'Total Weekday Boardings'!EV32/'Service Days per Month'!EV$4</f>
        <v>903.13636363636363</v>
      </c>
      <c r="EW32" s="17">
        <f>'Total Weekday Boardings'!EW32/'Service Days per Month'!EW$4</f>
        <v>921.71428571428567</v>
      </c>
      <c r="EX32" s="18">
        <f>'Total Weekday Boardings'!EX32/'Service Days per Month'!EX$4</f>
        <v>890.9545454545455</v>
      </c>
      <c r="EY32" s="18">
        <f>'Total Weekday Boardings'!EY32/'Service Days per Month'!EY$4</f>
        <v>914.47619047619048</v>
      </c>
      <c r="EZ32" s="18">
        <f>'Total Weekday Boardings'!EZ32/'Service Days per Month'!EZ$4</f>
        <v>997.80952380952385</v>
      </c>
      <c r="FA32" s="18">
        <f>'Total Weekday Boardings'!FA32/'Service Days per Month'!FA$4</f>
        <v>1049.1904761904761</v>
      </c>
      <c r="FB32" s="18">
        <f>'Total Weekday Boardings'!FB32/'Service Days per Month'!FB$4</f>
        <v>978.9545454545455</v>
      </c>
      <c r="FC32" s="18">
        <f>'Total Weekday Boardings'!FC32/'Service Days per Month'!FC$4</f>
        <v>896.23809523809518</v>
      </c>
      <c r="FD32" s="18">
        <f>'Total Weekday Boardings'!FD32/'Service Days per Month'!FD$4</f>
        <v>1137.5</v>
      </c>
      <c r="FE32" s="18">
        <f>'Total Weekday Boardings'!FE32/'Service Days per Month'!FE$4</f>
        <v>1265.9130434782608</v>
      </c>
      <c r="FF32" s="18">
        <f>'Total Weekday Boardings'!FF32/'Service Days per Month'!FF$4</f>
        <v>1166.8095238095239</v>
      </c>
      <c r="FG32" s="18">
        <f>'Total Weekday Boardings'!FG32/'Service Days per Month'!FG$4</f>
        <v>988.95238095238096</v>
      </c>
      <c r="FH32" s="19">
        <f>'Total Weekday Boardings'!FH32/'Service Days per Month'!FH$4</f>
        <v>844.09090909090912</v>
      </c>
      <c r="FI32" s="17">
        <v>934.8</v>
      </c>
      <c r="FJ32" s="18">
        <v>940.86956521739125</v>
      </c>
      <c r="FK32" s="18">
        <v>1004.4761904761905</v>
      </c>
      <c r="FL32" s="18">
        <v>1072.7619047619048</v>
      </c>
      <c r="FM32" s="18">
        <v>991.33333333333337</v>
      </c>
      <c r="FN32" s="18">
        <v>990.95238095238096</v>
      </c>
      <c r="FO32" s="18">
        <v>1117.7619047619048</v>
      </c>
      <c r="FP32" s="18">
        <v>1032.0999999999999</v>
      </c>
      <c r="FQ32" s="18">
        <v>1251.7826086956522</v>
      </c>
      <c r="FR32" s="18">
        <f>'Total Weekday Boardings'!FR32/20</f>
        <v>1231.2</v>
      </c>
      <c r="FS32" s="18">
        <f>'Total Weekday Boardings'!FS32/22</f>
        <v>1180.6818181818182</v>
      </c>
      <c r="FT32" s="21">
        <f>'Total Weekday Boardings'!FT32/23</f>
        <v>1061.0434782608695</v>
      </c>
      <c r="FU32" s="17">
        <f>'Total Weekday Boardings'!FU32/21</f>
        <v>1063.9047619047619</v>
      </c>
      <c r="FV32" s="18">
        <f>'Total Weekday Boardings'!FV32/23</f>
        <v>1188.391304347826</v>
      </c>
      <c r="FW32" s="18">
        <f>'Total Weekday Boardings'!FW32/21</f>
        <v>1082.4285714285713</v>
      </c>
      <c r="FX32" s="18">
        <f>'Total Weekday Boardings'!FX32/22</f>
        <v>1292.5454545454545</v>
      </c>
      <c r="FY32" s="18">
        <f>'Total Weekday Boardings'!FY32/22</f>
        <v>1166.3181818181818</v>
      </c>
      <c r="FZ32" s="18">
        <f>'Total Weekday Boardings'!FZ32/21</f>
        <v>1074.4761904761904</v>
      </c>
      <c r="GA32" s="18">
        <f>'Total Weekday Boardings'!GA32/23</f>
        <v>1171.0434782608695</v>
      </c>
      <c r="GB32" s="18">
        <f>'Total Weekday Boardings'!GB32/21</f>
        <v>1309.4761904761904</v>
      </c>
      <c r="GC32" s="18">
        <f>'Total Weekday Boardings'!GC32/21</f>
        <v>1334.6666666666667</v>
      </c>
      <c r="GD32" s="18">
        <f>'Total Weekday Boardings'!GD32/22</f>
        <v>1249.9545454545455</v>
      </c>
      <c r="GE32" s="13">
        <f>'Total Weekday Boardings'!GE32/23</f>
        <v>1196.7391304347825</v>
      </c>
      <c r="GF32" s="13">
        <f>'Total Weekday Boardings'!GF32/20</f>
        <v>1341.45</v>
      </c>
      <c r="GG32" s="21">
        <f>'Total Weekday Boardings'!GG32/23</f>
        <v>1138.0434782608695</v>
      </c>
      <c r="GH32" s="13">
        <f>'Total Weekday Boardings'!GH32/22</f>
        <v>1201.590909090909</v>
      </c>
      <c r="GI32" s="13">
        <f>'Total Weekday Boardings'!GI32/21</f>
        <v>1201.7619047619048</v>
      </c>
      <c r="GJ32" s="13">
        <f>'Total Weekday Boardings'!GJ32/23</f>
        <v>1229.8260869565217</v>
      </c>
      <c r="GK32" s="13">
        <f>'Total Weekday Boardings'!GK32/21</f>
        <v>1199.4761904761904</v>
      </c>
      <c r="GL32" s="13">
        <f>'Total Weekday Boardings'!GL32/22</f>
        <v>1123.3181818181818</v>
      </c>
    </row>
    <row r="33" spans="1:194" ht="15" customHeight="1" thickBot="1" x14ac:dyDescent="0.35">
      <c r="A33" s="92" t="s">
        <v>71</v>
      </c>
      <c r="B33" s="17"/>
      <c r="C33" s="18"/>
      <c r="D33" s="18"/>
      <c r="E33" s="18"/>
      <c r="F33" s="18"/>
      <c r="G33" s="18"/>
      <c r="H33" s="19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  <c r="U33" s="17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7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9"/>
      <c r="AS33" s="17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9"/>
      <c r="BE33" s="17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9"/>
      <c r="BQ33" s="17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20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21"/>
      <c r="CO33" s="17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9"/>
      <c r="DA33" s="17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9"/>
      <c r="DM33" s="17"/>
      <c r="DN33" s="18"/>
      <c r="DO33" s="18"/>
      <c r="DP33" s="18"/>
      <c r="DQ33" s="18"/>
      <c r="DR33" s="18"/>
      <c r="DS33" s="18"/>
      <c r="DT33" s="18"/>
      <c r="DU33" s="18"/>
      <c r="DV33" s="18">
        <f>'Total Weekday Boardings'!DV33/'Service Days per Month'!DV8</f>
        <v>245.5</v>
      </c>
      <c r="DW33" s="18">
        <f>'Total Weekday Boardings'!DW33/'Service Days per Month'!DW$4</f>
        <v>240.36363636363637</v>
      </c>
      <c r="DX33" s="19">
        <f>'Total Weekday Boardings'!DX33/'Service Days per Month'!DX$4</f>
        <v>255.85</v>
      </c>
      <c r="DY33" s="17">
        <f>'Total Weekday Boardings'!DY33/'Service Days per Month'!DY$4</f>
        <v>270.22727272727275</v>
      </c>
      <c r="DZ33" s="18">
        <f>'Total Weekday Boardings'!DZ33/'Service Days per Month'!DZ$4</f>
        <v>284.59090909090907</v>
      </c>
      <c r="EA33" s="18">
        <f>'Total Weekday Boardings'!EA33/'Service Days per Month'!EA$4</f>
        <v>300.35000000000002</v>
      </c>
      <c r="EB33" s="18">
        <f>'Total Weekday Boardings'!EB33/'Service Days per Month'!EB$4</f>
        <v>397.43478260869563</v>
      </c>
      <c r="EC33" s="18">
        <f>'Total Weekday Boardings'!EC33/'Service Days per Month'!EC$4</f>
        <v>439.2</v>
      </c>
      <c r="ED33" s="18">
        <f>'Total Weekday Boardings'!ED33/'Service Days per Month'!ED$4</f>
        <v>430.52380952380952</v>
      </c>
      <c r="EE33" s="18">
        <f>'Total Weekday Boardings'!EE33/'Service Days per Month'!EE$4</f>
        <v>425.17391304347825</v>
      </c>
      <c r="EF33" s="18">
        <f>'Total Weekday Boardings'!EF33/'Service Days per Month'!EF$4</f>
        <v>439.95</v>
      </c>
      <c r="EG33" s="18">
        <f>'Total Weekday Boardings'!EG33/'Service Days per Month'!EG$4</f>
        <v>351.63636363636363</v>
      </c>
      <c r="EH33" s="18">
        <f>'Total Weekday Boardings'!EH33/'Service Days per Month'!EH$4</f>
        <v>231.27272727272728</v>
      </c>
      <c r="EI33" s="18">
        <f>'Total Weekday Boardings'!EI33/'Service Days per Month'!EI$4</f>
        <v>238.25</v>
      </c>
      <c r="EJ33" s="19">
        <f>'Total Weekday Boardings'!EJ33/'Service Days per Month'!EJ$4</f>
        <v>243.09090909090909</v>
      </c>
      <c r="EK33" s="17">
        <f>'Total Weekday Boardings'!EK33/'Service Days per Month'!EK$4</f>
        <v>263</v>
      </c>
      <c r="EL33" s="18">
        <f>'Total Weekday Boardings'!EL33/'Service Days per Month'!EL$4</f>
        <v>222.57142857142858</v>
      </c>
      <c r="EM33" s="18">
        <f>'Total Weekday Boardings'!EM33/'Service Days per Month'!EM$4</f>
        <v>230.9047619047619</v>
      </c>
      <c r="EN33" s="18">
        <f>'Total Weekday Boardings'!EN33/'Service Days per Month'!EN$4</f>
        <v>258.45454545454544</v>
      </c>
      <c r="EO33" s="18">
        <f>'Total Weekday Boardings'!EO33/'Service Days per Month'!EO$4</f>
        <v>249.25</v>
      </c>
      <c r="EP33" s="18">
        <f>'Total Weekday Boardings'!EP33/'Service Days per Month'!EP$4</f>
        <v>153.54545454545453</v>
      </c>
      <c r="EQ33" s="18">
        <f>'Total Weekday Boardings'!EQ33/'Service Days per Month'!EQ$4</f>
        <v>107.85714285714286</v>
      </c>
      <c r="ER33" s="18">
        <f>'Total Weekday Boardings'!ER33/'Service Days per Month'!ER$4</f>
        <v>205.95</v>
      </c>
      <c r="ES33" s="18">
        <f>'Total Weekday Boardings'!ES33/'Service Days per Month'!ES$4</f>
        <v>161.39130434782609</v>
      </c>
      <c r="ET33" s="18">
        <f>'Total Weekday Boardings'!ET33/'Service Days per Month'!ET$4</f>
        <v>1019.4090909090909</v>
      </c>
      <c r="EU33" s="18">
        <f>'Total Weekday Boardings'!EU33/'Service Days per Month'!EU$4</f>
        <v>204.7</v>
      </c>
      <c r="EV33" s="19">
        <f>'Total Weekday Boardings'!EV33/'Service Days per Month'!EV$4</f>
        <v>216.86363636363637</v>
      </c>
      <c r="EW33" s="17">
        <f>'Total Weekday Boardings'!EW33/'Service Days per Month'!EW$4</f>
        <v>230.85714285714286</v>
      </c>
      <c r="EX33" s="18">
        <f>'Total Weekday Boardings'!EX33/'Service Days per Month'!EX$4</f>
        <v>246.45454545454547</v>
      </c>
      <c r="EY33" s="18">
        <f>'Total Weekday Boardings'!EY33/'Service Days per Month'!EY$4</f>
        <v>236.57142857142858</v>
      </c>
      <c r="EZ33" s="18">
        <f>'Total Weekday Boardings'!EZ33/'Service Days per Month'!EZ$4</f>
        <v>256.04761904761904</v>
      </c>
      <c r="FA33" s="18">
        <f>'Total Weekday Boardings'!FA33/'Service Days per Month'!FA$4</f>
        <v>246.95238095238096</v>
      </c>
      <c r="FB33" s="18">
        <f>'Total Weekday Boardings'!FB33/'Service Days per Month'!FB$4</f>
        <v>231.59090909090909</v>
      </c>
      <c r="FC33" s="18">
        <f>'Total Weekday Boardings'!FC33/'Service Days per Month'!FC$4</f>
        <v>212.9047619047619</v>
      </c>
      <c r="FD33" s="18">
        <f>'Total Weekday Boardings'!FD33/'Service Days per Month'!FD$4</f>
        <v>263.14999999999998</v>
      </c>
      <c r="FE33" s="18">
        <f>'Total Weekday Boardings'!FE33/'Service Days per Month'!FE$4</f>
        <v>289.21739130434781</v>
      </c>
      <c r="FF33" s="18">
        <f>'Total Weekday Boardings'!FF33/'Service Days per Month'!FF$4</f>
        <v>284.57142857142856</v>
      </c>
      <c r="FG33" s="18">
        <f>'Total Weekday Boardings'!FG33/'Service Days per Month'!FG$4</f>
        <v>588.33333333333337</v>
      </c>
      <c r="FH33" s="19">
        <f>'Total Weekday Boardings'!FH33/'Service Days per Month'!FH$4</f>
        <v>235.45454545454547</v>
      </c>
      <c r="FI33" s="17">
        <v>238.8</v>
      </c>
      <c r="FJ33" s="18">
        <v>248.60869565217391</v>
      </c>
      <c r="FK33" s="18">
        <v>279.23809523809524</v>
      </c>
      <c r="FL33" s="18">
        <v>275.71428571428572</v>
      </c>
      <c r="FM33" s="18">
        <v>263.8095238095238</v>
      </c>
      <c r="FN33" s="18">
        <v>258.42857142857144</v>
      </c>
      <c r="FO33" s="18">
        <v>311.76190476190476</v>
      </c>
      <c r="FP33" s="18">
        <v>297.35000000000002</v>
      </c>
      <c r="FQ33" s="18">
        <v>341.17391304347825</v>
      </c>
      <c r="FR33" s="18">
        <f>'Total Weekday Boardings'!FR33/20</f>
        <v>350.15</v>
      </c>
      <c r="FS33" s="18">
        <f>'Total Weekday Boardings'!FS33/22</f>
        <v>323.22727272727275</v>
      </c>
      <c r="FT33" s="21">
        <f>'Total Weekday Boardings'!FT33/23</f>
        <v>290.3478260869565</v>
      </c>
      <c r="FU33" s="17">
        <f>'Total Weekday Boardings'!FU33/21</f>
        <v>289.95238095238096</v>
      </c>
      <c r="FV33" s="18">
        <f>'Total Weekday Boardings'!FV33/23</f>
        <v>294.73913043478262</v>
      </c>
      <c r="FW33" s="18">
        <f>'Total Weekday Boardings'!FW33/21</f>
        <v>274.66666666666669</v>
      </c>
      <c r="FX33" s="18">
        <f>'Total Weekday Boardings'!FX33/22</f>
        <v>307.04545454545456</v>
      </c>
      <c r="FY33" s="18">
        <f>'Total Weekday Boardings'!FY33/22</f>
        <v>275.77272727272725</v>
      </c>
      <c r="FZ33" s="18">
        <f>'Total Weekday Boardings'!FZ33/21</f>
        <v>261.47619047619048</v>
      </c>
      <c r="GA33" s="18">
        <f>'Total Weekday Boardings'!GA33/23</f>
        <v>287.13043478260869</v>
      </c>
      <c r="GB33" s="18">
        <f>'Total Weekday Boardings'!GB33/21</f>
        <v>313.47619047619048</v>
      </c>
      <c r="GC33" s="18">
        <f>'Total Weekday Boardings'!GC33/21</f>
        <v>311</v>
      </c>
      <c r="GD33" s="18">
        <f>'Total Weekday Boardings'!GD33/22</f>
        <v>301.18181818181819</v>
      </c>
      <c r="GE33" s="13">
        <f>'Total Weekday Boardings'!GE33/23</f>
        <v>291.43478260869563</v>
      </c>
      <c r="GF33" s="13">
        <f>'Total Weekday Boardings'!GF33/20</f>
        <v>275.05</v>
      </c>
      <c r="GG33" s="21">
        <f>'Total Weekday Boardings'!GG33/23</f>
        <v>251.91304347826087</v>
      </c>
      <c r="GH33" s="13">
        <f>'Total Weekday Boardings'!GH33/22</f>
        <v>274.81818181818181</v>
      </c>
      <c r="GI33" s="13">
        <f>'Total Weekday Boardings'!GI33/21</f>
        <v>293.14285714285717</v>
      </c>
      <c r="GJ33" s="13">
        <f>'Total Weekday Boardings'!GJ33/23</f>
        <v>305.26086956521738</v>
      </c>
      <c r="GK33" s="13">
        <f>'Total Weekday Boardings'!GK33/21</f>
        <v>364.90476190476193</v>
      </c>
      <c r="GL33" s="13">
        <f>'Total Weekday Boardings'!GL33/22</f>
        <v>334.68181818181819</v>
      </c>
    </row>
    <row r="34" spans="1:194" ht="15" thickBot="1" x14ac:dyDescent="0.35">
      <c r="A34" s="3" t="s">
        <v>16</v>
      </c>
      <c r="B34" s="17"/>
      <c r="C34" s="18">
        <f>'Total Weekday Boardings'!C34/'Service Days per Month'!C$4</f>
        <v>818.52380952380952</v>
      </c>
      <c r="D34" s="18">
        <f>'Total Weekday Boardings'!D34/'Service Days per Month'!D$4</f>
        <v>946.9</v>
      </c>
      <c r="E34" s="18">
        <f>'Total Weekday Boardings'!E34/'Service Days per Month'!E$4</f>
        <v>860.81818181818187</v>
      </c>
      <c r="F34" s="18">
        <f>'Total Weekday Boardings'!F34/'Service Days per Month'!F$4</f>
        <v>1294.5</v>
      </c>
      <c r="G34" s="18">
        <f>'Total Weekday Boardings'!G34/'Service Days per Month'!G$4</f>
        <v>1453.95</v>
      </c>
      <c r="H34" s="19">
        <f>'Total Weekday Boardings'!H34/'Service Days per Month'!H$4</f>
        <v>877.77272727272725</v>
      </c>
      <c r="I34" s="17">
        <f>'Total Weekday Boardings'!I34/'Service Days per Month'!I$4</f>
        <v>955.6521739130435</v>
      </c>
      <c r="J34" s="18">
        <f>'Total Weekday Boardings'!J34/'Service Days per Month'!J$4</f>
        <v>1276.2380952380952</v>
      </c>
      <c r="K34" s="18">
        <f>'Total Weekday Boardings'!K34/'Service Days per Month'!K$4</f>
        <v>924.47619047619048</v>
      </c>
      <c r="L34" s="18">
        <f>'Total Weekday Boardings'!L34/'Service Days per Month'!L$4</f>
        <v>892.86363636363637</v>
      </c>
      <c r="M34" s="18">
        <f>'Total Weekday Boardings'!M34/'Service Days per Month'!M$4</f>
        <v>827.8</v>
      </c>
      <c r="N34" s="18">
        <f>'Total Weekday Boardings'!N34/'Service Days per Month'!N$4</f>
        <v>955.36363636363637</v>
      </c>
      <c r="O34" s="18">
        <f>'Total Weekday Boardings'!O34/'Service Days per Month'!O$4</f>
        <v>695.6</v>
      </c>
      <c r="P34" s="18">
        <f>'Total Weekday Boardings'!P34/'Service Days per Month'!P$4</f>
        <v>1205.0999999999999</v>
      </c>
      <c r="Q34" s="18">
        <f>'Total Weekday Boardings'!Q34/'Service Days per Month'!Q$4</f>
        <v>1207.4347826086957</v>
      </c>
      <c r="R34" s="18">
        <f>'Total Weekday Boardings'!R34/'Service Days per Month'!R$4</f>
        <v>879.31818181818187</v>
      </c>
      <c r="S34" s="18">
        <f>'Total Weekday Boardings'!S34/'Service Days per Month'!S$4</f>
        <v>740.5</v>
      </c>
      <c r="T34" s="19">
        <f>'Total Weekday Boardings'!T34/'Service Days per Month'!T$4</f>
        <v>2084.9545454545455</v>
      </c>
      <c r="U34" s="17">
        <f>'Total Weekday Boardings'!U34/'Service Days per Month'!U$4</f>
        <v>1640.4285714285713</v>
      </c>
      <c r="V34" s="18">
        <f>'Total Weekday Boardings'!V34/'Service Days per Month'!V$4</f>
        <v>1507.1363636363637</v>
      </c>
      <c r="W34" s="18">
        <f>'Total Weekday Boardings'!W34/'Service Days per Month'!W$4</f>
        <v>1625.5238095238096</v>
      </c>
      <c r="X34" s="18">
        <f>'Total Weekday Boardings'!X34/'Service Days per Month'!X$4</f>
        <v>1680.8571428571429</v>
      </c>
      <c r="Y34" s="18">
        <f>'Total Weekday Boardings'!Y34/'Service Days per Month'!Y$4</f>
        <v>1751.2631578947369</v>
      </c>
      <c r="Z34" s="18">
        <f>'Total Weekday Boardings'!Z34/'Service Days per Month'!Z$4</f>
        <v>1644</v>
      </c>
      <c r="AA34" s="18">
        <f>'Total Weekday Boardings'!AA34/'Service Days per Month'!AA$4</f>
        <v>1727.9</v>
      </c>
      <c r="AB34" s="18">
        <f>'Total Weekday Boardings'!AB34/'Service Days per Month'!AB$4</f>
        <v>1797</v>
      </c>
      <c r="AC34" s="18">
        <f>'Total Weekday Boardings'!AC34/'Service Days per Month'!AC$4</f>
        <v>1826.304347826087</v>
      </c>
      <c r="AD34" s="18">
        <f>'Total Weekday Boardings'!AD34/'Service Days per Month'!AD$4</f>
        <v>1850.5714285714287</v>
      </c>
      <c r="AE34" s="18">
        <f>'Total Weekday Boardings'!AE34/'Service Days per Month'!AE$4</f>
        <v>1694.5714285714287</v>
      </c>
      <c r="AF34" s="19">
        <f>'Total Weekday Boardings'!AF34/'Service Days per Month'!AF$4</f>
        <v>1595.7272727272727</v>
      </c>
      <c r="AG34" s="17">
        <f>'Total Weekday Boardings'!AG34/'Service Days per Month'!AG$4</f>
        <v>1663.85</v>
      </c>
      <c r="AH34" s="18">
        <f>'Total Weekday Boardings'!AH34/'Service Days per Month'!AH$4</f>
        <v>1673.5217391304348</v>
      </c>
      <c r="AI34" s="18">
        <f>'Total Weekday Boardings'!AI34/'Service Days per Month'!AI$4</f>
        <v>1813.8571428571429</v>
      </c>
      <c r="AJ34" s="18">
        <f>'Total Weekday Boardings'!AJ34/'Service Days per Month'!AJ$4</f>
        <v>1870.1428571428571</v>
      </c>
      <c r="AK34" s="18">
        <f>'Total Weekday Boardings'!AK34/'Service Days per Month'!AK$4</f>
        <v>1766.6315789473683</v>
      </c>
      <c r="AL34" s="18">
        <f>'Total Weekday Boardings'!AL34/'Service Days per Month'!AL$4</f>
        <v>1708.8095238095239</v>
      </c>
      <c r="AM34" s="18">
        <f>'Total Weekday Boardings'!AM34/'Service Days per Month'!AM$4</f>
        <v>1871.45</v>
      </c>
      <c r="AN34" s="18">
        <f>'Total Weekday Boardings'!AN34/'Service Days per Month'!AN$4</f>
        <v>1832.55</v>
      </c>
      <c r="AO34" s="18">
        <f>'Total Weekday Boardings'!AO34/'Service Days per Month'!AO$4</f>
        <v>1933.4545454545455</v>
      </c>
      <c r="AP34" s="18">
        <f>'Total Weekday Boardings'!AP34/'Service Days per Month'!AP$4</f>
        <v>2043.5238095238096</v>
      </c>
      <c r="AQ34" s="18">
        <f>'Total Weekday Boardings'!AQ34/'Service Days per Month'!AQ$4</f>
        <v>1876.1363636363637</v>
      </c>
      <c r="AR34" s="19">
        <f>'Total Weekday Boardings'!AR34/'Service Days per Month'!AR$4</f>
        <v>1870.7142857142858</v>
      </c>
      <c r="AS34" s="17">
        <f>'Total Weekday Boardings'!AS34/'Service Days per Month'!AS$4</f>
        <v>1728.6666666666667</v>
      </c>
      <c r="AT34" s="18">
        <f>'Total Weekday Boardings'!AT34/'Service Days per Month'!AT$4</f>
        <v>1927</v>
      </c>
      <c r="AU34" s="18">
        <f>'Total Weekday Boardings'!AU34/'Service Days per Month'!AU$4</f>
        <v>2032.3157894736842</v>
      </c>
      <c r="AV34" s="18">
        <f>'Total Weekday Boardings'!AV34/'Service Days per Month'!AV$4</f>
        <v>2182.782608695652</v>
      </c>
      <c r="AW34" s="18">
        <f>'Total Weekday Boardings'!AW34/'Service Days per Month'!AW$4</f>
        <v>2230.2631578947367</v>
      </c>
      <c r="AX34" s="18">
        <f>'Total Weekday Boardings'!AX34/'Service Days per Month'!AX$4</f>
        <v>1989.421052631579</v>
      </c>
      <c r="AY34" s="18">
        <f>'Total Weekday Boardings'!AY34/'Service Days per Month'!AY$4</f>
        <v>2007.7142857142858</v>
      </c>
      <c r="AZ34" s="18">
        <f>'Total Weekday Boardings'!AZ34/'Service Days per Month'!AZ$4</f>
        <v>2151.1052631578946</v>
      </c>
      <c r="BA34" s="18">
        <f>'Total Weekday Boardings'!BA34/'Service Days per Month'!BA$4</f>
        <v>2153.4761904761904</v>
      </c>
      <c r="BB34" s="18">
        <f>'Total Weekday Boardings'!BB34/'Service Days per Month'!BB$4</f>
        <v>2122</v>
      </c>
      <c r="BC34" s="18">
        <f>'Total Weekday Boardings'!BC34/'Service Days per Month'!BC$4</f>
        <v>1972.6363636363637</v>
      </c>
      <c r="BD34" s="19">
        <f>'Total Weekday Boardings'!BD34/'Service Days per Month'!BD$4</f>
        <v>1773.2</v>
      </c>
      <c r="BE34" s="17">
        <f>'Total Weekday Boardings'!BE34/'Service Days per Month'!BE$4</f>
        <v>1722.909090909091</v>
      </c>
      <c r="BF34" s="18">
        <f>'Total Weekday Boardings'!BF34/'Service Days per Month'!BF$4</f>
        <v>1817.4545454545455</v>
      </c>
      <c r="BG34" s="18">
        <f>'Total Weekday Boardings'!BG34/'Service Days per Month'!BG$4</f>
        <v>2040.9</v>
      </c>
      <c r="BH34" s="18">
        <f>'Total Weekday Boardings'!BH34/'Service Days per Month'!BH$4</f>
        <v>1972.8695652173913</v>
      </c>
      <c r="BI34" s="18">
        <f>'Total Weekday Boardings'!BI34/'Service Days per Month'!BI$4</f>
        <v>2162.6140628296735</v>
      </c>
      <c r="BJ34" s="18">
        <f>'Total Weekday Boardings'!BJ34/'Service Days per Month'!BJ$4</f>
        <v>1888.8</v>
      </c>
      <c r="BK34" s="18">
        <f>'Total Weekday Boardings'!BK34/'Service Days per Month'!BK$4</f>
        <v>2040.8095238095239</v>
      </c>
      <c r="BL34" s="18">
        <f>'Total Weekday Boardings'!BL34/'Service Days per Month'!BL$4</f>
        <v>2124.8947368421054</v>
      </c>
      <c r="BM34" s="18">
        <f>'Total Weekday Boardings'!BM34/'Service Days per Month'!BM$4</f>
        <v>2250.0476190476193</v>
      </c>
      <c r="BN34" s="18">
        <f>'Total Weekday Boardings'!BN34/'Service Days per Month'!BN$4</f>
        <v>2089.9545454545455</v>
      </c>
      <c r="BO34" s="18">
        <f>'Total Weekday Boardings'!BO34/'Service Days per Month'!BO$4</f>
        <v>1941.6666666666667</v>
      </c>
      <c r="BP34" s="19">
        <f>'Total Weekday Boardings'!BP34/'Service Days per Month'!BP$4</f>
        <v>1830.4285714285713</v>
      </c>
      <c r="BQ34" s="17">
        <f>'Total Weekday Boardings'!BQ34/'Service Days per Month'!BQ$4</f>
        <v>1700.0454545454545</v>
      </c>
      <c r="BR34" s="18">
        <f>'Total Weekday Boardings'!BR34/'Service Days per Month'!BR$4</f>
        <v>1907.8571428571429</v>
      </c>
      <c r="BS34" s="18">
        <f>'Total Weekday Boardings'!BS34/'Service Days per Month'!BS$4</f>
        <v>2066.2857142857142</v>
      </c>
      <c r="BT34" s="18">
        <f>'Total Weekday Boardings'!BT34/'Service Days per Month'!BT$4</f>
        <v>2083.1739130434785</v>
      </c>
      <c r="BU34" s="18">
        <f>'Total Weekday Boardings'!BU34/'Service Days per Month'!BU$4</f>
        <v>2117.4117647058824</v>
      </c>
      <c r="BV34" s="18">
        <f>'Total Weekday Boardings'!BV34/'Service Days per Month'!BV$4</f>
        <v>1985.5714285714287</v>
      </c>
      <c r="BW34" s="18">
        <f>'Total Weekday Boardings'!BW34/'Service Days per Month'!BW$4</f>
        <v>2222</v>
      </c>
      <c r="BX34" s="18">
        <f>'Total Weekday Boardings'!BX34/'Service Days per Month'!BX$4</f>
        <v>2070.7894736842104</v>
      </c>
      <c r="BY34" s="18">
        <f>'Total Weekday Boardings'!BY34/'Service Days per Month'!BY$4</f>
        <v>2056.681818181818</v>
      </c>
      <c r="BZ34" s="18">
        <f>'Total Weekday Boardings'!BZ34/'Service Days per Month'!BZ$4</f>
        <v>2037</v>
      </c>
      <c r="CA34" s="18">
        <f>'Total Weekday Boardings'!CA34/'Service Days per Month'!CA$4</f>
        <v>1930.45</v>
      </c>
      <c r="CB34" s="19">
        <f>'Total Weekday Boardings'!CB34/'Service Days per Month'!CB$4</f>
        <v>1810.590909090909</v>
      </c>
      <c r="CC34" s="20">
        <f>'Total Weekday Boardings'!CC34/'Service Days per Month'!CC$4</f>
        <v>1732.8636363636363</v>
      </c>
      <c r="CD34" s="18">
        <f>'Total Weekday Boardings'!CD34/'Service Days per Month'!CD$4</f>
        <v>1651.3333333333333</v>
      </c>
      <c r="CE34" s="18">
        <f>'Total Weekday Boardings'!CE34/'Service Days per Month'!CE$4</f>
        <v>1020.1904761904761</v>
      </c>
      <c r="CF34" s="18">
        <f>'Total Weekday Boardings'!CF34/'Service Days per Month'!CF$4</f>
        <v>1041.1818181818182</v>
      </c>
      <c r="CG34" s="18">
        <f>'Total Weekday Boardings'!CG34/'Service Days per Month'!CG$4</f>
        <v>1042.6111111111111</v>
      </c>
      <c r="CH34" s="18">
        <f>'Total Weekday Boardings'!CH34/'Service Days per Month'!CH$4</f>
        <v>969.71428571428567</v>
      </c>
      <c r="CI34" s="18">
        <f>'Total Weekday Boardings'!CI34/'Service Days per Month'!CI$4</f>
        <v>963.15789473684208</v>
      </c>
      <c r="CJ34" s="18">
        <f>'Total Weekday Boardings'!CJ34/'Service Days per Month'!CJ$4</f>
        <v>977.2</v>
      </c>
      <c r="CK34" s="18">
        <f>'Total Weekday Boardings'!CK34/'Service Days per Month'!CK$4</f>
        <v>983.56521739130437</v>
      </c>
      <c r="CL34" s="18">
        <f>'Total Weekday Boardings'!CL34/'Service Days per Month'!CL$4</f>
        <v>986.23809523809518</v>
      </c>
      <c r="CM34" s="18">
        <f>'Total Weekday Boardings'!CM34/'Service Days per Month'!CM$4</f>
        <v>935.76190476190482</v>
      </c>
      <c r="CN34" s="21">
        <f>'Total Weekday Boardings'!CN34/'Service Days per Month'!CN$4</f>
        <v>874.0454545454545</v>
      </c>
      <c r="CO34" s="17">
        <f>'Total Weekday Boardings'!CO34/'Service Days per Month'!CO$4</f>
        <v>875.3</v>
      </c>
      <c r="CP34" s="18">
        <f>'Total Weekday Boardings'!CP34/'Service Days per Month'!CP$4</f>
        <v>941.73913043478262</v>
      </c>
      <c r="CQ34" s="18">
        <f>'Total Weekday Boardings'!CQ34/'Service Days per Month'!CQ$4</f>
        <v>947.23809523809518</v>
      </c>
      <c r="CR34" s="18">
        <f>'Total Weekday Boardings'!CR34/'Service Days per Month'!CR$4</f>
        <v>985.47619047619048</v>
      </c>
      <c r="CS34" s="18">
        <f>'Total Weekday Boardings'!CS34/'Service Days per Month'!CS$4</f>
        <v>960.63157894736844</v>
      </c>
      <c r="CT34" s="18">
        <f>'Total Weekday Boardings'!CT34/'Service Days per Month'!CT$4</f>
        <v>912.19047619047615</v>
      </c>
      <c r="CU34" s="18">
        <f>'Total Weekday Boardings'!CU34/'Service Days per Month'!CU$4</f>
        <v>979.3</v>
      </c>
      <c r="CV34" s="18">
        <f>'Total Weekday Boardings'!CV34/'Service Days per Month'!CV$4</f>
        <v>993.42105263157896</v>
      </c>
      <c r="CW34" s="18">
        <f>'Total Weekday Boardings'!CW34/'Service Days per Month'!CW$4</f>
        <v>976.78260869565213</v>
      </c>
      <c r="CX34" s="18">
        <f>'Total Weekday Boardings'!CX34/'Service Days per Month'!CX$4</f>
        <v>1026.25</v>
      </c>
      <c r="CY34" s="18">
        <f>'Total Weekday Boardings'!CY34/'Service Days per Month'!CY$4</f>
        <v>984.86363636363637</v>
      </c>
      <c r="CZ34" s="19">
        <f>'Total Weekday Boardings'!CZ34/'Service Days per Month'!CZ$4</f>
        <v>932.18181818181813</v>
      </c>
      <c r="DA34" s="17">
        <f>'Total Weekday Boardings'!DA34/'Service Days per Month'!DA$4</f>
        <v>862.2</v>
      </c>
      <c r="DB34" s="18">
        <f>'Total Weekday Boardings'!DB34/'Service Days per Month'!DB$4</f>
        <v>929.82608695652175</v>
      </c>
      <c r="DC34" s="18">
        <f>'Total Weekday Boardings'!DC34/'Service Days per Month'!DC$4</f>
        <v>970.75</v>
      </c>
      <c r="DD34" s="18">
        <f>'Total Weekday Boardings'!DD34/'Service Days per Month'!DD$4</f>
        <v>1070.5454545454545</v>
      </c>
      <c r="DE34" s="18">
        <f>'Total Weekday Boardings'!DE34/'Service Days per Month'!DE$4</f>
        <v>1143.4736842105262</v>
      </c>
      <c r="DF34" s="18">
        <f>'Total Weekday Boardings'!DF34/'Service Days per Month'!DF$4</f>
        <v>1117.5</v>
      </c>
      <c r="DG34" s="18">
        <f>'Total Weekday Boardings'!DG34/'Service Days per Month'!DG$4</f>
        <v>1139</v>
      </c>
      <c r="DH34" s="18">
        <f>'Total Weekday Boardings'!DH34/'Service Days per Month'!DH$4</f>
        <v>1181.6315789473683</v>
      </c>
      <c r="DI34" s="18">
        <f>'Total Weekday Boardings'!DI34/'Service Days per Month'!DI$4</f>
        <v>1157.2272727272727</v>
      </c>
      <c r="DJ34" s="18">
        <f>'Total Weekday Boardings'!DJ34/'Service Days per Month'!DJ$4</f>
        <v>1189.4285714285713</v>
      </c>
      <c r="DK34" s="18">
        <f>'Total Weekday Boardings'!DK34/'Service Days per Month'!DK$4</f>
        <v>1069.9545454545455</v>
      </c>
      <c r="DL34" s="19">
        <f>'Total Weekday Boardings'!DL34/'Service Days per Month'!DL$4</f>
        <v>1040.1904761904761</v>
      </c>
      <c r="DM34" s="17">
        <f>'Total Weekday Boardings'!DM34/'Service Days per Month'!DM$4</f>
        <v>999.95238095238096</v>
      </c>
      <c r="DN34" s="18">
        <f>'Total Weekday Boardings'!DN34/'Service Days per Month'!DN$4</f>
        <v>1063.7391304347825</v>
      </c>
      <c r="DO34" s="18">
        <f>'Total Weekday Boardings'!DO34/'Service Days per Month'!DO$4</f>
        <v>1105.7368421052631</v>
      </c>
      <c r="DP34" s="18">
        <f>'Total Weekday Boardings'!DP34/'Service Days per Month'!DP$4</f>
        <v>1162.3478260869565</v>
      </c>
      <c r="DQ34" s="18">
        <f>'Total Weekday Boardings'!DQ34/'Service Days per Month'!DQ$4</f>
        <v>1170.5714285714287</v>
      </c>
      <c r="DR34" s="18">
        <f>'Total Weekday Boardings'!DR34/'Service Days per Month'!DR$4</f>
        <v>1078</v>
      </c>
      <c r="DS34" s="18">
        <f>'Total Weekday Boardings'!DS34/'Service Days per Month'!DS$4</f>
        <v>1141.3636363636363</v>
      </c>
      <c r="DT34" s="18">
        <f>'Total Weekday Boardings'!DT34/'Service Days per Month'!DT$4</f>
        <v>1095.2</v>
      </c>
      <c r="DU34" s="18">
        <f>'Total Weekday Boardings'!DU34/'Service Days per Month'!DU$4</f>
        <v>1115.3333333333333</v>
      </c>
      <c r="DV34" s="18">
        <f>'Total Weekday Boardings'!DV34/'Service Days per Month'!DV$4</f>
        <v>289</v>
      </c>
      <c r="DW34" s="18">
        <f>'Total Weekday Boardings'!DW34/'Service Days per Month'!DW$4</f>
        <v>978.13636363636363</v>
      </c>
      <c r="DX34" s="19">
        <f>'Total Weekday Boardings'!DX34/'Service Days per Month'!DX$4</f>
        <v>1030.6500000000001</v>
      </c>
      <c r="DY34" s="17">
        <f>'Total Weekday Boardings'!DY34/'Service Days per Month'!DY$4</f>
        <v>952.81818181818187</v>
      </c>
      <c r="DZ34" s="18">
        <f>'Total Weekday Boardings'!DZ34/'Service Days per Month'!DZ$4</f>
        <v>1050</v>
      </c>
      <c r="EA34" s="18">
        <f>'Total Weekday Boardings'!EA34/'Service Days per Month'!EA$4</f>
        <v>1110</v>
      </c>
      <c r="EB34" s="18">
        <f>'Total Weekday Boardings'!EB34/'Service Days per Month'!EB$4</f>
        <v>1170.8695652173913</v>
      </c>
      <c r="EC34" s="18">
        <f>'Total Weekday Boardings'!EC34/'Service Days per Month'!EC$4</f>
        <v>1171.8</v>
      </c>
      <c r="ED34" s="18">
        <f>'Total Weekday Boardings'!ED34/'Service Days per Month'!ED$4</f>
        <v>1056.7142857142858</v>
      </c>
      <c r="EE34" s="18">
        <f>'Total Weekday Boardings'!EE34/'Service Days per Month'!EE$4</f>
        <v>995.08695652173913</v>
      </c>
      <c r="EF34" s="18">
        <f>'Total Weekday Boardings'!EF34/'Service Days per Month'!EF$4</f>
        <v>1123.9000000000001</v>
      </c>
      <c r="EG34" s="18">
        <f>'Total Weekday Boardings'!EG34/'Service Days per Month'!EG$4</f>
        <v>860.0454545454545</v>
      </c>
      <c r="EH34" s="18">
        <f>'Total Weekday Boardings'!EH34/'Service Days per Month'!EH$4</f>
        <v>549.72727272727275</v>
      </c>
      <c r="EI34" s="18">
        <f>'Total Weekday Boardings'!EI34/'Service Days per Month'!EI$4</f>
        <v>492.6</v>
      </c>
      <c r="EJ34" s="19">
        <f>'Total Weekday Boardings'!EJ34/'Service Days per Month'!EJ$4</f>
        <v>447.77272727272725</v>
      </c>
      <c r="EK34" s="17">
        <f>'Total Weekday Boardings'!EK34/'Service Days per Month'!EK$4</f>
        <v>438.86363636363637</v>
      </c>
      <c r="EL34" s="18">
        <f>'Total Weekday Boardings'!EL34/'Service Days per Month'!EL$4</f>
        <v>455.23809523809524</v>
      </c>
      <c r="EM34" s="18">
        <f>'Total Weekday Boardings'!EM34/'Service Days per Month'!EM$4</f>
        <v>456.95238095238096</v>
      </c>
      <c r="EN34" s="18">
        <f>'Total Weekday Boardings'!EN34/'Service Days per Month'!EN$4</f>
        <v>515.68181818181813</v>
      </c>
      <c r="EO34" s="18">
        <f>'Total Weekday Boardings'!EO34/'Service Days per Month'!EO$4</f>
        <v>497.5</v>
      </c>
      <c r="EP34" s="18">
        <f>'Total Weekday Boardings'!EP34/'Service Days per Month'!EP$4</f>
        <v>378.09090909090907</v>
      </c>
      <c r="EQ34" s="18">
        <f>'Total Weekday Boardings'!EQ34/'Service Days per Month'!EQ$4</f>
        <v>208.76190476190476</v>
      </c>
      <c r="ER34" s="18">
        <f>'Total Weekday Boardings'!ER34/'Service Days per Month'!ER$4</f>
        <v>435.6</v>
      </c>
      <c r="ES34" s="18">
        <f>'Total Weekday Boardings'!ES34/'Service Days per Month'!ES$4</f>
        <v>436.04347826086956</v>
      </c>
      <c r="ET34" s="18">
        <f>'Total Weekday Boardings'!ET34/'Service Days per Month'!ET$4</f>
        <v>461.77272727272725</v>
      </c>
      <c r="EU34" s="18">
        <f>'Total Weekday Boardings'!EU34/'Service Days per Month'!EU$4</f>
        <v>440.7</v>
      </c>
      <c r="EV34" s="19">
        <f>'Total Weekday Boardings'!EV34/'Service Days per Month'!EV$4</f>
        <v>442.63636363636363</v>
      </c>
      <c r="EW34" s="17">
        <f>'Total Weekday Boardings'!EW34/'Service Days per Month'!EW$4</f>
        <v>460.23809523809524</v>
      </c>
      <c r="EX34" s="18">
        <f>'Total Weekday Boardings'!EX34/'Service Days per Month'!EX$4</f>
        <v>451.18181818181819</v>
      </c>
      <c r="EY34" s="18">
        <f>'Total Weekday Boardings'!EY34/'Service Days per Month'!EY$4</f>
        <v>511.66666666666669</v>
      </c>
      <c r="EZ34" s="18">
        <f>'Total Weekday Boardings'!EZ34/'Service Days per Month'!EZ$4</f>
        <v>507.66666666666669</v>
      </c>
      <c r="FA34" s="18">
        <f>'Total Weekday Boardings'!FA34/'Service Days per Month'!FA$4</f>
        <v>515.23809523809518</v>
      </c>
      <c r="FB34" s="18">
        <f>'Total Weekday Boardings'!FB34/'Service Days per Month'!FB$4</f>
        <v>457.18181818181819</v>
      </c>
      <c r="FC34" s="18">
        <f>'Total Weekday Boardings'!FC34/'Service Days per Month'!FC$4</f>
        <v>434.66666666666669</v>
      </c>
      <c r="FD34" s="18">
        <f>'Total Weekday Boardings'!FD34/'Service Days per Month'!FD$4</f>
        <v>560.9</v>
      </c>
      <c r="FE34" s="18">
        <f>'Total Weekday Boardings'!FE34/'Service Days per Month'!FE$4</f>
        <v>582.39130434782612</v>
      </c>
      <c r="FF34" s="18">
        <f>'Total Weekday Boardings'!FF34/'Service Days per Month'!FF$4</f>
        <v>547.09523809523807</v>
      </c>
      <c r="FG34" s="18">
        <f>'Total Weekday Boardings'!FG34/'Service Days per Month'!FG$4</f>
        <v>505.8095238095238</v>
      </c>
      <c r="FH34" s="19">
        <f>'Total Weekday Boardings'!FH34/'Service Days per Month'!FH$4</f>
        <v>437.5</v>
      </c>
      <c r="FI34" s="17">
        <v>490.65</v>
      </c>
      <c r="FJ34" s="18">
        <v>466.78260869565219</v>
      </c>
      <c r="FK34" s="18">
        <v>511.47619047619048</v>
      </c>
      <c r="FL34" s="18">
        <v>522.95238095238096</v>
      </c>
      <c r="FM34" s="18">
        <v>529.95238095238096</v>
      </c>
      <c r="FN34" s="18">
        <v>527.80952380952385</v>
      </c>
      <c r="FO34" s="18">
        <v>614.23809523809518</v>
      </c>
      <c r="FP34" s="18">
        <v>518</v>
      </c>
      <c r="FQ34" s="18">
        <v>697.47826086956525</v>
      </c>
      <c r="FR34" s="18">
        <f>'Total Weekday Boardings'!FR34/20</f>
        <v>689.25</v>
      </c>
      <c r="FS34" s="18">
        <f>'Total Weekday Boardings'!FS34/22</f>
        <v>656.59090909090912</v>
      </c>
      <c r="FT34" s="21">
        <f>'Total Weekday Boardings'!FT34/23</f>
        <v>582.21739130434787</v>
      </c>
      <c r="FU34" s="17">
        <f>'Total Weekday Boardings'!FU34/21</f>
        <v>607.90476190476193</v>
      </c>
      <c r="FV34" s="18">
        <f>'Total Weekday Boardings'!FV34/23</f>
        <v>631.78260869565213</v>
      </c>
      <c r="FW34" s="18">
        <f>'Total Weekday Boardings'!FW34/21</f>
        <v>573.57142857142856</v>
      </c>
      <c r="FX34" s="18">
        <f>'Total Weekday Boardings'!FX34/22</f>
        <v>692.13636363636363</v>
      </c>
      <c r="FY34" s="18">
        <f>'Total Weekday Boardings'!FY34/22</f>
        <v>625.9545454545455</v>
      </c>
      <c r="FZ34" s="18">
        <f>'Total Weekday Boardings'!FZ34/21</f>
        <v>637.71428571428567</v>
      </c>
      <c r="GA34" s="18">
        <f>'Total Weekday Boardings'!GA34/23</f>
        <v>613.60869565217388</v>
      </c>
      <c r="GB34" s="18">
        <f>'Total Weekday Boardings'!GB34/21</f>
        <v>652.61904761904759</v>
      </c>
      <c r="GC34" s="18">
        <f>'Total Weekday Boardings'!GC34/21</f>
        <v>654.66666666666663</v>
      </c>
      <c r="GD34" s="18">
        <f>'Total Weekday Boardings'!GD34/22</f>
        <v>622.18181818181813</v>
      </c>
      <c r="GE34" s="13">
        <f>'Total Weekday Boardings'!GE34/23</f>
        <v>531.304347826087</v>
      </c>
      <c r="GF34" s="13">
        <f>'Total Weekday Boardings'!GF34/20</f>
        <v>556.1</v>
      </c>
      <c r="GG34" s="21">
        <f>'Total Weekday Boardings'!GG34/23</f>
        <v>530.6521739130435</v>
      </c>
      <c r="GH34" s="13">
        <f>'Total Weekday Boardings'!GH34/22</f>
        <v>579.72727272727275</v>
      </c>
      <c r="GI34" s="13">
        <f>'Total Weekday Boardings'!GI34/21</f>
        <v>570.66666666666663</v>
      </c>
      <c r="GJ34" s="13">
        <f>'Total Weekday Boardings'!GJ34/23</f>
        <v>581.3478260869565</v>
      </c>
      <c r="GK34" s="13">
        <f>'Total Weekday Boardings'!GK34/21</f>
        <v>526.90476190476193</v>
      </c>
      <c r="GL34" s="13">
        <f>'Total Weekday Boardings'!GL34/22</f>
        <v>464</v>
      </c>
    </row>
    <row r="35" spans="1:194" ht="15" thickBot="1" x14ac:dyDescent="0.35">
      <c r="A35" s="3" t="s">
        <v>17</v>
      </c>
      <c r="B35" s="17"/>
      <c r="C35" s="18">
        <f>'Total Weekday Boardings'!C35/'Service Days per Month'!C$4</f>
        <v>305.95238095238096</v>
      </c>
      <c r="D35" s="18">
        <f>'Total Weekday Boardings'!D35/'Service Days per Month'!D$4</f>
        <v>374.65</v>
      </c>
      <c r="E35" s="18">
        <f>'Total Weekday Boardings'!E35/'Service Days per Month'!E$4</f>
        <v>220.63636363636363</v>
      </c>
      <c r="F35" s="18">
        <f>'Total Weekday Boardings'!F35/'Service Days per Month'!F$4</f>
        <v>139.54545454545453</v>
      </c>
      <c r="G35" s="18">
        <f>'Total Weekday Boardings'!G35/'Service Days per Month'!G$4</f>
        <v>332.25</v>
      </c>
      <c r="H35" s="19">
        <f>'Total Weekday Boardings'!H35/'Service Days per Month'!H$4</f>
        <v>272.95454545454544</v>
      </c>
      <c r="I35" s="17">
        <f>'Total Weekday Boardings'!I35/'Service Days per Month'!I$4</f>
        <v>208.47826086956522</v>
      </c>
      <c r="J35" s="18">
        <f>'Total Weekday Boardings'!J35/'Service Days per Month'!J$4</f>
        <v>271.76190476190476</v>
      </c>
      <c r="K35" s="18">
        <f>'Total Weekday Boardings'!K35/'Service Days per Month'!K$4</f>
        <v>347.23809523809524</v>
      </c>
      <c r="L35" s="18">
        <f>'Total Weekday Boardings'!L35/'Service Days per Month'!L$4</f>
        <v>335.22727272727275</v>
      </c>
      <c r="M35" s="18">
        <f>'Total Weekday Boardings'!M35/'Service Days per Month'!M$4</f>
        <v>295.3</v>
      </c>
      <c r="N35" s="18">
        <f>'Total Weekday Boardings'!N35/'Service Days per Month'!N$4</f>
        <v>271.81818181818181</v>
      </c>
      <c r="O35" s="18">
        <f>'Total Weekday Boardings'!O35/'Service Days per Month'!O$4</f>
        <v>261.14999999999998</v>
      </c>
      <c r="P35" s="18">
        <f>'Total Weekday Boardings'!P35/'Service Days per Month'!P$4</f>
        <v>342.9</v>
      </c>
      <c r="Q35" s="18">
        <f>'Total Weekday Boardings'!Q35/'Service Days per Month'!Q$4</f>
        <v>343.56521739130437</v>
      </c>
      <c r="R35" s="18">
        <f>'Total Weekday Boardings'!R35/'Service Days per Month'!R$4</f>
        <v>330.13636363636363</v>
      </c>
      <c r="S35" s="18">
        <f>'Total Weekday Boardings'!S35/'Service Days per Month'!S$4</f>
        <v>262.64999999999998</v>
      </c>
      <c r="T35" s="19">
        <f>'Total Weekday Boardings'!T35/'Service Days per Month'!T$4</f>
        <v>173.95454545454547</v>
      </c>
      <c r="U35" s="17">
        <f>'Total Weekday Boardings'!U35/'Service Days per Month'!U$4</f>
        <v>155.04761904761904</v>
      </c>
      <c r="V35" s="18">
        <f>'Total Weekday Boardings'!V35/'Service Days per Month'!V$4</f>
        <v>213.72727272727272</v>
      </c>
      <c r="W35" s="18">
        <f>'Total Weekday Boardings'!W35/'Service Days per Month'!W$4</f>
        <v>297.42857142857144</v>
      </c>
      <c r="X35" s="18">
        <f>'Total Weekday Boardings'!X35/'Service Days per Month'!X$4</f>
        <v>282.42857142857144</v>
      </c>
      <c r="Y35" s="18">
        <f>'Total Weekday Boardings'!Y35/'Service Days per Month'!Y$4</f>
        <v>270.4736842105263</v>
      </c>
      <c r="Z35" s="18">
        <f>'Total Weekday Boardings'!Z35/'Service Days per Month'!Z$4</f>
        <v>209.0952380952381</v>
      </c>
      <c r="AA35" s="18">
        <f>'Total Weekday Boardings'!AA35/'Service Days per Month'!AA$4</f>
        <v>261.64999999999998</v>
      </c>
      <c r="AB35" s="18">
        <f>'Total Weekday Boardings'!AB35/'Service Days per Month'!AB$4</f>
        <v>320.36842105263156</v>
      </c>
      <c r="AC35" s="18">
        <f>'Total Weekday Boardings'!AC35/'Service Days per Month'!AC$4</f>
        <v>283.17391304347825</v>
      </c>
      <c r="AD35" s="18">
        <f>'Total Weekday Boardings'!AD35/'Service Days per Month'!AD$4</f>
        <v>306.52380952380952</v>
      </c>
      <c r="AE35" s="18">
        <f>'Total Weekday Boardings'!AE35/'Service Days per Month'!AE$4</f>
        <v>223.57142857142858</v>
      </c>
      <c r="AF35" s="19">
        <f>'Total Weekday Boardings'!AF35/'Service Days per Month'!AF$4</f>
        <v>187.86363636363637</v>
      </c>
      <c r="AG35" s="17">
        <f>'Total Weekday Boardings'!AG35/'Service Days per Month'!AG$4</f>
        <v>186.3</v>
      </c>
      <c r="AH35" s="18">
        <f>'Total Weekday Boardings'!AH35/'Service Days per Month'!AH$4</f>
        <v>237.52173913043478</v>
      </c>
      <c r="AI35" s="18">
        <f>'Total Weekday Boardings'!AI35/'Service Days per Month'!AI$4</f>
        <v>347.42857142857144</v>
      </c>
      <c r="AJ35" s="18">
        <f>'Total Weekday Boardings'!AJ35/'Service Days per Month'!AJ$4</f>
        <v>343.52380952380952</v>
      </c>
      <c r="AK35" s="18">
        <f>'Total Weekday Boardings'!AK35/'Service Days per Month'!AK$4</f>
        <v>308.36842105263156</v>
      </c>
      <c r="AL35" s="18">
        <f>'Total Weekday Boardings'!AL35/'Service Days per Month'!AL$4</f>
        <v>217.14285714285714</v>
      </c>
      <c r="AM35" s="18">
        <f>'Total Weekday Boardings'!AM35/'Service Days per Month'!AM$4</f>
        <v>317.89999999999998</v>
      </c>
      <c r="AN35" s="18">
        <f>'Total Weekday Boardings'!AN35/'Service Days per Month'!AN$4</f>
        <v>298.60000000000002</v>
      </c>
      <c r="AO35" s="18">
        <f>'Total Weekday Boardings'!AO35/'Service Days per Month'!AO$4</f>
        <v>266.86363636363637</v>
      </c>
      <c r="AP35" s="18">
        <f>'Total Weekday Boardings'!AP35/'Service Days per Month'!AP$4</f>
        <v>291.23809523809524</v>
      </c>
      <c r="AQ35" s="18">
        <f>'Total Weekday Boardings'!AQ35/'Service Days per Month'!AQ$4</f>
        <v>211.22727272727272</v>
      </c>
      <c r="AR35" s="19">
        <f>'Total Weekday Boardings'!AR35/'Service Days per Month'!AR$4</f>
        <v>194.42857142857142</v>
      </c>
      <c r="AS35" s="17">
        <f>'Total Weekday Boardings'!AS35/'Service Days per Month'!AS$4</f>
        <v>174.66666666666666</v>
      </c>
      <c r="AT35" s="18">
        <f>'Total Weekday Boardings'!AT35/'Service Days per Month'!AT$4</f>
        <v>244.30434782608697</v>
      </c>
      <c r="AU35" s="18">
        <f>'Total Weekday Boardings'!AU35/'Service Days per Month'!AU$4</f>
        <v>338.15789473684208</v>
      </c>
      <c r="AV35" s="18">
        <f>'Total Weekday Boardings'!AV35/'Service Days per Month'!AV$4</f>
        <v>356.39130434782606</v>
      </c>
      <c r="AW35" s="18">
        <f>'Total Weekday Boardings'!AW35/'Service Days per Month'!AW$4</f>
        <v>344.57894736842104</v>
      </c>
      <c r="AX35" s="18">
        <f>'Total Weekday Boardings'!AX35/'Service Days per Month'!AX$4</f>
        <v>272.10526315789474</v>
      </c>
      <c r="AY35" s="18">
        <f>'Total Weekday Boardings'!AY35/'Service Days per Month'!AY$4</f>
        <v>313.28571428571428</v>
      </c>
      <c r="AZ35" s="18">
        <f>'Total Weekday Boardings'!AZ35/'Service Days per Month'!AZ$4</f>
        <v>345.4736842105263</v>
      </c>
      <c r="BA35" s="18">
        <f>'Total Weekday Boardings'!BA35/'Service Days per Month'!BA$4</f>
        <v>304.95238095238096</v>
      </c>
      <c r="BB35" s="18">
        <f>'Total Weekday Boardings'!BB35/'Service Days per Month'!BB$4</f>
        <v>355.09090909090907</v>
      </c>
      <c r="BC35" s="18">
        <f>'Total Weekday Boardings'!BC35/'Service Days per Month'!BC$4</f>
        <v>226.18181818181819</v>
      </c>
      <c r="BD35" s="19">
        <f>'Total Weekday Boardings'!BD35/'Service Days per Month'!BD$4</f>
        <v>186.55</v>
      </c>
      <c r="BE35" s="17">
        <f>'Total Weekday Boardings'!BE35/'Service Days per Month'!BE$4</f>
        <v>186.36363636363637</v>
      </c>
      <c r="BF35" s="18">
        <f>'Total Weekday Boardings'!BF35/'Service Days per Month'!BF$4</f>
        <v>245.95454545454547</v>
      </c>
      <c r="BG35" s="18">
        <f>'Total Weekday Boardings'!BG35/'Service Days per Month'!BG$4</f>
        <v>348.7</v>
      </c>
      <c r="BH35" s="18">
        <f>'Total Weekday Boardings'!BH35/'Service Days per Month'!BH$4</f>
        <v>362.43478260869563</v>
      </c>
      <c r="BI35" s="18">
        <f>'Total Weekday Boardings'!BI35/'Service Days per Month'!BI$4</f>
        <v>371.64499690622421</v>
      </c>
      <c r="BJ35" s="18">
        <f>'Total Weekday Boardings'!BJ35/'Service Days per Month'!BJ$4</f>
        <v>257.60000000000002</v>
      </c>
      <c r="BK35" s="18">
        <f>'Total Weekday Boardings'!BK35/'Service Days per Month'!BK$4</f>
        <v>341.90476190476193</v>
      </c>
      <c r="BL35" s="18">
        <f>'Total Weekday Boardings'!BL35/'Service Days per Month'!BL$4</f>
        <v>387.73684210526318</v>
      </c>
      <c r="BM35" s="18">
        <f>'Total Weekday Boardings'!BM35/'Service Days per Month'!BM$4</f>
        <v>357.1904761904762</v>
      </c>
      <c r="BN35" s="18">
        <f>'Total Weekday Boardings'!BN35/'Service Days per Month'!BN$4</f>
        <v>359.54545454545456</v>
      </c>
      <c r="BO35" s="18">
        <f>'Total Weekday Boardings'!BO35/'Service Days per Month'!BO$4</f>
        <v>266.33333333333331</v>
      </c>
      <c r="BP35" s="19">
        <f>'Total Weekday Boardings'!BP35/'Service Days per Month'!BP$4</f>
        <v>223.57142857142858</v>
      </c>
      <c r="BQ35" s="17">
        <f>'Total Weekday Boardings'!BQ35/'Service Days per Month'!BQ$4</f>
        <v>186.22727272727272</v>
      </c>
      <c r="BR35" s="18">
        <f>'Total Weekday Boardings'!BR35/'Service Days per Month'!BR$4</f>
        <v>311.71428571428572</v>
      </c>
      <c r="BS35" s="18">
        <f>'Total Weekday Boardings'!BS35/'Service Days per Month'!BS$4</f>
        <v>427</v>
      </c>
      <c r="BT35" s="18">
        <f>'Total Weekday Boardings'!BT35/'Service Days per Month'!BT$4</f>
        <v>411.39130434782606</v>
      </c>
      <c r="BU35" s="18">
        <f>'Total Weekday Boardings'!BU35/'Service Days per Month'!BU$4</f>
        <v>432.29411764705884</v>
      </c>
      <c r="BV35" s="18">
        <f>'Total Weekday Boardings'!BV35/'Service Days per Month'!BV$4</f>
        <v>269.71428571428572</v>
      </c>
      <c r="BW35" s="18">
        <f>'Total Weekday Boardings'!BW35/'Service Days per Month'!BW$4</f>
        <v>360.15</v>
      </c>
      <c r="BX35" s="18">
        <f>'Total Weekday Boardings'!BX35/'Service Days per Month'!BX$4</f>
        <v>369.31578947368422</v>
      </c>
      <c r="BY35" s="18">
        <f>'Total Weekday Boardings'!BY35/'Service Days per Month'!BY$4</f>
        <v>322</v>
      </c>
      <c r="BZ35" s="18">
        <f>'Total Weekday Boardings'!BZ35/'Service Days per Month'!BZ$4</f>
        <v>371.90909090909093</v>
      </c>
      <c r="CA35" s="18">
        <f>'Total Weekday Boardings'!CA35/'Service Days per Month'!CA$4</f>
        <v>222.05</v>
      </c>
      <c r="CB35" s="19">
        <f>'Total Weekday Boardings'!CB35/'Service Days per Month'!CB$4</f>
        <v>194</v>
      </c>
      <c r="CC35" s="20">
        <f>'Total Weekday Boardings'!CC35/'Service Days per Month'!CC$4</f>
        <v>184</v>
      </c>
      <c r="CD35" s="18">
        <f>'Total Weekday Boardings'!CD35/'Service Days per Month'!CD$4</f>
        <v>266.14285714285717</v>
      </c>
      <c r="CE35" s="18">
        <f>'Total Weekday Boardings'!CE35/'Service Days per Month'!CE$4</f>
        <v>354.71428571428572</v>
      </c>
      <c r="CF35" s="18">
        <f>'Total Weekday Boardings'!CF35/'Service Days per Month'!CF$4</f>
        <v>360.5</v>
      </c>
      <c r="CG35" s="18">
        <f>'Total Weekday Boardings'!CG35/'Service Days per Month'!CG$4</f>
        <v>336.16666666666669</v>
      </c>
      <c r="CH35" s="18">
        <f>'Total Weekday Boardings'!CH35/'Service Days per Month'!CH$4</f>
        <v>259.28571428571428</v>
      </c>
      <c r="CI35" s="18">
        <f>'Total Weekday Boardings'!CI35/'Service Days per Month'!CI$4</f>
        <v>291.42105263157896</v>
      </c>
      <c r="CJ35" s="18">
        <f>'Total Weekday Boardings'!CJ35/'Service Days per Month'!CJ$4</f>
        <v>316.89999999999998</v>
      </c>
      <c r="CK35" s="18">
        <f>'Total Weekday Boardings'!CK35/'Service Days per Month'!CK$4</f>
        <v>303.21739130434781</v>
      </c>
      <c r="CL35" s="18">
        <f>'Total Weekday Boardings'!CL35/'Service Days per Month'!CL$4</f>
        <v>316.76190476190476</v>
      </c>
      <c r="CM35" s="18">
        <f>'Total Weekday Boardings'!CM35/'Service Days per Month'!CM$4</f>
        <v>238.76190476190476</v>
      </c>
      <c r="CN35" s="21">
        <f>'Total Weekday Boardings'!CN35/'Service Days per Month'!CN$4</f>
        <v>190.09090909090909</v>
      </c>
      <c r="CO35" s="17">
        <f>'Total Weekday Boardings'!CO35/'Service Days per Month'!CO$4</f>
        <v>186.1</v>
      </c>
      <c r="CP35" s="18">
        <f>'Total Weekday Boardings'!CP35/'Service Days per Month'!CP$4</f>
        <v>263.6521739130435</v>
      </c>
      <c r="CQ35" s="18">
        <f>'Total Weekday Boardings'!CQ35/'Service Days per Month'!CQ$4</f>
        <v>314.04761904761904</v>
      </c>
      <c r="CR35" s="18">
        <f>'Total Weekday Boardings'!CR35/'Service Days per Month'!CR$4</f>
        <v>304.14285714285717</v>
      </c>
      <c r="CS35" s="18">
        <f>'Total Weekday Boardings'!CS35/'Service Days per Month'!CS$4</f>
        <v>289.31578947368422</v>
      </c>
      <c r="CT35" s="18">
        <f>'Total Weekday Boardings'!CT35/'Service Days per Month'!CT$4</f>
        <v>205.47619047619048</v>
      </c>
      <c r="CU35" s="18">
        <f>'Total Weekday Boardings'!CU35/'Service Days per Month'!CU$4</f>
        <v>268.14999999999998</v>
      </c>
      <c r="CV35" s="18">
        <f>'Total Weekday Boardings'!CV35/'Service Days per Month'!CV$4</f>
        <v>276.4736842105263</v>
      </c>
      <c r="CW35" s="18">
        <f>'Total Weekday Boardings'!CW35/'Service Days per Month'!CW$4</f>
        <v>272.3478260869565</v>
      </c>
      <c r="CX35" s="18">
        <f>'Total Weekday Boardings'!CX35/'Service Days per Month'!CX$4</f>
        <v>299</v>
      </c>
      <c r="CY35" s="18">
        <f>'Total Weekday Boardings'!CY35/'Service Days per Month'!CY$4</f>
        <v>222.86363636363637</v>
      </c>
      <c r="CZ35" s="19">
        <f>'Total Weekday Boardings'!CZ35/'Service Days per Month'!CZ$4</f>
        <v>209.68181818181819</v>
      </c>
      <c r="DA35" s="17">
        <f>'Total Weekday Boardings'!DA35/'Service Days per Month'!DA$4</f>
        <v>184.1</v>
      </c>
      <c r="DB35" s="18">
        <f>'Total Weekday Boardings'!DB35/'Service Days per Month'!DB$4</f>
        <v>262.13043478260869</v>
      </c>
      <c r="DC35" s="18">
        <f>'Total Weekday Boardings'!DC35/'Service Days per Month'!DC$4</f>
        <v>264.25</v>
      </c>
      <c r="DD35" s="18">
        <f>'Total Weekday Boardings'!DD35/'Service Days per Month'!DD$4</f>
        <v>284.04545454545456</v>
      </c>
      <c r="DE35" s="18">
        <f>'Total Weekday Boardings'!DE35/'Service Days per Month'!DE$4</f>
        <v>277.5263157894737</v>
      </c>
      <c r="DF35" s="18">
        <f>'Total Weekday Boardings'!DF35/'Service Days per Month'!DF$4</f>
        <v>249.55</v>
      </c>
      <c r="DG35" s="18">
        <f>'Total Weekday Boardings'!DG35/'Service Days per Month'!DG$4</f>
        <v>280.8095238095238</v>
      </c>
      <c r="DH35" s="18">
        <f>'Total Weekday Boardings'!DH35/'Service Days per Month'!DH$4</f>
        <v>291.63157894736844</v>
      </c>
      <c r="DI35" s="18">
        <f>'Total Weekday Boardings'!DI35/'Service Days per Month'!DI$4</f>
        <v>276.68181818181819</v>
      </c>
      <c r="DJ35" s="18">
        <f>'Total Weekday Boardings'!DJ35/'Service Days per Month'!DJ$4</f>
        <v>279.04761904761904</v>
      </c>
      <c r="DK35" s="18">
        <f>'Total Weekday Boardings'!DK35/'Service Days per Month'!DK$4</f>
        <v>230.27272727272728</v>
      </c>
      <c r="DL35" s="19">
        <f>'Total Weekday Boardings'!DL35/'Service Days per Month'!DL$4</f>
        <v>211.33333333333334</v>
      </c>
      <c r="DM35" s="17">
        <f>'Total Weekday Boardings'!DM35/'Service Days per Month'!DM$4</f>
        <v>203.47619047619048</v>
      </c>
      <c r="DN35" s="18">
        <f>'Total Weekday Boardings'!DN35/'Service Days per Month'!DN$4</f>
        <v>233.08695652173913</v>
      </c>
      <c r="DO35" s="18">
        <f>'Total Weekday Boardings'!DO35/'Service Days per Month'!DO$4</f>
        <v>259.31578947368422</v>
      </c>
      <c r="DP35" s="18">
        <f>'Total Weekday Boardings'!DP35/'Service Days per Month'!DP$4</f>
        <v>256.86956521739131</v>
      </c>
      <c r="DQ35" s="18">
        <f>'Total Weekday Boardings'!DQ35/'Service Days per Month'!DQ$4</f>
        <v>247.14285714285714</v>
      </c>
      <c r="DR35" s="18">
        <f>'Total Weekday Boardings'!DR35/'Service Days per Month'!DR$4</f>
        <v>202.55</v>
      </c>
      <c r="DS35" s="18">
        <f>'Total Weekday Boardings'!DS35/'Service Days per Month'!DS$4</f>
        <v>230.95454545454547</v>
      </c>
      <c r="DT35" s="18">
        <f>'Total Weekday Boardings'!DT35/'Service Days per Month'!DT$4</f>
        <v>231.65</v>
      </c>
      <c r="DU35" s="18">
        <f>'Total Weekday Boardings'!DU35/'Service Days per Month'!DU$4</f>
        <v>245.42857142857142</v>
      </c>
      <c r="DV35" s="18">
        <f>'Total Weekday Boardings'!DV35/'Service Days per Month'!DV$4</f>
        <v>234.72727272727272</v>
      </c>
      <c r="DW35" s="18">
        <f>'Total Weekday Boardings'!DW35/'Service Days per Month'!DW$4</f>
        <v>194.81818181818181</v>
      </c>
      <c r="DX35" s="19">
        <f>'Total Weekday Boardings'!DX35/'Service Days per Month'!DX$4</f>
        <v>234.4</v>
      </c>
      <c r="DY35" s="17">
        <f>'Total Weekday Boardings'!DY35/'Service Days per Month'!DY$4</f>
        <v>191.63636363636363</v>
      </c>
      <c r="DZ35" s="18">
        <f>'Total Weekday Boardings'!DZ35/'Service Days per Month'!DZ$4</f>
        <v>358.5</v>
      </c>
      <c r="EA35" s="18">
        <f>'Total Weekday Boardings'!EA35/'Service Days per Month'!EA$4</f>
        <v>261.05</v>
      </c>
      <c r="EB35" s="18">
        <f>'Total Weekday Boardings'!EB35/'Service Days per Month'!EB$4</f>
        <v>287.52173913043481</v>
      </c>
      <c r="EC35" s="18">
        <f>'Total Weekday Boardings'!EC35/'Service Days per Month'!EC$4</f>
        <v>306.75</v>
      </c>
      <c r="ED35" s="18">
        <f>'Total Weekday Boardings'!ED35/'Service Days per Month'!ED$4</f>
        <v>261.57142857142856</v>
      </c>
      <c r="EE35" s="18">
        <f>'Total Weekday Boardings'!EE35/'Service Days per Month'!EE$4</f>
        <v>253.2608695652174</v>
      </c>
      <c r="EF35" s="18">
        <f>'Total Weekday Boardings'!EF35/'Service Days per Month'!EF$4</f>
        <v>307.85000000000002</v>
      </c>
      <c r="EG35" s="18">
        <f>'Total Weekday Boardings'!EG35/'Service Days per Month'!EG$4</f>
        <v>227.27272727272728</v>
      </c>
      <c r="EH35" s="18">
        <f>'Total Weekday Boardings'!EH35/'Service Days per Month'!EH$4</f>
        <v>147.13636363636363</v>
      </c>
      <c r="EI35" s="18">
        <f>'Total Weekday Boardings'!EI35/'Service Days per Month'!EI$4</f>
        <v>169.35</v>
      </c>
      <c r="EJ35" s="19">
        <f>'Total Weekday Boardings'!EJ35/'Service Days per Month'!EJ$4</f>
        <v>151</v>
      </c>
      <c r="EK35" s="17">
        <f>'Total Weekday Boardings'!EK35/'Service Days per Month'!EK$4</f>
        <v>127.86363636363636</v>
      </c>
      <c r="EL35" s="18">
        <f>'Total Weekday Boardings'!EL35/'Service Days per Month'!EL$4</f>
        <v>139.1904761904762</v>
      </c>
      <c r="EM35" s="18">
        <f>'Total Weekday Boardings'!EM35/'Service Days per Month'!EM$4</f>
        <v>152.52380952380952</v>
      </c>
      <c r="EN35" s="18">
        <f>'Total Weekday Boardings'!EN35/'Service Days per Month'!EN$4</f>
        <v>155.31818181818181</v>
      </c>
      <c r="EO35" s="18">
        <f>'Total Weekday Boardings'!EO35/'Service Days per Month'!EO$4</f>
        <v>149.65</v>
      </c>
      <c r="EP35" s="18">
        <f>'Total Weekday Boardings'!EP35/'Service Days per Month'!EP$4</f>
        <v>134.40909090909091</v>
      </c>
      <c r="EQ35" s="18">
        <f>'Total Weekday Boardings'!EQ35/'Service Days per Month'!EQ$4</f>
        <v>75.095238095238102</v>
      </c>
      <c r="ER35" s="18">
        <f>'Total Weekday Boardings'!ER35/'Service Days per Month'!ER$4</f>
        <v>136.9</v>
      </c>
      <c r="ES35" s="18">
        <f>'Total Weekday Boardings'!ES35/'Service Days per Month'!ES$4</f>
        <v>153.56521739130434</v>
      </c>
      <c r="ET35" s="18">
        <f>'Total Weekday Boardings'!ET35/'Service Days per Month'!ET$4</f>
        <v>146.68181818181819</v>
      </c>
      <c r="EU35" s="18">
        <f>'Total Weekday Boardings'!EU35/'Service Days per Month'!EU$4</f>
        <v>117.45</v>
      </c>
      <c r="EV35" s="19">
        <f>'Total Weekday Boardings'!EV35/'Service Days per Month'!EV$4</f>
        <v>137.5</v>
      </c>
      <c r="EW35" s="17">
        <f>'Total Weekday Boardings'!EW35/'Service Days per Month'!EW$4</f>
        <v>137.85714285714286</v>
      </c>
      <c r="EX35" s="18">
        <f>'Total Weekday Boardings'!EX35/'Service Days per Month'!EX$4</f>
        <v>139.77272727272728</v>
      </c>
      <c r="EY35" s="18">
        <f>'Total Weekday Boardings'!EY35/'Service Days per Month'!EY$4</f>
        <v>178</v>
      </c>
      <c r="EZ35" s="18">
        <f>'Total Weekday Boardings'!EZ35/'Service Days per Month'!EZ$4</f>
        <v>176.14285714285714</v>
      </c>
      <c r="FA35" s="18">
        <f>'Total Weekday Boardings'!FA35/'Service Days per Month'!FA$4</f>
        <v>163.76190476190476</v>
      </c>
      <c r="FB35" s="18">
        <f>'Total Weekday Boardings'!FB35/'Service Days per Month'!FB$4</f>
        <v>136.90909090909091</v>
      </c>
      <c r="FC35" s="18">
        <f>'Total Weekday Boardings'!FC35/'Service Days per Month'!FC$4</f>
        <v>138.76190476190476</v>
      </c>
      <c r="FD35" s="18">
        <f>'Total Weekday Boardings'!FD35/'Service Days per Month'!FD$4</f>
        <v>167.95</v>
      </c>
      <c r="FE35" s="18">
        <f>'Total Weekday Boardings'!FE35/'Service Days per Month'!FE$4</f>
        <v>193.91304347826087</v>
      </c>
      <c r="FF35" s="18">
        <f>'Total Weekday Boardings'!FF35/'Service Days per Month'!FF$4</f>
        <v>197.61904761904762</v>
      </c>
      <c r="FG35" s="18">
        <f>'Total Weekday Boardings'!FG35/'Service Days per Month'!FG$4</f>
        <v>172.23809523809524</v>
      </c>
      <c r="FH35" s="19">
        <f>'Total Weekday Boardings'!FH35/'Service Days per Month'!FH$4</f>
        <v>123.59090909090909</v>
      </c>
      <c r="FI35" s="17">
        <v>140.4</v>
      </c>
      <c r="FJ35" s="18">
        <v>163.08695652173913</v>
      </c>
      <c r="FK35" s="18">
        <v>176.38095238095238</v>
      </c>
      <c r="FL35" s="18">
        <v>172.85714285714286</v>
      </c>
      <c r="FM35" s="18">
        <v>167.38095238095238</v>
      </c>
      <c r="FN35" s="18">
        <v>156.0952380952381</v>
      </c>
      <c r="FO35" s="18">
        <v>205.47619047619048</v>
      </c>
      <c r="FP35" s="18">
        <v>222.05</v>
      </c>
      <c r="FQ35" s="18">
        <v>215</v>
      </c>
      <c r="FR35" s="18">
        <f>'Total Weekday Boardings'!FR35/20</f>
        <v>205.8</v>
      </c>
      <c r="FS35" s="18">
        <f>'Total Weekday Boardings'!FS35/22</f>
        <v>198.90909090909091</v>
      </c>
      <c r="FT35" s="21">
        <f>'Total Weekday Boardings'!FT35/23</f>
        <v>162.7391304347826</v>
      </c>
      <c r="FU35" s="17">
        <f>'Total Weekday Boardings'!FU35/21</f>
        <v>144.42857142857142</v>
      </c>
      <c r="FV35" s="18">
        <f>'Total Weekday Boardings'!FV35/23</f>
        <v>179.04347826086956</v>
      </c>
      <c r="FW35" s="18">
        <f>'Total Weekday Boardings'!FW35/21</f>
        <v>172.76190476190476</v>
      </c>
      <c r="FX35" s="18">
        <f>'Total Weekday Boardings'!FX35/22</f>
        <v>214.36363636363637</v>
      </c>
      <c r="FY35" s="18">
        <f>'Total Weekday Boardings'!FY35/22</f>
        <v>186.09090909090909</v>
      </c>
      <c r="FZ35" s="18">
        <f>'Total Weekday Boardings'!FZ35/21</f>
        <v>164.0952380952381</v>
      </c>
      <c r="GA35" s="18">
        <f>'Total Weekday Boardings'!GA35/23</f>
        <v>183.91304347826087</v>
      </c>
      <c r="GB35" s="18">
        <f>'Total Weekday Boardings'!GB35/21</f>
        <v>208.71428571428572</v>
      </c>
      <c r="GC35" s="18">
        <f>'Total Weekday Boardings'!GC35/21</f>
        <v>192.28571428571428</v>
      </c>
      <c r="GD35" s="18">
        <f>'Total Weekday Boardings'!GD35/22</f>
        <v>172.18181818181819</v>
      </c>
      <c r="GE35" s="13">
        <f>'Total Weekday Boardings'!GE35/23</f>
        <v>155.43478260869566</v>
      </c>
      <c r="GF35" s="13">
        <f>'Total Weekday Boardings'!GF35/20</f>
        <v>148.15</v>
      </c>
      <c r="GG35" s="21">
        <f>'Total Weekday Boardings'!GG35/23</f>
        <v>154.52173913043478</v>
      </c>
      <c r="GH35" s="13">
        <f>'Total Weekday Boardings'!GH35/22</f>
        <v>182.95454545454547</v>
      </c>
      <c r="GI35" s="13">
        <f>'Total Weekday Boardings'!GI35/21</f>
        <v>183.0952380952381</v>
      </c>
      <c r="GJ35" s="13">
        <f>'Total Weekday Boardings'!GJ35/23</f>
        <v>184.82608695652175</v>
      </c>
      <c r="GK35" s="13">
        <f>'Total Weekday Boardings'!GK35/21</f>
        <v>192.28571428571428</v>
      </c>
      <c r="GL35" s="13">
        <f>'Total Weekday Boardings'!GL35/22</f>
        <v>145.90909090909091</v>
      </c>
    </row>
    <row r="36" spans="1:194" ht="15" thickBot="1" x14ac:dyDescent="0.35">
      <c r="A36" s="3" t="s">
        <v>18</v>
      </c>
      <c r="B36" s="17"/>
      <c r="C36" s="18">
        <f>'Total Weekday Boardings'!C36/'Service Days per Month'!C$4</f>
        <v>1951.8095238095239</v>
      </c>
      <c r="D36" s="18">
        <f>'Total Weekday Boardings'!D36/'Service Days per Month'!D$4</f>
        <v>1544.05</v>
      </c>
      <c r="E36" s="18">
        <f>'Total Weekday Boardings'!E36/'Service Days per Month'!E$4</f>
        <v>1908.0454545454545</v>
      </c>
      <c r="F36" s="18">
        <f>'Total Weekday Boardings'!F36/'Service Days per Month'!F$4</f>
        <v>1804.0454545454545</v>
      </c>
      <c r="G36" s="18">
        <f>'Total Weekday Boardings'!G36/'Service Days per Month'!G$4</f>
        <v>1437.6</v>
      </c>
      <c r="H36" s="19">
        <f>'Total Weekday Boardings'!H36/'Service Days per Month'!H$4</f>
        <v>1319.909090909091</v>
      </c>
      <c r="I36" s="17">
        <f>'Total Weekday Boardings'!I36/'Service Days per Month'!I$4</f>
        <v>964.3478260869565</v>
      </c>
      <c r="J36" s="18">
        <f>'Total Weekday Boardings'!J36/'Service Days per Month'!J$4</f>
        <v>1495.0952380952381</v>
      </c>
      <c r="K36" s="18">
        <f>'Total Weekday Boardings'!K36/'Service Days per Month'!K$4</f>
        <v>1222.9047619047619</v>
      </c>
      <c r="L36" s="18">
        <f>'Total Weekday Boardings'!L36/'Service Days per Month'!L$4</f>
        <v>1403.8636363636363</v>
      </c>
      <c r="M36" s="18">
        <f>'Total Weekday Boardings'!M36/'Service Days per Month'!M$4</f>
        <v>1200.25</v>
      </c>
      <c r="N36" s="18">
        <f>'Total Weekday Boardings'!N36/'Service Days per Month'!N$4</f>
        <v>970.27272727272725</v>
      </c>
      <c r="O36" s="18">
        <f>'Total Weekday Boardings'!O36/'Service Days per Month'!O$4</f>
        <v>1093.7</v>
      </c>
      <c r="P36" s="18">
        <f>'Total Weekday Boardings'!P36/'Service Days per Month'!P$4</f>
        <v>1223.95</v>
      </c>
      <c r="Q36" s="18">
        <f>'Total Weekday Boardings'!Q36/'Service Days per Month'!Q$4</f>
        <v>1226.304347826087</v>
      </c>
      <c r="R36" s="18">
        <f>'Total Weekday Boardings'!R36/'Service Days per Month'!R$4</f>
        <v>1382.5</v>
      </c>
      <c r="S36" s="18">
        <f>'Total Weekday Boardings'!S36/'Service Days per Month'!S$4</f>
        <v>1157.8499999999999</v>
      </c>
      <c r="T36" s="19">
        <f>'Total Weekday Boardings'!T36/'Service Days per Month'!T$4</f>
        <v>1141.3636363636363</v>
      </c>
      <c r="U36" s="17">
        <f>'Total Weekday Boardings'!U36/'Service Days per Month'!U$4</f>
        <v>957</v>
      </c>
      <c r="V36" s="18">
        <f>'Total Weekday Boardings'!V36/'Service Days per Month'!V$4</f>
        <v>1008</v>
      </c>
      <c r="W36" s="18">
        <f>'Total Weekday Boardings'!W36/'Service Days per Month'!W$4</f>
        <v>1117.952380952381</v>
      </c>
      <c r="X36" s="18">
        <f>'Total Weekday Boardings'!X36/'Service Days per Month'!X$4</f>
        <v>1234.1428571428571</v>
      </c>
      <c r="Y36" s="18">
        <f>'Total Weekday Boardings'!Y36/'Service Days per Month'!Y$4</f>
        <v>1164.4736842105262</v>
      </c>
      <c r="Z36" s="18">
        <f>'Total Weekday Boardings'!Z36/'Service Days per Month'!Z$4</f>
        <v>1302.0952380952381</v>
      </c>
      <c r="AA36" s="18">
        <f>'Total Weekday Boardings'!AA36/'Service Days per Month'!AA$4</f>
        <v>1257.1500000000001</v>
      </c>
      <c r="AB36" s="18">
        <f>'Total Weekday Boardings'!AB36/'Service Days per Month'!AB$4</f>
        <v>1322.6842105263158</v>
      </c>
      <c r="AC36" s="18">
        <f>'Total Weekday Boardings'!AC36/'Service Days per Month'!AC$4</f>
        <v>1528.1304347826087</v>
      </c>
      <c r="AD36" s="18">
        <f>'Total Weekday Boardings'!AD36/'Service Days per Month'!AD$4</f>
        <v>1489.952380952381</v>
      </c>
      <c r="AE36" s="18">
        <f>'Total Weekday Boardings'!AE36/'Service Days per Month'!AE$4</f>
        <v>1258.1428571428571</v>
      </c>
      <c r="AF36" s="19">
        <f>'Total Weekday Boardings'!AF36/'Service Days per Month'!AF$4</f>
        <v>1130</v>
      </c>
      <c r="AG36" s="17">
        <f>'Total Weekday Boardings'!AG36/'Service Days per Month'!AG$4</f>
        <v>1094.1500000000001</v>
      </c>
      <c r="AH36" s="18">
        <f>'Total Weekday Boardings'!AH36/'Service Days per Month'!AH$4</f>
        <v>1110.8695652173913</v>
      </c>
      <c r="AI36" s="18">
        <f>'Total Weekday Boardings'!AI36/'Service Days per Month'!AI$4</f>
        <v>1406.1904761904761</v>
      </c>
      <c r="AJ36" s="18">
        <f>'Total Weekday Boardings'!AJ36/'Service Days per Month'!AJ$4</f>
        <v>1414.3333333333333</v>
      </c>
      <c r="AK36" s="18">
        <f>'Total Weekday Boardings'!AK36/'Service Days per Month'!AK$4</f>
        <v>1159.3157894736842</v>
      </c>
      <c r="AL36" s="18">
        <f>'Total Weekday Boardings'!AL36/'Service Days per Month'!AL$4</f>
        <v>1207.2857142857142</v>
      </c>
      <c r="AM36" s="18">
        <f>'Total Weekday Boardings'!AM36/'Service Days per Month'!AM$4</f>
        <v>1311.7</v>
      </c>
      <c r="AN36" s="18">
        <f>'Total Weekday Boardings'!AN36/'Service Days per Month'!AN$4</f>
        <v>1349.3</v>
      </c>
      <c r="AO36" s="18">
        <f>'Total Weekday Boardings'!AO36/'Service Days per Month'!AO$4</f>
        <v>1597.7272727272727</v>
      </c>
      <c r="AP36" s="18">
        <f>'Total Weekday Boardings'!AP36/'Service Days per Month'!AP$4</f>
        <v>1568.3333333333333</v>
      </c>
      <c r="AQ36" s="18">
        <f>'Total Weekday Boardings'!AQ36/'Service Days per Month'!AQ$4</f>
        <v>1305.6363636363637</v>
      </c>
      <c r="AR36" s="19">
        <f>'Total Weekday Boardings'!AR36/'Service Days per Month'!AR$4</f>
        <v>1211.1428571428571</v>
      </c>
      <c r="AS36" s="17">
        <f>'Total Weekday Boardings'!AS36/'Service Days per Month'!AS$4</f>
        <v>1150.047619047619</v>
      </c>
      <c r="AT36" s="18">
        <f>'Total Weekday Boardings'!AT36/'Service Days per Month'!AT$4</f>
        <v>1248.608695652174</v>
      </c>
      <c r="AU36" s="18">
        <f>'Total Weekday Boardings'!AU36/'Service Days per Month'!AU$4</f>
        <v>1534.7368421052631</v>
      </c>
      <c r="AV36" s="18">
        <f>'Total Weekday Boardings'!AV36/'Service Days per Month'!AV$4</f>
        <v>1533</v>
      </c>
      <c r="AW36" s="18">
        <f>'Total Weekday Boardings'!AW36/'Service Days per Month'!AW$4</f>
        <v>1499.421052631579</v>
      </c>
      <c r="AX36" s="18">
        <f>'Total Weekday Boardings'!AX36/'Service Days per Month'!AX$4</f>
        <v>1346.5263157894738</v>
      </c>
      <c r="AY36" s="18">
        <f>'Total Weekday Boardings'!AY36/'Service Days per Month'!AY$4</f>
        <v>1308.2380952380952</v>
      </c>
      <c r="AZ36" s="18">
        <f>'Total Weekday Boardings'!AZ36/'Service Days per Month'!AZ$4</f>
        <v>1426.8421052631579</v>
      </c>
      <c r="BA36" s="18">
        <f>'Total Weekday Boardings'!BA36/'Service Days per Month'!BA$4</f>
        <v>1535.5714285714287</v>
      </c>
      <c r="BB36" s="18">
        <f>'Total Weekday Boardings'!BB36/'Service Days per Month'!BB$4</f>
        <v>1558.1363636363637</v>
      </c>
      <c r="BC36" s="18">
        <f>'Total Weekday Boardings'!BC36/'Service Days per Month'!BC$4</f>
        <v>1301.3181818181818</v>
      </c>
      <c r="BD36" s="19">
        <f>'Total Weekday Boardings'!BD36/'Service Days per Month'!BD$4</f>
        <v>1196.1500000000001</v>
      </c>
      <c r="BE36" s="17">
        <f>'Total Weekday Boardings'!BE36/'Service Days per Month'!BE$4</f>
        <v>1101.6363636363637</v>
      </c>
      <c r="BF36" s="18">
        <f>'Total Weekday Boardings'!BF36/'Service Days per Month'!BF$4</f>
        <v>1222.5</v>
      </c>
      <c r="BG36" s="18">
        <f>'Total Weekday Boardings'!BG36/'Service Days per Month'!BG$4</f>
        <v>1390.25</v>
      </c>
      <c r="BH36" s="18">
        <f>'Total Weekday Boardings'!BH36/'Service Days per Month'!BH$4</f>
        <v>1429.9565217391305</v>
      </c>
      <c r="BI36" s="18">
        <f>'Total Weekday Boardings'!BI36/'Service Days per Month'!BI$4</f>
        <v>1519.9837605333735</v>
      </c>
      <c r="BJ36" s="18">
        <f>'Total Weekday Boardings'!BJ36/'Service Days per Month'!BJ$4</f>
        <v>1356.75</v>
      </c>
      <c r="BK36" s="18">
        <f>'Total Weekday Boardings'!BK36/'Service Days per Month'!BK$4</f>
        <v>1405.1904761904761</v>
      </c>
      <c r="BL36" s="18">
        <f>'Total Weekday Boardings'!BL36/'Service Days per Month'!BL$4</f>
        <v>1475.8421052631579</v>
      </c>
      <c r="BM36" s="18">
        <f>'Total Weekday Boardings'!BM36/'Service Days per Month'!BM$4</f>
        <v>1726.1904761904761</v>
      </c>
      <c r="BN36" s="18">
        <f>'Total Weekday Boardings'!BN36/'Service Days per Month'!BN$4</f>
        <v>1459.409090909091</v>
      </c>
      <c r="BO36" s="18">
        <f>'Total Weekday Boardings'!BO36/'Service Days per Month'!BO$4</f>
        <v>1295.4285714285713</v>
      </c>
      <c r="BP36" s="19">
        <f>'Total Weekday Boardings'!BP36/'Service Days per Month'!BP$4</f>
        <v>1168.8095238095239</v>
      </c>
      <c r="BQ36" s="17">
        <f>'Total Weekday Boardings'!BQ36/'Service Days per Month'!BQ$4</f>
        <v>1065.6363636363637</v>
      </c>
      <c r="BR36" s="18">
        <f>'Total Weekday Boardings'!BR36/'Service Days per Month'!BR$4</f>
        <v>1229.7619047619048</v>
      </c>
      <c r="BS36" s="18">
        <f>'Total Weekday Boardings'!BS36/'Service Days per Month'!BS$4</f>
        <v>1340.0952380952381</v>
      </c>
      <c r="BT36" s="18">
        <f>'Total Weekday Boardings'!BT36/'Service Days per Month'!BT$4</f>
        <v>1378.5217391304348</v>
      </c>
      <c r="BU36" s="18">
        <f>'Total Weekday Boardings'!BU36/'Service Days per Month'!BU$4</f>
        <v>1354.3529411764705</v>
      </c>
      <c r="BV36" s="18">
        <f>'Total Weekday Boardings'!BV36/'Service Days per Month'!BV$4</f>
        <v>1288.0952380952381</v>
      </c>
      <c r="BW36" s="18">
        <f>'Total Weekday Boardings'!BW36/'Service Days per Month'!BW$4</f>
        <v>1460.25</v>
      </c>
      <c r="BX36" s="18">
        <f>'Total Weekday Boardings'!BX36/'Service Days per Month'!BX$4</f>
        <v>1376.9473684210527</v>
      </c>
      <c r="BY36" s="18">
        <f>'Total Weekday Boardings'!BY36/'Service Days per Month'!BY$4</f>
        <v>1532.1818181818182</v>
      </c>
      <c r="BZ36" s="18">
        <f>'Total Weekday Boardings'!BZ36/'Service Days per Month'!BZ$4</f>
        <v>1366.4545454545455</v>
      </c>
      <c r="CA36" s="18">
        <f>'Total Weekday Boardings'!CA36/'Service Days per Month'!CA$4</f>
        <v>1176.25</v>
      </c>
      <c r="CB36" s="19">
        <f>'Total Weekday Boardings'!CB36/'Service Days per Month'!CB$4</f>
        <v>1069.6818181818182</v>
      </c>
      <c r="CC36" s="20">
        <f>'Total Weekday Boardings'!CC36/'Service Days per Month'!CC$4</f>
        <v>1033.6818181818182</v>
      </c>
      <c r="CD36" s="18">
        <f>'Total Weekday Boardings'!CD36/'Service Days per Month'!CD$4</f>
        <v>1154</v>
      </c>
      <c r="CE36" s="18">
        <f>'Total Weekday Boardings'!CE36/'Service Days per Month'!CE$4</f>
        <v>1414.3333333333333</v>
      </c>
      <c r="CF36" s="18">
        <f>'Total Weekday Boardings'!CF36/'Service Days per Month'!CF$4</f>
        <v>1460.909090909091</v>
      </c>
      <c r="CG36" s="18">
        <f>'Total Weekday Boardings'!CG36/'Service Days per Month'!CG$4</f>
        <v>1395.3888888888889</v>
      </c>
      <c r="CH36" s="18">
        <f>'Total Weekday Boardings'!CH36/'Service Days per Month'!CH$4</f>
        <v>1377.1428571428571</v>
      </c>
      <c r="CI36" s="18">
        <f>'Total Weekday Boardings'!CI36/'Service Days per Month'!CI$4</f>
        <v>1349.8947368421052</v>
      </c>
      <c r="CJ36" s="18">
        <f>'Total Weekday Boardings'!CJ36/'Service Days per Month'!CJ$4</f>
        <v>1425</v>
      </c>
      <c r="CK36" s="18">
        <f>'Total Weekday Boardings'!CK36/'Service Days per Month'!CK$4</f>
        <v>1455.9130434782608</v>
      </c>
      <c r="CL36" s="18">
        <f>'Total Weekday Boardings'!CL36/'Service Days per Month'!CL$4</f>
        <v>1511.6666666666667</v>
      </c>
      <c r="CM36" s="18">
        <f>'Total Weekday Boardings'!CM36/'Service Days per Month'!CM$4</f>
        <v>1336.1428571428571</v>
      </c>
      <c r="CN36" s="21">
        <f>'Total Weekday Boardings'!CN36/'Service Days per Month'!CN$4</f>
        <v>1211.5</v>
      </c>
      <c r="CO36" s="17">
        <f>'Total Weekday Boardings'!CO36/'Service Days per Month'!CO$4</f>
        <v>1238.75</v>
      </c>
      <c r="CP36" s="18">
        <f>'Total Weekday Boardings'!CP36/'Service Days per Month'!CP$4</f>
        <v>1269.7391304347825</v>
      </c>
      <c r="CQ36" s="18">
        <f>'Total Weekday Boardings'!CQ36/'Service Days per Month'!CQ$4</f>
        <v>1334.4761904761904</v>
      </c>
      <c r="CR36" s="18">
        <f>'Total Weekday Boardings'!CR36/'Service Days per Month'!CR$4</f>
        <v>1383.3333333333333</v>
      </c>
      <c r="CS36" s="18">
        <f>'Total Weekday Boardings'!CS36/'Service Days per Month'!CS$4</f>
        <v>1270.9473684210527</v>
      </c>
      <c r="CT36" s="18">
        <f>'Total Weekday Boardings'!CT36/'Service Days per Month'!CT$4</f>
        <v>1300.3333333333333</v>
      </c>
      <c r="CU36" s="18">
        <f>'Total Weekday Boardings'!CU36/'Service Days per Month'!CU$4</f>
        <v>1331.1</v>
      </c>
      <c r="CV36" s="18">
        <f>'Total Weekday Boardings'!CV36/'Service Days per Month'!CV$4</f>
        <v>1427.6842105263158</v>
      </c>
      <c r="CW36" s="18">
        <f>'Total Weekday Boardings'!CW36/'Service Days per Month'!CW$4</f>
        <v>1595.2173913043478</v>
      </c>
      <c r="CX36" s="18">
        <f>'Total Weekday Boardings'!CX36/'Service Days per Month'!CX$4</f>
        <v>1444.35</v>
      </c>
      <c r="CY36" s="18">
        <f>'Total Weekday Boardings'!CY36/'Service Days per Month'!CY$4</f>
        <v>1260.1818181818182</v>
      </c>
      <c r="CZ36" s="19">
        <f>'Total Weekday Boardings'!CZ36/'Service Days per Month'!CZ$4</f>
        <v>1174.0454545454545</v>
      </c>
      <c r="DA36" s="17">
        <f>'Total Weekday Boardings'!DA36/'Service Days per Month'!DA$4</f>
        <v>1092.95</v>
      </c>
      <c r="DB36" s="18">
        <f>'Total Weekday Boardings'!DB36/'Service Days per Month'!DB$4</f>
        <v>1244.6521739130435</v>
      </c>
      <c r="DC36" s="18">
        <f>'Total Weekday Boardings'!DC36/'Service Days per Month'!DC$4</f>
        <v>1255.7</v>
      </c>
      <c r="DD36" s="18">
        <f>'Total Weekday Boardings'!DD36/'Service Days per Month'!DD$4</f>
        <v>1311.6818181818182</v>
      </c>
      <c r="DE36" s="18">
        <f>'Total Weekday Boardings'!DE36/'Service Days per Month'!DE$4</f>
        <v>1132.9473684210527</v>
      </c>
      <c r="DF36" s="18">
        <f>'Total Weekday Boardings'!DF36/'Service Days per Month'!DF$4</f>
        <v>1074.45</v>
      </c>
      <c r="DG36" s="18">
        <f>'Total Weekday Boardings'!DG36/'Service Days per Month'!DG$4</f>
        <v>1092.1428571428571</v>
      </c>
      <c r="DH36" s="18">
        <f>'Total Weekday Boardings'!DH36/'Service Days per Month'!DH$4</f>
        <v>1160.7894736842106</v>
      </c>
      <c r="DI36" s="18">
        <f>'Total Weekday Boardings'!DI36/'Service Days per Month'!DI$4</f>
        <v>1296.590909090909</v>
      </c>
      <c r="DJ36" s="18">
        <f>'Total Weekday Boardings'!DJ36/'Service Days per Month'!DJ$4</f>
        <v>1179.7142857142858</v>
      </c>
      <c r="DK36" s="18">
        <f>'Total Weekday Boardings'!DK36/'Service Days per Month'!DK$4</f>
        <v>1115.6363636363637</v>
      </c>
      <c r="DL36" s="19">
        <f>'Total Weekday Boardings'!DL36/'Service Days per Month'!DL$4</f>
        <v>1026.6666666666667</v>
      </c>
      <c r="DM36" s="17">
        <f>'Total Weekday Boardings'!DM36/'Service Days per Month'!DM$4</f>
        <v>946.71428571428567</v>
      </c>
      <c r="DN36" s="18">
        <f>'Total Weekday Boardings'!DN36/'Service Days per Month'!DN$4</f>
        <v>985.04347826086962</v>
      </c>
      <c r="DO36" s="18">
        <f>'Total Weekday Boardings'!DO36/'Service Days per Month'!DO$4</f>
        <v>1042.6315789473683</v>
      </c>
      <c r="DP36" s="18">
        <f>'Total Weekday Boardings'!DP36/'Service Days per Month'!DP$4</f>
        <v>1097.391304347826</v>
      </c>
      <c r="DQ36" s="18">
        <f>'Total Weekday Boardings'!DQ36/'Service Days per Month'!DQ$4</f>
        <v>1175.3809523809523</v>
      </c>
      <c r="DR36" s="18">
        <f>'Total Weekday Boardings'!DR36/'Service Days per Month'!DR$4</f>
        <v>1057.75</v>
      </c>
      <c r="DS36" s="18">
        <f>'Total Weekday Boardings'!DS36/'Service Days per Month'!DS$4</f>
        <v>1108.090909090909</v>
      </c>
      <c r="DT36" s="18">
        <f>'Total Weekday Boardings'!DT36/'Service Days per Month'!DT$4</f>
        <v>1121.5</v>
      </c>
      <c r="DU36" s="18">
        <f>'Total Weekday Boardings'!DU36/'Service Days per Month'!DU$4</f>
        <v>1255.7619047619048</v>
      </c>
      <c r="DV36" s="18">
        <f>'Total Weekday Boardings'!DV36/'Service Days per Month'!DV$4</f>
        <v>1113.2272727272727</v>
      </c>
      <c r="DW36" s="18">
        <f>'Total Weekday Boardings'!DW36/'Service Days per Month'!DW$4</f>
        <v>1065.7272727272727</v>
      </c>
      <c r="DX36" s="19">
        <f>'Total Weekday Boardings'!DX36/'Service Days per Month'!DX$4</f>
        <v>1006.5</v>
      </c>
      <c r="DY36" s="17">
        <f>'Total Weekday Boardings'!DY36/'Service Days per Month'!DY$4</f>
        <v>891.0454545454545</v>
      </c>
      <c r="DZ36" s="18">
        <f>'Total Weekday Boardings'!DZ36/'Service Days per Month'!DZ$4</f>
        <v>952.63636363636363</v>
      </c>
      <c r="EA36" s="18">
        <f>'Total Weekday Boardings'!EA36/'Service Days per Month'!EA$4</f>
        <v>1045.1500000000001</v>
      </c>
      <c r="EB36" s="18">
        <f>'Total Weekday Boardings'!EB36/'Service Days per Month'!EB$4</f>
        <v>1142.3478260869565</v>
      </c>
      <c r="EC36" s="18">
        <f>'Total Weekday Boardings'!EC36/'Service Days per Month'!EC$4</f>
        <v>1166.05</v>
      </c>
      <c r="ED36" s="18">
        <f>'Total Weekday Boardings'!ED36/'Service Days per Month'!ED$4</f>
        <v>1016.1428571428571</v>
      </c>
      <c r="EE36" s="18">
        <f>'Total Weekday Boardings'!EE36/'Service Days per Month'!EE$4</f>
        <v>977.08695652173913</v>
      </c>
      <c r="EF36" s="18">
        <f>'Total Weekday Boardings'!EF36/'Service Days per Month'!EF$4</f>
        <v>1109.05</v>
      </c>
      <c r="EG36" s="18">
        <f>'Total Weekday Boardings'!EG36/'Service Days per Month'!EG$4</f>
        <v>764.5454545454545</v>
      </c>
      <c r="EH36" s="18">
        <f>'Total Weekday Boardings'!EH36/'Service Days per Month'!EH$4</f>
        <v>416.59090909090907</v>
      </c>
      <c r="EI36" s="18">
        <f>'Total Weekday Boardings'!EI36/'Service Days per Month'!EI$4</f>
        <v>440.1</v>
      </c>
      <c r="EJ36" s="19">
        <f>'Total Weekday Boardings'!EJ36/'Service Days per Month'!EJ$4</f>
        <v>417.40909090909093</v>
      </c>
      <c r="EK36" s="17">
        <f>'Total Weekday Boardings'!EK36/'Service Days per Month'!EK$4</f>
        <v>366.86363636363637</v>
      </c>
      <c r="EL36" s="18">
        <f>'Total Weekday Boardings'!EL36/'Service Days per Month'!EL$4</f>
        <v>383.14285714285717</v>
      </c>
      <c r="EM36" s="18">
        <f>'Total Weekday Boardings'!EM36/'Service Days per Month'!EM$4</f>
        <v>414.95238095238096</v>
      </c>
      <c r="EN36" s="18">
        <f>'Total Weekday Boardings'!EN36/'Service Days per Month'!EN$4</f>
        <v>431.40909090909093</v>
      </c>
      <c r="EO36" s="18">
        <f>'Total Weekday Boardings'!EO36/'Service Days per Month'!EO$4</f>
        <v>516.54999999999995</v>
      </c>
      <c r="EP36" s="18">
        <f>'Total Weekday Boardings'!EP36/'Service Days per Month'!EP$4</f>
        <v>320.22727272727275</v>
      </c>
      <c r="EQ36" s="18">
        <f>'Total Weekday Boardings'!EQ36/'Service Days per Month'!EQ$4</f>
        <v>186.1904761904762</v>
      </c>
      <c r="ER36" s="18">
        <f>'Total Weekday Boardings'!ER36/'Service Days per Month'!ER$4</f>
        <v>396.55</v>
      </c>
      <c r="ES36" s="18">
        <f>'Total Weekday Boardings'!ES36/'Service Days per Month'!ES$4</f>
        <v>453.13043478260869</v>
      </c>
      <c r="ET36" s="18">
        <f>'Total Weekday Boardings'!ET36/'Service Days per Month'!ET$4</f>
        <v>490.81818181818181</v>
      </c>
      <c r="EU36" s="18">
        <f>'Total Weekday Boardings'!EU36/'Service Days per Month'!EU$4</f>
        <v>469.95</v>
      </c>
      <c r="EV36" s="19">
        <f>'Total Weekday Boardings'!EV36/'Service Days per Month'!EV$4</f>
        <v>494</v>
      </c>
      <c r="EW36" s="17">
        <f>'Total Weekday Boardings'!EW36/'Service Days per Month'!EW$4</f>
        <v>471.23809523809524</v>
      </c>
      <c r="EX36" s="18">
        <f>'Total Weekday Boardings'!EX36/'Service Days per Month'!EX$4</f>
        <v>469.22727272727275</v>
      </c>
      <c r="EY36" s="18">
        <f>'Total Weekday Boardings'!EY36/'Service Days per Month'!EY$4</f>
        <v>525.52380952380952</v>
      </c>
      <c r="EZ36" s="18">
        <f>'Total Weekday Boardings'!EZ36/'Service Days per Month'!EZ$4</f>
        <v>566.23809523809518</v>
      </c>
      <c r="FA36" s="18">
        <f>'Total Weekday Boardings'!FA36/'Service Days per Month'!FA$4</f>
        <v>591.09523809523807</v>
      </c>
      <c r="FB36" s="18">
        <f>'Total Weekday Boardings'!FB36/'Service Days per Month'!FB$4</f>
        <v>572.86363636363637</v>
      </c>
      <c r="FC36" s="18">
        <f>'Total Weekday Boardings'!FC36/'Service Days per Month'!FC$4</f>
        <v>506.33333333333331</v>
      </c>
      <c r="FD36" s="18">
        <f>'Total Weekday Boardings'!FD36/'Service Days per Month'!FD$4</f>
        <v>650.35</v>
      </c>
      <c r="FE36" s="18">
        <f>'Total Weekday Boardings'!FE36/'Service Days per Month'!FE$4</f>
        <v>742.47826086956525</v>
      </c>
      <c r="FF36" s="18">
        <f>'Total Weekday Boardings'!FF36/'Service Days per Month'!FF$4</f>
        <v>702.80952380952385</v>
      </c>
      <c r="FG36" s="18">
        <f>'Total Weekday Boardings'!FG36/'Service Days per Month'!FG$4</f>
        <v>553.95238095238096</v>
      </c>
      <c r="FH36" s="19">
        <f>'Total Weekday Boardings'!FH36/'Service Days per Month'!FH$4</f>
        <v>522.22727272727275</v>
      </c>
      <c r="FI36" s="17">
        <v>538.1</v>
      </c>
      <c r="FJ36" s="18">
        <v>598.21739130434787</v>
      </c>
      <c r="FK36" s="18">
        <v>653.14285714285711</v>
      </c>
      <c r="FL36" s="18">
        <v>665.33333333333337</v>
      </c>
      <c r="FM36" s="18">
        <v>641.76190476190482</v>
      </c>
      <c r="FN36" s="18">
        <v>604.38095238095241</v>
      </c>
      <c r="FO36" s="18">
        <v>690.66666666666663</v>
      </c>
      <c r="FP36" s="18">
        <v>658.95</v>
      </c>
      <c r="FQ36" s="18">
        <v>820.21739130434787</v>
      </c>
      <c r="FR36" s="18">
        <f>'Total Weekday Boardings'!FR36/20</f>
        <v>749.1</v>
      </c>
      <c r="FS36" s="18">
        <f>'Total Weekday Boardings'!FS36/22</f>
        <v>711.68181818181813</v>
      </c>
      <c r="FT36" s="21">
        <f>'Total Weekday Boardings'!FT36/23</f>
        <v>538.3478260869565</v>
      </c>
      <c r="FU36" s="17">
        <f>'Total Weekday Boardings'!FU36/21</f>
        <v>502.14285714285717</v>
      </c>
      <c r="FV36" s="18">
        <f>'Total Weekday Boardings'!FV36/23</f>
        <v>561.47826086956525</v>
      </c>
      <c r="FW36" s="18">
        <f>'Total Weekday Boardings'!FW36/21</f>
        <v>560.28571428571433</v>
      </c>
      <c r="FX36" s="18">
        <f>'Total Weekday Boardings'!FX36/22</f>
        <v>695.18181818181813</v>
      </c>
      <c r="FY36" s="18">
        <f>'Total Weekday Boardings'!FY36/22</f>
        <v>618.09090909090912</v>
      </c>
      <c r="FZ36" s="18">
        <f>'Total Weekday Boardings'!FZ36/21</f>
        <v>610.80952380952385</v>
      </c>
      <c r="GA36" s="18">
        <f>'Total Weekday Boardings'!GA36/23</f>
        <v>605.82608695652175</v>
      </c>
      <c r="GB36" s="18">
        <f>'Total Weekday Boardings'!GB36/21</f>
        <v>673</v>
      </c>
      <c r="GC36" s="18">
        <f>'Total Weekday Boardings'!GC36/21</f>
        <v>741.19047619047615</v>
      </c>
      <c r="GD36" s="18">
        <f>'Total Weekday Boardings'!GD36/22</f>
        <v>692.31818181818187</v>
      </c>
      <c r="GE36" s="13">
        <f>'Total Weekday Boardings'!GE36/23</f>
        <v>601</v>
      </c>
      <c r="GF36" s="13">
        <f>'Total Weekday Boardings'!GF36/20</f>
        <v>550.75</v>
      </c>
      <c r="GG36" s="21">
        <f>'Total Weekday Boardings'!GG36/23</f>
        <v>515.86956521739125</v>
      </c>
      <c r="GH36" s="13">
        <f>'Total Weekday Boardings'!GH36/22</f>
        <v>594.9545454545455</v>
      </c>
      <c r="GI36" s="13">
        <f>'Total Weekday Boardings'!GI36/21</f>
        <v>618.33333333333337</v>
      </c>
      <c r="GJ36" s="13">
        <f>'Total Weekday Boardings'!GJ36/23</f>
        <v>610.52173913043475</v>
      </c>
      <c r="GK36" s="13">
        <f>'Total Weekday Boardings'!GK36/21</f>
        <v>637.85714285714289</v>
      </c>
      <c r="GL36" s="13">
        <f>'Total Weekday Boardings'!GL36/22</f>
        <v>579.40909090909088</v>
      </c>
    </row>
    <row r="37" spans="1:194" ht="15" thickBot="1" x14ac:dyDescent="0.35">
      <c r="A37" s="3" t="s">
        <v>19</v>
      </c>
      <c r="B37" s="17"/>
      <c r="C37" s="18">
        <f>'Total Weekday Boardings'!C37/'Service Days per Month'!C$4</f>
        <v>1561.4285714285713</v>
      </c>
      <c r="D37" s="18">
        <f>'Total Weekday Boardings'!D37/'Service Days per Month'!D$4</f>
        <v>1619.8</v>
      </c>
      <c r="E37" s="18">
        <f>'Total Weekday Boardings'!E37/'Service Days per Month'!E$4</f>
        <v>1887.090909090909</v>
      </c>
      <c r="F37" s="18">
        <f>'Total Weekday Boardings'!F37/'Service Days per Month'!F$4</f>
        <v>1774.5</v>
      </c>
      <c r="G37" s="18">
        <f>'Total Weekday Boardings'!G37/'Service Days per Month'!G$4</f>
        <v>1310.3499999999999</v>
      </c>
      <c r="H37" s="19">
        <f>'Total Weekday Boardings'!H37/'Service Days per Month'!H$4</f>
        <v>1292.7727272727273</v>
      </c>
      <c r="I37" s="17">
        <f>'Total Weekday Boardings'!I37/'Service Days per Month'!I$4</f>
        <v>951.21739130434787</v>
      </c>
      <c r="J37" s="18">
        <f>'Total Weekday Boardings'!J37/'Service Days per Month'!J$4</f>
        <v>1491.5238095238096</v>
      </c>
      <c r="K37" s="18">
        <f>'Total Weekday Boardings'!K37/'Service Days per Month'!K$4</f>
        <v>2445.8095238095239</v>
      </c>
      <c r="L37" s="18">
        <f>'Total Weekday Boardings'!L37/'Service Days per Month'!L$4</f>
        <v>2426.9545454545455</v>
      </c>
      <c r="M37" s="18">
        <f>'Total Weekday Boardings'!M37/'Service Days per Month'!M$4</f>
        <v>2261.8000000000002</v>
      </c>
      <c r="N37" s="18">
        <f>'Total Weekday Boardings'!N37/'Service Days per Month'!N$4</f>
        <v>1675</v>
      </c>
      <c r="O37" s="18">
        <f>'Total Weekday Boardings'!O37/'Service Days per Month'!O$4</f>
        <v>1890.75</v>
      </c>
      <c r="P37" s="18">
        <f>'Total Weekday Boardings'!P37/'Service Days per Month'!P$4</f>
        <v>2112.8000000000002</v>
      </c>
      <c r="Q37" s="18">
        <f>'Total Weekday Boardings'!Q37/'Service Days per Month'!Q$4</f>
        <v>1931.7826086956522</v>
      </c>
      <c r="R37" s="18">
        <f>'Total Weekday Boardings'!R37/'Service Days per Month'!R$4</f>
        <v>2390.0454545454545</v>
      </c>
      <c r="S37" s="18">
        <f>'Total Weekday Boardings'!S37/'Service Days per Month'!S$4</f>
        <v>1771.15</v>
      </c>
      <c r="T37" s="19">
        <f>'Total Weekday Boardings'!T37/'Service Days per Month'!T$4</f>
        <v>1178.8636363636363</v>
      </c>
      <c r="U37" s="17">
        <f>'Total Weekday Boardings'!U37/'Service Days per Month'!U$4</f>
        <v>1063.0952380952381</v>
      </c>
      <c r="V37" s="18">
        <f>'Total Weekday Boardings'!V37/'Service Days per Month'!V$4</f>
        <v>1804.8636363636363</v>
      </c>
      <c r="W37" s="18">
        <f>'Total Weekday Boardings'!W37/'Service Days per Month'!W$4</f>
        <v>2415.3333333333335</v>
      </c>
      <c r="X37" s="18">
        <f>'Total Weekday Boardings'!X37/'Service Days per Month'!X$4</f>
        <v>2205.6666666666665</v>
      </c>
      <c r="Y37" s="18">
        <f>'Total Weekday Boardings'!Y37/'Service Days per Month'!Y$4</f>
        <v>2174.6315789473683</v>
      </c>
      <c r="Z37" s="18">
        <f>'Total Weekday Boardings'!Z37/'Service Days per Month'!Z$4</f>
        <v>1832.6666666666667</v>
      </c>
      <c r="AA37" s="18">
        <f>'Total Weekday Boardings'!AA37/'Service Days per Month'!AA$4</f>
        <v>1930.15</v>
      </c>
      <c r="AB37" s="18">
        <f>'Total Weekday Boardings'!AB37/'Service Days per Month'!AB$4</f>
        <v>2345.9473684210525</v>
      </c>
      <c r="AC37" s="18">
        <f>'Total Weekday Boardings'!AC37/'Service Days per Month'!AC$4</f>
        <v>2018.6521739130435</v>
      </c>
      <c r="AD37" s="18">
        <f>'Total Weekday Boardings'!AD37/'Service Days per Month'!AD$4</f>
        <v>2196.2380952380954</v>
      </c>
      <c r="AE37" s="18">
        <f>'Total Weekday Boardings'!AE37/'Service Days per Month'!AE$4</f>
        <v>1488.8571428571429</v>
      </c>
      <c r="AF37" s="19">
        <f>'Total Weekday Boardings'!AF37/'Service Days per Month'!AF$4</f>
        <v>1254.590909090909</v>
      </c>
      <c r="AG37" s="17">
        <f>'Total Weekday Boardings'!AG37/'Service Days per Month'!AG$4</f>
        <v>1278.95</v>
      </c>
      <c r="AH37" s="18">
        <f>'Total Weekday Boardings'!AH37/'Service Days per Month'!AH$4</f>
        <v>1905.7826086956522</v>
      </c>
      <c r="AI37" s="18">
        <f>'Total Weekday Boardings'!AI37/'Service Days per Month'!AI$4</f>
        <v>2795.2857142857142</v>
      </c>
      <c r="AJ37" s="18">
        <f>'Total Weekday Boardings'!AJ37/'Service Days per Month'!AJ$4</f>
        <v>2385.3809523809523</v>
      </c>
      <c r="AK37" s="18">
        <f>'Total Weekday Boardings'!AK37/'Service Days per Month'!AK$4</f>
        <v>2261.8421052631579</v>
      </c>
      <c r="AL37" s="18">
        <f>'Total Weekday Boardings'!AL37/'Service Days per Month'!AL$4</f>
        <v>1759.0952380952381</v>
      </c>
      <c r="AM37" s="18">
        <f>'Total Weekday Boardings'!AM37/'Service Days per Month'!AM$4</f>
        <v>2312.25</v>
      </c>
      <c r="AN37" s="18">
        <f>'Total Weekday Boardings'!AN37/'Service Days per Month'!AN$4</f>
        <v>2156.5500000000002</v>
      </c>
      <c r="AO37" s="18">
        <f>'Total Weekday Boardings'!AO37/'Service Days per Month'!AO$4</f>
        <v>1955.2272727272727</v>
      </c>
      <c r="AP37" s="18">
        <f>'Total Weekday Boardings'!AP37/'Service Days per Month'!AP$4</f>
        <v>2154.0476190476193</v>
      </c>
      <c r="AQ37" s="18">
        <f>'Total Weekday Boardings'!AQ37/'Service Days per Month'!AQ$4</f>
        <v>1499.2727272727273</v>
      </c>
      <c r="AR37" s="19">
        <f>'Total Weekday Boardings'!AR37/'Service Days per Month'!AR$4</f>
        <v>1359.3809523809523</v>
      </c>
      <c r="AS37" s="17">
        <f>'Total Weekday Boardings'!AS37/'Service Days per Month'!AS$4</f>
        <v>1279.7142857142858</v>
      </c>
      <c r="AT37" s="18">
        <f>'Total Weekday Boardings'!AT37/'Service Days per Month'!AT$4</f>
        <v>1920.6521739130435</v>
      </c>
      <c r="AU37" s="18">
        <f>'Total Weekday Boardings'!AU37/'Service Days per Month'!AU$4</f>
        <v>2779.6842105263158</v>
      </c>
      <c r="AV37" s="18">
        <f>'Total Weekday Boardings'!AV37/'Service Days per Month'!AV$4</f>
        <v>2620.086956521739</v>
      </c>
      <c r="AW37" s="18">
        <f>'Total Weekday Boardings'!AW37/'Service Days per Month'!AW$4</f>
        <v>2492.1052631578946</v>
      </c>
      <c r="AX37" s="18">
        <f>'Total Weekday Boardings'!AX37/'Service Days per Month'!AX$4</f>
        <v>1951.578947368421</v>
      </c>
      <c r="AY37" s="18">
        <f>'Total Weekday Boardings'!AY37/'Service Days per Month'!AY$4</f>
        <v>2189.6190476190477</v>
      </c>
      <c r="AZ37" s="18">
        <f>'Total Weekday Boardings'!AZ37/'Service Days per Month'!AZ$4</f>
        <v>2312.3157894736842</v>
      </c>
      <c r="BA37" s="18">
        <f>'Total Weekday Boardings'!BA37/'Service Days per Month'!BA$4</f>
        <v>1975</v>
      </c>
      <c r="BB37" s="18">
        <f>'Total Weekday Boardings'!BB37/'Service Days per Month'!BB$4</f>
        <v>2156.590909090909</v>
      </c>
      <c r="BC37" s="18">
        <f>'Total Weekday Boardings'!BC37/'Service Days per Month'!BC$4</f>
        <v>1615.1818181818182</v>
      </c>
      <c r="BD37" s="19">
        <f>'Total Weekday Boardings'!BD37/'Service Days per Month'!BD$4</f>
        <v>1416.8</v>
      </c>
      <c r="BE37" s="17">
        <f>'Total Weekday Boardings'!BE37/'Service Days per Month'!BE$4</f>
        <v>1316.1818181818182</v>
      </c>
      <c r="BF37" s="18">
        <f>'Total Weekday Boardings'!BF37/'Service Days per Month'!BF$4</f>
        <v>1657.3181818181818</v>
      </c>
      <c r="BG37" s="18">
        <f>'Total Weekday Boardings'!BG37/'Service Days per Month'!BG$4</f>
        <v>2561.15</v>
      </c>
      <c r="BH37" s="18">
        <f>'Total Weekday Boardings'!BH37/'Service Days per Month'!BH$4</f>
        <v>2292.8260869565215</v>
      </c>
      <c r="BI37" s="18">
        <f>'Total Weekday Boardings'!BI37/'Service Days per Month'!BI$4</f>
        <v>2465.5459295583937</v>
      </c>
      <c r="BJ37" s="18">
        <f>'Total Weekday Boardings'!BJ37/'Service Days per Month'!BJ$4</f>
        <v>1663.45</v>
      </c>
      <c r="BK37" s="18">
        <f>'Total Weekday Boardings'!BK37/'Service Days per Month'!BK$4</f>
        <v>2072.9047619047619</v>
      </c>
      <c r="BL37" s="18">
        <f>'Total Weekday Boardings'!BL37/'Service Days per Month'!BL$4</f>
        <v>2353.1578947368421</v>
      </c>
      <c r="BM37" s="18">
        <f>'Total Weekday Boardings'!BM37/'Service Days per Month'!BM$4</f>
        <v>2084.1428571428573</v>
      </c>
      <c r="BN37" s="18">
        <f>'Total Weekday Boardings'!BN37/'Service Days per Month'!BN$4</f>
        <v>2216.5454545454545</v>
      </c>
      <c r="BO37" s="18">
        <f>'Total Weekday Boardings'!BO37/'Service Days per Month'!BO$4</f>
        <v>1745.952380952381</v>
      </c>
      <c r="BP37" s="19">
        <f>'Total Weekday Boardings'!BP37/'Service Days per Month'!BP$4</f>
        <v>1458.6190476190477</v>
      </c>
      <c r="BQ37" s="17">
        <f>'Total Weekday Boardings'!BQ37/'Service Days per Month'!BQ$4</f>
        <v>1355.909090909091</v>
      </c>
      <c r="BR37" s="18">
        <f>'Total Weekday Boardings'!BR37/'Service Days per Month'!BR$4</f>
        <v>2149.1904761904761</v>
      </c>
      <c r="BS37" s="18">
        <f>'Total Weekday Boardings'!BS37/'Service Days per Month'!BS$4</f>
        <v>2800.6666666666665</v>
      </c>
      <c r="BT37" s="18">
        <f>'Total Weekday Boardings'!BT37/'Service Days per Month'!BT$4</f>
        <v>2479.217391304348</v>
      </c>
      <c r="BU37" s="18">
        <f>'Total Weekday Boardings'!BU37/'Service Days per Month'!BU$4</f>
        <v>2520.0588235294117</v>
      </c>
      <c r="BV37" s="18">
        <f>'Total Weekday Boardings'!BV37/'Service Days per Month'!BV$4</f>
        <v>1751.5714285714287</v>
      </c>
      <c r="BW37" s="18">
        <f>'Total Weekday Boardings'!BW37/'Service Days per Month'!BW$4</f>
        <v>2320.1999999999998</v>
      </c>
      <c r="BX37" s="18">
        <f>'Total Weekday Boardings'!BX37/'Service Days per Month'!BX$4</f>
        <v>2385.4736842105262</v>
      </c>
      <c r="BY37" s="18">
        <f>'Total Weekday Boardings'!BY37/'Service Days per Month'!BY$4</f>
        <v>2100.681818181818</v>
      </c>
      <c r="BZ37" s="18">
        <f>'Total Weekday Boardings'!BZ37/'Service Days per Month'!BZ$4</f>
        <v>2232.7727272727275</v>
      </c>
      <c r="CA37" s="18">
        <f>'Total Weekday Boardings'!CA37/'Service Days per Month'!CA$4</f>
        <v>1588.4</v>
      </c>
      <c r="CB37" s="19">
        <f>'Total Weekday Boardings'!CB37/'Service Days per Month'!CB$4</f>
        <v>1379.2727272727273</v>
      </c>
      <c r="CC37" s="20">
        <f>'Total Weekday Boardings'!CC37/'Service Days per Month'!CC$4</f>
        <v>1270.3636363636363</v>
      </c>
      <c r="CD37" s="18">
        <f>'Total Weekday Boardings'!CD37/'Service Days per Month'!CD$4</f>
        <v>1828.4285714285713</v>
      </c>
      <c r="CE37" s="18">
        <f>'Total Weekday Boardings'!CE37/'Service Days per Month'!CE$4</f>
        <v>2665.0476190476193</v>
      </c>
      <c r="CF37" s="18">
        <f>'Total Weekday Boardings'!CF37/'Service Days per Month'!CF$4</f>
        <v>2477.181818181818</v>
      </c>
      <c r="CG37" s="18">
        <f>'Total Weekday Boardings'!CG37/'Service Days per Month'!CG$4</f>
        <v>2424.7777777777778</v>
      </c>
      <c r="CH37" s="18">
        <f>'Total Weekday Boardings'!CH37/'Service Days per Month'!CH$4</f>
        <v>1704.7619047619048</v>
      </c>
      <c r="CI37" s="18">
        <f>'Total Weekday Boardings'!CI37/'Service Days per Month'!CI$4</f>
        <v>2142.1052631578946</v>
      </c>
      <c r="CJ37" s="18">
        <f>'Total Weekday Boardings'!CJ37/'Service Days per Month'!CJ$4</f>
        <v>2276.5</v>
      </c>
      <c r="CK37" s="18">
        <f>'Total Weekday Boardings'!CK37/'Service Days per Month'!CK$4</f>
        <v>2021.2173913043478</v>
      </c>
      <c r="CL37" s="18">
        <f>'Total Weekday Boardings'!CL37/'Service Days per Month'!CL$4</f>
        <v>2096.9523809523807</v>
      </c>
      <c r="CM37" s="18">
        <f>'Total Weekday Boardings'!CM37/'Service Days per Month'!CM$4</f>
        <v>1550.952380952381</v>
      </c>
      <c r="CN37" s="21">
        <f>'Total Weekday Boardings'!CN37/'Service Days per Month'!CN$4</f>
        <v>1358.8181818181818</v>
      </c>
      <c r="CO37" s="17">
        <f>'Total Weekday Boardings'!CO37/'Service Days per Month'!CO$4</f>
        <v>1362.45</v>
      </c>
      <c r="CP37" s="18">
        <f>'Total Weekday Boardings'!CP37/'Service Days per Month'!CP$4</f>
        <v>1859.608695652174</v>
      </c>
      <c r="CQ37" s="18">
        <f>'Total Weekday Boardings'!CQ37/'Service Days per Month'!CQ$4</f>
        <v>2239.8095238095239</v>
      </c>
      <c r="CR37" s="18">
        <f>'Total Weekday Boardings'!CR37/'Service Days per Month'!CR$4</f>
        <v>2142.9047619047619</v>
      </c>
      <c r="CS37" s="18">
        <f>'Total Weekday Boardings'!CS37/'Service Days per Month'!CS$4</f>
        <v>2287</v>
      </c>
      <c r="CT37" s="18">
        <f>'Total Weekday Boardings'!CT37/'Service Days per Month'!CT$4</f>
        <v>1480.952380952381</v>
      </c>
      <c r="CU37" s="18">
        <f>'Total Weekday Boardings'!CU37/'Service Days per Month'!CU$4</f>
        <v>1974.85</v>
      </c>
      <c r="CV37" s="18">
        <f>'Total Weekday Boardings'!CV37/'Service Days per Month'!CV$4</f>
        <v>2092.8947368421054</v>
      </c>
      <c r="CW37" s="18">
        <f>'Total Weekday Boardings'!CW37/'Service Days per Month'!CW$4</f>
        <v>1893.8695652173913</v>
      </c>
      <c r="CX37" s="18">
        <f>'Total Weekday Boardings'!CX37/'Service Days per Month'!CX$4</f>
        <v>1966.75</v>
      </c>
      <c r="CY37" s="18">
        <f>'Total Weekday Boardings'!CY37/'Service Days per Month'!CY$4</f>
        <v>1567.6363636363637</v>
      </c>
      <c r="CZ37" s="19">
        <f>'Total Weekday Boardings'!CZ37/'Service Days per Month'!CZ$4</f>
        <v>1343.090909090909</v>
      </c>
      <c r="DA37" s="17">
        <f>'Total Weekday Boardings'!DA37/'Service Days per Month'!DA$4</f>
        <v>1281.9000000000001</v>
      </c>
      <c r="DB37" s="18">
        <f>'Total Weekday Boardings'!DB37/'Service Days per Month'!DB$4</f>
        <v>1912.8695652173913</v>
      </c>
      <c r="DC37" s="18">
        <f>'Total Weekday Boardings'!DC37/'Service Days per Month'!DC$4</f>
        <v>2032</v>
      </c>
      <c r="DD37" s="18">
        <f>'Total Weekday Boardings'!DD37/'Service Days per Month'!DD$4</f>
        <v>1981.909090909091</v>
      </c>
      <c r="DE37" s="18">
        <f>'Total Weekday Boardings'!DE37/'Service Days per Month'!DE$4</f>
        <v>1969.9473684210527</v>
      </c>
      <c r="DF37" s="18">
        <f>'Total Weekday Boardings'!DF37/'Service Days per Month'!DF$4</f>
        <v>1405.25</v>
      </c>
      <c r="DG37" s="18">
        <f>'Total Weekday Boardings'!DG37/'Service Days per Month'!DG$4</f>
        <v>1841.4285714285713</v>
      </c>
      <c r="DH37" s="18">
        <f>'Total Weekday Boardings'!DH37/'Service Days per Month'!DH$4</f>
        <v>1920.3684210526317</v>
      </c>
      <c r="DI37" s="18">
        <f>'Total Weekday Boardings'!DI37/'Service Days per Month'!DI$4</f>
        <v>1688.0454545454545</v>
      </c>
      <c r="DJ37" s="18">
        <f>'Total Weekday Boardings'!DJ37/'Service Days per Month'!DJ$4</f>
        <v>1738.5238095238096</v>
      </c>
      <c r="DK37" s="18">
        <f>'Total Weekday Boardings'!DK37/'Service Days per Month'!DK$4</f>
        <v>1402.6363636363637</v>
      </c>
      <c r="DL37" s="19">
        <f>'Total Weekday Boardings'!DL37/'Service Days per Month'!DL$4</f>
        <v>1246.1428571428571</v>
      </c>
      <c r="DM37" s="17">
        <f>'Total Weekday Boardings'!DM37/'Service Days per Month'!DM$4</f>
        <v>1211.7619047619048</v>
      </c>
      <c r="DN37" s="18">
        <f>'Total Weekday Boardings'!DN37/'Service Days per Month'!DN$4</f>
        <v>1610.7826086956522</v>
      </c>
      <c r="DO37" s="18">
        <f>'Total Weekday Boardings'!DO37/'Service Days per Month'!DO$4</f>
        <v>1832.3684210526317</v>
      </c>
      <c r="DP37" s="18">
        <f>'Total Weekday Boardings'!DP37/'Service Days per Month'!DP$4</f>
        <v>1920.3478260869565</v>
      </c>
      <c r="DQ37" s="18">
        <f>'Total Weekday Boardings'!DQ37/'Service Days per Month'!DQ$4</f>
        <v>1724.0952380952381</v>
      </c>
      <c r="DR37" s="18">
        <f>'Total Weekday Boardings'!DR37/'Service Days per Month'!DR$4</f>
        <v>1261.55</v>
      </c>
      <c r="DS37" s="18">
        <f>'Total Weekday Boardings'!DS37/'Service Days per Month'!DS$4</f>
        <v>1696.8181818181818</v>
      </c>
      <c r="DT37" s="18">
        <f>'Total Weekday Boardings'!DT37/'Service Days per Month'!DT$4</f>
        <v>1749.1</v>
      </c>
      <c r="DU37" s="18">
        <f>'Total Weekday Boardings'!DU37/'Service Days per Month'!DU$4</f>
        <v>1605.2380952380952</v>
      </c>
      <c r="DV37" s="18">
        <f>'Total Weekday Boardings'!DV37/'Service Days per Month'!DV$4</f>
        <v>466.36363636363637</v>
      </c>
      <c r="DW37" s="18">
        <f>'Total Weekday Boardings'!DW37/'Service Days per Month'!DW$4</f>
        <v>1363</v>
      </c>
      <c r="DX37" s="19">
        <f>'Total Weekday Boardings'!DX37/'Service Days per Month'!DX$4</f>
        <v>1261.2</v>
      </c>
      <c r="DY37" s="17">
        <f>'Total Weekday Boardings'!DY37/'Service Days per Month'!DY$4</f>
        <v>1243</v>
      </c>
      <c r="DZ37" s="18">
        <f>'Total Weekday Boardings'!DZ37/'Service Days per Month'!DZ$4</f>
        <v>1712.7727272727273</v>
      </c>
      <c r="EA37" s="18">
        <f>'Total Weekday Boardings'!EA37/'Service Days per Month'!EA$4</f>
        <v>2065.1</v>
      </c>
      <c r="EB37" s="18">
        <f>'Total Weekday Boardings'!EB37/'Service Days per Month'!EB$4</f>
        <v>1905.4782608695652</v>
      </c>
      <c r="EC37" s="18">
        <f>'Total Weekday Boardings'!EC37/'Service Days per Month'!EC$4</f>
        <v>1847.25</v>
      </c>
      <c r="ED37" s="18">
        <f>'Total Weekday Boardings'!ED37/'Service Days per Month'!ED$4</f>
        <v>1473</v>
      </c>
      <c r="EE37" s="18">
        <f>'Total Weekday Boardings'!EE37/'Service Days per Month'!EE$4</f>
        <v>1548.2608695652175</v>
      </c>
      <c r="EF37" s="18">
        <f>'Total Weekday Boardings'!EF37/'Service Days per Month'!EF$4</f>
        <v>1843.65</v>
      </c>
      <c r="EG37" s="18">
        <f>'Total Weekday Boardings'!EG37/'Service Days per Month'!EG$4</f>
        <v>1136.2272727272727</v>
      </c>
      <c r="EH37" s="18">
        <f>'Total Weekday Boardings'!EH37/'Service Days per Month'!EH$4</f>
        <v>658.09090909090912</v>
      </c>
      <c r="EI37" s="18">
        <f>'Total Weekday Boardings'!EI37/'Service Days per Month'!EI$4</f>
        <v>661.5</v>
      </c>
      <c r="EJ37" s="19">
        <f>'Total Weekday Boardings'!EJ37/'Service Days per Month'!EJ$4</f>
        <v>661.09090909090912</v>
      </c>
      <c r="EK37" s="17">
        <f>'Total Weekday Boardings'!EK37/'Service Days per Month'!EK$4</f>
        <v>641.13636363636363</v>
      </c>
      <c r="EL37" s="18">
        <f>'Total Weekday Boardings'!EL37/'Service Days per Month'!EL$4</f>
        <v>638.52380952380952</v>
      </c>
      <c r="EM37" s="18">
        <f>'Total Weekday Boardings'!EM37/'Service Days per Month'!EM$4</f>
        <v>671.42857142857144</v>
      </c>
      <c r="EN37" s="18">
        <f>'Total Weekday Boardings'!EN37/'Service Days per Month'!EN$4</f>
        <v>686.86363636363637</v>
      </c>
      <c r="EO37" s="18">
        <f>'Total Weekday Boardings'!EO37/'Service Days per Month'!EO$4</f>
        <v>587.85</v>
      </c>
      <c r="EP37" s="18">
        <f>'Total Weekday Boardings'!EP37/'Service Days per Month'!EP$4</f>
        <v>489.95454545454544</v>
      </c>
      <c r="EQ37" s="18">
        <f>'Total Weekday Boardings'!EQ37/'Service Days per Month'!EQ$4</f>
        <v>288.47619047619048</v>
      </c>
      <c r="ER37" s="18">
        <f>'Total Weekday Boardings'!ER37/'Service Days per Month'!ER$4</f>
        <v>607.35</v>
      </c>
      <c r="ES37" s="18">
        <f>'Total Weekday Boardings'!ES37/'Service Days per Month'!ES$4</f>
        <v>612.52173913043475</v>
      </c>
      <c r="ET37" s="18">
        <f>'Total Weekday Boardings'!ET37/'Service Days per Month'!ET$4</f>
        <v>641.81818181818187</v>
      </c>
      <c r="EU37" s="18">
        <f>'Total Weekday Boardings'!EU37/'Service Days per Month'!EU$4</f>
        <v>536.65</v>
      </c>
      <c r="EV37" s="19">
        <f>'Total Weekday Boardings'!EV37/'Service Days per Month'!EV$4</f>
        <v>541.0454545454545</v>
      </c>
      <c r="EW37" s="17">
        <f>'Total Weekday Boardings'!EW37/'Service Days per Month'!EW$4</f>
        <v>539.95238095238096</v>
      </c>
      <c r="EX37" s="18">
        <f>'Total Weekday Boardings'!EX37/'Service Days per Month'!EX$4</f>
        <v>721</v>
      </c>
      <c r="EY37" s="18">
        <f>'Total Weekday Boardings'!EY37/'Service Days per Month'!EY$4</f>
        <v>1001.7142857142857</v>
      </c>
      <c r="EZ37" s="18">
        <f>'Total Weekday Boardings'!EZ37/'Service Days per Month'!EZ$4</f>
        <v>980.14285714285711</v>
      </c>
      <c r="FA37" s="18">
        <f>'Total Weekday Boardings'!FA37/'Service Days per Month'!FA$4</f>
        <v>882.28571428571433</v>
      </c>
      <c r="FB37" s="18">
        <f>'Total Weekday Boardings'!FB37/'Service Days per Month'!FB$4</f>
        <v>649.36363636363637</v>
      </c>
      <c r="FC37" s="18">
        <f>'Total Weekday Boardings'!FC37/'Service Days per Month'!FC$4</f>
        <v>702.28571428571433</v>
      </c>
      <c r="FD37" s="18">
        <f>'Total Weekday Boardings'!FD37/'Service Days per Month'!FD$4</f>
        <v>938.25</v>
      </c>
      <c r="FE37" s="18">
        <f>'Total Weekday Boardings'!FE37/'Service Days per Month'!FE$4</f>
        <v>946.86956521739125</v>
      </c>
      <c r="FF37" s="18">
        <f>'Total Weekday Boardings'!FF37/'Service Days per Month'!FF$4</f>
        <v>942.52380952380952</v>
      </c>
      <c r="FG37" s="18">
        <f>'Total Weekday Boardings'!FG37/'Service Days per Month'!FG$4</f>
        <v>771.76190476190482</v>
      </c>
      <c r="FH37" s="19">
        <f>'Total Weekday Boardings'!FH37/'Service Days per Month'!FH$4</f>
        <v>579.18181818181813</v>
      </c>
      <c r="FI37" s="17">
        <v>598.65</v>
      </c>
      <c r="FJ37" s="18">
        <v>807.17391304347825</v>
      </c>
      <c r="FK37" s="18">
        <v>1055.5238095238096</v>
      </c>
      <c r="FL37" s="18">
        <v>926.09523809523807</v>
      </c>
      <c r="FM37" s="18">
        <v>895.66666666666663</v>
      </c>
      <c r="FN37" s="18">
        <v>715.33333333333337</v>
      </c>
      <c r="FO37" s="18">
        <v>959.19047619047615</v>
      </c>
      <c r="FP37" s="18">
        <v>897.4</v>
      </c>
      <c r="FQ37" s="18">
        <v>990.95652173913038</v>
      </c>
      <c r="FR37" s="18">
        <f>'Total Weekday Boardings'!FR37/20</f>
        <v>979.8</v>
      </c>
      <c r="FS37" s="18">
        <f>'Total Weekday Boardings'!FS37/22</f>
        <v>853.13636363636363</v>
      </c>
      <c r="FT37" s="21">
        <f>'Total Weekday Boardings'!FT37/23</f>
        <v>622.52173913043475</v>
      </c>
      <c r="FU37" s="17">
        <f>'Total Weekday Boardings'!FU37/21</f>
        <v>592.52380952380952</v>
      </c>
      <c r="FV37" s="18">
        <f>'Total Weekday Boardings'!FV37/23</f>
        <v>885.17391304347825</v>
      </c>
      <c r="FW37" s="18">
        <f>'Total Weekday Boardings'!FW37/21</f>
        <v>870.71428571428567</v>
      </c>
      <c r="FX37" s="18">
        <f>'Total Weekday Boardings'!FX37/22</f>
        <v>968.59090909090912</v>
      </c>
      <c r="FY37" s="18">
        <f>'Total Weekday Boardings'!FY37/22</f>
        <v>907.0454545454545</v>
      </c>
      <c r="FZ37" s="18">
        <f>'Total Weekday Boardings'!FZ37/21</f>
        <v>697.38095238095241</v>
      </c>
      <c r="GA37" s="18">
        <f>'Total Weekday Boardings'!GA37/23</f>
        <v>874.91304347826087</v>
      </c>
      <c r="GB37" s="18">
        <f>'Total Weekday Boardings'!GB37/21</f>
        <v>1776.5714285714287</v>
      </c>
      <c r="GC37" s="18">
        <f>'Total Weekday Boardings'!GC37/21</f>
        <v>956.71428571428567</v>
      </c>
      <c r="GD37" s="18">
        <f>'Total Weekday Boardings'!GD37/22</f>
        <v>858.0454545454545</v>
      </c>
      <c r="GE37" s="13">
        <f>'Total Weekday Boardings'!GE37/23</f>
        <v>1482.7826086956522</v>
      </c>
      <c r="GF37" s="13">
        <f>'Total Weekday Boardings'!GF37/20</f>
        <v>656.95</v>
      </c>
      <c r="GG37" s="21">
        <f>'Total Weekday Boardings'!GG37/23</f>
        <v>618.43478260869563</v>
      </c>
      <c r="GH37" s="13">
        <f>'Total Weekday Boardings'!GH37/22</f>
        <v>813.5</v>
      </c>
      <c r="GI37" s="13">
        <f>'Total Weekday Boardings'!GI37/21</f>
        <v>936.14285714285711</v>
      </c>
      <c r="GJ37" s="13">
        <f>'Total Weekday Boardings'!GJ37/23</f>
        <v>1093.1304347826087</v>
      </c>
      <c r="GK37" s="13">
        <f>'Total Weekday Boardings'!GK37/21</f>
        <v>897.71428571428567</v>
      </c>
      <c r="GL37" s="13">
        <f>'Total Weekday Boardings'!GL37/22</f>
        <v>724.5</v>
      </c>
    </row>
    <row r="38" spans="1:194" ht="15" thickBot="1" x14ac:dyDescent="0.35">
      <c r="A38" s="3" t="s">
        <v>20</v>
      </c>
      <c r="B38" s="17"/>
      <c r="C38" s="18">
        <f>'Total Weekday Boardings'!C38/'Service Days per Month'!C$4</f>
        <v>1894.5714285714287</v>
      </c>
      <c r="D38" s="18">
        <f>'Total Weekday Boardings'!D38/'Service Days per Month'!D$4</f>
        <v>1807.55</v>
      </c>
      <c r="E38" s="18">
        <f>'Total Weekday Boardings'!E38/'Service Days per Month'!E$4</f>
        <v>1910.2272727272727</v>
      </c>
      <c r="F38" s="18">
        <f>'Total Weekday Boardings'!F38/'Service Days per Month'!F$4</f>
        <v>2100.4545454545455</v>
      </c>
      <c r="G38" s="18">
        <f>'Total Weekday Boardings'!G38/'Service Days per Month'!G$4</f>
        <v>1350.9</v>
      </c>
      <c r="H38" s="19">
        <f>'Total Weekday Boardings'!H38/'Service Days per Month'!H$4</f>
        <v>1209.5</v>
      </c>
      <c r="I38" s="17">
        <f>'Total Weekday Boardings'!I38/'Service Days per Month'!I$4</f>
        <v>889.60869565217388</v>
      </c>
      <c r="J38" s="18">
        <f>'Total Weekday Boardings'!J38/'Service Days per Month'!J$4</f>
        <v>1159.7142857142858</v>
      </c>
      <c r="K38" s="18">
        <f>'Total Weekday Boardings'!K38/'Service Days per Month'!K$4</f>
        <v>3597.0952380952381</v>
      </c>
      <c r="L38" s="18">
        <f>'Total Weekday Boardings'!L38/'Service Days per Month'!L$4</f>
        <v>3502.090909090909</v>
      </c>
      <c r="M38" s="18">
        <f>'Total Weekday Boardings'!M38/'Service Days per Month'!M$4</f>
        <v>3170.1</v>
      </c>
      <c r="N38" s="18">
        <f>'Total Weekday Boardings'!N38/'Service Days per Month'!N$4</f>
        <v>2456.7272727272725</v>
      </c>
      <c r="O38" s="18">
        <f>'Total Weekday Boardings'!O38/'Service Days per Month'!O$4</f>
        <v>2728.35</v>
      </c>
      <c r="P38" s="18">
        <f>'Total Weekday Boardings'!P38/'Service Days per Month'!P$4</f>
        <v>3096.6</v>
      </c>
      <c r="Q38" s="18">
        <f>'Total Weekday Boardings'!Q38/'Service Days per Month'!Q$4</f>
        <v>3015.608695652174</v>
      </c>
      <c r="R38" s="18">
        <f>'Total Weekday Boardings'!R38/'Service Days per Month'!R$4</f>
        <v>3448.818181818182</v>
      </c>
      <c r="S38" s="18">
        <f>'Total Weekday Boardings'!S38/'Service Days per Month'!S$4</f>
        <v>1872.15</v>
      </c>
      <c r="T38" s="19">
        <f>'Total Weekday Boardings'!T38/'Service Days per Month'!T$4</f>
        <v>1259.0454545454545</v>
      </c>
      <c r="U38" s="17">
        <f>'Total Weekday Boardings'!U38/'Service Days per Month'!U$4</f>
        <v>1122.2380952380952</v>
      </c>
      <c r="V38" s="18">
        <f>'Total Weekday Boardings'!V38/'Service Days per Month'!V$4</f>
        <v>2252.8636363636365</v>
      </c>
      <c r="W38" s="18">
        <f>'Total Weekday Boardings'!W38/'Service Days per Month'!W$4</f>
        <v>3703.9523809523807</v>
      </c>
      <c r="X38" s="18">
        <f>'Total Weekday Boardings'!X38/'Service Days per Month'!X$4</f>
        <v>3430.9523809523807</v>
      </c>
      <c r="Y38" s="18">
        <f>'Total Weekday Boardings'!Y38/'Service Days per Month'!Y$4</f>
        <v>3311.3684210526317</v>
      </c>
      <c r="Z38" s="18">
        <f>'Total Weekday Boardings'!Z38/'Service Days per Month'!Z$4</f>
        <v>1968.5714285714287</v>
      </c>
      <c r="AA38" s="18">
        <f>'Total Weekday Boardings'!AA38/'Service Days per Month'!AA$4</f>
        <v>2483.15</v>
      </c>
      <c r="AB38" s="18">
        <f>'Total Weekday Boardings'!AB38/'Service Days per Month'!AB$4</f>
        <v>3454.2105263157896</v>
      </c>
      <c r="AC38" s="18">
        <f>'Total Weekday Boardings'!AC38/'Service Days per Month'!AC$4</f>
        <v>2819.217391304348</v>
      </c>
      <c r="AD38" s="18">
        <f>'Total Weekday Boardings'!AD38/'Service Days per Month'!AD$4</f>
        <v>3044.0476190476193</v>
      </c>
      <c r="AE38" s="18">
        <f>'Total Weekday Boardings'!AE38/'Service Days per Month'!AE$4</f>
        <v>1607.952380952381</v>
      </c>
      <c r="AF38" s="19">
        <f>'Total Weekday Boardings'!AF38/'Service Days per Month'!AF$4</f>
        <v>1372.5</v>
      </c>
      <c r="AG38" s="17">
        <f>'Total Weekday Boardings'!AG38/'Service Days per Month'!AG$4</f>
        <v>1306.8</v>
      </c>
      <c r="AH38" s="18">
        <f>'Total Weekday Boardings'!AH38/'Service Days per Month'!AH$4</f>
        <v>2384.0434782608695</v>
      </c>
      <c r="AI38" s="18">
        <f>'Total Weekday Boardings'!AI38/'Service Days per Month'!AI$4</f>
        <v>3593.4761904761904</v>
      </c>
      <c r="AJ38" s="18">
        <f>'Total Weekday Boardings'!AJ38/'Service Days per Month'!AJ$4</f>
        <v>3388.6666666666665</v>
      </c>
      <c r="AK38" s="18">
        <f>'Total Weekday Boardings'!AK38/'Service Days per Month'!AK$4</f>
        <v>3141.8947368421054</v>
      </c>
      <c r="AL38" s="18">
        <f>'Total Weekday Boardings'!AL38/'Service Days per Month'!AL$4</f>
        <v>1722.8095238095239</v>
      </c>
      <c r="AM38" s="18">
        <f>'Total Weekday Boardings'!AM38/'Service Days per Month'!AM$4</f>
        <v>3030.35</v>
      </c>
      <c r="AN38" s="18">
        <f>'Total Weekday Boardings'!AN38/'Service Days per Month'!AN$4</f>
        <v>2967.1</v>
      </c>
      <c r="AO38" s="18">
        <f>'Total Weekday Boardings'!AO38/'Service Days per Month'!AO$4</f>
        <v>2599.181818181818</v>
      </c>
      <c r="AP38" s="18">
        <f>'Total Weekday Boardings'!AP38/'Service Days per Month'!AP$4</f>
        <v>2868.1428571428573</v>
      </c>
      <c r="AQ38" s="18">
        <f>'Total Weekday Boardings'!AQ38/'Service Days per Month'!AQ$4</f>
        <v>1444.590909090909</v>
      </c>
      <c r="AR38" s="19">
        <f>'Total Weekday Boardings'!AR38/'Service Days per Month'!AR$4</f>
        <v>1460.3333333333333</v>
      </c>
      <c r="AS38" s="17">
        <f>'Total Weekday Boardings'!AS38/'Service Days per Month'!AS$4</f>
        <v>1277.952380952381</v>
      </c>
      <c r="AT38" s="18">
        <f>'Total Weekday Boardings'!AT38/'Service Days per Month'!AT$4</f>
        <v>2063.478260869565</v>
      </c>
      <c r="AU38" s="18">
        <f>'Total Weekday Boardings'!AU38/'Service Days per Month'!AU$4</f>
        <v>3509.9473684210525</v>
      </c>
      <c r="AV38" s="18">
        <f>'Total Weekday Boardings'!AV38/'Service Days per Month'!AV$4</f>
        <v>3228</v>
      </c>
      <c r="AW38" s="18">
        <f>'Total Weekday Boardings'!AW38/'Service Days per Month'!AW$4</f>
        <v>3264.3684210526317</v>
      </c>
      <c r="AX38" s="18">
        <f>'Total Weekday Boardings'!AX38/'Service Days per Month'!AX$4</f>
        <v>2271.4210526315787</v>
      </c>
      <c r="AY38" s="18">
        <f>'Total Weekday Boardings'!AY38/'Service Days per Month'!AY$4</f>
        <v>2970</v>
      </c>
      <c r="AZ38" s="18">
        <f>'Total Weekday Boardings'!AZ38/'Service Days per Month'!AZ$4</f>
        <v>3150.2631578947367</v>
      </c>
      <c r="BA38" s="18">
        <f>'Total Weekday Boardings'!BA38/'Service Days per Month'!BA$4</f>
        <v>2522.3333333333335</v>
      </c>
      <c r="BB38" s="18">
        <f>'Total Weekday Boardings'!BB38/'Service Days per Month'!BB$4</f>
        <v>2882.3636363636365</v>
      </c>
      <c r="BC38" s="18">
        <f>'Total Weekday Boardings'!BC38/'Service Days per Month'!BC$4</f>
        <v>1557.1363636363637</v>
      </c>
      <c r="BD38" s="19">
        <f>'Total Weekday Boardings'!BD38/'Service Days per Month'!BD$4</f>
        <v>1307.5999999999999</v>
      </c>
      <c r="BE38" s="17">
        <f>'Total Weekday Boardings'!BE38/'Service Days per Month'!BE$4</f>
        <v>1130.6363636363637</v>
      </c>
      <c r="BF38" s="18">
        <f>'Total Weekday Boardings'!BF38/'Service Days per Month'!BF$4</f>
        <v>1974.2727272727273</v>
      </c>
      <c r="BG38" s="18">
        <f>'Total Weekday Boardings'!BG38/'Service Days per Month'!BG$4</f>
        <v>3245.75</v>
      </c>
      <c r="BH38" s="18">
        <f>'Total Weekday Boardings'!BH38/'Service Days per Month'!BH$4</f>
        <v>3014.8260869565215</v>
      </c>
      <c r="BI38" s="18">
        <f>'Total Weekday Boardings'!BI38/'Service Days per Month'!BI$4</f>
        <v>3071.6338494111924</v>
      </c>
      <c r="BJ38" s="18">
        <f>'Total Weekday Boardings'!BJ38/'Service Days per Month'!BJ$4</f>
        <v>1856.4</v>
      </c>
      <c r="BK38" s="18">
        <f>'Total Weekday Boardings'!BK38/'Service Days per Month'!BK$4</f>
        <v>2618.1428571428573</v>
      </c>
      <c r="BL38" s="18">
        <f>'Total Weekday Boardings'!BL38/'Service Days per Month'!BL$4</f>
        <v>3036.5789473684213</v>
      </c>
      <c r="BM38" s="18">
        <f>'Total Weekday Boardings'!BM38/'Service Days per Month'!BM$4</f>
        <v>2541.0952380952381</v>
      </c>
      <c r="BN38" s="18">
        <f>'Total Weekday Boardings'!BN38/'Service Days per Month'!BN$4</f>
        <v>2749.409090909091</v>
      </c>
      <c r="BO38" s="18">
        <f>'Total Weekday Boardings'!BO38/'Service Days per Month'!BO$4</f>
        <v>1692.4285714285713</v>
      </c>
      <c r="BP38" s="19">
        <f>'Total Weekday Boardings'!BP38/'Service Days per Month'!BP$4</f>
        <v>1430.952380952381</v>
      </c>
      <c r="BQ38" s="17">
        <f>'Total Weekday Boardings'!BQ38/'Service Days per Month'!BQ$4</f>
        <v>1224.0454545454545</v>
      </c>
      <c r="BR38" s="18">
        <f>'Total Weekday Boardings'!BR38/'Service Days per Month'!BR$4</f>
        <v>2111</v>
      </c>
      <c r="BS38" s="18">
        <f>'Total Weekday Boardings'!BS38/'Service Days per Month'!BS$4</f>
        <v>3223.1428571428573</v>
      </c>
      <c r="BT38" s="18">
        <f>'Total Weekday Boardings'!BT38/'Service Days per Month'!BT$4</f>
        <v>2945.7391304347825</v>
      </c>
      <c r="BU38" s="18">
        <f>'Total Weekday Boardings'!BU38/'Service Days per Month'!BU$4</f>
        <v>2951.4117647058824</v>
      </c>
      <c r="BV38" s="18">
        <f>'Total Weekday Boardings'!BV38/'Service Days per Month'!BV$4</f>
        <v>1791.3333333333333</v>
      </c>
      <c r="BW38" s="18">
        <f>'Total Weekday Boardings'!BW38/'Service Days per Month'!BW$4</f>
        <v>2503.5</v>
      </c>
      <c r="BX38" s="18">
        <f>'Total Weekday Boardings'!BX38/'Service Days per Month'!BX$4</f>
        <v>2798.5263157894738</v>
      </c>
      <c r="BY38" s="18">
        <f>'Total Weekday Boardings'!BY38/'Service Days per Month'!BY$4</f>
        <v>2323.409090909091</v>
      </c>
      <c r="BZ38" s="18">
        <f>'Total Weekday Boardings'!BZ38/'Service Days per Month'!BZ$4</f>
        <v>2472.318181818182</v>
      </c>
      <c r="CA38" s="18">
        <f>'Total Weekday Boardings'!CA38/'Service Days per Month'!CA$4</f>
        <v>1463</v>
      </c>
      <c r="CB38" s="19">
        <f>'Total Weekday Boardings'!CB38/'Service Days per Month'!CB$4</f>
        <v>1260.0454545454545</v>
      </c>
      <c r="CC38" s="20">
        <f>'Total Weekday Boardings'!CC38/'Service Days per Month'!CC$4</f>
        <v>1129.590909090909</v>
      </c>
      <c r="CD38" s="18">
        <f>'Total Weekday Boardings'!CD38/'Service Days per Month'!CD$4</f>
        <v>1974.4285714285713</v>
      </c>
      <c r="CE38" s="18">
        <f>'Total Weekday Boardings'!CE38/'Service Days per Month'!CE$4</f>
        <v>3083.2380952380954</v>
      </c>
      <c r="CF38" s="18">
        <f>'Total Weekday Boardings'!CF38/'Service Days per Month'!CF$4</f>
        <v>2803.5454545454545</v>
      </c>
      <c r="CG38" s="18">
        <f>'Total Weekday Boardings'!CG38/'Service Days per Month'!CG$4</f>
        <v>2886.1666666666665</v>
      </c>
      <c r="CH38" s="18">
        <f>'Total Weekday Boardings'!CH38/'Service Days per Month'!CH$4</f>
        <v>1711.1428571428571</v>
      </c>
      <c r="CI38" s="18">
        <f>'Total Weekday Boardings'!CI38/'Service Days per Month'!CI$4</f>
        <v>2458.0526315789475</v>
      </c>
      <c r="CJ38" s="18">
        <f>'Total Weekday Boardings'!CJ38/'Service Days per Month'!CJ$4</f>
        <v>2759.95</v>
      </c>
      <c r="CK38" s="18">
        <f>'Total Weekday Boardings'!CK38/'Service Days per Month'!CK$4</f>
        <v>2370.3478260869565</v>
      </c>
      <c r="CL38" s="18">
        <f>'Total Weekday Boardings'!CL38/'Service Days per Month'!CL$4</f>
        <v>2550.6190476190477</v>
      </c>
      <c r="CM38" s="18">
        <f>'Total Weekday Boardings'!CM38/'Service Days per Month'!CM$4</f>
        <v>1498.8095238095239</v>
      </c>
      <c r="CN38" s="21">
        <f>'Total Weekday Boardings'!CN38/'Service Days per Month'!CN$4</f>
        <v>1360.8181818181818</v>
      </c>
      <c r="CO38" s="17">
        <f>'Total Weekday Boardings'!CO38/'Service Days per Month'!CO$4</f>
        <v>1253.0999999999999</v>
      </c>
      <c r="CP38" s="18">
        <f>'Total Weekday Boardings'!CP38/'Service Days per Month'!CP$4</f>
        <v>2017.8695652173913</v>
      </c>
      <c r="CQ38" s="18">
        <f>'Total Weekday Boardings'!CQ38/'Service Days per Month'!CQ$4</f>
        <v>2732.4761904761904</v>
      </c>
      <c r="CR38" s="18">
        <f>'Total Weekday Boardings'!CR38/'Service Days per Month'!CR$4</f>
        <v>2510.5238095238096</v>
      </c>
      <c r="CS38" s="18">
        <f>'Total Weekday Boardings'!CS38/'Service Days per Month'!CS$4</f>
        <v>2536.7894736842104</v>
      </c>
      <c r="CT38" s="18">
        <f>'Total Weekday Boardings'!CT38/'Service Days per Month'!CT$4</f>
        <v>1397.0952380952381</v>
      </c>
      <c r="CU38" s="18">
        <f>'Total Weekday Boardings'!CU38/'Service Days per Month'!CU$4</f>
        <v>2306.9</v>
      </c>
      <c r="CV38" s="18">
        <f>'Total Weekday Boardings'!CV38/'Service Days per Month'!CV$4</f>
        <v>2513.8947368421054</v>
      </c>
      <c r="CW38" s="18">
        <f>'Total Weekday Boardings'!CW38/'Service Days per Month'!CW$4</f>
        <v>2129</v>
      </c>
      <c r="CX38" s="18">
        <f>'Total Weekday Boardings'!CX38/'Service Days per Month'!CX$4</f>
        <v>2323.9</v>
      </c>
      <c r="CY38" s="18">
        <f>'Total Weekday Boardings'!CY38/'Service Days per Month'!CY$4</f>
        <v>1429.409090909091</v>
      </c>
      <c r="CZ38" s="19">
        <f>'Total Weekday Boardings'!CZ38/'Service Days per Month'!CZ$4</f>
        <v>1189.1363636363637</v>
      </c>
      <c r="DA38" s="17">
        <f>'Total Weekday Boardings'!DA38/'Service Days per Month'!DA$4</f>
        <v>1149.3</v>
      </c>
      <c r="DB38" s="18">
        <f>'Total Weekday Boardings'!DB38/'Service Days per Month'!DB$4</f>
        <v>1932.391304347826</v>
      </c>
      <c r="DC38" s="18">
        <f>'Total Weekday Boardings'!DC38/'Service Days per Month'!DC$4</f>
        <v>2604.5</v>
      </c>
      <c r="DD38" s="18">
        <f>'Total Weekday Boardings'!DD38/'Service Days per Month'!DD$4</f>
        <v>2384.090909090909</v>
      </c>
      <c r="DE38" s="18">
        <f>'Total Weekday Boardings'!DE38/'Service Days per Month'!DE$4</f>
        <v>2416.4736842105262</v>
      </c>
      <c r="DF38" s="18">
        <f>'Total Weekday Boardings'!DF38/'Service Days per Month'!DF$4</f>
        <v>1278</v>
      </c>
      <c r="DG38" s="18">
        <f>'Total Weekday Boardings'!DG38/'Service Days per Month'!DG$4</f>
        <v>2161.1428571428573</v>
      </c>
      <c r="DH38" s="18">
        <f>'Total Weekday Boardings'!DH38/'Service Days per Month'!DH$4</f>
        <v>2324</v>
      </c>
      <c r="DI38" s="18">
        <f>'Total Weekday Boardings'!DI38/'Service Days per Month'!DI$4</f>
        <v>2048.0454545454545</v>
      </c>
      <c r="DJ38" s="18">
        <f>'Total Weekday Boardings'!DJ38/'Service Days per Month'!DJ$4</f>
        <v>2132.4285714285716</v>
      </c>
      <c r="DK38" s="18">
        <f>'Total Weekday Boardings'!DK38/'Service Days per Month'!DK$4</f>
        <v>1276.8636363636363</v>
      </c>
      <c r="DL38" s="19">
        <f>'Total Weekday Boardings'!DL38/'Service Days per Month'!DL$4</f>
        <v>1191.4285714285713</v>
      </c>
      <c r="DM38" s="17">
        <f>'Total Weekday Boardings'!DM38/'Service Days per Month'!DM$4</f>
        <v>1109.2380952380952</v>
      </c>
      <c r="DN38" s="18">
        <f>'Total Weekday Boardings'!DN38/'Service Days per Month'!DN$4</f>
        <v>1852.608695652174</v>
      </c>
      <c r="DO38" s="18">
        <f>'Total Weekday Boardings'!DO38/'Service Days per Month'!DO$4</f>
        <v>2360.3684210526317</v>
      </c>
      <c r="DP38" s="18">
        <f>'Total Weekday Boardings'!DP38/'Service Days per Month'!DP$4</f>
        <v>2191.0434782608695</v>
      </c>
      <c r="DQ38" s="18">
        <f>'Total Weekday Boardings'!DQ38/'Service Days per Month'!DQ$4</f>
        <v>2119.3809523809523</v>
      </c>
      <c r="DR38" s="18">
        <f>'Total Weekday Boardings'!DR38/'Service Days per Month'!DR$4</f>
        <v>1184.95</v>
      </c>
      <c r="DS38" s="18">
        <f>'Total Weekday Boardings'!DS38/'Service Days per Month'!DS$4</f>
        <v>2109.681818181818</v>
      </c>
      <c r="DT38" s="18">
        <f>'Total Weekday Boardings'!DT38/'Service Days per Month'!DT$4</f>
        <v>2200.75</v>
      </c>
      <c r="DU38" s="18">
        <f>'Total Weekday Boardings'!DU38/'Service Days per Month'!DU$4</f>
        <v>1913</v>
      </c>
      <c r="DV38" s="18">
        <f>'Total Weekday Boardings'!DV38/'Service Days per Month'!DV$4</f>
        <v>2077.5</v>
      </c>
      <c r="DW38" s="18">
        <f>'Total Weekday Boardings'!DW38/'Service Days per Month'!DW$4</f>
        <v>1240.3636363636363</v>
      </c>
      <c r="DX38" s="19">
        <f>'Total Weekday Boardings'!DX38/'Service Days per Month'!DX$4</f>
        <v>1179.7</v>
      </c>
      <c r="DY38" s="17">
        <f>'Total Weekday Boardings'!DY38/'Service Days per Month'!DY$4</f>
        <v>1027.409090909091</v>
      </c>
      <c r="DZ38" s="18">
        <f>'Total Weekday Boardings'!DZ38/'Service Days per Month'!DZ$4</f>
        <v>1511.6818181818182</v>
      </c>
      <c r="EA38" s="18">
        <f>'Total Weekday Boardings'!EA38/'Service Days per Month'!EA$4</f>
        <v>2476.6999999999998</v>
      </c>
      <c r="EB38" s="18">
        <f>'Total Weekday Boardings'!EB38/'Service Days per Month'!EB$4</f>
        <v>2346.086956521739</v>
      </c>
      <c r="EC38" s="18">
        <f>'Total Weekday Boardings'!EC38/'Service Days per Month'!EC$4</f>
        <v>2213.15</v>
      </c>
      <c r="ED38" s="18">
        <f>'Total Weekday Boardings'!ED38/'Service Days per Month'!ED$4</f>
        <v>1439.047619047619</v>
      </c>
      <c r="EE38" s="18">
        <f>'Total Weekday Boardings'!EE38/'Service Days per Month'!EE$4</f>
        <v>1813.608695652174</v>
      </c>
      <c r="EF38" s="18">
        <f>'Total Weekday Boardings'!EF38/'Service Days per Month'!EF$4</f>
        <v>2324.6</v>
      </c>
      <c r="EG38" s="18">
        <f>'Total Weekday Boardings'!EG38/'Service Days per Month'!EG$4</f>
        <v>1138.5454545454545</v>
      </c>
      <c r="EH38" s="18">
        <f>'Total Weekday Boardings'!EH38/'Service Days per Month'!EH$4</f>
        <v>411.86363636363637</v>
      </c>
      <c r="EI38" s="18">
        <f>'Total Weekday Boardings'!EI38/'Service Days per Month'!EI$4</f>
        <v>394.1</v>
      </c>
      <c r="EJ38" s="19">
        <f>'Total Weekday Boardings'!EJ38/'Service Days per Month'!EJ$4</f>
        <v>361.54545454545456</v>
      </c>
      <c r="EK38" s="17">
        <f>'Total Weekday Boardings'!EK38/'Service Days per Month'!EK$4</f>
        <v>336.90909090909093</v>
      </c>
      <c r="EL38" s="18">
        <f>'Total Weekday Boardings'!EL38/'Service Days per Month'!EL$4</f>
        <v>490.52380952380952</v>
      </c>
      <c r="EM38" s="18">
        <f>'Total Weekday Boardings'!EM38/'Service Days per Month'!EM$4</f>
        <v>558.57142857142856</v>
      </c>
      <c r="EN38" s="18">
        <f>'Total Weekday Boardings'!EN38/'Service Days per Month'!EN$4</f>
        <v>563.68181818181813</v>
      </c>
      <c r="EO38" s="18">
        <f>'Total Weekday Boardings'!EO38/'Service Days per Month'!EO$4</f>
        <v>573</v>
      </c>
      <c r="EP38" s="18">
        <f>'Total Weekday Boardings'!EP38/'Service Days per Month'!EP$4</f>
        <v>389.63636363636363</v>
      </c>
      <c r="EQ38" s="18">
        <f>'Total Weekday Boardings'!EQ38/'Service Days per Month'!EQ$4</f>
        <v>219.66666666666666</v>
      </c>
      <c r="ER38" s="18">
        <f>'Total Weekday Boardings'!ER38/'Service Days per Month'!ER$4</f>
        <v>493.45</v>
      </c>
      <c r="ES38" s="18">
        <f>'Total Weekday Boardings'!ES38/'Service Days per Month'!ES$4</f>
        <v>522.26086956521738</v>
      </c>
      <c r="ET38" s="18">
        <f>'Total Weekday Boardings'!ET38/'Service Days per Month'!ET$4</f>
        <v>564.90909090909088</v>
      </c>
      <c r="EU38" s="18">
        <f>'Total Weekday Boardings'!EU38/'Service Days per Month'!EU$4</f>
        <v>540.70000000000005</v>
      </c>
      <c r="EV38" s="19">
        <f>'Total Weekday Boardings'!EV38/'Service Days per Month'!EV$4</f>
        <v>547.36363636363637</v>
      </c>
      <c r="EW38" s="17">
        <f>'Total Weekday Boardings'!EW38/'Service Days per Month'!EW$4</f>
        <v>526.61904761904759</v>
      </c>
      <c r="EX38" s="18">
        <f>'Total Weekday Boardings'!EX38/'Service Days per Month'!EX$4</f>
        <v>962</v>
      </c>
      <c r="EY38" s="18">
        <f>'Total Weekday Boardings'!EY38/'Service Days per Month'!EY$4</f>
        <v>1387.2380952380952</v>
      </c>
      <c r="EZ38" s="18">
        <f>'Total Weekday Boardings'!EZ38/'Service Days per Month'!EZ$4</f>
        <v>1256</v>
      </c>
      <c r="FA38" s="18">
        <f>'Total Weekday Boardings'!FA38/'Service Days per Month'!FA$4</f>
        <v>1213.3333333333333</v>
      </c>
      <c r="FB38" s="18">
        <f>'Total Weekday Boardings'!FB38/'Service Days per Month'!FB$4</f>
        <v>745.22727272727275</v>
      </c>
      <c r="FC38" s="18">
        <f>'Total Weekday Boardings'!FC38/'Service Days per Month'!FC$4</f>
        <v>1000.8095238095239</v>
      </c>
      <c r="FD38" s="18">
        <f>'Total Weekday Boardings'!FD38/'Service Days per Month'!FD$4</f>
        <v>1347.75</v>
      </c>
      <c r="FE38" s="18">
        <f>'Total Weekday Boardings'!FE38/'Service Days per Month'!FE$4</f>
        <v>1265.7391304347825</v>
      </c>
      <c r="FF38" s="18">
        <f>'Total Weekday Boardings'!FF38/'Service Days per Month'!FF$4</f>
        <v>1310.8095238095239</v>
      </c>
      <c r="FG38" s="18">
        <f>'Total Weekday Boardings'!FG38/'Service Days per Month'!FG$4</f>
        <v>867.80952380952385</v>
      </c>
      <c r="FH38" s="19">
        <f>'Total Weekday Boardings'!FH38/'Service Days per Month'!FH$4</f>
        <v>676.72727272727275</v>
      </c>
      <c r="FI38" s="17">
        <v>671.95</v>
      </c>
      <c r="FJ38" s="18">
        <v>467.56521739130437</v>
      </c>
      <c r="FK38" s="18">
        <v>574.47619047619048</v>
      </c>
      <c r="FL38" s="18">
        <v>530.42857142857144</v>
      </c>
      <c r="FM38" s="18">
        <v>494.09523809523807</v>
      </c>
      <c r="FN38" s="18">
        <v>376.90476190476193</v>
      </c>
      <c r="FO38" s="18">
        <v>533.57142857142856</v>
      </c>
      <c r="FP38" s="18">
        <v>1270.3</v>
      </c>
      <c r="FQ38" s="18">
        <v>549.73913043478262</v>
      </c>
      <c r="FR38" s="18">
        <f>'Total Weekday Boardings'!FR38/20</f>
        <v>563.29999999999995</v>
      </c>
      <c r="FS38" s="18">
        <f>'Total Weekday Boardings'!FS38/22</f>
        <v>489.13636363636363</v>
      </c>
      <c r="FT38" s="21">
        <f>'Total Weekday Boardings'!FT38/23</f>
        <v>358.52173913043481</v>
      </c>
      <c r="FU38" s="17">
        <f>'Total Weekday Boardings'!FU38/21</f>
        <v>377.47619047619048</v>
      </c>
      <c r="FV38" s="18">
        <f>'Total Weekday Boardings'!FV38/23</f>
        <v>561.86956521739125</v>
      </c>
      <c r="FW38" s="18">
        <f>'Total Weekday Boardings'!FW38/21</f>
        <v>565.09523809523807</v>
      </c>
      <c r="FX38" s="18">
        <f>'Total Weekday Boardings'!FX38/22</f>
        <v>572.5454545454545</v>
      </c>
      <c r="FY38" s="18">
        <f>'Total Weekday Boardings'!FY38/22</f>
        <v>509</v>
      </c>
      <c r="FZ38" s="18">
        <f>'Total Weekday Boardings'!FZ38/21</f>
        <v>395.1904761904762</v>
      </c>
      <c r="GA38" s="18">
        <f>'Total Weekday Boardings'!GA38/23</f>
        <v>494.56521739130437</v>
      </c>
      <c r="GB38" s="18">
        <f>'Total Weekday Boardings'!GB38/21</f>
        <v>589.19047619047615</v>
      </c>
      <c r="GC38" s="18">
        <f>'Total Weekday Boardings'!GC38/21</f>
        <v>514.23809523809518</v>
      </c>
      <c r="GD38" s="18">
        <f>'Total Weekday Boardings'!GD38/22</f>
        <v>487.04545454545456</v>
      </c>
      <c r="GE38" s="13">
        <f>'Total Weekday Boardings'!GE38/23</f>
        <v>411.82608695652175</v>
      </c>
      <c r="GF38" s="13">
        <f>'Total Weekday Boardings'!GF38/20</f>
        <v>327.10000000000002</v>
      </c>
      <c r="GG38" s="21">
        <f>'Total Weekday Boardings'!GG38/23</f>
        <v>311.17391304347825</v>
      </c>
      <c r="GH38" s="13">
        <f>'Total Weekday Boardings'!GH38/22</f>
        <v>493.27272727272725</v>
      </c>
      <c r="GI38" s="13">
        <f>'Total Weekday Boardings'!GI38/21</f>
        <v>610.04761904761904</v>
      </c>
      <c r="GJ38" s="13">
        <f>'Total Weekday Boardings'!GJ38/23</f>
        <v>582.39130434782612</v>
      </c>
      <c r="GK38" s="13">
        <f>'Total Weekday Boardings'!GK38/21</f>
        <v>535.76190476190482</v>
      </c>
      <c r="GL38" s="13">
        <f>'Total Weekday Boardings'!GL38/22</f>
        <v>405.36363636363637</v>
      </c>
    </row>
    <row r="39" spans="1:194" ht="15" thickBot="1" x14ac:dyDescent="0.35">
      <c r="A39" s="3" t="s">
        <v>21</v>
      </c>
      <c r="B39" s="17"/>
      <c r="C39" s="18">
        <f>'Total Weekday Boardings'!C39/'Service Days per Month'!C$4</f>
        <v>479.14285714285717</v>
      </c>
      <c r="D39" s="18">
        <f>'Total Weekday Boardings'!D39/'Service Days per Month'!D$4</f>
        <v>879.55</v>
      </c>
      <c r="E39" s="18">
        <f>'Total Weekday Boardings'!E39/'Service Days per Month'!E$4</f>
        <v>778.31818181818187</v>
      </c>
      <c r="F39" s="18">
        <f>'Total Weekday Boardings'!F39/'Service Days per Month'!F$4</f>
        <v>834.27272727272725</v>
      </c>
      <c r="G39" s="18">
        <f>'Total Weekday Boardings'!G39/'Service Days per Month'!G$4</f>
        <v>797.6</v>
      </c>
      <c r="H39" s="19">
        <f>'Total Weekday Boardings'!H39/'Service Days per Month'!H$4</f>
        <v>572.9545454545455</v>
      </c>
      <c r="I39" s="17">
        <f>'Total Weekday Boardings'!I39/'Service Days per Month'!I$4</f>
        <v>425.73913043478262</v>
      </c>
      <c r="J39" s="18">
        <f>'Total Weekday Boardings'!J39/'Service Days per Month'!J$4</f>
        <v>509.66666666666669</v>
      </c>
      <c r="K39" s="18">
        <f>'Total Weekday Boardings'!K39/'Service Days per Month'!K$4</f>
        <v>967.90476190476193</v>
      </c>
      <c r="L39" s="18">
        <f>'Total Weekday Boardings'!L39/'Service Days per Month'!L$4</f>
        <v>999.18181818181813</v>
      </c>
      <c r="M39" s="18">
        <f>'Total Weekday Boardings'!M39/'Service Days per Month'!M$4</f>
        <v>929.55</v>
      </c>
      <c r="N39" s="18">
        <f>'Total Weekday Boardings'!N39/'Service Days per Month'!N$4</f>
        <v>734.59090909090912</v>
      </c>
      <c r="O39" s="18">
        <f>'Total Weekday Boardings'!O39/'Service Days per Month'!O$4</f>
        <v>778.45</v>
      </c>
      <c r="P39" s="18">
        <f>'Total Weekday Boardings'!P39/'Service Days per Month'!P$4</f>
        <v>926.65</v>
      </c>
      <c r="Q39" s="18">
        <f>'Total Weekday Boardings'!Q39/'Service Days per Month'!Q$4</f>
        <v>928.43478260869563</v>
      </c>
      <c r="R39" s="18">
        <f>'Total Weekday Boardings'!R39/'Service Days per Month'!R$4</f>
        <v>984</v>
      </c>
      <c r="S39" s="18">
        <f>'Total Weekday Boardings'!S39/'Service Days per Month'!S$4</f>
        <v>804.95</v>
      </c>
      <c r="T39" s="19">
        <f>'Total Weekday Boardings'!T39/'Service Days per Month'!T$4</f>
        <v>588.63636363636363</v>
      </c>
      <c r="U39" s="17">
        <f>'Total Weekday Boardings'!U39/'Service Days per Month'!U$4</f>
        <v>521.28571428571433</v>
      </c>
      <c r="V39" s="18">
        <f>'Total Weekday Boardings'!V39/'Service Days per Month'!V$4</f>
        <v>850.40909090909088</v>
      </c>
      <c r="W39" s="18">
        <f>'Total Weekday Boardings'!W39/'Service Days per Month'!W$4</f>
        <v>1018.7619047619048</v>
      </c>
      <c r="X39" s="18">
        <f>'Total Weekday Boardings'!X39/'Service Days per Month'!X$4</f>
        <v>970.61904761904759</v>
      </c>
      <c r="Y39" s="18">
        <f>'Total Weekday Boardings'!Y39/'Service Days per Month'!Y$4</f>
        <v>941.63157894736844</v>
      </c>
      <c r="Z39" s="18">
        <f>'Total Weekday Boardings'!Z39/'Service Days per Month'!Z$4</f>
        <v>753.95238095238096</v>
      </c>
      <c r="AA39" s="18">
        <f>'Total Weekday Boardings'!AA39/'Service Days per Month'!AA$4</f>
        <v>844.5</v>
      </c>
      <c r="AB39" s="18">
        <f>'Total Weekday Boardings'!AB39/'Service Days per Month'!AB$4</f>
        <v>998.68421052631584</v>
      </c>
      <c r="AC39" s="18">
        <f>'Total Weekday Boardings'!AC39/'Service Days per Month'!AC$4</f>
        <v>906.56521739130437</v>
      </c>
      <c r="AD39" s="18">
        <f>'Total Weekday Boardings'!AD39/'Service Days per Month'!AD$4</f>
        <v>935.85714285714289</v>
      </c>
      <c r="AE39" s="18">
        <f>'Total Weekday Boardings'!AE39/'Service Days per Month'!AE$4</f>
        <v>702.61904761904759</v>
      </c>
      <c r="AF39" s="19">
        <f>'Total Weekday Boardings'!AF39/'Service Days per Month'!AF$4</f>
        <v>542.13636363636363</v>
      </c>
      <c r="AG39" s="17">
        <f>'Total Weekday Boardings'!AG39/'Service Days per Month'!AG$4</f>
        <v>545.9</v>
      </c>
      <c r="AH39" s="18">
        <f>'Total Weekday Boardings'!AH39/'Service Days per Month'!AH$4</f>
        <v>763.95652173913038</v>
      </c>
      <c r="AI39" s="18">
        <f>'Total Weekday Boardings'!AI39/'Service Days per Month'!AI$4</f>
        <v>1005.952380952381</v>
      </c>
      <c r="AJ39" s="18">
        <f>'Total Weekday Boardings'!AJ39/'Service Days per Month'!AJ$4</f>
        <v>946.47619047619048</v>
      </c>
      <c r="AK39" s="18">
        <f>'Total Weekday Boardings'!AK39/'Service Days per Month'!AK$4</f>
        <v>885.21052631578948</v>
      </c>
      <c r="AL39" s="18">
        <f>'Total Weekday Boardings'!AL39/'Service Days per Month'!AL$4</f>
        <v>703.66666666666663</v>
      </c>
      <c r="AM39" s="18">
        <f>'Total Weekday Boardings'!AM39/'Service Days per Month'!AM$4</f>
        <v>921.05</v>
      </c>
      <c r="AN39" s="18">
        <f>'Total Weekday Boardings'!AN39/'Service Days per Month'!AN$4</f>
        <v>930.3</v>
      </c>
      <c r="AO39" s="18">
        <f>'Total Weekday Boardings'!AO39/'Service Days per Month'!AO$4</f>
        <v>913.68181818181813</v>
      </c>
      <c r="AP39" s="18">
        <f>'Total Weekday Boardings'!AP39/'Service Days per Month'!AP$4</f>
        <v>995.42857142857144</v>
      </c>
      <c r="AQ39" s="18">
        <f>'Total Weekday Boardings'!AQ39/'Service Days per Month'!AQ$4</f>
        <v>729.72727272727275</v>
      </c>
      <c r="AR39" s="19">
        <f>'Total Weekday Boardings'!AR39/'Service Days per Month'!AR$4</f>
        <v>672</v>
      </c>
      <c r="AS39" s="17">
        <f>'Total Weekday Boardings'!AS39/'Service Days per Month'!AS$4</f>
        <v>643.33333333333337</v>
      </c>
      <c r="AT39" s="18">
        <f>'Total Weekday Boardings'!AT39/'Service Days per Month'!AT$4</f>
        <v>834.17391304347825</v>
      </c>
      <c r="AU39" s="18">
        <f>'Total Weekday Boardings'!AU39/'Service Days per Month'!AU$4</f>
        <v>990.36842105263156</v>
      </c>
      <c r="AV39" s="18">
        <f>'Total Weekday Boardings'!AV39/'Service Days per Month'!AV$4</f>
        <v>1015.9565217391304</v>
      </c>
      <c r="AW39" s="18">
        <f>'Total Weekday Boardings'!AW39/'Service Days per Month'!AW$4</f>
        <v>1034.0526315789473</v>
      </c>
      <c r="AX39" s="18">
        <f>'Total Weekday Boardings'!AX39/'Service Days per Month'!AX$4</f>
        <v>875.15789473684208</v>
      </c>
      <c r="AY39" s="18">
        <f>'Total Weekday Boardings'!AY39/'Service Days per Month'!AY$4</f>
        <v>946.42857142857144</v>
      </c>
      <c r="AZ39" s="18">
        <f>'Total Weekday Boardings'!AZ39/'Service Days per Month'!AZ$4</f>
        <v>1007.0526315789474</v>
      </c>
      <c r="BA39" s="18">
        <f>'Total Weekday Boardings'!BA39/'Service Days per Month'!BA$4</f>
        <v>911.04761904761904</v>
      </c>
      <c r="BB39" s="18">
        <f>'Total Weekday Boardings'!BB39/'Service Days per Month'!BB$4</f>
        <v>949.27272727272725</v>
      </c>
      <c r="BC39" s="18">
        <f>'Total Weekday Boardings'!BC39/'Service Days per Month'!BC$4</f>
        <v>745.40909090909088</v>
      </c>
      <c r="BD39" s="19">
        <f>'Total Weekday Boardings'!BD39/'Service Days per Month'!BD$4</f>
        <v>656.5</v>
      </c>
      <c r="BE39" s="17">
        <f>'Total Weekday Boardings'!BE39/'Service Days per Month'!BE$4</f>
        <v>613.0454545454545</v>
      </c>
      <c r="BF39" s="18">
        <f>'Total Weekday Boardings'!BF39/'Service Days per Month'!BF$4</f>
        <v>775.09090909090912</v>
      </c>
      <c r="BG39" s="18">
        <f>'Total Weekday Boardings'!BG39/'Service Days per Month'!BG$4</f>
        <v>968.15</v>
      </c>
      <c r="BH39" s="18">
        <f>'Total Weekday Boardings'!BH39/'Service Days per Month'!BH$4</f>
        <v>951.60869565217388</v>
      </c>
      <c r="BI39" s="18">
        <f>'Total Weekday Boardings'!BI39/'Service Days per Month'!BI$4</f>
        <v>1022.0097298424066</v>
      </c>
      <c r="BJ39" s="18">
        <f>'Total Weekday Boardings'!BJ39/'Service Days per Month'!BJ$4</f>
        <v>803.75</v>
      </c>
      <c r="BK39" s="18">
        <f>'Total Weekday Boardings'!BK39/'Service Days per Month'!BK$4</f>
        <v>959.23809523809518</v>
      </c>
      <c r="BL39" s="18">
        <f>'Total Weekday Boardings'!BL39/'Service Days per Month'!BL$4</f>
        <v>1034.4736842105262</v>
      </c>
      <c r="BM39" s="18">
        <f>'Total Weekday Boardings'!BM39/'Service Days per Month'!BM$4</f>
        <v>961.23809523809518</v>
      </c>
      <c r="BN39" s="18">
        <f>'Total Weekday Boardings'!BN39/'Service Days per Month'!BN$4</f>
        <v>985.5454545454545</v>
      </c>
      <c r="BO39" s="18">
        <f>'Total Weekday Boardings'!BO39/'Service Days per Month'!BO$4</f>
        <v>813.61904761904759</v>
      </c>
      <c r="BP39" s="19">
        <f>'Total Weekday Boardings'!BP39/'Service Days per Month'!BP$4</f>
        <v>685.14285714285711</v>
      </c>
      <c r="BQ39" s="17">
        <f>'Total Weekday Boardings'!BQ39/'Service Days per Month'!BQ$4</f>
        <v>642.5454545454545</v>
      </c>
      <c r="BR39" s="18">
        <f>'Total Weekday Boardings'!BR39/'Service Days per Month'!BR$4</f>
        <v>860.95238095238096</v>
      </c>
      <c r="BS39" s="18">
        <f>'Total Weekday Boardings'!BS39/'Service Days per Month'!BS$4</f>
        <v>1070.952380952381</v>
      </c>
      <c r="BT39" s="18">
        <f>'Total Weekday Boardings'!BT39/'Service Days per Month'!BT$4</f>
        <v>1040.7391304347825</v>
      </c>
      <c r="BU39" s="18">
        <f>'Total Weekday Boardings'!BU39/'Service Days per Month'!BU$4</f>
        <v>1026.9411764705883</v>
      </c>
      <c r="BV39" s="18">
        <f>'Total Weekday Boardings'!BV39/'Service Days per Month'!BV$4</f>
        <v>812.19047619047615</v>
      </c>
      <c r="BW39" s="18">
        <f>'Total Weekday Boardings'!BW39/'Service Days per Month'!BW$4</f>
        <v>985.6</v>
      </c>
      <c r="BX39" s="18">
        <f>'Total Weekday Boardings'!BX39/'Service Days per Month'!BX$4</f>
        <v>984.68421052631584</v>
      </c>
      <c r="BY39" s="18">
        <f>'Total Weekday Boardings'!BY39/'Service Days per Month'!BY$4</f>
        <v>903.13636363636363</v>
      </c>
      <c r="BZ39" s="18">
        <f>'Total Weekday Boardings'!BZ39/'Service Days per Month'!BZ$4</f>
        <v>961.18181818181813</v>
      </c>
      <c r="CA39" s="18">
        <f>'Total Weekday Boardings'!CA39/'Service Days per Month'!CA$4</f>
        <v>736.2</v>
      </c>
      <c r="CB39" s="19">
        <f>'Total Weekday Boardings'!CB39/'Service Days per Month'!CB$4</f>
        <v>581.68181818181813</v>
      </c>
      <c r="CC39" s="20">
        <f>'Total Weekday Boardings'!CC39/'Service Days per Month'!CC$4</f>
        <v>557.72727272727275</v>
      </c>
      <c r="CD39" s="18">
        <f>'Total Weekday Boardings'!CD39/'Service Days per Month'!CD$4</f>
        <v>742.19047619047615</v>
      </c>
      <c r="CE39" s="18">
        <f>'Total Weekday Boardings'!CE39/'Service Days per Month'!CE$4</f>
        <v>977.09523809523807</v>
      </c>
      <c r="CF39" s="18">
        <f>'Total Weekday Boardings'!CF39/'Service Days per Month'!CF$4</f>
        <v>972.90909090909088</v>
      </c>
      <c r="CG39" s="18">
        <f>'Total Weekday Boardings'!CG39/'Service Days per Month'!CG$4</f>
        <v>959.77777777777783</v>
      </c>
      <c r="CH39" s="18">
        <f>'Total Weekday Boardings'!CH39/'Service Days per Month'!CH$4</f>
        <v>782.33333333333337</v>
      </c>
      <c r="CI39" s="18">
        <f>'Total Weekday Boardings'!CI39/'Service Days per Month'!CI$4</f>
        <v>905.9473684210526</v>
      </c>
      <c r="CJ39" s="18">
        <f>'Total Weekday Boardings'!CJ39/'Service Days per Month'!CJ$4</f>
        <v>922.35</v>
      </c>
      <c r="CK39" s="18">
        <f>'Total Weekday Boardings'!CK39/'Service Days per Month'!CK$4</f>
        <v>870.17391304347825</v>
      </c>
      <c r="CL39" s="18">
        <f>'Total Weekday Boardings'!CL39/'Service Days per Month'!CL$4</f>
        <v>910.76190476190482</v>
      </c>
      <c r="CM39" s="18">
        <f>'Total Weekday Boardings'!CM39/'Service Days per Month'!CM$4</f>
        <v>715.61904761904759</v>
      </c>
      <c r="CN39" s="21">
        <f>'Total Weekday Boardings'!CN39/'Service Days per Month'!CN$4</f>
        <v>641.22727272727275</v>
      </c>
      <c r="CO39" s="17">
        <f>'Total Weekday Boardings'!CO39/'Service Days per Month'!CO$4</f>
        <v>627.85</v>
      </c>
      <c r="CP39" s="18">
        <f>'Total Weekday Boardings'!CP39/'Service Days per Month'!CP$4</f>
        <v>784.04347826086962</v>
      </c>
      <c r="CQ39" s="18">
        <f>'Total Weekday Boardings'!CQ39/'Service Days per Month'!CQ$4</f>
        <v>904.09523809523807</v>
      </c>
      <c r="CR39" s="18">
        <f>'Total Weekday Boardings'!CR39/'Service Days per Month'!CR$4</f>
        <v>890.80952380952385</v>
      </c>
      <c r="CS39" s="18">
        <f>'Total Weekday Boardings'!CS39/'Service Days per Month'!CS$4</f>
        <v>865.63157894736844</v>
      </c>
      <c r="CT39" s="18">
        <f>'Total Weekday Boardings'!CT39/'Service Days per Month'!CT$4</f>
        <v>683.38095238095241</v>
      </c>
      <c r="CU39" s="18">
        <f>'Total Weekday Boardings'!CU39/'Service Days per Month'!CU$4</f>
        <v>874.8</v>
      </c>
      <c r="CV39" s="18">
        <f>'Total Weekday Boardings'!CV39/'Service Days per Month'!CV$4</f>
        <v>862.89473684210532</v>
      </c>
      <c r="CW39" s="18">
        <f>'Total Weekday Boardings'!CW39/'Service Days per Month'!CW$4</f>
        <v>831.91304347826087</v>
      </c>
      <c r="CX39" s="18">
        <f>'Total Weekday Boardings'!CX39/'Service Days per Month'!CX$4</f>
        <v>840.4</v>
      </c>
      <c r="CY39" s="18">
        <f>'Total Weekday Boardings'!CY39/'Service Days per Month'!CY$4</f>
        <v>693.31818181818187</v>
      </c>
      <c r="CZ39" s="19">
        <f>'Total Weekday Boardings'!CZ39/'Service Days per Month'!CZ$4</f>
        <v>603.40909090909088</v>
      </c>
      <c r="DA39" s="17">
        <f>'Total Weekday Boardings'!DA39/'Service Days per Month'!DA$4</f>
        <v>594.29999999999995</v>
      </c>
      <c r="DB39" s="18">
        <f>'Total Weekday Boardings'!DB39/'Service Days per Month'!DB$4</f>
        <v>818.91304347826087</v>
      </c>
      <c r="DC39" s="18">
        <f>'Total Weekday Boardings'!DC39/'Service Days per Month'!DC$4</f>
        <v>920.35</v>
      </c>
      <c r="DD39" s="18">
        <f>'Total Weekday Boardings'!DD39/'Service Days per Month'!DD$4</f>
        <v>925.18181818181813</v>
      </c>
      <c r="DE39" s="18">
        <f>'Total Weekday Boardings'!DE39/'Service Days per Month'!DE$4</f>
        <v>899.78947368421052</v>
      </c>
      <c r="DF39" s="18">
        <f>'Total Weekday Boardings'!DF39/'Service Days per Month'!DF$4</f>
        <v>666.6</v>
      </c>
      <c r="DG39" s="18">
        <f>'Total Weekday Boardings'!DG39/'Service Days per Month'!DG$4</f>
        <v>831.71428571428567</v>
      </c>
      <c r="DH39" s="18">
        <f>'Total Weekday Boardings'!DH39/'Service Days per Month'!DH$4</f>
        <v>895</v>
      </c>
      <c r="DI39" s="18">
        <f>'Total Weekday Boardings'!DI39/'Service Days per Month'!DI$4</f>
        <v>824.72727272727275</v>
      </c>
      <c r="DJ39" s="18">
        <f>'Total Weekday Boardings'!DJ39/'Service Days per Month'!DJ$4</f>
        <v>885.19047619047615</v>
      </c>
      <c r="DK39" s="18">
        <f>'Total Weekday Boardings'!DK39/'Service Days per Month'!DK$4</f>
        <v>694.72727272727275</v>
      </c>
      <c r="DL39" s="19">
        <f>'Total Weekday Boardings'!DL39/'Service Days per Month'!DL$4</f>
        <v>618.61904761904759</v>
      </c>
      <c r="DM39" s="17">
        <f>'Total Weekday Boardings'!DM39/'Service Days per Month'!DM$4</f>
        <v>599.61904761904759</v>
      </c>
      <c r="DN39" s="18">
        <f>'Total Weekday Boardings'!DN39/'Service Days per Month'!DN$4</f>
        <v>797.95652173913038</v>
      </c>
      <c r="DO39" s="18">
        <f>'Total Weekday Boardings'!DO39/'Service Days per Month'!DO$4</f>
        <v>894.36842105263156</v>
      </c>
      <c r="DP39" s="18">
        <f>'Total Weekday Boardings'!DP39/'Service Days per Month'!DP$4</f>
        <v>891.95652173913038</v>
      </c>
      <c r="DQ39" s="18">
        <f>'Total Weekday Boardings'!DQ39/'Service Days per Month'!DQ$4</f>
        <v>834.23809523809518</v>
      </c>
      <c r="DR39" s="18">
        <f>'Total Weekday Boardings'!DR39/'Service Days per Month'!DR$4</f>
        <v>646.4</v>
      </c>
      <c r="DS39" s="18">
        <f>'Total Weekday Boardings'!DS39/'Service Days per Month'!DS$4</f>
        <v>826.81818181818187</v>
      </c>
      <c r="DT39" s="18">
        <f>'Total Weekday Boardings'!DT39/'Service Days per Month'!DT$4</f>
        <v>849.15</v>
      </c>
      <c r="DU39" s="18">
        <f>'Total Weekday Boardings'!DU39/'Service Days per Month'!DU$4</f>
        <v>785.33333333333337</v>
      </c>
      <c r="DV39" s="18">
        <f>'Total Weekday Boardings'!DV39/'Service Days per Month'!DV$4</f>
        <v>833.59090909090912</v>
      </c>
      <c r="DW39" s="18">
        <f>'Total Weekday Boardings'!DW39/'Service Days per Month'!DW$4</f>
        <v>710.27272727272725</v>
      </c>
      <c r="DX39" s="19">
        <f>'Total Weekday Boardings'!DX39/'Service Days per Month'!DX$4</f>
        <v>621.75</v>
      </c>
      <c r="DY39" s="17">
        <f>'Total Weekday Boardings'!DY39/'Service Days per Month'!DY$4</f>
        <v>585.27272727272725</v>
      </c>
      <c r="DZ39" s="18">
        <f>'Total Weekday Boardings'!DZ39/'Service Days per Month'!DZ$4</f>
        <v>790.68181818181813</v>
      </c>
      <c r="EA39" s="18">
        <f>'Total Weekday Boardings'!EA39/'Service Days per Month'!EA$4</f>
        <v>899.15</v>
      </c>
      <c r="EB39" s="18">
        <f>'Total Weekday Boardings'!EB39/'Service Days per Month'!EB$4</f>
        <v>896.21739130434787</v>
      </c>
      <c r="EC39" s="18">
        <f>'Total Weekday Boardings'!EC39/'Service Days per Month'!EC$4</f>
        <v>879.25</v>
      </c>
      <c r="ED39" s="18">
        <f>'Total Weekday Boardings'!ED39/'Service Days per Month'!ED$4</f>
        <v>710.38095238095241</v>
      </c>
      <c r="EE39" s="18">
        <f>'Total Weekday Boardings'!EE39/'Service Days per Month'!EE$4</f>
        <v>755.82608695652175</v>
      </c>
      <c r="EF39" s="18">
        <f>'Total Weekday Boardings'!EF39/'Service Days per Month'!EF$4</f>
        <v>864.6</v>
      </c>
      <c r="EG39" s="18">
        <f>'Total Weekday Boardings'!EG39/'Service Days per Month'!EG$4</f>
        <v>577.90909090909088</v>
      </c>
      <c r="EH39" s="18">
        <f>'Total Weekday Boardings'!EH39/'Service Days per Month'!EH$4</f>
        <v>348.72727272727275</v>
      </c>
      <c r="EI39" s="18">
        <f>'Total Weekday Boardings'!EI39/'Service Days per Month'!EI$4</f>
        <v>356.3</v>
      </c>
      <c r="EJ39" s="19">
        <f>'Total Weekday Boardings'!EJ39/'Service Days per Month'!EJ$4</f>
        <v>359.68181818181819</v>
      </c>
      <c r="EK39" s="17">
        <f>'Total Weekday Boardings'!EK39/'Service Days per Month'!EK$4</f>
        <v>314.40909090909093</v>
      </c>
      <c r="EL39" s="18">
        <f>'Total Weekday Boardings'!EL39/'Service Days per Month'!EL$4</f>
        <v>332.8095238095238</v>
      </c>
      <c r="EM39" s="18">
        <f>'Total Weekday Boardings'!EM39/'Service Days per Month'!EM$4</f>
        <v>363.23809523809524</v>
      </c>
      <c r="EN39" s="18">
        <f>'Total Weekday Boardings'!EN39/'Service Days per Month'!EN$4</f>
        <v>366.18181818181819</v>
      </c>
      <c r="EO39" s="18">
        <f>'Total Weekday Boardings'!EO39/'Service Days per Month'!EO$4</f>
        <v>366.8</v>
      </c>
      <c r="EP39" s="18">
        <f>'Total Weekday Boardings'!EP39/'Service Days per Month'!EP$4</f>
        <v>274.95454545454544</v>
      </c>
      <c r="EQ39" s="18">
        <f>'Total Weekday Boardings'!EQ39/'Service Days per Month'!EQ$4</f>
        <v>161</v>
      </c>
      <c r="ER39" s="18">
        <f>'Total Weekday Boardings'!ER39/'Service Days per Month'!ER$4</f>
        <v>304.05</v>
      </c>
      <c r="ES39" s="18">
        <f>'Total Weekday Boardings'!ES39/'Service Days per Month'!ES$4</f>
        <v>311</v>
      </c>
      <c r="ET39" s="18">
        <f>'Total Weekday Boardings'!ET39/'Service Days per Month'!ET$4</f>
        <v>344.5</v>
      </c>
      <c r="EU39" s="18">
        <f>'Total Weekday Boardings'!EU39/'Service Days per Month'!EU$4</f>
        <v>315.35000000000002</v>
      </c>
      <c r="EV39" s="19">
        <f>'Total Weekday Boardings'!EV39/'Service Days per Month'!EV$4</f>
        <v>345.81818181818181</v>
      </c>
      <c r="EW39" s="17">
        <f>'Total Weekday Boardings'!EW39/'Service Days per Month'!EW$4</f>
        <v>335.66666666666669</v>
      </c>
      <c r="EX39" s="18">
        <f>'Total Weekday Boardings'!EX39/'Service Days per Month'!EX$4</f>
        <v>407.63636363636363</v>
      </c>
      <c r="EY39" s="18">
        <f>'Total Weekday Boardings'!EY39/'Service Days per Month'!EY$4</f>
        <v>513.33333333333337</v>
      </c>
      <c r="EZ39" s="18">
        <f>'Total Weekday Boardings'!EZ39/'Service Days per Month'!EZ$4</f>
        <v>457.8095238095238</v>
      </c>
      <c r="FA39" s="18">
        <f>'Total Weekday Boardings'!FA39/'Service Days per Month'!FA$4</f>
        <v>448.42857142857144</v>
      </c>
      <c r="FB39" s="18">
        <f>'Total Weekday Boardings'!FB39/'Service Days per Month'!FB$4</f>
        <v>320.45454545454544</v>
      </c>
      <c r="FC39" s="18">
        <f>'Total Weekday Boardings'!FC39/'Service Days per Month'!FC$4</f>
        <v>349.42857142857144</v>
      </c>
      <c r="FD39" s="18">
        <f>'Total Weekday Boardings'!FD39/'Service Days per Month'!FD$4</f>
        <v>466</v>
      </c>
      <c r="FE39" s="18">
        <f>'Total Weekday Boardings'!FE39/'Service Days per Month'!FE$4</f>
        <v>475.04347826086956</v>
      </c>
      <c r="FF39" s="18">
        <f>'Total Weekday Boardings'!FF39/'Service Days per Month'!FF$4</f>
        <v>458.23809523809524</v>
      </c>
      <c r="FG39" s="18">
        <f>'Total Weekday Boardings'!FG39/'Service Days per Month'!FG$4</f>
        <v>181.9047619047619</v>
      </c>
      <c r="FH39" s="19">
        <f>'Total Weekday Boardings'!FH39/'Service Days per Month'!FH$4</f>
        <v>334.13636363636363</v>
      </c>
      <c r="FI39" s="17">
        <v>342.75</v>
      </c>
      <c r="FJ39" s="18">
        <v>1090.6521739130435</v>
      </c>
      <c r="FK39" s="18">
        <v>1469.2380952380952</v>
      </c>
      <c r="FL39" s="18">
        <v>1329.5714285714287</v>
      </c>
      <c r="FM39" s="18">
        <v>1220.1904761904761</v>
      </c>
      <c r="FN39" s="18">
        <v>837.47619047619048</v>
      </c>
      <c r="FO39" s="18">
        <v>1369.1428571428571</v>
      </c>
      <c r="FP39" s="18">
        <v>537.54999999999995</v>
      </c>
      <c r="FQ39" s="18">
        <v>1434.695652173913</v>
      </c>
      <c r="FR39" s="18">
        <f>'Total Weekday Boardings'!FR39/20</f>
        <v>1518.55</v>
      </c>
      <c r="FS39" s="18">
        <f>'Total Weekday Boardings'!FS39/22</f>
        <v>1033.7727272727273</v>
      </c>
      <c r="FT39" s="21">
        <f>'Total Weekday Boardings'!FT39/23</f>
        <v>814.08695652173913</v>
      </c>
      <c r="FU39" s="17">
        <f>'Total Weekday Boardings'!FU39/21</f>
        <v>788.19047619047615</v>
      </c>
      <c r="FV39" s="18">
        <f>'Total Weekday Boardings'!FV39/23</f>
        <v>1308</v>
      </c>
      <c r="FW39" s="18">
        <f>'Total Weekday Boardings'!FW39/21</f>
        <v>1491.3809523809523</v>
      </c>
      <c r="FX39" s="18">
        <f>'Total Weekday Boardings'!FX39/22</f>
        <v>1589.1818181818182</v>
      </c>
      <c r="FY39" s="18">
        <f>'Total Weekday Boardings'!FY39/22</f>
        <v>1469.3636363636363</v>
      </c>
      <c r="FZ39" s="18">
        <f>'Total Weekday Boardings'!FZ39/21</f>
        <v>916.33333333333337</v>
      </c>
      <c r="GA39" s="18">
        <f>'Total Weekday Boardings'!GA39/23</f>
        <v>1384.8695652173913</v>
      </c>
      <c r="GB39" s="18">
        <f>'Total Weekday Boardings'!GB39/21</f>
        <v>1710.2380952380952</v>
      </c>
      <c r="GC39" s="18">
        <f>'Total Weekday Boardings'!GC39/21</f>
        <v>1378.8571428571429</v>
      </c>
      <c r="GD39" s="18">
        <f>'Total Weekday Boardings'!GD39/22</f>
        <v>1402.2727272727273</v>
      </c>
      <c r="GE39" s="13">
        <f>'Total Weekday Boardings'!GE39/23</f>
        <v>884.39130434782612</v>
      </c>
      <c r="GF39" s="13">
        <f>'Total Weekday Boardings'!GF39/20</f>
        <v>794.15</v>
      </c>
      <c r="GG39" s="21">
        <f>'Total Weekday Boardings'!GG39/23</f>
        <v>725.86956521739125</v>
      </c>
      <c r="GH39" s="13">
        <f>'Total Weekday Boardings'!GH39/22</f>
        <v>1148.6363636363637</v>
      </c>
      <c r="GI39" s="13">
        <f>'Total Weekday Boardings'!GI39/21</f>
        <v>1601.3809523809523</v>
      </c>
      <c r="GJ39" s="13">
        <f>'Total Weekday Boardings'!GJ39/23</f>
        <v>1532.1739130434783</v>
      </c>
      <c r="GK39" s="13">
        <f>'Total Weekday Boardings'!GK39/21</f>
        <v>1372.7619047619048</v>
      </c>
      <c r="GL39" s="13">
        <f>'Total Weekday Boardings'!GL39/22</f>
        <v>951.31818181818187</v>
      </c>
    </row>
    <row r="40" spans="1:194" ht="15" thickBot="1" x14ac:dyDescent="0.35">
      <c r="A40" s="3" t="s">
        <v>22</v>
      </c>
      <c r="B40" s="17"/>
      <c r="C40" s="18">
        <f>'Total Weekday Boardings'!C40/'Service Days per Month'!C$4</f>
        <v>829.09523809523807</v>
      </c>
      <c r="D40" s="18">
        <f>'Total Weekday Boardings'!D40/'Service Days per Month'!D$4</f>
        <v>1073</v>
      </c>
      <c r="E40" s="18">
        <f>'Total Weekday Boardings'!E40/'Service Days per Month'!E$4</f>
        <v>1015.2727272727273</v>
      </c>
      <c r="F40" s="18">
        <f>'Total Weekday Boardings'!F40/'Service Days per Month'!F$4</f>
        <v>1112.3181818181818</v>
      </c>
      <c r="G40" s="18">
        <f>'Total Weekday Boardings'!G40/'Service Days per Month'!G$4</f>
        <v>985.3</v>
      </c>
      <c r="H40" s="19">
        <f>'Total Weekday Boardings'!H40/'Service Days per Month'!H$4</f>
        <v>835.90909090909088</v>
      </c>
      <c r="I40" s="17">
        <f>'Total Weekday Boardings'!I40/'Service Days per Month'!I$4</f>
        <v>705.86956521739125</v>
      </c>
      <c r="J40" s="18">
        <f>'Total Weekday Boardings'!J40/'Service Days per Month'!J$4</f>
        <v>920.14285714285711</v>
      </c>
      <c r="K40" s="18">
        <f>'Total Weekday Boardings'!K40/'Service Days per Month'!K$4</f>
        <v>1432.3333333333333</v>
      </c>
      <c r="L40" s="18">
        <f>'Total Weekday Boardings'!L40/'Service Days per Month'!L$4</f>
        <v>1489.590909090909</v>
      </c>
      <c r="M40" s="18">
        <f>'Total Weekday Boardings'!M40/'Service Days per Month'!M$4</f>
        <v>1509</v>
      </c>
      <c r="N40" s="18">
        <f>'Total Weekday Boardings'!N40/'Service Days per Month'!N$4</f>
        <v>1198.1363636363637</v>
      </c>
      <c r="O40" s="18">
        <f>'Total Weekday Boardings'!O40/'Service Days per Month'!O$4</f>
        <v>1160.5</v>
      </c>
      <c r="P40" s="18">
        <f>'Total Weekday Boardings'!P40/'Service Days per Month'!P$4</f>
        <v>1513.85</v>
      </c>
      <c r="Q40" s="18">
        <f>'Total Weekday Boardings'!Q40/'Service Days per Month'!Q$4</f>
        <v>1516.7391304347825</v>
      </c>
      <c r="R40" s="18">
        <f>'Total Weekday Boardings'!R40/'Service Days per Month'!R$4</f>
        <v>1466.909090909091</v>
      </c>
      <c r="S40" s="18">
        <f>'Total Weekday Boardings'!S40/'Service Days per Month'!S$4</f>
        <v>1202.05</v>
      </c>
      <c r="T40" s="19">
        <f>'Total Weekday Boardings'!T40/'Service Days per Month'!T$4</f>
        <v>1032.4545454545455</v>
      </c>
      <c r="U40" s="17">
        <f>'Total Weekday Boardings'!U40/'Service Days per Month'!U$4</f>
        <v>884.28571428571433</v>
      </c>
      <c r="V40" s="18">
        <f>'Total Weekday Boardings'!V40/'Service Days per Month'!V$4</f>
        <v>1321.409090909091</v>
      </c>
      <c r="W40" s="18">
        <f>'Total Weekday Boardings'!W40/'Service Days per Month'!W$4</f>
        <v>1797.047619047619</v>
      </c>
      <c r="X40" s="18">
        <f>'Total Weekday Boardings'!X40/'Service Days per Month'!X$4</f>
        <v>1696.047619047619</v>
      </c>
      <c r="Y40" s="18">
        <f>'Total Weekday Boardings'!Y40/'Service Days per Month'!Y$4</f>
        <v>1695.6315789473683</v>
      </c>
      <c r="Z40" s="18">
        <f>'Total Weekday Boardings'!Z40/'Service Days per Month'!Z$4</f>
        <v>1269.1428571428571</v>
      </c>
      <c r="AA40" s="18">
        <f>'Total Weekday Boardings'!AA40/'Service Days per Month'!AA$4</f>
        <v>1448.45</v>
      </c>
      <c r="AB40" s="18">
        <f>'Total Weekday Boardings'!AB40/'Service Days per Month'!AB$4</f>
        <v>1755.3157894736842</v>
      </c>
      <c r="AC40" s="18">
        <f>'Total Weekday Boardings'!AC40/'Service Days per Month'!AC$4</f>
        <v>1601.608695652174</v>
      </c>
      <c r="AD40" s="18">
        <f>'Total Weekday Boardings'!AD40/'Service Days per Month'!AD$4</f>
        <v>1708.6190476190477</v>
      </c>
      <c r="AE40" s="18">
        <f>'Total Weekday Boardings'!AE40/'Service Days per Month'!AE$4</f>
        <v>1203.9047619047619</v>
      </c>
      <c r="AF40" s="19">
        <f>'Total Weekday Boardings'!AF40/'Service Days per Month'!AF$4</f>
        <v>1048.0454545454545</v>
      </c>
      <c r="AG40" s="17">
        <f>'Total Weekday Boardings'!AG40/'Service Days per Month'!AG$4</f>
        <v>1035.8</v>
      </c>
      <c r="AH40" s="18">
        <f>'Total Weekday Boardings'!AH40/'Service Days per Month'!AH$4</f>
        <v>1450.391304347826</v>
      </c>
      <c r="AI40" s="18">
        <f>'Total Weekday Boardings'!AI40/'Service Days per Month'!AI$4</f>
        <v>1969.9047619047619</v>
      </c>
      <c r="AJ40" s="18">
        <f>'Total Weekday Boardings'!AJ40/'Service Days per Month'!AJ$4</f>
        <v>1839.1428571428571</v>
      </c>
      <c r="AK40" s="18">
        <f>'Total Weekday Boardings'!AK40/'Service Days per Month'!AK$4</f>
        <v>1711.1052631578948</v>
      </c>
      <c r="AL40" s="18">
        <f>'Total Weekday Boardings'!AL40/'Service Days per Month'!AL$4</f>
        <v>1234.1904761904761</v>
      </c>
      <c r="AM40" s="18">
        <f>'Total Weekday Boardings'!AM40/'Service Days per Month'!AM$4</f>
        <v>1728.5</v>
      </c>
      <c r="AN40" s="18">
        <f>'Total Weekday Boardings'!AN40/'Service Days per Month'!AN$4</f>
        <v>1776.5</v>
      </c>
      <c r="AO40" s="18">
        <f>'Total Weekday Boardings'!AO40/'Service Days per Month'!AO$4</f>
        <v>1655.090909090909</v>
      </c>
      <c r="AP40" s="18">
        <f>'Total Weekday Boardings'!AP40/'Service Days per Month'!AP$4</f>
        <v>1757.047619047619</v>
      </c>
      <c r="AQ40" s="18">
        <f>'Total Weekday Boardings'!AQ40/'Service Days per Month'!AQ$4</f>
        <v>1206.3636363636363</v>
      </c>
      <c r="AR40" s="19">
        <f>'Total Weekday Boardings'!AR40/'Service Days per Month'!AR$4</f>
        <v>1140.4285714285713</v>
      </c>
      <c r="AS40" s="17">
        <f>'Total Weekday Boardings'!AS40/'Service Days per Month'!AS$4</f>
        <v>1071.5714285714287</v>
      </c>
      <c r="AT40" s="18">
        <f>'Total Weekday Boardings'!AT40/'Service Days per Month'!AT$4</f>
        <v>1431.0869565217392</v>
      </c>
      <c r="AU40" s="18">
        <f>'Total Weekday Boardings'!AU40/'Service Days per Month'!AU$4</f>
        <v>1633.578947368421</v>
      </c>
      <c r="AV40" s="18">
        <f>'Total Weekday Boardings'!AV40/'Service Days per Month'!AV$4</f>
        <v>1907</v>
      </c>
      <c r="AW40" s="18">
        <f>'Total Weekday Boardings'!AW40/'Service Days per Month'!AW$4</f>
        <v>1947.4736842105262</v>
      </c>
      <c r="AX40" s="18">
        <f>'Total Weekday Boardings'!AX40/'Service Days per Month'!AX$4</f>
        <v>1547.7368421052631</v>
      </c>
      <c r="AY40" s="18">
        <f>'Total Weekday Boardings'!AY40/'Service Days per Month'!AY$4</f>
        <v>1813.952380952381</v>
      </c>
      <c r="AZ40" s="18">
        <f>'Total Weekday Boardings'!AZ40/'Service Days per Month'!AZ$4</f>
        <v>1905.6315789473683</v>
      </c>
      <c r="BA40" s="18">
        <f>'Total Weekday Boardings'!BA40/'Service Days per Month'!BA$4</f>
        <v>1626.3333333333333</v>
      </c>
      <c r="BB40" s="18">
        <f>'Total Weekday Boardings'!BB40/'Service Days per Month'!BB$4</f>
        <v>1835.4545454545455</v>
      </c>
      <c r="BC40" s="18">
        <f>'Total Weekday Boardings'!BC40/'Service Days per Month'!BC$4</f>
        <v>1300.7727272727273</v>
      </c>
      <c r="BD40" s="19">
        <f>'Total Weekday Boardings'!BD40/'Service Days per Month'!BD$4</f>
        <v>1133.75</v>
      </c>
      <c r="BE40" s="17">
        <f>'Total Weekday Boardings'!BE40/'Service Days per Month'!BE$4</f>
        <v>1046.5</v>
      </c>
      <c r="BF40" s="18">
        <f>'Total Weekday Boardings'!BF40/'Service Days per Month'!BF$4</f>
        <v>1366.2272727272727</v>
      </c>
      <c r="BG40" s="18">
        <f>'Total Weekday Boardings'!BG40/'Service Days per Month'!BG$4</f>
        <v>1935.5</v>
      </c>
      <c r="BH40" s="18">
        <f>'Total Weekday Boardings'!BH40/'Service Days per Month'!BH$4</f>
        <v>1865.8260869565217</v>
      </c>
      <c r="BI40" s="18">
        <f>'Total Weekday Boardings'!BI40/'Service Days per Month'!BI$4</f>
        <v>1936.1297569183403</v>
      </c>
      <c r="BJ40" s="18">
        <f>'Total Weekday Boardings'!BJ40/'Service Days per Month'!BJ$4</f>
        <v>1376.75</v>
      </c>
      <c r="BK40" s="18">
        <f>'Total Weekday Boardings'!BK40/'Service Days per Month'!BK$4</f>
        <v>1689.5714285714287</v>
      </c>
      <c r="BL40" s="18">
        <f>'Total Weekday Boardings'!BL40/'Service Days per Month'!BL$4</f>
        <v>1878</v>
      </c>
      <c r="BM40" s="18">
        <f>'Total Weekday Boardings'!BM40/'Service Days per Month'!BM$4</f>
        <v>1689.8571428571429</v>
      </c>
      <c r="BN40" s="18">
        <f>'Total Weekday Boardings'!BN40/'Service Days per Month'!BN$4</f>
        <v>1744.8636363636363</v>
      </c>
      <c r="BO40" s="18">
        <f>'Total Weekday Boardings'!BO40/'Service Days per Month'!BO$4</f>
        <v>1314.5238095238096</v>
      </c>
      <c r="BP40" s="19">
        <f>'Total Weekday Boardings'!BP40/'Service Days per Month'!BP$4</f>
        <v>1168.3333333333333</v>
      </c>
      <c r="BQ40" s="17">
        <f>'Total Weekday Boardings'!BQ40/'Service Days per Month'!BQ$4</f>
        <v>1034.409090909091</v>
      </c>
      <c r="BR40" s="18">
        <f>'Total Weekday Boardings'!BR40/'Service Days per Month'!BR$4</f>
        <v>1486.8095238095239</v>
      </c>
      <c r="BS40" s="18">
        <f>'Total Weekday Boardings'!BS40/'Service Days per Month'!BS$4</f>
        <v>1976.5714285714287</v>
      </c>
      <c r="BT40" s="18">
        <f>'Total Weekday Boardings'!BT40/'Service Days per Month'!BT$4</f>
        <v>1905.2608695652175</v>
      </c>
      <c r="BU40" s="18">
        <f>'Total Weekday Boardings'!BU40/'Service Days per Month'!BU$4</f>
        <v>1909.5882352941176</v>
      </c>
      <c r="BV40" s="18">
        <f>'Total Weekday Boardings'!BV40/'Service Days per Month'!BV$4</f>
        <v>1345.8095238095239</v>
      </c>
      <c r="BW40" s="18">
        <f>'Total Weekday Boardings'!BW40/'Service Days per Month'!BW$4</f>
        <v>1757.3</v>
      </c>
      <c r="BX40" s="18">
        <f>'Total Weekday Boardings'!BX40/'Service Days per Month'!BX$4</f>
        <v>1831.6315789473683</v>
      </c>
      <c r="BY40" s="18">
        <f>'Total Weekday Boardings'!BY40/'Service Days per Month'!BY$4</f>
        <v>1620.6363636363637</v>
      </c>
      <c r="BZ40" s="18">
        <f>'Total Weekday Boardings'!BZ40/'Service Days per Month'!BZ$4</f>
        <v>1673.5454545454545</v>
      </c>
      <c r="CA40" s="18">
        <f>'Total Weekday Boardings'!CA40/'Service Days per Month'!CA$4</f>
        <v>1233.7</v>
      </c>
      <c r="CB40" s="19">
        <f>'Total Weekday Boardings'!CB40/'Service Days per Month'!CB$4</f>
        <v>1065.2727272727273</v>
      </c>
      <c r="CC40" s="20">
        <f>'Total Weekday Boardings'!CC40/'Service Days per Month'!CC$4</f>
        <v>977.63636363636363</v>
      </c>
      <c r="CD40" s="18">
        <f>'Total Weekday Boardings'!CD40/'Service Days per Month'!CD$4</f>
        <v>1406.4285714285713</v>
      </c>
      <c r="CE40" s="18">
        <f>'Total Weekday Boardings'!CE40/'Service Days per Month'!CE$4</f>
        <v>2033.952380952381</v>
      </c>
      <c r="CF40" s="18">
        <f>'Total Weekday Boardings'!CF40/'Service Days per Month'!CF$4</f>
        <v>1913.1363636363637</v>
      </c>
      <c r="CG40" s="18">
        <f>'Total Weekday Boardings'!CG40/'Service Days per Month'!CG$4</f>
        <v>1877.2777777777778</v>
      </c>
      <c r="CH40" s="18">
        <f>'Total Weekday Boardings'!CH40/'Service Days per Month'!CH$4</f>
        <v>1380.5238095238096</v>
      </c>
      <c r="CI40" s="18">
        <f>'Total Weekday Boardings'!CI40/'Service Days per Month'!CI$4</f>
        <v>1689.8421052631579</v>
      </c>
      <c r="CJ40" s="18">
        <f>'Total Weekday Boardings'!CJ40/'Service Days per Month'!CJ$4</f>
        <v>1842.45</v>
      </c>
      <c r="CK40" s="18">
        <f>'Total Weekday Boardings'!CK40/'Service Days per Month'!CK$4</f>
        <v>1674</v>
      </c>
      <c r="CL40" s="18">
        <f>'Total Weekday Boardings'!CL40/'Service Days per Month'!CL$4</f>
        <v>1796.7142857142858</v>
      </c>
      <c r="CM40" s="18">
        <f>'Total Weekday Boardings'!CM40/'Service Days per Month'!CM$4</f>
        <v>1325.3809523809523</v>
      </c>
      <c r="CN40" s="21">
        <f>'Total Weekday Boardings'!CN40/'Service Days per Month'!CN$4</f>
        <v>1206.0454545454545</v>
      </c>
      <c r="CO40" s="17">
        <f>'Total Weekday Boardings'!CO40/'Service Days per Month'!CO$4</f>
        <v>1109.05</v>
      </c>
      <c r="CP40" s="18">
        <f>'Total Weekday Boardings'!CP40/'Service Days per Month'!CP$4</f>
        <v>1517.8260869565217</v>
      </c>
      <c r="CQ40" s="18">
        <f>'Total Weekday Boardings'!CQ40/'Service Days per Month'!CQ$4</f>
        <v>1826.3809523809523</v>
      </c>
      <c r="CR40" s="18">
        <f>'Total Weekday Boardings'!CR40/'Service Days per Month'!CR$4</f>
        <v>1771.2857142857142</v>
      </c>
      <c r="CS40" s="18">
        <f>'Total Weekday Boardings'!CS40/'Service Days per Month'!CS$4</f>
        <v>1806.8421052631579</v>
      </c>
      <c r="CT40" s="18">
        <f>'Total Weekday Boardings'!CT40/'Service Days per Month'!CT$4</f>
        <v>1241.047619047619</v>
      </c>
      <c r="CU40" s="18">
        <f>'Total Weekday Boardings'!CU40/'Service Days per Month'!CU$4</f>
        <v>1670</v>
      </c>
      <c r="CV40" s="18">
        <f>'Total Weekday Boardings'!CV40/'Service Days per Month'!CV$4</f>
        <v>1755.2631578947369</v>
      </c>
      <c r="CW40" s="18">
        <f>'Total Weekday Boardings'!CW40/'Service Days per Month'!CW$4</f>
        <v>1660.1739130434783</v>
      </c>
      <c r="CX40" s="18">
        <f>'Total Weekday Boardings'!CX40/'Service Days per Month'!CX$4</f>
        <v>1712.7</v>
      </c>
      <c r="CY40" s="18">
        <f>'Total Weekday Boardings'!CY40/'Service Days per Month'!CY$4</f>
        <v>1320.7272727272727</v>
      </c>
      <c r="CZ40" s="19">
        <f>'Total Weekday Boardings'!CZ40/'Service Days per Month'!CZ$4</f>
        <v>1110.3181818181818</v>
      </c>
      <c r="DA40" s="17">
        <f>'Total Weekday Boardings'!DA40/'Service Days per Month'!DA$4</f>
        <v>1063.4000000000001</v>
      </c>
      <c r="DB40" s="18">
        <f>'Total Weekday Boardings'!DB40/'Service Days per Month'!DB$4</f>
        <v>1465.8695652173913</v>
      </c>
      <c r="DC40" s="18">
        <f>'Total Weekday Boardings'!DC40/'Service Days per Month'!DC$4</f>
        <v>1655.1</v>
      </c>
      <c r="DD40" s="18">
        <f>'Total Weekday Boardings'!DD40/'Service Days per Month'!DD$4</f>
        <v>1612.8181818181818</v>
      </c>
      <c r="DE40" s="18">
        <f>'Total Weekday Boardings'!DE40/'Service Days per Month'!DE$4</f>
        <v>1600.9473684210527</v>
      </c>
      <c r="DF40" s="18">
        <f>'Total Weekday Boardings'!DF40/'Service Days per Month'!DF$4</f>
        <v>1140.55</v>
      </c>
      <c r="DG40" s="18">
        <f>'Total Weekday Boardings'!DG40/'Service Days per Month'!DG$4</f>
        <v>1501.3809523809523</v>
      </c>
      <c r="DH40" s="18">
        <f>'Total Weekday Boardings'!DH40/'Service Days per Month'!DH$4</f>
        <v>1577.3684210526317</v>
      </c>
      <c r="DI40" s="18">
        <f>'Total Weekday Boardings'!DI40/'Service Days per Month'!DI$4</f>
        <v>1421.3181818181818</v>
      </c>
      <c r="DJ40" s="18">
        <f>'Total Weekday Boardings'!DJ40/'Service Days per Month'!DJ$4</f>
        <v>1501.5714285714287</v>
      </c>
      <c r="DK40" s="18">
        <f>'Total Weekday Boardings'!DK40/'Service Days per Month'!DK$4</f>
        <v>1175.7272727272727</v>
      </c>
      <c r="DL40" s="19">
        <f>'Total Weekday Boardings'!DL40/'Service Days per Month'!DL$4</f>
        <v>1052.5714285714287</v>
      </c>
      <c r="DM40" s="17">
        <f>'Total Weekday Boardings'!DM40/'Service Days per Month'!DM$4</f>
        <v>986.52380952380952</v>
      </c>
      <c r="DN40" s="18">
        <f>'Total Weekday Boardings'!DN40/'Service Days per Month'!DN$4</f>
        <v>1313.2173913043478</v>
      </c>
      <c r="DO40" s="18">
        <f>'Total Weekday Boardings'!DO40/'Service Days per Month'!DO$4</f>
        <v>1516.8421052631579</v>
      </c>
      <c r="DP40" s="18">
        <f>'Total Weekday Boardings'!DP40/'Service Days per Month'!DP$4</f>
        <v>1491.8260869565217</v>
      </c>
      <c r="DQ40" s="18">
        <f>'Total Weekday Boardings'!DQ40/'Service Days per Month'!DQ$4</f>
        <v>1465.5238095238096</v>
      </c>
      <c r="DR40" s="18">
        <f>'Total Weekday Boardings'!DR40/'Service Days per Month'!DR$4</f>
        <v>1052.45</v>
      </c>
      <c r="DS40" s="18">
        <f>'Total Weekday Boardings'!DS40/'Service Days per Month'!DS$4</f>
        <v>1385.7727272727273</v>
      </c>
      <c r="DT40" s="18">
        <f>'Total Weekday Boardings'!DT40/'Service Days per Month'!DT$4</f>
        <v>1450.8</v>
      </c>
      <c r="DU40" s="18">
        <f>'Total Weekday Boardings'!DU40/'Service Days per Month'!DU$4</f>
        <v>1369.4761904761904</v>
      </c>
      <c r="DV40" s="18">
        <f>'Total Weekday Boardings'!DV40/'Service Days per Month'!DV$4</f>
        <v>1428.0454545454545</v>
      </c>
      <c r="DW40" s="18">
        <f>'Total Weekday Boardings'!DW40/'Service Days per Month'!DW$4</f>
        <v>1152.7272727272727</v>
      </c>
      <c r="DX40" s="19">
        <f>'Total Weekday Boardings'!DX40/'Service Days per Month'!DX$4</f>
        <v>1060.3</v>
      </c>
      <c r="DY40" s="17">
        <f>'Total Weekday Boardings'!DY40/'Service Days per Month'!DY$4</f>
        <v>981.90909090909088</v>
      </c>
      <c r="DZ40" s="18">
        <f>'Total Weekday Boardings'!DZ40/'Service Days per Month'!DZ$4</f>
        <v>1235.3636363636363</v>
      </c>
      <c r="EA40" s="18">
        <f>'Total Weekday Boardings'!EA40/'Service Days per Month'!EA$4</f>
        <v>1719.6</v>
      </c>
      <c r="EB40" s="18">
        <f>'Total Weekday Boardings'!EB40/'Service Days per Month'!EB$4</f>
        <v>1612.8695652173913</v>
      </c>
      <c r="EC40" s="18">
        <f>'Total Weekday Boardings'!EC40/'Service Days per Month'!EC$4</f>
        <v>1542.75</v>
      </c>
      <c r="ED40" s="18">
        <f>'Total Weekday Boardings'!ED40/'Service Days per Month'!ED$4</f>
        <v>1198.952380952381</v>
      </c>
      <c r="EE40" s="18">
        <f>'Total Weekday Boardings'!EE40/'Service Days per Month'!EE$4</f>
        <v>1309.8260869565217</v>
      </c>
      <c r="EF40" s="18">
        <f>'Total Weekday Boardings'!EF40/'Service Days per Month'!EF$4</f>
        <v>1596.75</v>
      </c>
      <c r="EG40" s="18">
        <f>'Total Weekday Boardings'!EG40/'Service Days per Month'!EG$4</f>
        <v>973</v>
      </c>
      <c r="EH40" s="18">
        <f>'Total Weekday Boardings'!EH40/'Service Days per Month'!EH$4</f>
        <v>512.68181818181813</v>
      </c>
      <c r="EI40" s="18">
        <f>'Total Weekday Boardings'!EI40/'Service Days per Month'!EI$4</f>
        <v>510.05</v>
      </c>
      <c r="EJ40" s="19">
        <f>'Total Weekday Boardings'!EJ40/'Service Days per Month'!EJ$4</f>
        <v>505.63636363636363</v>
      </c>
      <c r="EK40" s="17">
        <f>'Total Weekday Boardings'!EK40/'Service Days per Month'!EK$4</f>
        <v>459.18181818181819</v>
      </c>
      <c r="EL40" s="18">
        <f>'Total Weekday Boardings'!EL40/'Service Days per Month'!EL$4</f>
        <v>490.33333333333331</v>
      </c>
      <c r="EM40" s="18">
        <f>'Total Weekday Boardings'!EM40/'Service Days per Month'!EM$4</f>
        <v>567.47619047619048</v>
      </c>
      <c r="EN40" s="18">
        <f>'Total Weekday Boardings'!EN40/'Service Days per Month'!EN$4</f>
        <v>575.09090909090912</v>
      </c>
      <c r="EO40" s="18">
        <f>'Total Weekday Boardings'!EO40/'Service Days per Month'!EO$4</f>
        <v>573.4</v>
      </c>
      <c r="EP40" s="18">
        <f>'Total Weekday Boardings'!EP40/'Service Days per Month'!EP$4</f>
        <v>437.04545454545456</v>
      </c>
      <c r="EQ40" s="18">
        <f>'Total Weekday Boardings'!EQ40/'Service Days per Month'!EQ$4</f>
        <v>255.47619047619048</v>
      </c>
      <c r="ER40" s="18">
        <f>'Total Weekday Boardings'!ER40/'Service Days per Month'!ER$4</f>
        <v>504.6</v>
      </c>
      <c r="ES40" s="18">
        <f>'Total Weekday Boardings'!ES40/'Service Days per Month'!ES$4</f>
        <v>497.52173913043481</v>
      </c>
      <c r="ET40" s="18">
        <f>'Total Weekday Boardings'!ET40/'Service Days per Month'!ET$4</f>
        <v>560.63636363636363</v>
      </c>
      <c r="EU40" s="18">
        <f>'Total Weekday Boardings'!EU40/'Service Days per Month'!EU$4</f>
        <v>515.04999999999995</v>
      </c>
      <c r="EV40" s="19">
        <f>'Total Weekday Boardings'!EV40/'Service Days per Month'!EV$4</f>
        <v>541</v>
      </c>
      <c r="EW40" s="17">
        <f>'Total Weekday Boardings'!EW40/'Service Days per Month'!EW$4</f>
        <v>527.61904761904759</v>
      </c>
      <c r="EX40" s="18">
        <f>'Total Weekday Boardings'!EX40/'Service Days per Month'!EX$4</f>
        <v>643</v>
      </c>
      <c r="EY40" s="18">
        <f>'Total Weekday Boardings'!EY40/'Service Days per Month'!EY$4</f>
        <v>848.33333333333337</v>
      </c>
      <c r="EZ40" s="18">
        <f>'Total Weekday Boardings'!EZ40/'Service Days per Month'!EZ$4</f>
        <v>805.04761904761904</v>
      </c>
      <c r="FA40" s="18">
        <f>'Total Weekday Boardings'!FA40/'Service Days per Month'!FA$4</f>
        <v>810.28571428571433</v>
      </c>
      <c r="FB40" s="18">
        <f>'Total Weekday Boardings'!FB40/'Service Days per Month'!FB$4</f>
        <v>602.31818181818187</v>
      </c>
      <c r="FC40" s="18">
        <f>'Total Weekday Boardings'!FC40/'Service Days per Month'!FC$4</f>
        <v>679.28571428571433</v>
      </c>
      <c r="FD40" s="18">
        <f>'Total Weekday Boardings'!FD40/'Service Days per Month'!FD$4</f>
        <v>890.8</v>
      </c>
      <c r="FE40" s="18">
        <f>'Total Weekday Boardings'!FE40/'Service Days per Month'!FE$4</f>
        <v>904.47826086956525</v>
      </c>
      <c r="FF40" s="18">
        <f>'Total Weekday Boardings'!FF40/'Service Days per Month'!FF$4</f>
        <v>903.52380952380952</v>
      </c>
      <c r="FG40" s="18">
        <f>'Total Weekday Boardings'!FG40/'Service Days per Month'!FG$4</f>
        <v>734.71428571428567</v>
      </c>
      <c r="FH40" s="19">
        <f>'Total Weekday Boardings'!FH40/'Service Days per Month'!FH$4</f>
        <v>615.36363636363637</v>
      </c>
      <c r="FI40" s="17">
        <v>651.20000000000005</v>
      </c>
      <c r="FJ40" s="18">
        <v>854.73913043478262</v>
      </c>
      <c r="FK40" s="18">
        <v>1090.7619047619048</v>
      </c>
      <c r="FL40" s="18">
        <v>997.66666666666663</v>
      </c>
      <c r="FM40" s="18">
        <v>954.57142857142856</v>
      </c>
      <c r="FN40" s="18">
        <v>757.23809523809518</v>
      </c>
      <c r="FO40" s="18">
        <v>1044.5238095238096</v>
      </c>
      <c r="FP40" s="18">
        <v>1004.9</v>
      </c>
      <c r="FQ40" s="18">
        <v>1057.4347826086957</v>
      </c>
      <c r="FR40" s="18">
        <f>'Total Weekday Boardings'!FR40/20</f>
        <v>1073.2</v>
      </c>
      <c r="FS40" s="18">
        <f>'Total Weekday Boardings'!FS40/22</f>
        <v>877.4545454545455</v>
      </c>
      <c r="FT40" s="21">
        <f>'Total Weekday Boardings'!FT40/23</f>
        <v>698.6521739130435</v>
      </c>
      <c r="FU40" s="17">
        <f>'Total Weekday Boardings'!FU40/21</f>
        <v>644.90476190476193</v>
      </c>
      <c r="FV40" s="18">
        <f>'Total Weekday Boardings'!FV40/23</f>
        <v>946.43478260869563</v>
      </c>
      <c r="FW40" s="18">
        <f>'Total Weekday Boardings'!FW40/21</f>
        <v>1024.4761904761904</v>
      </c>
      <c r="FX40" s="18">
        <f>'Total Weekday Boardings'!FX40/22</f>
        <v>1097.909090909091</v>
      </c>
      <c r="FY40" s="18">
        <f>'Total Weekday Boardings'!FY40/22</f>
        <v>978.72727272727275</v>
      </c>
      <c r="FZ40" s="18">
        <f>'Total Weekday Boardings'!FZ40/21</f>
        <v>728.85714285714289</v>
      </c>
      <c r="GA40" s="18">
        <f>'Total Weekday Boardings'!GA40/23</f>
        <v>973.17391304347825</v>
      </c>
      <c r="GB40" s="18">
        <f>'Total Weekday Boardings'!GB40/21</f>
        <v>1156.4285714285713</v>
      </c>
      <c r="GC40" s="18">
        <f>'Total Weekday Boardings'!GC40/21</f>
        <v>1031.6190476190477</v>
      </c>
      <c r="GD40" s="18">
        <f>'Total Weekday Boardings'!GD40/22</f>
        <v>1012.6818181818181</v>
      </c>
      <c r="GE40" s="13">
        <f>'Total Weekday Boardings'!GE40/23</f>
        <v>719.39130434782612</v>
      </c>
      <c r="GF40" s="13">
        <f>'Total Weekday Boardings'!GF40/20</f>
        <v>662.25</v>
      </c>
      <c r="GG40" s="21">
        <f>'Total Weekday Boardings'!GG40/23</f>
        <v>626.21739130434787</v>
      </c>
      <c r="GH40" s="13">
        <f>'Total Weekday Boardings'!GH40/22</f>
        <v>909</v>
      </c>
      <c r="GI40" s="13">
        <f>'Total Weekday Boardings'!GI40/21</f>
        <v>1120.6666666666667</v>
      </c>
      <c r="GJ40" s="13">
        <f>'Total Weekday Boardings'!GJ40/23</f>
        <v>1106.0434782608695</v>
      </c>
      <c r="GK40" s="13">
        <f>'Total Weekday Boardings'!GK40/21</f>
        <v>1027.4285714285713</v>
      </c>
      <c r="GL40" s="13">
        <f>'Total Weekday Boardings'!GL40/22</f>
        <v>798.31818181818187</v>
      </c>
    </row>
    <row r="41" spans="1:194" ht="15" thickBot="1" x14ac:dyDescent="0.35">
      <c r="A41" s="3" t="s">
        <v>23</v>
      </c>
      <c r="B41" s="17"/>
      <c r="C41" s="18">
        <f>'Total Weekday Boardings'!C41/'Service Days per Month'!C$4</f>
        <v>183.42857142857142</v>
      </c>
      <c r="D41" s="18">
        <f>'Total Weekday Boardings'!D41/'Service Days per Month'!D$4</f>
        <v>484.65</v>
      </c>
      <c r="E41" s="18">
        <f>'Total Weekday Boardings'!E41/'Service Days per Month'!E$4</f>
        <v>247.59090909090909</v>
      </c>
      <c r="F41" s="18">
        <f>'Total Weekday Boardings'!F41/'Service Days per Month'!F$4</f>
        <v>301.59090909090907</v>
      </c>
      <c r="G41" s="18">
        <f>'Total Weekday Boardings'!G41/'Service Days per Month'!G$4</f>
        <v>468.95</v>
      </c>
      <c r="H41" s="19">
        <f>'Total Weekday Boardings'!H41/'Service Days per Month'!H$4</f>
        <v>235</v>
      </c>
      <c r="I41" s="17">
        <f>'Total Weekday Boardings'!I41/'Service Days per Month'!I$4</f>
        <v>356.43478260869563</v>
      </c>
      <c r="J41" s="18">
        <f>'Total Weekday Boardings'!J41/'Service Days per Month'!J$4</f>
        <v>607.52380952380952</v>
      </c>
      <c r="K41" s="18">
        <f>'Total Weekday Boardings'!K41/'Service Days per Month'!K$4</f>
        <v>332.04761904761904</v>
      </c>
      <c r="L41" s="18">
        <f>'Total Weekday Boardings'!L41/'Service Days per Month'!L$4</f>
        <v>355.86363636363637</v>
      </c>
      <c r="M41" s="18">
        <f>'Total Weekday Boardings'!M41/'Service Days per Month'!M$4</f>
        <v>341.15</v>
      </c>
      <c r="N41" s="18">
        <f>'Total Weekday Boardings'!N41/'Service Days per Month'!N$4</f>
        <v>270.27272727272725</v>
      </c>
      <c r="O41" s="18">
        <f>'Total Weekday Boardings'!O41/'Service Days per Month'!O$4</f>
        <v>277.25</v>
      </c>
      <c r="P41" s="18">
        <f>'Total Weekday Boardings'!P41/'Service Days per Month'!P$4</f>
        <v>340.9</v>
      </c>
      <c r="Q41" s="18">
        <f>'Total Weekday Boardings'!Q41/'Service Days per Month'!Q$4</f>
        <v>341.56521739130437</v>
      </c>
      <c r="R41" s="18">
        <f>'Total Weekday Boardings'!R41/'Service Days per Month'!R$4</f>
        <v>350.45454545454544</v>
      </c>
      <c r="S41" s="18">
        <f>'Total Weekday Boardings'!S41/'Service Days per Month'!S$4</f>
        <v>279.5</v>
      </c>
      <c r="T41" s="19">
        <f>'Total Weekday Boardings'!T41/'Service Days per Month'!T$4</f>
        <v>334.81818181818181</v>
      </c>
      <c r="U41" s="17">
        <f>'Total Weekday Boardings'!U41/'Service Days per Month'!U$4</f>
        <v>309.8095238095238</v>
      </c>
      <c r="V41" s="18">
        <f>'Total Weekday Boardings'!V41/'Service Days per Month'!V$4</f>
        <v>432.22727272727275</v>
      </c>
      <c r="W41" s="18">
        <f>'Total Weekday Boardings'!W41/'Service Days per Month'!W$4</f>
        <v>489.71428571428572</v>
      </c>
      <c r="X41" s="18">
        <f>'Total Weekday Boardings'!X41/'Service Days per Month'!X$4</f>
        <v>481.28571428571428</v>
      </c>
      <c r="Y41" s="18">
        <f>'Total Weekday Boardings'!Y41/'Service Days per Month'!Y$4</f>
        <v>445.10526315789474</v>
      </c>
      <c r="Z41" s="18">
        <f>'Total Weekday Boardings'!Z41/'Service Days per Month'!Z$4</f>
        <v>405.42857142857144</v>
      </c>
      <c r="AA41" s="18">
        <f>'Total Weekday Boardings'!AA41/'Service Days per Month'!AA$4</f>
        <v>419.05</v>
      </c>
      <c r="AB41" s="18">
        <f>'Total Weekday Boardings'!AB41/'Service Days per Month'!AB$4</f>
        <v>488</v>
      </c>
      <c r="AC41" s="18">
        <f>'Total Weekday Boardings'!AC41/'Service Days per Month'!AC$4</f>
        <v>430.04347826086956</v>
      </c>
      <c r="AD41" s="18">
        <f>'Total Weekday Boardings'!AD41/'Service Days per Month'!AD$4</f>
        <v>452.1904761904762</v>
      </c>
      <c r="AE41" s="18">
        <f>'Total Weekday Boardings'!AE41/'Service Days per Month'!AE$4</f>
        <v>369.95238095238096</v>
      </c>
      <c r="AF41" s="19">
        <f>'Total Weekday Boardings'!AF41/'Service Days per Month'!AF$4</f>
        <v>338.81818181818181</v>
      </c>
      <c r="AG41" s="17">
        <f>'Total Weekday Boardings'!AG41/'Service Days per Month'!AG$4</f>
        <v>332.95</v>
      </c>
      <c r="AH41" s="18">
        <f>'Total Weekday Boardings'!AH41/'Service Days per Month'!AH$4</f>
        <v>452.95652173913044</v>
      </c>
      <c r="AI41" s="18">
        <f>'Total Weekday Boardings'!AI41/'Service Days per Month'!AI$4</f>
        <v>565.42857142857144</v>
      </c>
      <c r="AJ41" s="18">
        <f>'Total Weekday Boardings'!AJ41/'Service Days per Month'!AJ$4</f>
        <v>548.33333333333337</v>
      </c>
      <c r="AK41" s="18">
        <f>'Total Weekday Boardings'!AK41/'Service Days per Month'!AK$4</f>
        <v>532.21052631578948</v>
      </c>
      <c r="AL41" s="18">
        <f>'Total Weekday Boardings'!AL41/'Service Days per Month'!AL$4</f>
        <v>454.04761904761904</v>
      </c>
      <c r="AM41" s="18">
        <f>'Total Weekday Boardings'!AM41/'Service Days per Month'!AM$4</f>
        <v>535</v>
      </c>
      <c r="AN41" s="18">
        <f>'Total Weekday Boardings'!AN41/'Service Days per Month'!AN$4</f>
        <v>541.9</v>
      </c>
      <c r="AO41" s="18">
        <f>'Total Weekday Boardings'!AO41/'Service Days per Month'!AO$4</f>
        <v>525.59090909090912</v>
      </c>
      <c r="AP41" s="18">
        <f>'Total Weekday Boardings'!AP41/'Service Days per Month'!AP$4</f>
        <v>557.71428571428567</v>
      </c>
      <c r="AQ41" s="18">
        <f>'Total Weekday Boardings'!AQ41/'Service Days per Month'!AQ$4</f>
        <v>461.04545454545456</v>
      </c>
      <c r="AR41" s="19">
        <f>'Total Weekday Boardings'!AR41/'Service Days per Month'!AR$4</f>
        <v>442.09523809523807</v>
      </c>
      <c r="AS41" s="17">
        <f>'Total Weekday Boardings'!AS41/'Service Days per Month'!AS$4</f>
        <v>417.38095238095241</v>
      </c>
      <c r="AT41" s="18">
        <f>'Total Weekday Boardings'!AT41/'Service Days per Month'!AT$4</f>
        <v>504.86956521739131</v>
      </c>
      <c r="AU41" s="18">
        <f>'Total Weekday Boardings'!AU41/'Service Days per Month'!AU$4</f>
        <v>755.84210526315792</v>
      </c>
      <c r="AV41" s="18">
        <f>'Total Weekday Boardings'!AV41/'Service Days per Month'!AV$4</f>
        <v>569.695652173913</v>
      </c>
      <c r="AW41" s="18">
        <f>'Total Weekday Boardings'!AW41/'Service Days per Month'!AW$4</f>
        <v>614.52631578947364</v>
      </c>
      <c r="AX41" s="18">
        <f>'Total Weekday Boardings'!AX41/'Service Days per Month'!AX$4</f>
        <v>575.68421052631584</v>
      </c>
      <c r="AY41" s="18">
        <f>'Total Weekday Boardings'!AY41/'Service Days per Month'!AY$4</f>
        <v>568.14285714285711</v>
      </c>
      <c r="AZ41" s="18">
        <f>'Total Weekday Boardings'!AZ41/'Service Days per Month'!AZ$4</f>
        <v>594.42105263157896</v>
      </c>
      <c r="BA41" s="18">
        <f>'Total Weekday Boardings'!BA41/'Service Days per Month'!BA$4</f>
        <v>535.04761904761904</v>
      </c>
      <c r="BB41" s="18">
        <f>'Total Weekday Boardings'!BB41/'Service Days per Month'!BB$4</f>
        <v>571.59090909090912</v>
      </c>
      <c r="BC41" s="18">
        <f>'Total Weekday Boardings'!BC41/'Service Days per Month'!BC$4</f>
        <v>507.86363636363637</v>
      </c>
      <c r="BD41" s="19">
        <f>'Total Weekday Boardings'!BD41/'Service Days per Month'!BD$4</f>
        <v>446.65</v>
      </c>
      <c r="BE41" s="17">
        <f>'Total Weekday Boardings'!BE41/'Service Days per Month'!BE$4</f>
        <v>430.77272727272725</v>
      </c>
      <c r="BF41" s="18">
        <f>'Total Weekday Boardings'!BF41/'Service Days per Month'!BF$4</f>
        <v>533.36363636363637</v>
      </c>
      <c r="BG41" s="18">
        <f>'Total Weekday Boardings'!BG41/'Service Days per Month'!BG$4</f>
        <v>644.04999999999995</v>
      </c>
      <c r="BH41" s="18">
        <f>'Total Weekday Boardings'!BH41/'Service Days per Month'!BH$4</f>
        <v>639.52173913043475</v>
      </c>
      <c r="BI41" s="18">
        <f>'Total Weekday Boardings'!BI41/'Service Days per Month'!BI$4</f>
        <v>667.73917857649747</v>
      </c>
      <c r="BJ41" s="18">
        <f>'Total Weekday Boardings'!BJ41/'Service Days per Month'!BJ$4</f>
        <v>564.45000000000005</v>
      </c>
      <c r="BK41" s="18">
        <f>'Total Weekday Boardings'!BK41/'Service Days per Month'!BK$4</f>
        <v>613.71428571428567</v>
      </c>
      <c r="BL41" s="18">
        <f>'Total Weekday Boardings'!BL41/'Service Days per Month'!BL$4</f>
        <v>634.52631578947364</v>
      </c>
      <c r="BM41" s="18">
        <f>'Total Weekday Boardings'!BM41/'Service Days per Month'!BM$4</f>
        <v>579.52380952380952</v>
      </c>
      <c r="BN41" s="18">
        <f>'Total Weekday Boardings'!BN41/'Service Days per Month'!BN$4</f>
        <v>616.27272727272725</v>
      </c>
      <c r="BO41" s="18">
        <f>'Total Weekday Boardings'!BO41/'Service Days per Month'!BO$4</f>
        <v>531.47619047619048</v>
      </c>
      <c r="BP41" s="19">
        <f>'Total Weekday Boardings'!BP41/'Service Days per Month'!BP$4</f>
        <v>481.57142857142856</v>
      </c>
      <c r="BQ41" s="17">
        <f>'Total Weekday Boardings'!BQ41/'Service Days per Month'!BQ$4</f>
        <v>438.27272727272725</v>
      </c>
      <c r="BR41" s="18">
        <f>'Total Weekday Boardings'!BR41/'Service Days per Month'!BR$4</f>
        <v>580.95238095238096</v>
      </c>
      <c r="BS41" s="18">
        <f>'Total Weekday Boardings'!BS41/'Service Days per Month'!BS$4</f>
        <v>696.52380952380952</v>
      </c>
      <c r="BT41" s="18">
        <f>'Total Weekday Boardings'!BT41/'Service Days per Month'!BT$4</f>
        <v>662.52173913043475</v>
      </c>
      <c r="BU41" s="18">
        <f>'Total Weekday Boardings'!BU41/'Service Days per Month'!BU$4</f>
        <v>683.94117647058829</v>
      </c>
      <c r="BV41" s="18">
        <f>'Total Weekday Boardings'!BV41/'Service Days per Month'!BV$4</f>
        <v>570.66666666666663</v>
      </c>
      <c r="BW41" s="18">
        <f>'Total Weekday Boardings'!BW41/'Service Days per Month'!BW$4</f>
        <v>618.85</v>
      </c>
      <c r="BX41" s="18">
        <f>'Total Weekday Boardings'!BX41/'Service Days per Month'!BX$4</f>
        <v>634.84210526315792</v>
      </c>
      <c r="BY41" s="18">
        <f>'Total Weekday Boardings'!BY41/'Service Days per Month'!BY$4</f>
        <v>577.22727272727275</v>
      </c>
      <c r="BZ41" s="18">
        <f>'Total Weekday Boardings'!BZ41/'Service Days per Month'!BZ$4</f>
        <v>595.40909090909088</v>
      </c>
      <c r="CA41" s="18">
        <f>'Total Weekday Boardings'!CA41/'Service Days per Month'!CA$4</f>
        <v>509.65</v>
      </c>
      <c r="CB41" s="19">
        <f>'Total Weekday Boardings'!CB41/'Service Days per Month'!CB$4</f>
        <v>468.09090909090907</v>
      </c>
      <c r="CC41" s="20">
        <f>'Total Weekday Boardings'!CC41/'Service Days per Month'!CC$4</f>
        <v>434.77272727272725</v>
      </c>
      <c r="CD41" s="18">
        <f>'Total Weekday Boardings'!CD41/'Service Days per Month'!CD$4</f>
        <v>533.52380952380952</v>
      </c>
      <c r="CE41" s="18">
        <f>'Total Weekday Boardings'!CE41/'Service Days per Month'!CE$4</f>
        <v>604.09523809523807</v>
      </c>
      <c r="CF41" s="18">
        <f>'Total Weekday Boardings'!CF41/'Service Days per Month'!CF$4</f>
        <v>591.5454545454545</v>
      </c>
      <c r="CG41" s="18">
        <f>'Total Weekday Boardings'!CG41/'Service Days per Month'!CG$4</f>
        <v>586.83333333333337</v>
      </c>
      <c r="CH41" s="18">
        <f>'Total Weekday Boardings'!CH41/'Service Days per Month'!CH$4</f>
        <v>496.95238095238096</v>
      </c>
      <c r="CI41" s="18">
        <f>'Total Weekday Boardings'!CI41/'Service Days per Month'!CI$4</f>
        <v>539.21052631578948</v>
      </c>
      <c r="CJ41" s="18">
        <f>'Total Weekday Boardings'!CJ41/'Service Days per Month'!CJ$4</f>
        <v>538.85</v>
      </c>
      <c r="CK41" s="18">
        <f>'Total Weekday Boardings'!CK41/'Service Days per Month'!CK$4</f>
        <v>505.43478260869563</v>
      </c>
      <c r="CL41" s="18">
        <f>'Total Weekday Boardings'!CL41/'Service Days per Month'!CL$4</f>
        <v>525.52380952380952</v>
      </c>
      <c r="CM41" s="18">
        <f>'Total Weekday Boardings'!CM41/'Service Days per Month'!CM$4</f>
        <v>433.76190476190476</v>
      </c>
      <c r="CN41" s="21">
        <f>'Total Weekday Boardings'!CN41/'Service Days per Month'!CN$4</f>
        <v>405.77272727272725</v>
      </c>
      <c r="CO41" s="17">
        <f>'Total Weekday Boardings'!CO41/'Service Days per Month'!CO$4</f>
        <v>400.3</v>
      </c>
      <c r="CP41" s="18">
        <f>'Total Weekday Boardings'!CP41/'Service Days per Month'!CP$4</f>
        <v>467.08695652173913</v>
      </c>
      <c r="CQ41" s="18">
        <f>'Total Weekday Boardings'!CQ41/'Service Days per Month'!CQ$4</f>
        <v>503.09523809523807</v>
      </c>
      <c r="CR41" s="18">
        <f>'Total Weekday Boardings'!CR41/'Service Days per Month'!CR$4</f>
        <v>481.23809523809524</v>
      </c>
      <c r="CS41" s="18">
        <f>'Total Weekday Boardings'!CS41/'Service Days per Month'!CS$4</f>
        <v>501.15789473684208</v>
      </c>
      <c r="CT41" s="18">
        <f>'Total Weekday Boardings'!CT41/'Service Days per Month'!CT$4</f>
        <v>428.71428571428572</v>
      </c>
      <c r="CU41" s="18">
        <f>'Total Weekday Boardings'!CU41/'Service Days per Month'!CU$4</f>
        <v>485.55</v>
      </c>
      <c r="CV41" s="18">
        <f>'Total Weekday Boardings'!CV41/'Service Days per Month'!CV$4</f>
        <v>490.78947368421052</v>
      </c>
      <c r="CW41" s="18">
        <f>'Total Weekday Boardings'!CW41/'Service Days per Month'!CW$4</f>
        <v>460.82608695652175</v>
      </c>
      <c r="CX41" s="18">
        <f>'Total Weekday Boardings'!CX41/'Service Days per Month'!CX$4</f>
        <v>444.8</v>
      </c>
      <c r="CY41" s="18">
        <f>'Total Weekday Boardings'!CY41/'Service Days per Month'!CY$4</f>
        <v>409.18181818181819</v>
      </c>
      <c r="CZ41" s="19">
        <f>'Total Weekday Boardings'!CZ41/'Service Days per Month'!CZ$4</f>
        <v>436.36363636363637</v>
      </c>
      <c r="DA41" s="17">
        <f>'Total Weekday Boardings'!DA41/'Service Days per Month'!DA$4</f>
        <v>406</v>
      </c>
      <c r="DB41" s="18">
        <f>'Total Weekday Boardings'!DB41/'Service Days per Month'!DB$4</f>
        <v>512.13043478260875</v>
      </c>
      <c r="DC41" s="18">
        <f>'Total Weekday Boardings'!DC41/'Service Days per Month'!DC$4</f>
        <v>542.35</v>
      </c>
      <c r="DD41" s="18">
        <f>'Total Weekday Boardings'!DD41/'Service Days per Month'!DD$4</f>
        <v>529.22727272727275</v>
      </c>
      <c r="DE41" s="18">
        <f>'Total Weekday Boardings'!DE41/'Service Days per Month'!DE$4</f>
        <v>515.73684210526312</v>
      </c>
      <c r="DF41" s="18">
        <f>'Total Weekday Boardings'!DF41/'Service Days per Month'!DF$4</f>
        <v>445.2</v>
      </c>
      <c r="DG41" s="18">
        <f>'Total Weekday Boardings'!DG41/'Service Days per Month'!DG$4</f>
        <v>504.90476190476193</v>
      </c>
      <c r="DH41" s="18">
        <f>'Total Weekday Boardings'!DH41/'Service Days per Month'!DH$4</f>
        <v>531.47368421052636</v>
      </c>
      <c r="DI41" s="18">
        <f>'Total Weekday Boardings'!DI41/'Service Days per Month'!DI$4</f>
        <v>471.09090909090907</v>
      </c>
      <c r="DJ41" s="18">
        <f>'Total Weekday Boardings'!DJ41/'Service Days per Month'!DJ$4</f>
        <v>475.90476190476193</v>
      </c>
      <c r="DK41" s="18">
        <f>'Total Weekday Boardings'!DK41/'Service Days per Month'!DK$4</f>
        <v>412.22727272727275</v>
      </c>
      <c r="DL41" s="19">
        <f>'Total Weekday Boardings'!DL41/'Service Days per Month'!DL$4</f>
        <v>392.61904761904759</v>
      </c>
      <c r="DM41" s="17">
        <f>'Total Weekday Boardings'!DM41/'Service Days per Month'!DM$4</f>
        <v>377.90476190476193</v>
      </c>
      <c r="DN41" s="18">
        <f>'Total Weekday Boardings'!DN41/'Service Days per Month'!DN$4</f>
        <v>463.82608695652175</v>
      </c>
      <c r="DO41" s="18">
        <f>'Total Weekday Boardings'!DO41/'Service Days per Month'!DO$4</f>
        <v>472.4736842105263</v>
      </c>
      <c r="DP41" s="18">
        <f>'Total Weekday Boardings'!DP41/'Service Days per Month'!DP$4</f>
        <v>470.78260869565219</v>
      </c>
      <c r="DQ41" s="18">
        <f>'Total Weekday Boardings'!DQ41/'Service Days per Month'!DQ$4</f>
        <v>456.95238095238096</v>
      </c>
      <c r="DR41" s="18">
        <f>'Total Weekday Boardings'!DR41/'Service Days per Month'!DR$4</f>
        <v>391.65</v>
      </c>
      <c r="DS41" s="18">
        <f>'Total Weekday Boardings'!DS41/'Service Days per Month'!DS$4</f>
        <v>458.54545454545456</v>
      </c>
      <c r="DT41" s="18">
        <f>'Total Weekday Boardings'!DT41/'Service Days per Month'!DT$4</f>
        <v>459.55</v>
      </c>
      <c r="DU41" s="18">
        <f>'Total Weekday Boardings'!DU41/'Service Days per Month'!DU$4</f>
        <v>450.23809523809524</v>
      </c>
      <c r="DV41" s="18">
        <f>'Total Weekday Boardings'!DV41/'Service Days per Month'!DV$4</f>
        <v>119.81818181818181</v>
      </c>
      <c r="DW41" s="18">
        <f>'Total Weekday Boardings'!DW41/'Service Days per Month'!DW$4</f>
        <v>385.59090909090907</v>
      </c>
      <c r="DX41" s="19">
        <f>'Total Weekday Boardings'!DX41/'Service Days per Month'!DX$4</f>
        <v>388.05</v>
      </c>
      <c r="DY41" s="17">
        <f>'Total Weekday Boardings'!DY41/'Service Days per Month'!DY$4</f>
        <v>366.5</v>
      </c>
      <c r="DZ41" s="18">
        <f>'Total Weekday Boardings'!DZ41/'Service Days per Month'!DZ$4</f>
        <v>426.81818181818181</v>
      </c>
      <c r="EA41" s="18">
        <f>'Total Weekday Boardings'!EA41/'Service Days per Month'!EA$4</f>
        <v>523.9</v>
      </c>
      <c r="EB41" s="18">
        <f>'Total Weekday Boardings'!EB41/'Service Days per Month'!EB$4</f>
        <v>550.91304347826087</v>
      </c>
      <c r="EC41" s="18">
        <f>'Total Weekday Boardings'!EC41/'Service Days per Month'!EC$4</f>
        <v>546.85</v>
      </c>
      <c r="ED41" s="18">
        <f>'Total Weekday Boardings'!ED41/'Service Days per Month'!ED$4</f>
        <v>464.14285714285717</v>
      </c>
      <c r="EE41" s="18">
        <f>'Total Weekday Boardings'!EE41/'Service Days per Month'!EE$4</f>
        <v>479</v>
      </c>
      <c r="EF41" s="18">
        <f>'Total Weekday Boardings'!EF41/'Service Days per Month'!EF$4</f>
        <v>515</v>
      </c>
      <c r="EG41" s="18">
        <f>'Total Weekday Boardings'!EG41/'Service Days per Month'!EG$4</f>
        <v>372.90909090909093</v>
      </c>
      <c r="EH41" s="18">
        <f>'Total Weekday Boardings'!EH41/'Service Days per Month'!EH$4</f>
        <v>286.90909090909093</v>
      </c>
      <c r="EI41" s="18">
        <f>'Total Weekday Boardings'!EI41/'Service Days per Month'!EI$4</f>
        <v>315.89999999999998</v>
      </c>
      <c r="EJ41" s="19">
        <f>'Total Weekday Boardings'!EJ41/'Service Days per Month'!EJ$4</f>
        <v>292.86363636363637</v>
      </c>
      <c r="EK41" s="17">
        <f>'Total Weekday Boardings'!EK41/'Service Days per Month'!EK$4</f>
        <v>339.59090909090907</v>
      </c>
      <c r="EL41" s="18">
        <f>'Total Weekday Boardings'!EL41/'Service Days per Month'!EL$4</f>
        <v>276.85714285714283</v>
      </c>
      <c r="EM41" s="18">
        <f>'Total Weekday Boardings'!EM41/'Service Days per Month'!EM$4</f>
        <v>298.8095238095238</v>
      </c>
      <c r="EN41" s="18">
        <f>'Total Weekday Boardings'!EN41/'Service Days per Month'!EN$4</f>
        <v>308.54545454545456</v>
      </c>
      <c r="EO41" s="18">
        <f>'Total Weekday Boardings'!EO41/'Service Days per Month'!EO$4</f>
        <v>230.05</v>
      </c>
      <c r="EP41" s="18">
        <f>'Total Weekday Boardings'!EP41/'Service Days per Month'!EP$4</f>
        <v>225.68181818181819</v>
      </c>
      <c r="EQ41" s="18">
        <f>'Total Weekday Boardings'!EQ41/'Service Days per Month'!EQ$4</f>
        <v>118.9047619047619</v>
      </c>
      <c r="ER41" s="18">
        <f>'Total Weekday Boardings'!ER41/'Service Days per Month'!ER$4</f>
        <v>224.85</v>
      </c>
      <c r="ES41" s="18">
        <f>'Total Weekday Boardings'!ES41/'Service Days per Month'!ES$4</f>
        <v>228.91304347826087</v>
      </c>
      <c r="ET41" s="18">
        <f>'Total Weekday Boardings'!ET41/'Service Days per Month'!ET$4</f>
        <v>247.5</v>
      </c>
      <c r="EU41" s="18">
        <f>'Total Weekday Boardings'!EU41/'Service Days per Month'!EU$4</f>
        <v>206.5</v>
      </c>
      <c r="EV41" s="19">
        <f>'Total Weekday Boardings'!EV41/'Service Days per Month'!EV$4</f>
        <v>228.5</v>
      </c>
      <c r="EW41" s="17">
        <f>'Total Weekday Boardings'!EW41/'Service Days per Month'!EW$4</f>
        <v>210.95238095238096</v>
      </c>
      <c r="EX41" s="18">
        <f>'Total Weekday Boardings'!EX41/'Service Days per Month'!EX$4</f>
        <v>253.95454545454547</v>
      </c>
      <c r="EY41" s="18">
        <f>'Total Weekday Boardings'!EY41/'Service Days per Month'!EY$4</f>
        <v>299.85714285714283</v>
      </c>
      <c r="EZ41" s="18">
        <f>'Total Weekday Boardings'!EZ41/'Service Days per Month'!EZ$4</f>
        <v>300.71428571428572</v>
      </c>
      <c r="FA41" s="18">
        <f>'Total Weekday Boardings'!FA41/'Service Days per Month'!FA$4</f>
        <v>305.61904761904759</v>
      </c>
      <c r="FB41" s="18">
        <f>'Total Weekday Boardings'!FB41/'Service Days per Month'!FB$4</f>
        <v>242.72727272727272</v>
      </c>
      <c r="FC41" s="18">
        <f>'Total Weekday Boardings'!FC41/'Service Days per Month'!FC$4</f>
        <v>244.28571428571428</v>
      </c>
      <c r="FD41" s="18">
        <f>'Total Weekday Boardings'!FD41/'Service Days per Month'!FD$4</f>
        <v>318.2</v>
      </c>
      <c r="FE41" s="18">
        <f>'Total Weekday Boardings'!FE41/'Service Days per Month'!FE$4</f>
        <v>327.13043478260869</v>
      </c>
      <c r="FF41" s="18">
        <f>'Total Weekday Boardings'!FF41/'Service Days per Month'!FF$4</f>
        <v>330.04761904761904</v>
      </c>
      <c r="FG41" s="18">
        <f>'Total Weekday Boardings'!FG41/'Service Days per Month'!FG$4</f>
        <v>296.8095238095238</v>
      </c>
      <c r="FH41" s="19">
        <f>'Total Weekday Boardings'!FH41/'Service Days per Month'!FH$4</f>
        <v>250.13636363636363</v>
      </c>
      <c r="FI41" s="17">
        <v>267.14999999999998</v>
      </c>
      <c r="FJ41" s="18">
        <v>319.47826086956519</v>
      </c>
      <c r="FK41" s="18">
        <v>351.66666666666669</v>
      </c>
      <c r="FL41" s="18">
        <v>339.95238095238096</v>
      </c>
      <c r="FM41" s="18">
        <v>338.71428571428572</v>
      </c>
      <c r="FN41" s="18">
        <v>300.42857142857144</v>
      </c>
      <c r="FO41" s="18">
        <v>355.71428571428572</v>
      </c>
      <c r="FP41" s="18">
        <v>328.85</v>
      </c>
      <c r="FQ41" s="18">
        <v>349.60869565217394</v>
      </c>
      <c r="FR41" s="18">
        <f>'Total Weekday Boardings'!FR41/20</f>
        <v>351.1</v>
      </c>
      <c r="FS41" s="18">
        <f>'Total Weekday Boardings'!FS41/22</f>
        <v>320.59090909090907</v>
      </c>
      <c r="FT41" s="21">
        <f>'Total Weekday Boardings'!FT41/23</f>
        <v>262.04347826086956</v>
      </c>
      <c r="FU41" s="17">
        <f>'Total Weekday Boardings'!FU41/21</f>
        <v>272.52380952380952</v>
      </c>
      <c r="FV41" s="18">
        <f>'Total Weekday Boardings'!FV41/23</f>
        <v>296.69565217391306</v>
      </c>
      <c r="FW41" s="18">
        <f>'Total Weekday Boardings'!FW41/21</f>
        <v>301</v>
      </c>
      <c r="FX41" s="18">
        <f>'Total Weekday Boardings'!FX41/22</f>
        <v>332.18181818181819</v>
      </c>
      <c r="FY41" s="18">
        <f>'Total Weekday Boardings'!FY41/22</f>
        <v>319.40909090909093</v>
      </c>
      <c r="FZ41" s="18">
        <f>'Total Weekday Boardings'!FZ41/21</f>
        <v>279.8095238095238</v>
      </c>
      <c r="GA41" s="18">
        <f>'Total Weekday Boardings'!GA41/23</f>
        <v>333.82608695652175</v>
      </c>
      <c r="GB41" s="18">
        <f>'Total Weekday Boardings'!GB41/21</f>
        <v>389.04761904761904</v>
      </c>
      <c r="GC41" s="18">
        <f>'Total Weekday Boardings'!GC41/21</f>
        <v>360.28571428571428</v>
      </c>
      <c r="GD41" s="18">
        <f>'Total Weekday Boardings'!GD41/22</f>
        <v>358.04545454545456</v>
      </c>
      <c r="GE41" s="13">
        <f>'Total Weekday Boardings'!GE41/23</f>
        <v>278.86956521739131</v>
      </c>
      <c r="GF41" s="13">
        <f>'Total Weekday Boardings'!GF41/20</f>
        <v>268</v>
      </c>
      <c r="GG41" s="21">
        <f>'Total Weekday Boardings'!GG41/23</f>
        <v>277.43478260869563</v>
      </c>
      <c r="GH41" s="13">
        <f>'Total Weekday Boardings'!GH41/22</f>
        <v>359.36363636363637</v>
      </c>
      <c r="GI41" s="13">
        <f>'Total Weekday Boardings'!GI41/21</f>
        <v>408.90476190476193</v>
      </c>
      <c r="GJ41" s="13">
        <f>'Total Weekday Boardings'!GJ41/23</f>
        <v>396.73913043478262</v>
      </c>
      <c r="GK41" s="13">
        <f>'Total Weekday Boardings'!GK41/21</f>
        <v>397.47619047619048</v>
      </c>
      <c r="GL41" s="13">
        <f>'Total Weekday Boardings'!GL41/22</f>
        <v>354.27272727272725</v>
      </c>
    </row>
    <row r="42" spans="1:194" ht="15" thickBot="1" x14ac:dyDescent="0.35">
      <c r="A42" s="3" t="s">
        <v>24</v>
      </c>
      <c r="B42" s="17"/>
      <c r="C42" s="18">
        <f>'Total Weekday Boardings'!C42/'Service Days per Month'!C$4</f>
        <v>635.47619047619048</v>
      </c>
      <c r="D42" s="18">
        <f>'Total Weekday Boardings'!D42/'Service Days per Month'!D$4</f>
        <v>826.1</v>
      </c>
      <c r="E42" s="18">
        <f>'Total Weekday Boardings'!E42/'Service Days per Month'!E$4</f>
        <v>820.09090909090912</v>
      </c>
      <c r="F42" s="18">
        <f>'Total Weekday Boardings'!F42/'Service Days per Month'!F$4</f>
        <v>835.13636363636363</v>
      </c>
      <c r="G42" s="18">
        <f>'Total Weekday Boardings'!G42/'Service Days per Month'!G$4</f>
        <v>608.15</v>
      </c>
      <c r="H42" s="19">
        <f>'Total Weekday Boardings'!H42/'Service Days per Month'!H$4</f>
        <v>528</v>
      </c>
      <c r="I42" s="17">
        <f>'Total Weekday Boardings'!I42/'Service Days per Month'!I$4</f>
        <v>524.04347826086962</v>
      </c>
      <c r="J42" s="18">
        <f>'Total Weekday Boardings'!J42/'Service Days per Month'!J$4</f>
        <v>825.90476190476193</v>
      </c>
      <c r="K42" s="18">
        <f>'Total Weekday Boardings'!K42/'Service Days per Month'!K$4</f>
        <v>1561.4285714285713</v>
      </c>
      <c r="L42" s="18">
        <f>'Total Weekday Boardings'!L42/'Service Days per Month'!L$4</f>
        <v>1475.5</v>
      </c>
      <c r="M42" s="18">
        <f>'Total Weekday Boardings'!M42/'Service Days per Month'!M$4</f>
        <v>1330</v>
      </c>
      <c r="N42" s="18">
        <f>'Total Weekday Boardings'!N42/'Service Days per Month'!N$4</f>
        <v>1212.3181818181818</v>
      </c>
      <c r="O42" s="18">
        <f>'Total Weekday Boardings'!O42/'Service Days per Month'!O$4</f>
        <v>1149.5</v>
      </c>
      <c r="P42" s="18">
        <f>'Total Weekday Boardings'!P42/'Service Days per Month'!P$4</f>
        <v>1529.2</v>
      </c>
      <c r="Q42" s="18">
        <f>'Total Weekday Boardings'!Q42/'Service Days per Month'!Q$4</f>
        <v>1532.1304347826087</v>
      </c>
      <c r="R42" s="18">
        <f>'Total Weekday Boardings'!R42/'Service Days per Month'!R$4</f>
        <v>1453.0454545454545</v>
      </c>
      <c r="S42" s="18">
        <f>'Total Weekday Boardings'!S42/'Service Days per Month'!S$4</f>
        <v>1200.05</v>
      </c>
      <c r="T42" s="19">
        <f>'Total Weekday Boardings'!T42/'Service Days per Month'!T$4</f>
        <v>726.81818181818187</v>
      </c>
      <c r="U42" s="17">
        <f>'Total Weekday Boardings'!U42/'Service Days per Month'!U$4</f>
        <v>585.04761904761904</v>
      </c>
      <c r="V42" s="18">
        <f>'Total Weekday Boardings'!V42/'Service Days per Month'!V$4</f>
        <v>1037.1363636363637</v>
      </c>
      <c r="W42" s="18">
        <f>'Total Weekday Boardings'!W42/'Service Days per Month'!W$4</f>
        <v>1550.6190476190477</v>
      </c>
      <c r="X42" s="18">
        <f>'Total Weekday Boardings'!X42/'Service Days per Month'!X$4</f>
        <v>1503.8095238095239</v>
      </c>
      <c r="Y42" s="18">
        <f>'Total Weekday Boardings'!Y42/'Service Days per Month'!Y$4</f>
        <v>1448.578947368421</v>
      </c>
      <c r="Z42" s="18">
        <f>'Total Weekday Boardings'!Z42/'Service Days per Month'!Z$4</f>
        <v>995.47619047619048</v>
      </c>
      <c r="AA42" s="18">
        <f>'Total Weekday Boardings'!AA42/'Service Days per Month'!AA$4</f>
        <v>1128.0999999999999</v>
      </c>
      <c r="AB42" s="18">
        <f>'Total Weekday Boardings'!AB42/'Service Days per Month'!AB$4</f>
        <v>1473.7368421052631</v>
      </c>
      <c r="AC42" s="18">
        <f>'Total Weekday Boardings'!AC42/'Service Days per Month'!AC$4</f>
        <v>1334.8260869565217</v>
      </c>
      <c r="AD42" s="18">
        <f>'Total Weekday Boardings'!AD42/'Service Days per Month'!AD$4</f>
        <v>1435.1428571428571</v>
      </c>
      <c r="AE42" s="18">
        <f>'Total Weekday Boardings'!AE42/'Service Days per Month'!AE$4</f>
        <v>871.76190476190482</v>
      </c>
      <c r="AF42" s="19">
        <f>'Total Weekday Boardings'!AF42/'Service Days per Month'!AF$4</f>
        <v>716.86363636363637</v>
      </c>
      <c r="AG42" s="17">
        <f>'Total Weekday Boardings'!AG42/'Service Days per Month'!AG$4</f>
        <v>738.3</v>
      </c>
      <c r="AH42" s="18">
        <f>'Total Weekday Boardings'!AH42/'Service Days per Month'!AH$4</f>
        <v>1128.7826086956522</v>
      </c>
      <c r="AI42" s="18">
        <f>'Total Weekday Boardings'!AI42/'Service Days per Month'!AI$4</f>
        <v>1731.3809523809523</v>
      </c>
      <c r="AJ42" s="18">
        <f>'Total Weekday Boardings'!AJ42/'Service Days per Month'!AJ$4</f>
        <v>1533.2857142857142</v>
      </c>
      <c r="AK42" s="18">
        <f>'Total Weekday Boardings'!AK42/'Service Days per Month'!AK$4</f>
        <v>1368.2631578947369</v>
      </c>
      <c r="AL42" s="18">
        <f>'Total Weekday Boardings'!AL42/'Service Days per Month'!AL$4</f>
        <v>913.04761904761904</v>
      </c>
      <c r="AM42" s="18">
        <f>'Total Weekday Boardings'!AM42/'Service Days per Month'!AM$4</f>
        <v>1312.8</v>
      </c>
      <c r="AN42" s="18">
        <f>'Total Weekday Boardings'!AN42/'Service Days per Month'!AN$4</f>
        <v>1344.4</v>
      </c>
      <c r="AO42" s="18">
        <f>'Total Weekday Boardings'!AO42/'Service Days per Month'!AO$4</f>
        <v>1249.8636363636363</v>
      </c>
      <c r="AP42" s="18">
        <f>'Total Weekday Boardings'!AP42/'Service Days per Month'!AP$4</f>
        <v>1457.6190476190477</v>
      </c>
      <c r="AQ42" s="18">
        <f>'Total Weekday Boardings'!AQ42/'Service Days per Month'!AQ$4</f>
        <v>909.59090909090912</v>
      </c>
      <c r="AR42" s="19">
        <f>'Total Weekday Boardings'!AR42/'Service Days per Month'!AR$4</f>
        <v>851.61904761904759</v>
      </c>
      <c r="AS42" s="17">
        <f>'Total Weekday Boardings'!AS42/'Service Days per Month'!AS$4</f>
        <v>740.76190476190482</v>
      </c>
      <c r="AT42" s="18">
        <f>'Total Weekday Boardings'!AT42/'Service Days per Month'!AT$4</f>
        <v>1044.608695652174</v>
      </c>
      <c r="AU42" s="18">
        <f>'Total Weekday Boardings'!AU42/'Service Days per Month'!AU$4</f>
        <v>1514.1052631578948</v>
      </c>
      <c r="AV42" s="18">
        <f>'Total Weekday Boardings'!AV42/'Service Days per Month'!AV$4</f>
        <v>1533.8695652173913</v>
      </c>
      <c r="AW42" s="18">
        <f>'Total Weekday Boardings'!AW42/'Service Days per Month'!AW$4</f>
        <v>1522.8421052631579</v>
      </c>
      <c r="AX42" s="18">
        <f>'Total Weekday Boardings'!AX42/'Service Days per Month'!AX$4</f>
        <v>1097.7368421052631</v>
      </c>
      <c r="AY42" s="18">
        <f>'Total Weekday Boardings'!AY42/'Service Days per Month'!AY$4</f>
        <v>1351.047619047619</v>
      </c>
      <c r="AZ42" s="18">
        <f>'Total Weekday Boardings'!AZ42/'Service Days per Month'!AZ$4</f>
        <v>1471.7894736842106</v>
      </c>
      <c r="BA42" s="18">
        <f>'Total Weekday Boardings'!BA42/'Service Days per Month'!BA$4</f>
        <v>1214.7142857142858</v>
      </c>
      <c r="BB42" s="18">
        <f>'Total Weekday Boardings'!BB42/'Service Days per Month'!BB$4</f>
        <v>1425.5454545454545</v>
      </c>
      <c r="BC42" s="18">
        <f>'Total Weekday Boardings'!BC42/'Service Days per Month'!BC$4</f>
        <v>895.22727272727275</v>
      </c>
      <c r="BD42" s="19">
        <f>'Total Weekday Boardings'!BD42/'Service Days per Month'!BD$4</f>
        <v>743.05</v>
      </c>
      <c r="BE42" s="17">
        <f>'Total Weekday Boardings'!BE42/'Service Days per Month'!BE$4</f>
        <v>716.40909090909088</v>
      </c>
      <c r="BF42" s="18">
        <f>'Total Weekday Boardings'!BF42/'Service Days per Month'!BF$4</f>
        <v>989.22727272727275</v>
      </c>
      <c r="BG42" s="18">
        <f>'Total Weekday Boardings'!BG42/'Service Days per Month'!BG$4</f>
        <v>1521.25</v>
      </c>
      <c r="BH42" s="18">
        <f>'Total Weekday Boardings'!BH42/'Service Days per Month'!BH$4</f>
        <v>1376.0434782608695</v>
      </c>
      <c r="BI42" s="18">
        <f>'Total Weekday Boardings'!BI42/'Service Days per Month'!BI$4</f>
        <v>1430.9817615758884</v>
      </c>
      <c r="BJ42" s="18">
        <f>'Total Weekday Boardings'!BJ42/'Service Days per Month'!BJ$4</f>
        <v>962.55</v>
      </c>
      <c r="BK42" s="18">
        <f>'Total Weekday Boardings'!BK42/'Service Days per Month'!BK$4</f>
        <v>1200.7619047619048</v>
      </c>
      <c r="BL42" s="18">
        <f>'Total Weekday Boardings'!BL42/'Service Days per Month'!BL$4</f>
        <v>1383.7894736842106</v>
      </c>
      <c r="BM42" s="18">
        <f>'Total Weekday Boardings'!BM42/'Service Days per Month'!BM$4</f>
        <v>1215.1428571428571</v>
      </c>
      <c r="BN42" s="18">
        <f>'Total Weekday Boardings'!BN42/'Service Days per Month'!BN$4</f>
        <v>1296.1363636363637</v>
      </c>
      <c r="BO42" s="18">
        <f>'Total Weekday Boardings'!BO42/'Service Days per Month'!BO$4</f>
        <v>885.42857142857144</v>
      </c>
      <c r="BP42" s="19">
        <f>'Total Weekday Boardings'!BP42/'Service Days per Month'!BP$4</f>
        <v>794.66666666666663</v>
      </c>
      <c r="BQ42" s="17">
        <f>'Total Weekday Boardings'!BQ42/'Service Days per Month'!BQ$4</f>
        <v>671.59090909090912</v>
      </c>
      <c r="BR42" s="18">
        <f>'Total Weekday Boardings'!BR42/'Service Days per Month'!BR$4</f>
        <v>1009.6190476190476</v>
      </c>
      <c r="BS42" s="18">
        <f>'Total Weekday Boardings'!BS42/'Service Days per Month'!BS$4</f>
        <v>1456.7142857142858</v>
      </c>
      <c r="BT42" s="18">
        <f>'Total Weekday Boardings'!BT42/'Service Days per Month'!BT$4</f>
        <v>1307.2608695652175</v>
      </c>
      <c r="BU42" s="18">
        <f>'Total Weekday Boardings'!BU42/'Service Days per Month'!BU$4</f>
        <v>1338.3529411764705</v>
      </c>
      <c r="BV42" s="18">
        <f>'Total Weekday Boardings'!BV42/'Service Days per Month'!BV$4</f>
        <v>941.47619047619048</v>
      </c>
      <c r="BW42" s="18">
        <f>'Total Weekday Boardings'!BW42/'Service Days per Month'!BW$4</f>
        <v>1414.3</v>
      </c>
      <c r="BX42" s="18">
        <f>'Total Weekday Boardings'!BX42/'Service Days per Month'!BX$4</f>
        <v>1332</v>
      </c>
      <c r="BY42" s="18">
        <f>'Total Weekday Boardings'!BY42/'Service Days per Month'!BY$4</f>
        <v>1173</v>
      </c>
      <c r="BZ42" s="18">
        <f>'Total Weekday Boardings'!BZ42/'Service Days per Month'!BZ$4</f>
        <v>1263.5454545454545</v>
      </c>
      <c r="CA42" s="18">
        <f>'Total Weekday Boardings'!CA42/'Service Days per Month'!CA$4</f>
        <v>880.2</v>
      </c>
      <c r="CB42" s="19">
        <f>'Total Weekday Boardings'!CB42/'Service Days per Month'!CB$4</f>
        <v>707.9545454545455</v>
      </c>
      <c r="CC42" s="20">
        <f>'Total Weekday Boardings'!CC42/'Service Days per Month'!CC$4</f>
        <v>613.36363636363637</v>
      </c>
      <c r="CD42" s="18">
        <f>'Total Weekday Boardings'!CD42/'Service Days per Month'!CD$4</f>
        <v>903.33333333333337</v>
      </c>
      <c r="CE42" s="18">
        <f>'Total Weekday Boardings'!CE42/'Service Days per Month'!CE$4</f>
        <v>1413.8571428571429</v>
      </c>
      <c r="CF42" s="18">
        <f>'Total Weekday Boardings'!CF42/'Service Days per Month'!CF$4</f>
        <v>1360.6363636363637</v>
      </c>
      <c r="CG42" s="18">
        <f>'Total Weekday Boardings'!CG42/'Service Days per Month'!CG$4</f>
        <v>1318.2777777777778</v>
      </c>
      <c r="CH42" s="18">
        <f>'Total Weekday Boardings'!CH42/'Service Days per Month'!CH$4</f>
        <v>958.57142857142856</v>
      </c>
      <c r="CI42" s="18">
        <f>'Total Weekday Boardings'!CI42/'Service Days per Month'!CI$4</f>
        <v>1171.6315789473683</v>
      </c>
      <c r="CJ42" s="18">
        <f>'Total Weekday Boardings'!CJ42/'Service Days per Month'!CJ$4</f>
        <v>1280.1500000000001</v>
      </c>
      <c r="CK42" s="18">
        <f>'Total Weekday Boardings'!CK42/'Service Days per Month'!CK$4</f>
        <v>1161.0869565217392</v>
      </c>
      <c r="CL42" s="18">
        <f>'Total Weekday Boardings'!CL42/'Service Days per Month'!CL$4</f>
        <v>1293.3333333333333</v>
      </c>
      <c r="CM42" s="18">
        <f>'Total Weekday Boardings'!CM42/'Service Days per Month'!CM$4</f>
        <v>877.23809523809518</v>
      </c>
      <c r="CN42" s="21">
        <f>'Total Weekday Boardings'!CN42/'Service Days per Month'!CN$4</f>
        <v>801.31818181818187</v>
      </c>
      <c r="CO42" s="17">
        <f>'Total Weekday Boardings'!CO42/'Service Days per Month'!CO$4</f>
        <v>710.6</v>
      </c>
      <c r="CP42" s="18">
        <f>'Total Weekday Boardings'!CP42/'Service Days per Month'!CP$4</f>
        <v>979.17391304347825</v>
      </c>
      <c r="CQ42" s="18">
        <f>'Total Weekday Boardings'!CQ42/'Service Days per Month'!CQ$4</f>
        <v>1233.2380952380952</v>
      </c>
      <c r="CR42" s="18">
        <f>'Total Weekday Boardings'!CR42/'Service Days per Month'!CR$4</f>
        <v>1161.2380952380952</v>
      </c>
      <c r="CS42" s="18">
        <f>'Total Weekday Boardings'!CS42/'Service Days per Month'!CS$4</f>
        <v>1272.0526315789473</v>
      </c>
      <c r="CT42" s="18">
        <f>'Total Weekday Boardings'!CT42/'Service Days per Month'!CT$4</f>
        <v>822.28571428571433</v>
      </c>
      <c r="CU42" s="18">
        <f>'Total Weekday Boardings'!CU42/'Service Days per Month'!CU$4</f>
        <v>1146.75</v>
      </c>
      <c r="CV42" s="18">
        <f>'Total Weekday Boardings'!CV42/'Service Days per Month'!CV$4</f>
        <v>1200.2631578947369</v>
      </c>
      <c r="CW42" s="18">
        <f>'Total Weekday Boardings'!CW42/'Service Days per Month'!CW$4</f>
        <v>1099.8695652173913</v>
      </c>
      <c r="CX42" s="18">
        <f>'Total Weekday Boardings'!CX42/'Service Days per Month'!CX$4</f>
        <v>1144.0999999999999</v>
      </c>
      <c r="CY42" s="18">
        <f>'Total Weekday Boardings'!CY42/'Service Days per Month'!CY$4</f>
        <v>862.72727272727275</v>
      </c>
      <c r="CZ42" s="19">
        <f>'Total Weekday Boardings'!CZ42/'Service Days per Month'!CZ$4</f>
        <v>741.68181818181813</v>
      </c>
      <c r="DA42" s="17">
        <f>'Total Weekday Boardings'!DA42/'Service Days per Month'!DA$4</f>
        <v>693.2</v>
      </c>
      <c r="DB42" s="18">
        <f>'Total Weekday Boardings'!DB42/'Service Days per Month'!DB$4</f>
        <v>1008</v>
      </c>
      <c r="DC42" s="18">
        <f>'Total Weekday Boardings'!DC42/'Service Days per Month'!DC$4</f>
        <v>1153.3</v>
      </c>
      <c r="DD42" s="18">
        <f>'Total Weekday Boardings'!DD42/'Service Days per Month'!DD$4</f>
        <v>1163.3636363636363</v>
      </c>
      <c r="DE42" s="18">
        <f>'Total Weekday Boardings'!DE42/'Service Days per Month'!DE$4</f>
        <v>1139.8421052631579</v>
      </c>
      <c r="DF42" s="18">
        <f>'Total Weekday Boardings'!DF42/'Service Days per Month'!DF$4</f>
        <v>792.05</v>
      </c>
      <c r="DG42" s="18">
        <f>'Total Weekday Boardings'!DG42/'Service Days per Month'!DG$4</f>
        <v>1045.3333333333333</v>
      </c>
      <c r="DH42" s="18">
        <f>'Total Weekday Boardings'!DH42/'Service Days per Month'!DH$4</f>
        <v>1100.3157894736842</v>
      </c>
      <c r="DI42" s="18">
        <f>'Total Weekday Boardings'!DI42/'Service Days per Month'!DI$4</f>
        <v>1024.590909090909</v>
      </c>
      <c r="DJ42" s="18">
        <f>'Total Weekday Boardings'!DJ42/'Service Days per Month'!DJ$4</f>
        <v>1105.2380952380952</v>
      </c>
      <c r="DK42" s="18">
        <f>'Total Weekday Boardings'!DK42/'Service Days per Month'!DK$4</f>
        <v>794.40909090909088</v>
      </c>
      <c r="DL42" s="19">
        <f>'Total Weekday Boardings'!DL42/'Service Days per Month'!DL$4</f>
        <v>702.61904761904759</v>
      </c>
      <c r="DM42" s="17">
        <f>'Total Weekday Boardings'!DM42/'Service Days per Month'!DM$4</f>
        <v>653.61904761904759</v>
      </c>
      <c r="DN42" s="18">
        <f>'Total Weekday Boardings'!DN42/'Service Days per Month'!DN$4</f>
        <v>880.08695652173913</v>
      </c>
      <c r="DO42" s="18">
        <f>'Total Weekday Boardings'!DO42/'Service Days per Month'!DO$4</f>
        <v>1010.1578947368421</v>
      </c>
      <c r="DP42" s="18">
        <f>'Total Weekday Boardings'!DP42/'Service Days per Month'!DP$4</f>
        <v>996.82608695652175</v>
      </c>
      <c r="DQ42" s="18">
        <f>'Total Weekday Boardings'!DQ42/'Service Days per Month'!DQ$4</f>
        <v>989.57142857142856</v>
      </c>
      <c r="DR42" s="18">
        <f>'Total Weekday Boardings'!DR42/'Service Days per Month'!DR$4</f>
        <v>701.15</v>
      </c>
      <c r="DS42" s="18">
        <f>'Total Weekday Boardings'!DS42/'Service Days per Month'!DS$4</f>
        <v>925</v>
      </c>
      <c r="DT42" s="18">
        <f>'Total Weekday Boardings'!DT42/'Service Days per Month'!DT$4</f>
        <v>946.3</v>
      </c>
      <c r="DU42" s="18">
        <f>'Total Weekday Boardings'!DU42/'Service Days per Month'!DU$4</f>
        <v>891.42857142857144</v>
      </c>
      <c r="DV42" s="18">
        <f>'Total Weekday Boardings'!DV42/'Service Days per Month'!DV$4</f>
        <v>890.90909090909088</v>
      </c>
      <c r="DW42" s="18">
        <f>'Total Weekday Boardings'!DW42/'Service Days per Month'!DW$4</f>
        <v>674.36363636363637</v>
      </c>
      <c r="DX42" s="19">
        <f>'Total Weekday Boardings'!DX42/'Service Days per Month'!DX$4</f>
        <v>651.95000000000005</v>
      </c>
      <c r="DY42" s="17">
        <f>'Total Weekday Boardings'!DY42/'Service Days per Month'!DY$4</f>
        <v>604.86363636363637</v>
      </c>
      <c r="DZ42" s="18">
        <f>'Total Weekday Boardings'!DZ42/'Service Days per Month'!DZ$4</f>
        <v>748.68181818181813</v>
      </c>
      <c r="EA42" s="18">
        <f>'Total Weekday Boardings'!EA42/'Service Days per Month'!EA$4</f>
        <v>1006.5</v>
      </c>
      <c r="EB42" s="18">
        <f>'Total Weekday Boardings'!EB42/'Service Days per Month'!EB$4</f>
        <v>1013.6086956521739</v>
      </c>
      <c r="EC42" s="18">
        <f>'Total Weekday Boardings'!EC42/'Service Days per Month'!EC$4</f>
        <v>1011.1</v>
      </c>
      <c r="ED42" s="18">
        <f>'Total Weekday Boardings'!ED42/'Service Days per Month'!ED$4</f>
        <v>785.61904761904759</v>
      </c>
      <c r="EE42" s="18">
        <f>'Total Weekday Boardings'!EE42/'Service Days per Month'!EE$4</f>
        <v>853.13043478260875</v>
      </c>
      <c r="EF42" s="18">
        <f>'Total Weekday Boardings'!EF42/'Service Days per Month'!EF$4</f>
        <v>1003.75</v>
      </c>
      <c r="EG42" s="18">
        <f>'Total Weekday Boardings'!EG42/'Service Days per Month'!EG$4</f>
        <v>618.68181818181813</v>
      </c>
      <c r="EH42" s="18">
        <f>'Total Weekday Boardings'!EH42/'Service Days per Month'!EH$4</f>
        <v>367.86363636363637</v>
      </c>
      <c r="EI42" s="18">
        <f>'Total Weekday Boardings'!EI42/'Service Days per Month'!EI$4</f>
        <v>348.3</v>
      </c>
      <c r="EJ42" s="19">
        <f>'Total Weekday Boardings'!EJ42/'Service Days per Month'!EJ$4</f>
        <v>340.27272727272725</v>
      </c>
      <c r="EK42" s="17">
        <f>'Total Weekday Boardings'!EK42/'Service Days per Month'!EK$4</f>
        <v>343.90909090909093</v>
      </c>
      <c r="EL42" s="18">
        <f>'Total Weekday Boardings'!EL42/'Service Days per Month'!EL$4</f>
        <v>343.76190476190476</v>
      </c>
      <c r="EM42" s="18">
        <f>'Total Weekday Boardings'!EM42/'Service Days per Month'!EM$4</f>
        <v>355.14285714285717</v>
      </c>
      <c r="EN42" s="18">
        <f>'Total Weekday Boardings'!EN42/'Service Days per Month'!EN$4</f>
        <v>383.13636363636363</v>
      </c>
      <c r="EO42" s="18">
        <f>'Total Weekday Boardings'!EO42/'Service Days per Month'!EO$4</f>
        <v>352.75</v>
      </c>
      <c r="EP42" s="18">
        <f>'Total Weekday Boardings'!EP42/'Service Days per Month'!EP$4</f>
        <v>295.81818181818181</v>
      </c>
      <c r="EQ42" s="18">
        <f>'Total Weekday Boardings'!EQ42/'Service Days per Month'!EQ$4</f>
        <v>181.61904761904762</v>
      </c>
      <c r="ER42" s="18">
        <f>'Total Weekday Boardings'!ER42/'Service Days per Month'!ER$4</f>
        <v>319.75</v>
      </c>
      <c r="ES42" s="18">
        <f>'Total Weekday Boardings'!ES42/'Service Days per Month'!ES$4</f>
        <v>335.56521739130437</v>
      </c>
      <c r="ET42" s="18">
        <f>'Total Weekday Boardings'!ET42/'Service Days per Month'!ET$4</f>
        <v>333.72727272727275</v>
      </c>
      <c r="EU42" s="18">
        <f>'Total Weekday Boardings'!EU42/'Service Days per Month'!EU$4</f>
        <v>305.45</v>
      </c>
      <c r="EV42" s="19">
        <f>'Total Weekday Boardings'!EV42/'Service Days per Month'!EV$4</f>
        <v>325.72727272727275</v>
      </c>
      <c r="EW42" s="17">
        <f>'Total Weekday Boardings'!EW42/'Service Days per Month'!EW$4</f>
        <v>322.42857142857144</v>
      </c>
      <c r="EX42" s="18">
        <f>'Total Weekday Boardings'!EX42/'Service Days per Month'!EX$4</f>
        <v>408.36363636363637</v>
      </c>
      <c r="EY42" s="18">
        <f>'Total Weekday Boardings'!EY42/'Service Days per Month'!EY$4</f>
        <v>527.14285714285711</v>
      </c>
      <c r="EZ42" s="18">
        <f>'Total Weekday Boardings'!EZ42/'Service Days per Month'!EZ$4</f>
        <v>529.71428571428567</v>
      </c>
      <c r="FA42" s="18">
        <f>'Total Weekday Boardings'!FA42/'Service Days per Month'!FA$4</f>
        <v>486.1904761904762</v>
      </c>
      <c r="FB42" s="18">
        <f>'Total Weekday Boardings'!FB42/'Service Days per Month'!FB$4</f>
        <v>369</v>
      </c>
      <c r="FC42" s="18">
        <f>'Total Weekday Boardings'!FC42/'Service Days per Month'!FC$4</f>
        <v>384</v>
      </c>
      <c r="FD42" s="18">
        <f>'Total Weekday Boardings'!FD42/'Service Days per Month'!FD$4</f>
        <v>512</v>
      </c>
      <c r="FE42" s="18">
        <f>'Total Weekday Boardings'!FE42/'Service Days per Month'!FE$4</f>
        <v>513.47826086956525</v>
      </c>
      <c r="FF42" s="18">
        <f>'Total Weekday Boardings'!FF42/'Service Days per Month'!FF$4</f>
        <v>505.14285714285717</v>
      </c>
      <c r="FG42" s="18">
        <f>'Total Weekday Boardings'!FG42/'Service Days per Month'!FG$4</f>
        <v>427.66666666666669</v>
      </c>
      <c r="FH42" s="19">
        <f>'Total Weekday Boardings'!FH42/'Service Days per Month'!FH$4</f>
        <v>329.40909090909093</v>
      </c>
      <c r="FI42" s="17">
        <v>328.8</v>
      </c>
      <c r="FJ42" s="18">
        <v>469.39130434782606</v>
      </c>
      <c r="FK42" s="18">
        <v>570.66666666666663</v>
      </c>
      <c r="FL42" s="18">
        <v>512.71428571428567</v>
      </c>
      <c r="FM42" s="18">
        <v>514.71428571428567</v>
      </c>
      <c r="FN42" s="18">
        <v>420.04761904761904</v>
      </c>
      <c r="FO42" s="18">
        <v>570.71428571428567</v>
      </c>
      <c r="FP42" s="18">
        <v>557.5</v>
      </c>
      <c r="FQ42" s="18">
        <v>578</v>
      </c>
      <c r="FR42" s="18">
        <f>'Total Weekday Boardings'!FR42/20</f>
        <v>594.54999999999995</v>
      </c>
      <c r="FS42" s="18">
        <f>'Total Weekday Boardings'!FS42/22</f>
        <v>482.77272727272725</v>
      </c>
      <c r="FT42" s="21">
        <f>'Total Weekday Boardings'!FT42/23</f>
        <v>399.91304347826087</v>
      </c>
      <c r="FU42" s="17">
        <f>'Total Weekday Boardings'!FU42/21</f>
        <v>382.76190476190476</v>
      </c>
      <c r="FV42" s="18">
        <f>'Total Weekday Boardings'!FV42/23</f>
        <v>499.13043478260869</v>
      </c>
      <c r="FW42" s="18">
        <f>'Total Weekday Boardings'!FW42/21</f>
        <v>510.66666666666669</v>
      </c>
      <c r="FX42" s="18">
        <f>'Total Weekday Boardings'!FX42/22</f>
        <v>622.72727272727275</v>
      </c>
      <c r="FY42" s="18">
        <f>'Total Weekday Boardings'!FY42/22</f>
        <v>560.31818181818187</v>
      </c>
      <c r="FZ42" s="18">
        <f>'Total Weekday Boardings'!FZ42/21</f>
        <v>447.85714285714283</v>
      </c>
      <c r="GA42" s="18">
        <f>'Total Weekday Boardings'!GA42/23</f>
        <v>556.13043478260875</v>
      </c>
      <c r="GB42" s="18">
        <f>'Total Weekday Boardings'!GB42/21</f>
        <v>621.38095238095241</v>
      </c>
      <c r="GC42" s="18">
        <f>'Total Weekday Boardings'!GC42/21</f>
        <v>600.80952380952385</v>
      </c>
      <c r="GD42" s="18">
        <f>'Total Weekday Boardings'!GD42/22</f>
        <v>559.13636363636363</v>
      </c>
      <c r="GE42" s="13">
        <f>'Total Weekday Boardings'!GE42/23</f>
        <v>443.08695652173913</v>
      </c>
      <c r="GF42" s="13">
        <f>'Total Weekday Boardings'!GF42/20</f>
        <v>405.7</v>
      </c>
      <c r="GG42" s="21">
        <f>'Total Weekday Boardings'!GG42/23</f>
        <v>404.86956521739131</v>
      </c>
      <c r="GH42" s="13">
        <f>'Total Weekday Boardings'!GH42/22</f>
        <v>535.77272727272725</v>
      </c>
      <c r="GI42" s="13">
        <f>'Total Weekday Boardings'!GI42/21</f>
        <v>604.47619047619048</v>
      </c>
      <c r="GJ42" s="13">
        <f>'Total Weekday Boardings'!GJ42/23</f>
        <v>630.21739130434787</v>
      </c>
      <c r="GK42" s="13">
        <f>'Total Weekday Boardings'!GK42/21</f>
        <v>546.28571428571433</v>
      </c>
      <c r="GL42" s="13">
        <f>'Total Weekday Boardings'!GL42/22</f>
        <v>463.59090909090907</v>
      </c>
    </row>
    <row r="43" spans="1:194" ht="15" thickBot="1" x14ac:dyDescent="0.35">
      <c r="A43" s="9" t="s">
        <v>25</v>
      </c>
      <c r="B43" s="22"/>
      <c r="C43" s="23">
        <f>'Total Weekday Boardings'!C43/'Service Days per Month'!C$4</f>
        <v>3353.4285714285716</v>
      </c>
      <c r="D43" s="23">
        <f>'Total Weekday Boardings'!D43/'Service Days per Month'!D$4</f>
        <v>3367.8</v>
      </c>
      <c r="E43" s="23">
        <f>'Total Weekday Boardings'!E43/'Service Days per Month'!E$4</f>
        <v>3638.6363636363635</v>
      </c>
      <c r="F43" s="23">
        <f>'Total Weekday Boardings'!F43/'Service Days per Month'!F$4</f>
        <v>3704.9545454545455</v>
      </c>
      <c r="G43" s="23">
        <f>'Total Weekday Boardings'!G43/'Service Days per Month'!G$4</f>
        <v>3171.5</v>
      </c>
      <c r="H43" s="24">
        <f>'Total Weekday Boardings'!H43/'Service Days per Month'!H$4</f>
        <v>2842.909090909091</v>
      </c>
      <c r="I43" s="22">
        <f>'Total Weekday Boardings'!I43/'Service Days per Month'!I$4</f>
        <v>2443.9565217391305</v>
      </c>
      <c r="J43" s="23">
        <f>'Total Weekday Boardings'!J43/'Service Days per Month'!J$4</f>
        <v>2832.0952380952381</v>
      </c>
      <c r="K43" s="23">
        <f>'Total Weekday Boardings'!K43/'Service Days per Month'!K$4</f>
        <v>3347.1428571428573</v>
      </c>
      <c r="L43" s="23">
        <f>'Total Weekday Boardings'!L43/'Service Days per Month'!L$4</f>
        <v>3561.318181818182</v>
      </c>
      <c r="M43" s="23">
        <f>'Total Weekday Boardings'!M43/'Service Days per Month'!M$4</f>
        <v>3460.35</v>
      </c>
      <c r="N43" s="23">
        <f>'Total Weekday Boardings'!N43/'Service Days per Month'!N$4</f>
        <v>3403.7727272727275</v>
      </c>
      <c r="O43" s="23">
        <f>'Total Weekday Boardings'!O43/'Service Days per Month'!O$4</f>
        <v>3525.75</v>
      </c>
      <c r="P43" s="23">
        <f>'Total Weekday Boardings'!P43/'Service Days per Month'!P$4</f>
        <v>3857.95</v>
      </c>
      <c r="Q43" s="23">
        <f>'Total Weekday Boardings'!Q43/'Service Days per Month'!Q$4</f>
        <v>3820.782608695652</v>
      </c>
      <c r="R43" s="23">
        <f>'Total Weekday Boardings'!R43/'Service Days per Month'!R$4</f>
        <v>3956.4545454545455</v>
      </c>
      <c r="S43" s="23">
        <f>'Total Weekday Boardings'!S43/'Service Days per Month'!S$4</f>
        <v>3395.25</v>
      </c>
      <c r="T43" s="24">
        <f>'Total Weekday Boardings'!T43/'Service Days per Month'!T$4</f>
        <v>3148.181818181818</v>
      </c>
      <c r="U43" s="22">
        <f>'Total Weekday Boardings'!U43/'Service Days per Month'!U$4</f>
        <v>2892.6666666666665</v>
      </c>
      <c r="V43" s="23">
        <f>'Total Weekday Boardings'!V43/'Service Days per Month'!V$4</f>
        <v>3347.409090909091</v>
      </c>
      <c r="W43" s="23">
        <f>'Total Weekday Boardings'!W43/'Service Days per Month'!W$4</f>
        <v>4146.1904761904761</v>
      </c>
      <c r="X43" s="23">
        <f>'Total Weekday Boardings'!X43/'Service Days per Month'!X$4</f>
        <v>3962.1428571428573</v>
      </c>
      <c r="Y43" s="23">
        <f>'Total Weekday Boardings'!Y43/'Service Days per Month'!Y$4</f>
        <v>4056.7894736842104</v>
      </c>
      <c r="Z43" s="23">
        <f>'Total Weekday Boardings'!Z43/'Service Days per Month'!Z$4</f>
        <v>3633.5238095238096</v>
      </c>
      <c r="AA43" s="23">
        <f>'Total Weekday Boardings'!AA43/'Service Days per Month'!AA$4</f>
        <v>3847</v>
      </c>
      <c r="AB43" s="23">
        <f>'Total Weekday Boardings'!AB43/'Service Days per Month'!AB$4</f>
        <v>4157.3157894736842</v>
      </c>
      <c r="AC43" s="23">
        <f>'Total Weekday Boardings'!AC43/'Service Days per Month'!AC$4</f>
        <v>4067.086956521739</v>
      </c>
      <c r="AD43" s="23">
        <f>'Total Weekday Boardings'!AD43/'Service Days per Month'!AD$4</f>
        <v>4006.8571428571427</v>
      </c>
      <c r="AE43" s="23">
        <f>'Total Weekday Boardings'!AE43/'Service Days per Month'!AE$4</f>
        <v>3284.3333333333335</v>
      </c>
      <c r="AF43" s="24">
        <f>'Total Weekday Boardings'!AF43/'Service Days per Month'!AF$4</f>
        <v>3232.2727272727275</v>
      </c>
      <c r="AG43" s="22">
        <f>'Total Weekday Boardings'!AG43/'Service Days per Month'!AG$4</f>
        <v>3301.1</v>
      </c>
      <c r="AH43" s="23">
        <f>'Total Weekday Boardings'!AH43/'Service Days per Month'!AH$4</f>
        <v>3740.478260869565</v>
      </c>
      <c r="AI43" s="23">
        <f>'Total Weekday Boardings'!AI43/'Service Days per Month'!AI$4</f>
        <v>4197.2857142857147</v>
      </c>
      <c r="AJ43" s="23">
        <f>'Total Weekday Boardings'!AJ43/'Service Days per Month'!AJ$4</f>
        <v>4270</v>
      </c>
      <c r="AK43" s="23">
        <f>'Total Weekday Boardings'!AK43/'Service Days per Month'!AK$4</f>
        <v>3730.1578947368421</v>
      </c>
      <c r="AL43" s="23">
        <f>'Total Weekday Boardings'!AL43/'Service Days per Month'!AL$4</f>
        <v>3568.4285714285716</v>
      </c>
      <c r="AM43" s="23">
        <f>'Total Weekday Boardings'!AM43/'Service Days per Month'!AM$4</f>
        <v>4088.2</v>
      </c>
      <c r="AN43" s="23">
        <f>'Total Weekday Boardings'!AN43/'Service Days per Month'!AN$4</f>
        <v>4264.7</v>
      </c>
      <c r="AO43" s="23">
        <f>'Total Weekday Boardings'!AO43/'Service Days per Month'!AO$4</f>
        <v>4048.681818181818</v>
      </c>
      <c r="AP43" s="23">
        <f>'Total Weekday Boardings'!AP43/'Service Days per Month'!AP$4</f>
        <v>4135.7619047619046</v>
      </c>
      <c r="AQ43" s="23">
        <f>'Total Weekday Boardings'!AQ43/'Service Days per Month'!AQ$4</f>
        <v>3566.818181818182</v>
      </c>
      <c r="AR43" s="24">
        <f>'Total Weekday Boardings'!AR43/'Service Days per Month'!AR$4</f>
        <v>0</v>
      </c>
      <c r="AS43" s="22">
        <f>'Total Weekday Boardings'!AS43/'Service Days per Month'!AS$4</f>
        <v>3336.6666666666665</v>
      </c>
      <c r="AT43" s="23">
        <f>'Total Weekday Boardings'!AT43/'Service Days per Month'!AT$4</f>
        <v>3767.217391304348</v>
      </c>
      <c r="AU43" s="23">
        <f>'Total Weekday Boardings'!AU43/'Service Days per Month'!AU$4</f>
        <v>4279.6315789473683</v>
      </c>
      <c r="AV43" s="23">
        <f>'Total Weekday Boardings'!AV43/'Service Days per Month'!AV$4</f>
        <v>4205.391304347826</v>
      </c>
      <c r="AW43" s="23">
        <f>'Total Weekday Boardings'!AW43/'Service Days per Month'!AW$4</f>
        <v>4385.0526315789475</v>
      </c>
      <c r="AX43" s="23">
        <f>'Total Weekday Boardings'!AX43/'Service Days per Month'!AX$4</f>
        <v>3975.7368421052633</v>
      </c>
      <c r="AY43" s="23">
        <f>'Total Weekday Boardings'!AY43/'Service Days per Month'!AY$4</f>
        <v>4062.8095238095239</v>
      </c>
      <c r="AZ43" s="23">
        <f>'Total Weekday Boardings'!AZ43/'Service Days per Month'!AZ$4</f>
        <v>4400.3157894736842</v>
      </c>
      <c r="BA43" s="23">
        <f>'Total Weekday Boardings'!BA43/'Service Days per Month'!BA$4</f>
        <v>4237.333333333333</v>
      </c>
      <c r="BB43" s="23">
        <f>'Total Weekday Boardings'!BB43/'Service Days per Month'!BB$4</f>
        <v>4349.181818181818</v>
      </c>
      <c r="BC43" s="23">
        <f>'Total Weekday Boardings'!BC43/'Service Days per Month'!BC$4</f>
        <v>3690.2727272727275</v>
      </c>
      <c r="BD43" s="24">
        <f>'Total Weekday Boardings'!BD43/'Service Days per Month'!BD$4</f>
        <v>3485.4</v>
      </c>
      <c r="BE43" s="22">
        <f>'Total Weekday Boardings'!BE43/'Service Days per Month'!BE$4</f>
        <v>3265.909090909091</v>
      </c>
      <c r="BF43" s="23">
        <f>'Total Weekday Boardings'!BF43/'Service Days per Month'!BF$4</f>
        <v>3524.9545454545455</v>
      </c>
      <c r="BG43" s="23">
        <f>'Total Weekday Boardings'!BG43/'Service Days per Month'!BG$4</f>
        <v>4063.65</v>
      </c>
      <c r="BH43" s="23">
        <f>'Total Weekday Boardings'!BH43/'Service Days per Month'!BH$4</f>
        <v>3868.8695652173915</v>
      </c>
      <c r="BI43" s="23">
        <f>'Total Weekday Boardings'!BI43/'Service Days per Month'!BI$4</f>
        <v>4118.6964089349567</v>
      </c>
      <c r="BJ43" s="23">
        <f>'Total Weekday Boardings'!BJ43/'Service Days per Month'!BJ$4</f>
        <v>3558.75</v>
      </c>
      <c r="BK43" s="23">
        <f>'Total Weekday Boardings'!BK43/'Service Days per Month'!BK$4</f>
        <v>4036.5714285714284</v>
      </c>
      <c r="BL43" s="23">
        <f>'Total Weekday Boardings'!BL43/'Service Days per Month'!BL$4</f>
        <v>4235.6842105263158</v>
      </c>
      <c r="BM43" s="23">
        <f>'Total Weekday Boardings'!BM43/'Service Days per Month'!BM$4</f>
        <v>4317.5714285714284</v>
      </c>
      <c r="BN43" s="23">
        <f>'Total Weekday Boardings'!BN43/'Service Days per Month'!BN$4</f>
        <v>3999.909090909091</v>
      </c>
      <c r="BO43" s="23">
        <f>'Total Weekday Boardings'!BO43/'Service Days per Month'!BO$4</f>
        <v>3482.3333333333335</v>
      </c>
      <c r="BP43" s="24">
        <f>'Total Weekday Boardings'!BP43/'Service Days per Month'!BP$4</f>
        <v>3514.9047619047619</v>
      </c>
      <c r="BQ43" s="22">
        <f>'Total Weekday Boardings'!BQ43/'Service Days per Month'!BQ$4</f>
        <v>3234.318181818182</v>
      </c>
      <c r="BR43" s="23">
        <f>'Total Weekday Boardings'!BR43/'Service Days per Month'!BR$4</f>
        <v>3595.7142857142858</v>
      </c>
      <c r="BS43" s="23">
        <f>'Total Weekday Boardings'!BS43/'Service Days per Month'!BS$4</f>
        <v>3866.7142857142858</v>
      </c>
      <c r="BT43" s="23">
        <f>'Total Weekday Boardings'!BT43/'Service Days per Month'!BT$4</f>
        <v>3786.9565217391305</v>
      </c>
      <c r="BU43" s="23">
        <f>'Total Weekday Boardings'!BU43/'Service Days per Month'!BU$4</f>
        <v>3829.4117647058824</v>
      </c>
      <c r="BV43" s="23">
        <f>'Total Weekday Boardings'!BV43/'Service Days per Month'!BV$4</f>
        <v>3528.8571428571427</v>
      </c>
      <c r="BW43" s="23">
        <f>'Total Weekday Boardings'!BW43/'Service Days per Month'!BW$4</f>
        <v>4330.6499999999996</v>
      </c>
      <c r="BX43" s="23">
        <f>'Total Weekday Boardings'!BX43/'Service Days per Month'!BX$4</f>
        <v>4093.7894736842104</v>
      </c>
      <c r="BY43" s="23">
        <f>'Total Weekday Boardings'!BY43/'Service Days per Month'!BY$4</f>
        <v>3935.7727272727275</v>
      </c>
      <c r="BZ43" s="23">
        <f>'Total Weekday Boardings'!BZ43/'Service Days per Month'!BZ$4</f>
        <v>3873.0454545454545</v>
      </c>
      <c r="CA43" s="23">
        <f>'Total Weekday Boardings'!CA43/'Service Days per Month'!CA$4</f>
        <v>3471.7</v>
      </c>
      <c r="CB43" s="24">
        <f>'Total Weekday Boardings'!CB43/'Service Days per Month'!CB$4</f>
        <v>3407.909090909091</v>
      </c>
      <c r="CC43" s="25">
        <f>'Total Weekday Boardings'!CC43/'Service Days per Month'!CC$4</f>
        <v>3183.5454545454545</v>
      </c>
      <c r="CD43" s="23">
        <f>'Total Weekday Boardings'!CD43/'Service Days per Month'!CD$4</f>
        <v>3166.2380952380954</v>
      </c>
      <c r="CE43" s="23">
        <f>'Total Weekday Boardings'!CE43/'Service Days per Month'!CE$4</f>
        <v>1971.7619047619048</v>
      </c>
      <c r="CF43" s="23">
        <f>'Total Weekday Boardings'!CF43/'Service Days per Month'!CF$4</f>
        <v>1919.409090909091</v>
      </c>
      <c r="CG43" s="23">
        <f>'Total Weekday Boardings'!CG43/'Service Days per Month'!CG$4</f>
        <v>1850.4444444444443</v>
      </c>
      <c r="CH43" s="23">
        <f>'Total Weekday Boardings'!CH43/'Service Days per Month'!CH$4</f>
        <v>1644.4761904761904</v>
      </c>
      <c r="CI43" s="23">
        <f>'Total Weekday Boardings'!CI43/'Service Days per Month'!CI$4</f>
        <v>1748.421052631579</v>
      </c>
      <c r="CJ43" s="23">
        <f>'Total Weekday Boardings'!CJ43/'Service Days per Month'!CJ$4</f>
        <v>1806.65</v>
      </c>
      <c r="CK43" s="23">
        <f>'Total Weekday Boardings'!CK43/'Service Days per Month'!CK$4</f>
        <v>1705.304347826087</v>
      </c>
      <c r="CL43" s="23">
        <f>'Total Weekday Boardings'!CL43/'Service Days per Month'!CL$4</f>
        <v>1724.6190476190477</v>
      </c>
      <c r="CM43" s="23">
        <f>'Total Weekday Boardings'!CM43/'Service Days per Month'!CM$4</f>
        <v>1519.8571428571429</v>
      </c>
      <c r="CN43" s="26">
        <f>'Total Weekday Boardings'!CN43/'Service Days per Month'!CN$4</f>
        <v>1436.2272727272727</v>
      </c>
      <c r="CO43" s="22">
        <f>'Total Weekday Boardings'!CO43/'Service Days per Month'!CO$4</f>
        <v>1372.25</v>
      </c>
      <c r="CP43" s="23">
        <f>'Total Weekday Boardings'!CP43/'Service Days per Month'!CP$4</f>
        <v>1551.4347826086957</v>
      </c>
      <c r="CQ43" s="23">
        <f>'Total Weekday Boardings'!CQ43/'Service Days per Month'!CQ$4</f>
        <v>1616.9047619047619</v>
      </c>
      <c r="CR43" s="23">
        <f>'Total Weekday Boardings'!CR43/'Service Days per Month'!CR$4</f>
        <v>1604.047619047619</v>
      </c>
      <c r="CS43" s="23">
        <f>'Total Weekday Boardings'!CS43/'Service Days per Month'!CS$4</f>
        <v>1617.6842105263158</v>
      </c>
      <c r="CT43" s="23">
        <f>'Total Weekday Boardings'!CT43/'Service Days per Month'!CT$4</f>
        <v>1446.6666666666667</v>
      </c>
      <c r="CU43" s="23">
        <f>'Total Weekday Boardings'!CU43/'Service Days per Month'!CU$4</f>
        <v>1623.5</v>
      </c>
      <c r="CV43" s="23">
        <f>'Total Weekday Boardings'!CV43/'Service Days per Month'!CV$4</f>
        <v>1613.578947368421</v>
      </c>
      <c r="CW43" s="23">
        <f>'Total Weekday Boardings'!CW43/'Service Days per Month'!CW$4</f>
        <v>1541.608695652174</v>
      </c>
      <c r="CX43" s="23">
        <f>'Total Weekday Boardings'!CX43/'Service Days per Month'!CX$4</f>
        <v>1583.3</v>
      </c>
      <c r="CY43" s="23">
        <f>'Total Weekday Boardings'!CY43/'Service Days per Month'!CY$4</f>
        <v>1473.5</v>
      </c>
      <c r="CZ43" s="24">
        <f>'Total Weekday Boardings'!CZ43/'Service Days per Month'!CZ$4</f>
        <v>1315.409090909091</v>
      </c>
      <c r="DA43" s="22">
        <f>'Total Weekday Boardings'!DA43/'Service Days per Month'!DA$4</f>
        <v>1292.95</v>
      </c>
      <c r="DB43" s="23">
        <f>'Total Weekday Boardings'!DB43/'Service Days per Month'!DB$4</f>
        <v>1459.2173913043478</v>
      </c>
      <c r="DC43" s="23">
        <f>'Total Weekday Boardings'!DC43/'Service Days per Month'!DC$4</f>
        <v>1547.75</v>
      </c>
      <c r="DD43" s="23">
        <f>'Total Weekday Boardings'!DD43/'Service Days per Month'!DD$4</f>
        <v>1546.090909090909</v>
      </c>
      <c r="DE43" s="23">
        <f>'Total Weekday Boardings'!DE43/'Service Days per Month'!DE$4</f>
        <v>1507</v>
      </c>
      <c r="DF43" s="23">
        <f>'Total Weekday Boardings'!DF43/'Service Days per Month'!DF$4</f>
        <v>1350.65</v>
      </c>
      <c r="DG43" s="23">
        <f>'Total Weekday Boardings'!DG43/'Service Days per Month'!DG$4</f>
        <v>1496.8571428571429</v>
      </c>
      <c r="DH43" s="23">
        <f>'Total Weekday Boardings'!DH43/'Service Days per Month'!DH$4</f>
        <v>1543</v>
      </c>
      <c r="DI43" s="23">
        <f>'Total Weekday Boardings'!DI43/'Service Days per Month'!DI$4</f>
        <v>1465.7727272727273</v>
      </c>
      <c r="DJ43" s="23">
        <f>'Total Weekday Boardings'!DJ43/'Service Days per Month'!DJ$4</f>
        <v>1534.6190476190477</v>
      </c>
      <c r="DK43" s="23">
        <f>'Total Weekday Boardings'!DK43/'Service Days per Month'!DK$4</f>
        <v>1351.8181818181818</v>
      </c>
      <c r="DL43" s="24">
        <f>'Total Weekday Boardings'!DL43/'Service Days per Month'!DL$4</f>
        <v>1245.1428571428571</v>
      </c>
      <c r="DM43" s="22">
        <f>'Total Weekday Boardings'!DM43/'Service Days per Month'!DM$4</f>
        <v>1195.3809523809523</v>
      </c>
      <c r="DN43" s="23">
        <f>'Total Weekday Boardings'!DN43/'Service Days per Month'!DN$4</f>
        <v>1320.0869565217392</v>
      </c>
      <c r="DO43" s="23">
        <f>'Total Weekday Boardings'!DO43/'Service Days per Month'!DO$4</f>
        <v>1430.0526315789473</v>
      </c>
      <c r="DP43" s="23">
        <f>'Total Weekday Boardings'!DP43/'Service Days per Month'!DP$4</f>
        <v>1472.9565217391305</v>
      </c>
      <c r="DQ43" s="23">
        <f>'Total Weekday Boardings'!DQ43/'Service Days per Month'!DQ$4</f>
        <v>1428.952380952381</v>
      </c>
      <c r="DR43" s="23">
        <f>'Total Weekday Boardings'!DR43/'Service Days per Month'!DR$4</f>
        <v>1301.45</v>
      </c>
      <c r="DS43" s="23">
        <f>'Total Weekday Boardings'!DS43/'Service Days per Month'!DS$4</f>
        <v>1383.0454545454545</v>
      </c>
      <c r="DT43" s="23">
        <f>'Total Weekday Boardings'!DT43/'Service Days per Month'!DT$4</f>
        <v>1420.9</v>
      </c>
      <c r="DU43" s="23">
        <f>'Total Weekday Boardings'!DU43/'Service Days per Month'!DU$4</f>
        <v>1388.047619047619</v>
      </c>
      <c r="DV43" s="23">
        <f>'Total Weekday Boardings'!DV43/'Service Days per Month'!DV$4</f>
        <v>1375.3181818181818</v>
      </c>
      <c r="DW43" s="28">
        <f>'Total Weekday Boardings'!DW43/'Service Days per Month'!DW$4</f>
        <v>1252.2272727272727</v>
      </c>
      <c r="DX43" s="136">
        <f>'Total Weekday Boardings'!DX43/'Service Days per Month'!DX$4</f>
        <v>1115.45</v>
      </c>
      <c r="DY43" s="27">
        <f>'Total Weekday Boardings'!DY43/'Service Days per Month'!DY$4</f>
        <v>1063.9545454545455</v>
      </c>
      <c r="DZ43" s="28">
        <f>'Total Weekday Boardings'!DZ43/'Service Days per Month'!DZ$4</f>
        <v>1167.8636363636363</v>
      </c>
      <c r="EA43" s="28">
        <f>'Total Weekday Boardings'!EA43/'Service Days per Month'!EA$4</f>
        <v>1316.65</v>
      </c>
      <c r="EB43" s="28">
        <f>'Total Weekday Boardings'!EB43/'Service Days per Month'!EB$4</f>
        <v>1332.7826086956522</v>
      </c>
      <c r="EC43" s="28">
        <f>'Total Weekday Boardings'!EC43/'Service Days per Month'!EC$4</f>
        <v>1346.25</v>
      </c>
      <c r="ED43" s="28">
        <f>'Total Weekday Boardings'!ED43/'Service Days per Month'!ED$4</f>
        <v>1195.6666666666667</v>
      </c>
      <c r="EE43" s="28">
        <f>'Total Weekday Boardings'!EE43/'Service Days per Month'!EE$4</f>
        <v>1223.2173913043478</v>
      </c>
      <c r="EF43" s="28">
        <f>'Total Weekday Boardings'!EF43/'Service Days per Month'!EF$4</f>
        <v>1399</v>
      </c>
      <c r="EG43" s="28">
        <f>'Total Weekday Boardings'!EG43/'Service Days per Month'!EG$4</f>
        <v>1020.9545454545455</v>
      </c>
      <c r="EH43" s="28">
        <f>'Total Weekday Boardings'!EH43/'Service Days per Month'!EH$4</f>
        <v>706.13636363636363</v>
      </c>
      <c r="EI43" s="28">
        <f>'Total Weekday Boardings'!EI43/'Service Days per Month'!EI$4</f>
        <v>638.35</v>
      </c>
      <c r="EJ43" s="29">
        <f>'Total Weekday Boardings'!EJ43/'Service Days per Month'!EJ$4</f>
        <v>603.18181818181813</v>
      </c>
      <c r="EK43" s="27">
        <f>'Total Weekday Boardings'!EK43/'Service Days per Month'!EK$4</f>
        <v>560.22727272727275</v>
      </c>
      <c r="EL43" s="28">
        <f>'Total Weekday Boardings'!EL43/'Service Days per Month'!EL$4</f>
        <v>581.90476190476193</v>
      </c>
      <c r="EM43" s="28">
        <f>'Total Weekday Boardings'!EM43/'Service Days per Month'!EM$4</f>
        <v>590.42857142857144</v>
      </c>
      <c r="EN43" s="28">
        <f>'Total Weekday Boardings'!EN43/'Service Days per Month'!EN$4</f>
        <v>632.18181818181813</v>
      </c>
      <c r="EO43" s="28">
        <f>'Total Weekday Boardings'!EO43/'Service Days per Month'!EO$4</f>
        <v>631.20000000000005</v>
      </c>
      <c r="EP43" s="28">
        <f>'Total Weekday Boardings'!EP43/'Service Days per Month'!EP$4</f>
        <v>464.36363636363637</v>
      </c>
      <c r="EQ43" s="28">
        <f>'Total Weekday Boardings'!EQ43/'Service Days per Month'!EQ$4</f>
        <v>260.14285714285717</v>
      </c>
      <c r="ER43" s="28">
        <f>'Total Weekday Boardings'!ER43/'Service Days per Month'!ER$4</f>
        <v>527.15</v>
      </c>
      <c r="ES43" s="28">
        <f>'Total Weekday Boardings'!ES43/'Service Days per Month'!ES$4</f>
        <v>547.39130434782612</v>
      </c>
      <c r="ET43" s="28">
        <f>'Total Weekday Boardings'!ET43/'Service Days per Month'!ET$4</f>
        <v>583.5</v>
      </c>
      <c r="EU43" s="28">
        <f>'Total Weekday Boardings'!EU43/'Service Days per Month'!EU$4</f>
        <v>574.85</v>
      </c>
      <c r="EV43" s="29">
        <f>'Total Weekday Boardings'!EV43/'Service Days per Month'!EV$4</f>
        <v>578.36363636363637</v>
      </c>
      <c r="EW43" s="27">
        <f>'Total Weekday Boardings'!EW43/'Service Days per Month'!EW$4</f>
        <v>580.09523809523807</v>
      </c>
      <c r="EX43" s="28">
        <f>'Total Weekday Boardings'!EX43/'Service Days per Month'!EX$4</f>
        <v>617.22727272727275</v>
      </c>
      <c r="EY43" s="28">
        <f>'Total Weekday Boardings'!EY43/'Service Days per Month'!EY$4</f>
        <v>740.23809523809518</v>
      </c>
      <c r="EZ43" s="28">
        <f>'Total Weekday Boardings'!EZ43/'Service Days per Month'!EZ$4</f>
        <v>746.90476190476193</v>
      </c>
      <c r="FA43" s="28">
        <f>'Total Weekday Boardings'!FA43/'Service Days per Month'!FA$4</f>
        <v>781.47619047619048</v>
      </c>
      <c r="FB43" s="28">
        <f>'Total Weekday Boardings'!FB43/'Service Days per Month'!FB$4</f>
        <v>707.0454545454545</v>
      </c>
      <c r="FC43" s="28">
        <f>'Total Weekday Boardings'!FC43/'Service Days per Month'!FC$4</f>
        <v>678.19047619047615</v>
      </c>
      <c r="FD43" s="28">
        <f>'Total Weekday Boardings'!FD43/'Service Days per Month'!FD$4</f>
        <v>873.95</v>
      </c>
      <c r="FE43" s="28">
        <f>'Total Weekday Boardings'!FE43/'Service Days per Month'!FE$4</f>
        <v>887.304347826087</v>
      </c>
      <c r="FF43" s="28">
        <f>'Total Weekday Boardings'!FF43/'Service Days per Month'!FF$4</f>
        <v>847.57142857142856</v>
      </c>
      <c r="FG43" s="28">
        <f>'Total Weekday Boardings'!FG43/'Service Days per Month'!FG$4</f>
        <v>776.23809523809518</v>
      </c>
      <c r="FH43" s="29">
        <f>'Total Weekday Boardings'!FH43/'Service Days per Month'!FH$4</f>
        <v>660.86363636363637</v>
      </c>
      <c r="FI43" s="27">
        <v>706.45</v>
      </c>
      <c r="FJ43" s="28">
        <v>797.56521739130437</v>
      </c>
      <c r="FK43" s="28">
        <v>847.23809523809518</v>
      </c>
      <c r="FL43" s="28">
        <v>837.28571428571433</v>
      </c>
      <c r="FM43" s="28">
        <v>785.28571428571433</v>
      </c>
      <c r="FN43" s="28">
        <v>727.52380952380952</v>
      </c>
      <c r="FO43" s="28">
        <v>853.57142857142856</v>
      </c>
      <c r="FP43" s="28">
        <v>772.75</v>
      </c>
      <c r="FQ43" s="28">
        <v>908.13043478260875</v>
      </c>
      <c r="FR43" s="28">
        <f>'Total Weekday Boardings'!FR43/20</f>
        <v>912.8</v>
      </c>
      <c r="FS43" s="28">
        <f>'Total Weekday Boardings'!FS43/22</f>
        <v>885.31818181818187</v>
      </c>
      <c r="FT43" s="31">
        <f>'Total Weekday Boardings'!FT43/23</f>
        <v>735.43478260869563</v>
      </c>
      <c r="FU43" s="27">
        <f>'Total Weekday Boardings'!FU43/21</f>
        <v>713.19047619047615</v>
      </c>
      <c r="FV43" s="28">
        <f>'Total Weekday Boardings'!FV43/23</f>
        <v>780.95652173913038</v>
      </c>
      <c r="FW43" s="28">
        <f>'Total Weekday Boardings'!FW43/21</f>
        <v>766.71428571428567</v>
      </c>
      <c r="FX43" s="28">
        <f>'Total Weekday Boardings'!FX43/22</f>
        <v>841.68181818181813</v>
      </c>
      <c r="FY43" s="28">
        <f>'Total Weekday Boardings'!FY43/22</f>
        <v>832.40909090909088</v>
      </c>
      <c r="FZ43" s="28">
        <f>'Total Weekday Boardings'!FZ43/21</f>
        <v>783.57142857142856</v>
      </c>
      <c r="GA43" s="28">
        <f>'Total Weekday Boardings'!GA43/23</f>
        <v>857.695652173913</v>
      </c>
      <c r="GB43" s="28">
        <f>'Total Weekday Boardings'!GB43/21</f>
        <v>963.09523809523807</v>
      </c>
      <c r="GC43" s="28">
        <f>'Total Weekday Boardings'!GC43/21</f>
        <v>985.19047619047615</v>
      </c>
      <c r="GD43" s="28">
        <f>'Total Weekday Boardings'!GD43/22</f>
        <v>862.77272727272725</v>
      </c>
      <c r="GE43" s="13">
        <f>'Total Weekday Boardings'!GE43/23</f>
        <v>800.91304347826087</v>
      </c>
      <c r="GF43" s="13">
        <f>'Total Weekday Boardings'!GF43/20</f>
        <v>776.95</v>
      </c>
      <c r="GG43" s="21">
        <f>'Total Weekday Boardings'!GG43/23</f>
        <v>749.86956521739125</v>
      </c>
      <c r="GH43" s="13">
        <f>'Total Weekday Boardings'!GH43/22</f>
        <v>874.22727272727275</v>
      </c>
      <c r="GI43" s="13">
        <f>'Total Weekday Boardings'!GI43/21</f>
        <v>877.38095238095241</v>
      </c>
      <c r="GJ43" s="13">
        <f>'Total Weekday Boardings'!GJ43/23</f>
        <v>877.3478260869565</v>
      </c>
      <c r="GK43" s="13">
        <f>'Total Weekday Boardings'!GK43/21</f>
        <v>840.33333333333337</v>
      </c>
      <c r="GL43" s="13">
        <f>'Total Weekday Boardings'!GL43/22</f>
        <v>745.81818181818187</v>
      </c>
    </row>
    <row r="44" spans="1:194" ht="15" thickBot="1" x14ac:dyDescent="0.35">
      <c r="A44" s="10" t="s">
        <v>26</v>
      </c>
      <c r="B44" s="12"/>
      <c r="C44" s="13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4"/>
      <c r="AG44" s="12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2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4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4"/>
      <c r="BQ44" s="12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4"/>
      <c r="CC44" s="15"/>
      <c r="CD44" s="13">
        <f>'Total Weekday Boardings'!CD44/'Service Days per Month'!CD$8</f>
        <v>790.5</v>
      </c>
      <c r="CE44" s="13">
        <f>'Total Weekday Boardings'!CE44/'Service Days per Month'!CE$4</f>
        <v>926.09523809523807</v>
      </c>
      <c r="CF44" s="13">
        <f>'Total Weekday Boardings'!CF44/'Service Days per Month'!CF$4</f>
        <v>1001.6363636363636</v>
      </c>
      <c r="CG44" s="13">
        <f>'Total Weekday Boardings'!CG44/'Service Days per Month'!CG$4</f>
        <v>1099.1111111111111</v>
      </c>
      <c r="CH44" s="13">
        <f>'Total Weekday Boardings'!CH44/'Service Days per Month'!CH$4</f>
        <v>1081.1904761904761</v>
      </c>
      <c r="CI44" s="13">
        <f>'Total Weekday Boardings'!CI44/'Service Days per Month'!CI$4</f>
        <v>1113.421052631579</v>
      </c>
      <c r="CJ44" s="13">
        <f>'Total Weekday Boardings'!CJ44/'Service Days per Month'!CJ$4</f>
        <v>1151.45</v>
      </c>
      <c r="CK44" s="13">
        <f>'Total Weekday Boardings'!CK44/'Service Days per Month'!CK$4</f>
        <v>1120</v>
      </c>
      <c r="CL44" s="13">
        <f>'Total Weekday Boardings'!CL44/'Service Days per Month'!CL$4</f>
        <v>1152.3809523809523</v>
      </c>
      <c r="CM44" s="13">
        <f>'Total Weekday Boardings'!CM44/'Service Days per Month'!CM$4</f>
        <v>1103.6190476190477</v>
      </c>
      <c r="CN44" s="16">
        <f>'Total Weekday Boardings'!CN44/'Service Days per Month'!CN$4</f>
        <v>1084.409090909091</v>
      </c>
      <c r="CO44" s="12">
        <f>'Total Weekday Boardings'!CO44/'Service Days per Month'!CO$4</f>
        <v>1102.3</v>
      </c>
      <c r="CP44" s="13">
        <f>'Total Weekday Boardings'!CP44/'Service Days per Month'!CP$4</f>
        <v>1139.3478260869565</v>
      </c>
      <c r="CQ44" s="13">
        <f>'Total Weekday Boardings'!CQ44/'Service Days per Month'!CQ$4</f>
        <v>1136.2380952380952</v>
      </c>
      <c r="CR44" s="13">
        <f>'Total Weekday Boardings'!CR44/'Service Days per Month'!CR$4</f>
        <v>1199.2380952380952</v>
      </c>
      <c r="CS44" s="13">
        <f>'Total Weekday Boardings'!CS44/'Service Days per Month'!CS$4</f>
        <v>1155.8421052631579</v>
      </c>
      <c r="CT44" s="13">
        <f>'Total Weekday Boardings'!CT44/'Service Days per Month'!CT$4</f>
        <v>1141.7619047619048</v>
      </c>
      <c r="CU44" s="13">
        <f>'Total Weekday Boardings'!CU44/'Service Days per Month'!CU$4</f>
        <v>1203.4000000000001</v>
      </c>
      <c r="CV44" s="13">
        <f>'Total Weekday Boardings'!CV44/'Service Days per Month'!CV$4</f>
        <v>1196.2105263157894</v>
      </c>
      <c r="CW44" s="13">
        <f>'Total Weekday Boardings'!CW44/'Service Days per Month'!CW$4</f>
        <v>1158.7391304347825</v>
      </c>
      <c r="CX44" s="13">
        <f>'Total Weekday Boardings'!CX44/'Service Days per Month'!CX$4</f>
        <v>1193.3499999999999</v>
      </c>
      <c r="CY44" s="13">
        <f>'Total Weekday Boardings'!CY44/'Service Days per Month'!CY$4</f>
        <v>1169.7272727272727</v>
      </c>
      <c r="CZ44" s="14">
        <f>'Total Weekday Boardings'!CZ44/'Service Days per Month'!CZ$4</f>
        <v>1129.2727272727273</v>
      </c>
      <c r="DA44" s="12">
        <f>'Total Weekday Boardings'!DA44/'Service Days per Month'!DA$4</f>
        <v>1161.6500000000001</v>
      </c>
      <c r="DB44" s="13">
        <f>'Total Weekday Boardings'!DB44/'Service Days per Month'!DB$4</f>
        <v>1173.9130434782608</v>
      </c>
      <c r="DC44" s="13">
        <f>'Total Weekday Boardings'!DC44/'Service Days per Month'!DC$4</f>
        <v>1174.8499999999999</v>
      </c>
      <c r="DD44" s="13">
        <f>'Total Weekday Boardings'!DD44/'Service Days per Month'!DD$4</f>
        <v>1188.409090909091</v>
      </c>
      <c r="DE44" s="13">
        <f>'Total Weekday Boardings'!DE44/'Service Days per Month'!DE$4</f>
        <v>1175.3684210526317</v>
      </c>
      <c r="DF44" s="13">
        <f>'Total Weekday Boardings'!DF44/'Service Days per Month'!DF$4</f>
        <v>1162.5</v>
      </c>
      <c r="DG44" s="13">
        <f>'Total Weekday Boardings'!DG44/'Service Days per Month'!DG$4</f>
        <v>1185.0952380952381</v>
      </c>
      <c r="DH44" s="13">
        <f>'Total Weekday Boardings'!DH44/'Service Days per Month'!DH$4</f>
        <v>1217.7368421052631</v>
      </c>
      <c r="DI44" s="13">
        <f>'Total Weekday Boardings'!DI44/'Service Days per Month'!DI$4</f>
        <v>1195.8181818181818</v>
      </c>
      <c r="DJ44" s="13">
        <f>'Total Weekday Boardings'!DJ44/'Service Days per Month'!DJ$4</f>
        <v>1181.2857142857142</v>
      </c>
      <c r="DK44" s="13">
        <f>'Total Weekday Boardings'!DK44/'Service Days per Month'!DK$4</f>
        <v>1124.7727272727273</v>
      </c>
      <c r="DL44" s="14">
        <f>'Total Weekday Boardings'!DL44/'Service Days per Month'!DL$4</f>
        <v>1142.8095238095239</v>
      </c>
      <c r="DM44" s="12">
        <f>'Total Weekday Boardings'!DM44/'Service Days per Month'!DM$4</f>
        <v>1111.8095238095239</v>
      </c>
      <c r="DN44" s="13">
        <f>'Total Weekday Boardings'!DN44/'Service Days per Month'!DN$4</f>
        <v>1187.8695652173913</v>
      </c>
      <c r="DO44" s="13">
        <f>'Total Weekday Boardings'!DO44/'Service Days per Month'!DO$4</f>
        <v>1190.6842105263158</v>
      </c>
      <c r="DP44" s="13">
        <f>'Total Weekday Boardings'!DP44/'Service Days per Month'!DP$4</f>
        <v>1215.2608695652175</v>
      </c>
      <c r="DQ44" s="13">
        <f>'Total Weekday Boardings'!DQ44/'Service Days per Month'!DQ$4</f>
        <v>1218.9047619047619</v>
      </c>
      <c r="DR44" s="13">
        <f>'Total Weekday Boardings'!DR44/'Service Days per Month'!DR$4</f>
        <v>1178</v>
      </c>
      <c r="DS44" s="13">
        <f>'Total Weekday Boardings'!DS44/'Service Days per Month'!DS$4</f>
        <v>1203.2272727272727</v>
      </c>
      <c r="DT44" s="13">
        <f>'Total Weekday Boardings'!DT44/'Service Days per Month'!DT$4</f>
        <v>1167.5999999999999</v>
      </c>
      <c r="DU44" s="13">
        <f>'Total Weekday Boardings'!DU44/'Service Days per Month'!DU$4</f>
        <v>1144.3333333333333</v>
      </c>
      <c r="DV44" s="13">
        <f>'Total Weekday Boardings'!DV44/'Service Days per Month'!DV$4</f>
        <v>1146.409090909091</v>
      </c>
      <c r="DW44" s="13">
        <f>'Total Weekday Boardings'!DW44/'Service Days per Month'!DW$4</f>
        <v>1139.5</v>
      </c>
      <c r="DX44" s="14">
        <f>'Total Weekday Boardings'!DX44/'Service Days per Month'!DX$4</f>
        <v>1088.7</v>
      </c>
      <c r="DY44" s="32">
        <f>'Total Weekday Boardings'!DY44/'Service Days per Month'!DY$4</f>
        <v>1072.409090909091</v>
      </c>
      <c r="DZ44" s="33">
        <f>'Total Weekday Boardings'!DZ44/'Service Days per Month'!DZ$4</f>
        <v>1104.1363636363637</v>
      </c>
      <c r="EA44" s="33">
        <f>'Total Weekday Boardings'!EA44/'Service Days per Month'!EA$4</f>
        <v>1180.9000000000001</v>
      </c>
      <c r="EB44" s="33">
        <f>'Total Weekday Boardings'!EB44/'Service Days per Month'!EB$4</f>
        <v>1223.7826086956522</v>
      </c>
      <c r="EC44" s="33">
        <f>'Total Weekday Boardings'!EC44/'Service Days per Month'!EC$4</f>
        <v>1227.05</v>
      </c>
      <c r="ED44" s="33">
        <f>'Total Weekday Boardings'!ED44/'Service Days per Month'!ED$4</f>
        <v>1126.0952380952381</v>
      </c>
      <c r="EE44" s="33">
        <f>'Total Weekday Boardings'!EE44/'Service Days per Month'!EE$4</f>
        <v>1150.1739130434783</v>
      </c>
      <c r="EF44" s="33">
        <f>'Total Weekday Boardings'!EF44/'Service Days per Month'!EF$4</f>
        <v>1241.55</v>
      </c>
      <c r="EG44" s="33">
        <f>'Total Weekday Boardings'!EG44/'Service Days per Month'!EG$4</f>
        <v>1073.1363636363637</v>
      </c>
      <c r="EH44" s="33">
        <f>'Total Weekday Boardings'!EH44/'Service Days per Month'!EH$4</f>
        <v>763.63636363636363</v>
      </c>
      <c r="EI44" s="33">
        <f>'Total Weekday Boardings'!EI44/'Service Days per Month'!EI$4</f>
        <v>730.05</v>
      </c>
      <c r="EJ44" s="34">
        <f>'Total Weekday Boardings'!EJ44/'Service Days per Month'!EJ$4</f>
        <v>702.81818181818187</v>
      </c>
      <c r="EK44" s="32">
        <f>'Total Weekday Boardings'!EK44/'Service Days per Month'!EK$4</f>
        <v>664.86363636363637</v>
      </c>
      <c r="EL44" s="33">
        <f>'Total Weekday Boardings'!EL44/'Service Days per Month'!EL$4</f>
        <v>663.04761904761904</v>
      </c>
      <c r="EM44" s="33">
        <f>'Total Weekday Boardings'!EM44/'Service Days per Month'!EM$4</f>
        <v>641.47619047619048</v>
      </c>
      <c r="EN44" s="33">
        <f>'Total Weekday Boardings'!EN44/'Service Days per Month'!EN$4</f>
        <v>682</v>
      </c>
      <c r="EO44" s="33">
        <f>'Total Weekday Boardings'!EO44/'Service Days per Month'!EO$4</f>
        <v>625.95000000000005</v>
      </c>
      <c r="EP44" s="33">
        <f>'Total Weekday Boardings'!EP44/'Service Days per Month'!EP$4</f>
        <v>476.09090909090907</v>
      </c>
      <c r="EQ44" s="33">
        <f>'Total Weekday Boardings'!EQ44/'Service Days per Month'!EQ$4</f>
        <v>266.09523809523807</v>
      </c>
      <c r="ER44" s="33">
        <f>'Total Weekday Boardings'!ER44/'Service Days per Month'!ER$4</f>
        <v>528.54999999999995</v>
      </c>
      <c r="ES44" s="33">
        <f>'Total Weekday Boardings'!ES44/'Service Days per Month'!ES$4</f>
        <v>552.91304347826087</v>
      </c>
      <c r="ET44" s="33">
        <f>'Total Weekday Boardings'!ET44/'Service Days per Month'!ET$4</f>
        <v>597</v>
      </c>
      <c r="EU44" s="33">
        <f>'Total Weekday Boardings'!EU44/'Service Days per Month'!EU$4</f>
        <v>563.20000000000005</v>
      </c>
      <c r="EV44" s="34">
        <f>'Total Weekday Boardings'!EV44/'Service Days per Month'!EV$4</f>
        <v>580.59090909090912</v>
      </c>
      <c r="EW44" s="32">
        <f>'Total Weekday Boardings'!EW44/'Service Days per Month'!EW$4</f>
        <v>576.47619047619048</v>
      </c>
      <c r="EX44" s="33">
        <f>'Total Weekday Boardings'!EX44/'Service Days per Month'!EX$4</f>
        <v>587.0454545454545</v>
      </c>
      <c r="EY44" s="33">
        <f>'Total Weekday Boardings'!EY44/'Service Days per Month'!EY$4</f>
        <v>666.90476190476193</v>
      </c>
      <c r="EZ44" s="33">
        <f>'Total Weekday Boardings'!EZ44/'Service Days per Month'!EZ$4</f>
        <v>704.33333333333337</v>
      </c>
      <c r="FA44" s="33">
        <f>'Total Weekday Boardings'!FA44/'Service Days per Month'!FA$4</f>
        <v>711</v>
      </c>
      <c r="FB44" s="33">
        <f>'Total Weekday Boardings'!FB44/'Service Days per Month'!FB$4</f>
        <v>660.9545454545455</v>
      </c>
      <c r="FC44" s="33">
        <f>'Total Weekday Boardings'!FC44/'Service Days per Month'!FC$4</f>
        <v>640.57142857142856</v>
      </c>
      <c r="FD44" s="33">
        <f>'Total Weekday Boardings'!FD44/'Service Days per Month'!FD$4</f>
        <v>804.2</v>
      </c>
      <c r="FE44" s="33">
        <f>'Total Weekday Boardings'!FE44/'Service Days per Month'!FE$4</f>
        <v>861.39130434782612</v>
      </c>
      <c r="FF44" s="33">
        <f>'Total Weekday Boardings'!FF44/'Service Days per Month'!FF$4</f>
        <v>867.47619047619048</v>
      </c>
      <c r="FG44" s="33">
        <f>'Total Weekday Boardings'!FG44/'Service Days per Month'!FG$4</f>
        <v>836.19047619047615</v>
      </c>
      <c r="FH44" s="34">
        <f>'Total Weekday Boardings'!FH44/'Service Days per Month'!FH$4</f>
        <v>764.68181818181813</v>
      </c>
      <c r="FI44" s="32">
        <v>808.65</v>
      </c>
      <c r="FJ44" s="33">
        <v>830.73913043478262</v>
      </c>
      <c r="FK44" s="33">
        <v>830.04761904761904</v>
      </c>
      <c r="FL44" s="33">
        <v>803.85714285714289</v>
      </c>
      <c r="FM44" s="33">
        <v>774.04761904761904</v>
      </c>
      <c r="FN44" s="33">
        <v>712.42857142857144</v>
      </c>
      <c r="FO44" s="33">
        <v>767.57142857142856</v>
      </c>
      <c r="FP44" s="33">
        <v>685.45</v>
      </c>
      <c r="FQ44" s="33">
        <v>774.17391304347825</v>
      </c>
      <c r="FR44" s="33">
        <f>'Total Weekday Boardings'!FR44/20</f>
        <v>806.8</v>
      </c>
      <c r="FS44" s="33">
        <f>'Total Weekday Boardings'!FS44/22</f>
        <v>784.68181818181813</v>
      </c>
      <c r="FT44" s="36">
        <f>'Total Weekday Boardings'!FT44/23</f>
        <v>665.21739130434787</v>
      </c>
      <c r="FU44" s="32">
        <f>'Total Weekday Boardings'!FU44/21</f>
        <v>640.52380952380952</v>
      </c>
      <c r="FV44" s="33">
        <f>'Total Weekday Boardings'!FV44/23</f>
        <v>670.3478260869565</v>
      </c>
      <c r="FW44" s="33">
        <f>'Total Weekday Boardings'!FW44/21</f>
        <v>652.57142857142856</v>
      </c>
      <c r="FX44" s="33">
        <f>'Total Weekday Boardings'!FX44/22</f>
        <v>738.86363636363637</v>
      </c>
      <c r="FY44" s="33">
        <f>'Total Weekday Boardings'!FY44/22</f>
        <v>755.4545454545455</v>
      </c>
      <c r="FZ44" s="33">
        <f>'Total Weekday Boardings'!FZ44/21</f>
        <v>725.09523809523807</v>
      </c>
      <c r="GA44" s="33">
        <f>'Total Weekday Boardings'!GA44/23</f>
        <v>790.6521739130435</v>
      </c>
      <c r="GB44" s="33">
        <f>'Total Weekday Boardings'!GB44/21</f>
        <v>861.33333333333337</v>
      </c>
      <c r="GC44" s="33">
        <f>'Total Weekday Boardings'!GC44/21</f>
        <v>833.57142857142856</v>
      </c>
      <c r="GD44" s="33">
        <f>'Total Weekday Boardings'!GD44/22</f>
        <v>759.18181818181813</v>
      </c>
      <c r="GE44" s="13">
        <f>'Total Weekday Boardings'!GE44/23</f>
        <v>707.52173913043475</v>
      </c>
      <c r="GF44" s="13">
        <f>'Total Weekday Boardings'!GF44/20</f>
        <v>730.45</v>
      </c>
      <c r="GG44" s="21">
        <f>'Total Weekday Boardings'!GG44/23</f>
        <v>708.73913043478262</v>
      </c>
      <c r="GH44" s="13">
        <f>'Total Weekday Boardings'!GH44/22</f>
        <v>733.13636363636363</v>
      </c>
      <c r="GI44" s="13">
        <f>'Total Weekday Boardings'!GI44/21</f>
        <v>753.09523809523807</v>
      </c>
      <c r="GJ44" s="13">
        <f>'Total Weekday Boardings'!GJ44/23</f>
        <v>779.04347826086962</v>
      </c>
      <c r="GK44" s="13">
        <f>'Total Weekday Boardings'!GK44/21</f>
        <v>704.90476190476193</v>
      </c>
      <c r="GL44" s="13">
        <f>'Total Weekday Boardings'!GL44/22</f>
        <v>632.63636363636363</v>
      </c>
    </row>
    <row r="45" spans="1:194" ht="15" thickBot="1" x14ac:dyDescent="0.35">
      <c r="A45" s="4" t="s">
        <v>27</v>
      </c>
      <c r="B45" s="17"/>
      <c r="C45" s="18"/>
      <c r="D45" s="18"/>
      <c r="E45" s="18"/>
      <c r="F45" s="18"/>
      <c r="G45" s="18"/>
      <c r="H45" s="19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9"/>
      <c r="U45" s="17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9"/>
      <c r="AG45" s="17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9"/>
      <c r="AS45" s="17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9"/>
      <c r="BE45" s="17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9"/>
      <c r="BQ45" s="17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9"/>
      <c r="CC45" s="20"/>
      <c r="CD45" s="18">
        <f>'Total Weekday Boardings'!CD45/'Service Days per Month'!CD$8</f>
        <v>810.16666666666663</v>
      </c>
      <c r="CE45" s="18">
        <f>'Total Weekday Boardings'!CE45/'Service Days per Month'!CE$4</f>
        <v>1012.952380952381</v>
      </c>
      <c r="CF45" s="18">
        <f>'Total Weekday Boardings'!CF45/'Service Days per Month'!CF$4</f>
        <v>1125.2272727272727</v>
      </c>
      <c r="CG45" s="18">
        <f>'Total Weekday Boardings'!CG45/'Service Days per Month'!CG$4</f>
        <v>1160.7777777777778</v>
      </c>
      <c r="CH45" s="18">
        <f>'Total Weekday Boardings'!CH45/'Service Days per Month'!CH$4</f>
        <v>1156.2380952380952</v>
      </c>
      <c r="CI45" s="18">
        <f>'Total Weekday Boardings'!CI45/'Service Days per Month'!CI$4</f>
        <v>1187.6315789473683</v>
      </c>
      <c r="CJ45" s="18">
        <f>'Total Weekday Boardings'!CJ45/'Service Days per Month'!CJ$4</f>
        <v>1190.05</v>
      </c>
      <c r="CK45" s="18">
        <f>'Total Weekday Boardings'!CK45/'Service Days per Month'!CK$4</f>
        <v>1166.7826086956522</v>
      </c>
      <c r="CL45" s="18">
        <f>'Total Weekday Boardings'!CL45/'Service Days per Month'!CL$4</f>
        <v>1131.5238095238096</v>
      </c>
      <c r="CM45" s="18">
        <f>'Total Weekday Boardings'!CM45/'Service Days per Month'!CM$4</f>
        <v>1115.5238095238096</v>
      </c>
      <c r="CN45" s="21">
        <f>'Total Weekday Boardings'!CN45/'Service Days per Month'!CN$4</f>
        <v>1072.090909090909</v>
      </c>
      <c r="CO45" s="17">
        <f>'Total Weekday Boardings'!CO45/'Service Days per Month'!CO$4</f>
        <v>1094.9000000000001</v>
      </c>
      <c r="CP45" s="18">
        <f>'Total Weekday Boardings'!CP45/'Service Days per Month'!CP$4</f>
        <v>1134.1304347826087</v>
      </c>
      <c r="CQ45" s="18">
        <f>'Total Weekday Boardings'!CQ45/'Service Days per Month'!CQ$4</f>
        <v>1153.5714285714287</v>
      </c>
      <c r="CR45" s="18">
        <f>'Total Weekday Boardings'!CR45/'Service Days per Month'!CR$4</f>
        <v>1211.3333333333333</v>
      </c>
      <c r="CS45" s="18">
        <f>'Total Weekday Boardings'!CS45/'Service Days per Month'!CS$4</f>
        <v>1144.2631578947369</v>
      </c>
      <c r="CT45" s="18">
        <f>'Total Weekday Boardings'!CT45/'Service Days per Month'!CT$4</f>
        <v>1133.8571428571429</v>
      </c>
      <c r="CU45" s="18">
        <f>'Total Weekday Boardings'!CU45/'Service Days per Month'!CU$4</f>
        <v>1251.5</v>
      </c>
      <c r="CV45" s="18">
        <f>'Total Weekday Boardings'!CV45/'Service Days per Month'!CV$4</f>
        <v>1289.6842105263158</v>
      </c>
      <c r="CW45" s="18">
        <f>'Total Weekday Boardings'!CW45/'Service Days per Month'!CW$4</f>
        <v>1248.695652173913</v>
      </c>
      <c r="CX45" s="18">
        <f>'Total Weekday Boardings'!CX45/'Service Days per Month'!CX$4</f>
        <v>1293.45</v>
      </c>
      <c r="CY45" s="18">
        <f>'Total Weekday Boardings'!CY45/'Service Days per Month'!CY$4</f>
        <v>1234.1363636363637</v>
      </c>
      <c r="CZ45" s="19">
        <f>'Total Weekday Boardings'!CZ45/'Service Days per Month'!CZ$4</f>
        <v>1166.7272727272727</v>
      </c>
      <c r="DA45" s="17">
        <f>'Total Weekday Boardings'!DA45/'Service Days per Month'!DA$4</f>
        <v>1162.05</v>
      </c>
      <c r="DB45" s="18">
        <f>'Total Weekday Boardings'!DB45/'Service Days per Month'!DB$4</f>
        <v>1194.8695652173913</v>
      </c>
      <c r="DC45" s="18">
        <f>'Total Weekday Boardings'!DC45/'Service Days per Month'!DC$4</f>
        <v>1187.3499999999999</v>
      </c>
      <c r="DD45" s="18">
        <f>'Total Weekday Boardings'!DD45/'Service Days per Month'!DD$4</f>
        <v>1242.8181818181818</v>
      </c>
      <c r="DE45" s="18">
        <f>'Total Weekday Boardings'!DE45/'Service Days per Month'!DE$4</f>
        <v>1190.5263157894738</v>
      </c>
      <c r="DF45" s="18">
        <f>'Total Weekday Boardings'!DF45/'Service Days per Month'!DF$4</f>
        <v>1212.5</v>
      </c>
      <c r="DG45" s="18">
        <f>'Total Weekday Boardings'!DG45/'Service Days per Month'!DG$4</f>
        <v>1243.4761904761904</v>
      </c>
      <c r="DH45" s="18">
        <f>'Total Weekday Boardings'!DH45/'Service Days per Month'!DH$4</f>
        <v>1259.7894736842106</v>
      </c>
      <c r="DI45" s="18">
        <f>'Total Weekday Boardings'!DI45/'Service Days per Month'!DI$4</f>
        <v>1218.8636363636363</v>
      </c>
      <c r="DJ45" s="18">
        <f>'Total Weekday Boardings'!DJ45/'Service Days per Month'!DJ$4</f>
        <v>1194.952380952381</v>
      </c>
      <c r="DK45" s="18">
        <f>'Total Weekday Boardings'!DK45/'Service Days per Month'!DK$4</f>
        <v>1180.5</v>
      </c>
      <c r="DL45" s="19">
        <f>'Total Weekday Boardings'!DL45/'Service Days per Month'!DL$4</f>
        <v>1161.2857142857142</v>
      </c>
      <c r="DM45" s="17">
        <f>'Total Weekday Boardings'!DM45/'Service Days per Month'!DM$4</f>
        <v>1136.7619047619048</v>
      </c>
      <c r="DN45" s="18">
        <f>'Total Weekday Boardings'!DN45/'Service Days per Month'!DN$4</f>
        <v>1208.1304347826087</v>
      </c>
      <c r="DO45" s="18">
        <f>'Total Weekday Boardings'!DO45/'Service Days per Month'!DO$4</f>
        <v>1215.4736842105262</v>
      </c>
      <c r="DP45" s="18">
        <f>'Total Weekday Boardings'!DP45/'Service Days per Month'!DP$4</f>
        <v>1266.2608695652175</v>
      </c>
      <c r="DQ45" s="18">
        <f>'Total Weekday Boardings'!DQ45/'Service Days per Month'!DQ$4</f>
        <v>1249.5238095238096</v>
      </c>
      <c r="DR45" s="18">
        <f>'Total Weekday Boardings'!DR45/'Service Days per Month'!DR$4</f>
        <v>1207.9000000000001</v>
      </c>
      <c r="DS45" s="18">
        <f>'Total Weekday Boardings'!DS45/'Service Days per Month'!DS$4</f>
        <v>1236.1363636363637</v>
      </c>
      <c r="DT45" s="18">
        <f>'Total Weekday Boardings'!DT45/'Service Days per Month'!DT$4</f>
        <v>1211.45</v>
      </c>
      <c r="DU45" s="18">
        <f>'Total Weekday Boardings'!DU45/'Service Days per Month'!DU$4</f>
        <v>1162.8095238095239</v>
      </c>
      <c r="DV45" s="18">
        <f>'Total Weekday Boardings'!DV45/'Service Days per Month'!DV$4</f>
        <v>1126.9545454545455</v>
      </c>
      <c r="DW45" s="18">
        <f>'Total Weekday Boardings'!DW45/'Service Days per Month'!DW$4</f>
        <v>1184.0454545454545</v>
      </c>
      <c r="DX45" s="19">
        <f>'Total Weekday Boardings'!DX45/'Service Days per Month'!DX$4</f>
        <v>1161.4000000000001</v>
      </c>
      <c r="DY45" s="17">
        <f>'Total Weekday Boardings'!DY45/'Service Days per Month'!DY$4</f>
        <v>1140.409090909091</v>
      </c>
      <c r="DZ45" s="18">
        <f>'Total Weekday Boardings'!DZ45/'Service Days per Month'!DZ$4</f>
        <v>1158.1818181818182</v>
      </c>
      <c r="EA45" s="18">
        <f>'Total Weekday Boardings'!EA45/'Service Days per Month'!EA$4</f>
        <v>1240.4000000000001</v>
      </c>
      <c r="EB45" s="18">
        <f>'Total Weekday Boardings'!EB45/'Service Days per Month'!EB$4</f>
        <v>1303.8695652173913</v>
      </c>
      <c r="EC45" s="18">
        <f>'Total Weekday Boardings'!EC45/'Service Days per Month'!EC$4</f>
        <v>1276.6500000000001</v>
      </c>
      <c r="ED45" s="18">
        <f>'Total Weekday Boardings'!ED45/'Service Days per Month'!ED$4</f>
        <v>1175.6190476190477</v>
      </c>
      <c r="EE45" s="18">
        <f>'Total Weekday Boardings'!EE45/'Service Days per Month'!EE$4</f>
        <v>1156.8695652173913</v>
      </c>
      <c r="EF45" s="18">
        <f>'Total Weekday Boardings'!EF45/'Service Days per Month'!EF$4</f>
        <v>1252.95</v>
      </c>
      <c r="EG45" s="18">
        <f>'Total Weekday Boardings'!EG45/'Service Days per Month'!EG$4</f>
        <v>1033.0454545454545</v>
      </c>
      <c r="EH45" s="18">
        <f>'Total Weekday Boardings'!EH45/'Service Days per Month'!EH$4</f>
        <v>712.90909090909088</v>
      </c>
      <c r="EI45" s="18">
        <f>'Total Weekday Boardings'!EI45/'Service Days per Month'!EI$4</f>
        <v>713.95</v>
      </c>
      <c r="EJ45" s="19">
        <f>'Total Weekday Boardings'!EJ45/'Service Days per Month'!EJ$4</f>
        <v>665.5</v>
      </c>
      <c r="EK45" s="17">
        <f>'Total Weekday Boardings'!EK45/'Service Days per Month'!EK$4</f>
        <v>595</v>
      </c>
      <c r="EL45" s="18">
        <f>'Total Weekday Boardings'!EL45/'Service Days per Month'!EL$4</f>
        <v>573.42857142857144</v>
      </c>
      <c r="EM45" s="18">
        <f>'Total Weekday Boardings'!EM45/'Service Days per Month'!EM$4</f>
        <v>599.76190476190482</v>
      </c>
      <c r="EN45" s="18">
        <f>'Total Weekday Boardings'!EN45/'Service Days per Month'!EN$4</f>
        <v>596.13636363636363</v>
      </c>
      <c r="EO45" s="18">
        <f>'Total Weekday Boardings'!EO45/'Service Days per Month'!EO$4</f>
        <v>596.95000000000005</v>
      </c>
      <c r="EP45" s="18">
        <f>'Total Weekday Boardings'!EP45/'Service Days per Month'!EP$4</f>
        <v>428.45454545454544</v>
      </c>
      <c r="EQ45" s="18">
        <f>'Total Weekday Boardings'!EQ45/'Service Days per Month'!EQ$4</f>
        <v>254.23809523809524</v>
      </c>
      <c r="ER45" s="18">
        <f>'Total Weekday Boardings'!ER45/'Service Days per Month'!ER$4</f>
        <v>485.5</v>
      </c>
      <c r="ES45" s="18">
        <f>'Total Weekday Boardings'!ES45/'Service Days per Month'!ES$4</f>
        <v>496.95652173913044</v>
      </c>
      <c r="ET45" s="18">
        <f>'Total Weekday Boardings'!ET45/'Service Days per Month'!ET$4</f>
        <v>554.40909090909088</v>
      </c>
      <c r="EU45" s="18">
        <f>'Total Weekday Boardings'!EU45/'Service Days per Month'!EU$4</f>
        <v>541.5</v>
      </c>
      <c r="EV45" s="19">
        <f>'Total Weekday Boardings'!EV45/'Service Days per Month'!EV$4</f>
        <v>558.40909090909088</v>
      </c>
      <c r="EW45" s="17">
        <f>'Total Weekday Boardings'!EW45/'Service Days per Month'!EW$4</f>
        <v>548.38095238095241</v>
      </c>
      <c r="EX45" s="18">
        <f>'Total Weekday Boardings'!EX45/'Service Days per Month'!EX$4</f>
        <v>562.13636363636363</v>
      </c>
      <c r="EY45" s="18">
        <f>'Total Weekday Boardings'!EY45/'Service Days per Month'!EY$4</f>
        <v>614.33333333333337</v>
      </c>
      <c r="EZ45" s="18">
        <f>'Total Weekday Boardings'!EZ45/'Service Days per Month'!EZ$4</f>
        <v>623.52380952380952</v>
      </c>
      <c r="FA45" s="18">
        <f>'Total Weekday Boardings'!FA45/'Service Days per Month'!FA$4</f>
        <v>650.33333333333337</v>
      </c>
      <c r="FB45" s="18">
        <f>'Total Weekday Boardings'!FB45/'Service Days per Month'!FB$4</f>
        <v>590</v>
      </c>
      <c r="FC45" s="18">
        <f>'Total Weekday Boardings'!FC45/'Service Days per Month'!FC$4</f>
        <v>575.47619047619048</v>
      </c>
      <c r="FD45" s="18">
        <f>'Total Weekday Boardings'!FD45/'Service Days per Month'!FD$4</f>
        <v>730</v>
      </c>
      <c r="FE45" s="18">
        <f>'Total Weekday Boardings'!FE45/'Service Days per Month'!FE$4</f>
        <v>760.47826086956525</v>
      </c>
      <c r="FF45" s="18">
        <f>'Total Weekday Boardings'!FF45/'Service Days per Month'!FF$4</f>
        <v>760.38095238095241</v>
      </c>
      <c r="FG45" s="18">
        <f>'Total Weekday Boardings'!FG45/'Service Days per Month'!FG$4</f>
        <v>734.95238095238096</v>
      </c>
      <c r="FH45" s="19">
        <f>'Total Weekday Boardings'!FH45/'Service Days per Month'!FH$4</f>
        <v>633.22727272727275</v>
      </c>
      <c r="FI45" s="17">
        <v>623.25</v>
      </c>
      <c r="FJ45" s="18">
        <v>657.56521739130437</v>
      </c>
      <c r="FK45" s="18">
        <v>702.61904761904759</v>
      </c>
      <c r="FL45" s="18">
        <v>708.80952380952385</v>
      </c>
      <c r="FM45" s="18">
        <v>652.33333333333337</v>
      </c>
      <c r="FN45" s="18">
        <v>647.14285714285711</v>
      </c>
      <c r="FO45" s="18">
        <v>672.33333333333337</v>
      </c>
      <c r="FP45" s="18">
        <v>621.95000000000005</v>
      </c>
      <c r="FQ45" s="18">
        <v>721.47826086956525</v>
      </c>
      <c r="FR45" s="18">
        <f>'Total Weekday Boardings'!FR45/20</f>
        <v>750.15</v>
      </c>
      <c r="FS45" s="18">
        <f>'Total Weekday Boardings'!FS45/22</f>
        <v>744.77272727272725</v>
      </c>
      <c r="FT45" s="21">
        <f>'Total Weekday Boardings'!FT45/23</f>
        <v>654.13043478260875</v>
      </c>
      <c r="FU45" s="17">
        <f>'Total Weekday Boardings'!FU45/21</f>
        <v>603.47619047619048</v>
      </c>
      <c r="FV45" s="18">
        <f>'Total Weekday Boardings'!FV45/23</f>
        <v>624.3478260869565</v>
      </c>
      <c r="FW45" s="18">
        <f>'Total Weekday Boardings'!FW45/21</f>
        <v>613.04761904761904</v>
      </c>
      <c r="FX45" s="18">
        <f>'Total Weekday Boardings'!FX45/22</f>
        <v>689.31818181818187</v>
      </c>
      <c r="FY45" s="18">
        <f>'Total Weekday Boardings'!FY45/22</f>
        <v>671.77272727272725</v>
      </c>
      <c r="FZ45" s="18">
        <f>'Total Weekday Boardings'!FZ45/21</f>
        <v>655.33333333333337</v>
      </c>
      <c r="GA45" s="18">
        <f>'Total Weekday Boardings'!GA45/23</f>
        <v>695.73913043478262</v>
      </c>
      <c r="GB45" s="18">
        <f>'Total Weekday Boardings'!GB45/21</f>
        <v>783.33333333333337</v>
      </c>
      <c r="GC45" s="18">
        <f>'Total Weekday Boardings'!GC45/21</f>
        <v>742.52380952380952</v>
      </c>
      <c r="GD45" s="18">
        <f>'Total Weekday Boardings'!GD45/22</f>
        <v>676.5454545454545</v>
      </c>
      <c r="GE45" s="13">
        <f>'Total Weekday Boardings'!GE45/23</f>
        <v>638.08695652173913</v>
      </c>
      <c r="GF45" s="13">
        <f>'Total Weekday Boardings'!GF45/20</f>
        <v>655.29999999999995</v>
      </c>
      <c r="GG45" s="21">
        <f>'Total Weekday Boardings'!GG45/23</f>
        <v>621.39130434782612</v>
      </c>
      <c r="GH45" s="13">
        <f>'Total Weekday Boardings'!GH45/22</f>
        <v>637.77272727272725</v>
      </c>
      <c r="GI45" s="13">
        <f>'Total Weekday Boardings'!GI45/21</f>
        <v>653.66666666666663</v>
      </c>
      <c r="GJ45" s="13">
        <f>'Total Weekday Boardings'!GJ45/23</f>
        <v>661.6521739130435</v>
      </c>
      <c r="GK45" s="13">
        <f>'Total Weekday Boardings'!GK45/21</f>
        <v>637.23809523809518</v>
      </c>
      <c r="GL45" s="13">
        <f>'Total Weekday Boardings'!GL45/22</f>
        <v>594.86363636363637</v>
      </c>
    </row>
    <row r="46" spans="1:194" ht="15" thickBot="1" x14ac:dyDescent="0.35">
      <c r="A46" s="4" t="s">
        <v>28</v>
      </c>
      <c r="B46" s="17"/>
      <c r="C46" s="18"/>
      <c r="D46" s="18"/>
      <c r="E46" s="18"/>
      <c r="F46" s="18"/>
      <c r="G46" s="18"/>
      <c r="H46" s="19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  <c r="U46" s="17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9"/>
      <c r="AG46" s="17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9"/>
      <c r="AS46" s="17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9"/>
      <c r="BE46" s="17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9"/>
      <c r="BQ46" s="17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9"/>
      <c r="CC46" s="20"/>
      <c r="CD46" s="18">
        <f>'Total Weekday Boardings'!CD46/'Service Days per Month'!CD$8</f>
        <v>361.5</v>
      </c>
      <c r="CE46" s="18">
        <f>'Total Weekday Boardings'!CE46/'Service Days per Month'!CE$4</f>
        <v>432.85714285714283</v>
      </c>
      <c r="CF46" s="18">
        <f>'Total Weekday Boardings'!CF46/'Service Days per Month'!CF$4</f>
        <v>424.90909090909093</v>
      </c>
      <c r="CG46" s="18">
        <f>'Total Weekday Boardings'!CG46/'Service Days per Month'!CG$4</f>
        <v>438.72222222222223</v>
      </c>
      <c r="CH46" s="18">
        <f>'Total Weekday Boardings'!CH46/'Service Days per Month'!CH$4</f>
        <v>481.76190476190476</v>
      </c>
      <c r="CI46" s="18">
        <f>'Total Weekday Boardings'!CI46/'Service Days per Month'!CI$4</f>
        <v>438.42105263157896</v>
      </c>
      <c r="CJ46" s="18">
        <f>'Total Weekday Boardings'!CJ46/'Service Days per Month'!CJ$4</f>
        <v>450.95</v>
      </c>
      <c r="CK46" s="18">
        <f>'Total Weekday Boardings'!CK46/'Service Days per Month'!CK$4</f>
        <v>459.78260869565219</v>
      </c>
      <c r="CL46" s="18">
        <f>'Total Weekday Boardings'!CL46/'Service Days per Month'!CL$4</f>
        <v>444</v>
      </c>
      <c r="CM46" s="18">
        <f>'Total Weekday Boardings'!CM46/'Service Days per Month'!CM$4</f>
        <v>430.1904761904762</v>
      </c>
      <c r="CN46" s="21">
        <f>'Total Weekday Boardings'!CN46/'Service Days per Month'!CN$4</f>
        <v>402.95454545454544</v>
      </c>
      <c r="CO46" s="17">
        <f>'Total Weekday Boardings'!CO46/'Service Days per Month'!CO$4</f>
        <v>415.85</v>
      </c>
      <c r="CP46" s="18">
        <f>'Total Weekday Boardings'!CP46/'Service Days per Month'!CP$4</f>
        <v>415.47826086956519</v>
      </c>
      <c r="CQ46" s="18">
        <f>'Total Weekday Boardings'!CQ46/'Service Days per Month'!CQ$4</f>
        <v>441.66666666666669</v>
      </c>
      <c r="CR46" s="18">
        <f>'Total Weekday Boardings'!CR46/'Service Days per Month'!CR$4</f>
        <v>472.42857142857144</v>
      </c>
      <c r="CS46" s="18">
        <f>'Total Weekday Boardings'!CS46/'Service Days per Month'!CS$4</f>
        <v>488.94736842105266</v>
      </c>
      <c r="CT46" s="18">
        <f>'Total Weekday Boardings'!CT46/'Service Days per Month'!CT$4</f>
        <v>508.14285714285717</v>
      </c>
      <c r="CU46" s="18">
        <f>'Total Weekday Boardings'!CU46/'Service Days per Month'!CU$4</f>
        <v>494.6</v>
      </c>
      <c r="CV46" s="18">
        <f>'Total Weekday Boardings'!CV46/'Service Days per Month'!CV$4</f>
        <v>514.15789473684208</v>
      </c>
      <c r="CW46" s="18">
        <f>'Total Weekday Boardings'!CW46/'Service Days per Month'!CW$4</f>
        <v>501</v>
      </c>
      <c r="CX46" s="18">
        <f>'Total Weekday Boardings'!CX46/'Service Days per Month'!CX$4</f>
        <v>519.79999999999995</v>
      </c>
      <c r="CY46" s="18">
        <f>'Total Weekday Boardings'!CY46/'Service Days per Month'!CY$4</f>
        <v>471.63636363636363</v>
      </c>
      <c r="CZ46" s="19">
        <f>'Total Weekday Boardings'!CZ46/'Service Days per Month'!CZ$4</f>
        <v>451.81818181818181</v>
      </c>
      <c r="DA46" s="17">
        <f>'Total Weekday Boardings'!DA46/'Service Days per Month'!DA$4</f>
        <v>463</v>
      </c>
      <c r="DB46" s="18">
        <f>'Total Weekday Boardings'!DB46/'Service Days per Month'!DB$4</f>
        <v>492.47826086956519</v>
      </c>
      <c r="DC46" s="18">
        <f>'Total Weekday Boardings'!DC46/'Service Days per Month'!DC$4</f>
        <v>481.85</v>
      </c>
      <c r="DD46" s="18">
        <f>'Total Weekday Boardings'!DD46/'Service Days per Month'!DD$4</f>
        <v>492.54545454545456</v>
      </c>
      <c r="DE46" s="18">
        <f>'Total Weekday Boardings'!DE46/'Service Days per Month'!DE$4</f>
        <v>490.57894736842104</v>
      </c>
      <c r="DF46" s="18">
        <f>'Total Weekday Boardings'!DF46/'Service Days per Month'!DF$4</f>
        <v>493.35</v>
      </c>
      <c r="DG46" s="18">
        <f>'Total Weekday Boardings'!DG46/'Service Days per Month'!DG$4</f>
        <v>496.38095238095241</v>
      </c>
      <c r="DH46" s="18">
        <f>'Total Weekday Boardings'!DH46/'Service Days per Month'!DH$4</f>
        <v>495.42105263157896</v>
      </c>
      <c r="DI46" s="18">
        <f>'Total Weekday Boardings'!DI46/'Service Days per Month'!DI$4</f>
        <v>519.59090909090912</v>
      </c>
      <c r="DJ46" s="18">
        <f>'Total Weekday Boardings'!DJ46/'Service Days per Month'!DJ$4</f>
        <v>476.28571428571428</v>
      </c>
      <c r="DK46" s="18">
        <f>'Total Weekday Boardings'!DK46/'Service Days per Month'!DK$4</f>
        <v>449.09090909090907</v>
      </c>
      <c r="DL46" s="19">
        <f>'Total Weekday Boardings'!DL46/'Service Days per Month'!DL$4</f>
        <v>452.8095238095238</v>
      </c>
      <c r="DM46" s="17">
        <f>'Total Weekday Boardings'!DM46/'Service Days per Month'!DM$4</f>
        <v>435.33333333333331</v>
      </c>
      <c r="DN46" s="18">
        <f>'Total Weekday Boardings'!DN46/'Service Days per Month'!DN$4</f>
        <v>466.21739130434781</v>
      </c>
      <c r="DO46" s="18">
        <f>'Total Weekday Boardings'!DO46/'Service Days per Month'!DO$4</f>
        <v>478</v>
      </c>
      <c r="DP46" s="18">
        <f>'Total Weekday Boardings'!DP46/'Service Days per Month'!DP$4</f>
        <v>479.91304347826087</v>
      </c>
      <c r="DQ46" s="18">
        <f>'Total Weekday Boardings'!DQ46/'Service Days per Month'!DQ$4</f>
        <v>489.33333333333331</v>
      </c>
      <c r="DR46" s="18">
        <f>'Total Weekday Boardings'!DR46/'Service Days per Month'!DR$4</f>
        <v>461.95</v>
      </c>
      <c r="DS46" s="18">
        <f>'Total Weekday Boardings'!DS46/'Service Days per Month'!DS$4</f>
        <v>469.86363636363637</v>
      </c>
      <c r="DT46" s="18">
        <f>'Total Weekday Boardings'!DT46/'Service Days per Month'!DT$4</f>
        <v>469.4</v>
      </c>
      <c r="DU46" s="18">
        <f>'Total Weekday Boardings'!DU46/'Service Days per Month'!DU$4</f>
        <v>466.14285714285717</v>
      </c>
      <c r="DV46" s="18">
        <f>'Total Weekday Boardings'!DV46/'Service Days per Month'!DV$4</f>
        <v>448.72727272727275</v>
      </c>
      <c r="DW46" s="18">
        <f>'Total Weekday Boardings'!DW46/'Service Days per Month'!DW$4</f>
        <v>461.40909090909093</v>
      </c>
      <c r="DX46" s="19">
        <f>'Total Weekday Boardings'!DX46/'Service Days per Month'!DX$4</f>
        <v>481.75</v>
      </c>
      <c r="DY46" s="17">
        <f>'Total Weekday Boardings'!DY46/'Service Days per Month'!DY$4</f>
        <v>472.13636363636363</v>
      </c>
      <c r="DZ46" s="18">
        <f>'Total Weekday Boardings'!DZ46/'Service Days per Month'!DZ$4</f>
        <v>515.86363636363637</v>
      </c>
      <c r="EA46" s="18">
        <f>'Total Weekday Boardings'!EA46/'Service Days per Month'!EA$4</f>
        <v>551.20000000000005</v>
      </c>
      <c r="EB46" s="18">
        <f>'Total Weekday Boardings'!EB46/'Service Days per Month'!EB$4</f>
        <v>573.91304347826087</v>
      </c>
      <c r="EC46" s="18">
        <f>'Total Weekday Boardings'!EC46/'Service Days per Month'!EC$4</f>
        <v>567.70000000000005</v>
      </c>
      <c r="ED46" s="18">
        <f>'Total Weekday Boardings'!ED46/'Service Days per Month'!ED$4</f>
        <v>509.47619047619048</v>
      </c>
      <c r="EE46" s="18">
        <f>'Total Weekday Boardings'!EE46/'Service Days per Month'!EE$4</f>
        <v>520.56521739130437</v>
      </c>
      <c r="EF46" s="18">
        <f>'Total Weekday Boardings'!EF46/'Service Days per Month'!EF$4</f>
        <v>571.29999999999995</v>
      </c>
      <c r="EG46" s="18">
        <f>'Total Weekday Boardings'!EG46/'Service Days per Month'!EG$4</f>
        <v>469</v>
      </c>
      <c r="EH46" s="18">
        <f>'Total Weekday Boardings'!EH46/'Service Days per Month'!EH$4</f>
        <v>285.36363636363637</v>
      </c>
      <c r="EI46" s="18">
        <f>'Total Weekday Boardings'!EI46/'Service Days per Month'!EI$4</f>
        <v>273.89999999999998</v>
      </c>
      <c r="EJ46" s="19">
        <f>'Total Weekday Boardings'!EJ46/'Service Days per Month'!EJ$4</f>
        <v>241.40909090909091</v>
      </c>
      <c r="EK46" s="17">
        <f>'Total Weekday Boardings'!EK46/'Service Days per Month'!EK$4</f>
        <v>217.09090909090909</v>
      </c>
      <c r="EL46" s="18">
        <f>'Total Weekday Boardings'!EL46/'Service Days per Month'!EL$4</f>
        <v>229.28571428571428</v>
      </c>
      <c r="EM46" s="18">
        <f>'Total Weekday Boardings'!EM46/'Service Days per Month'!EM$4</f>
        <v>242.71428571428572</v>
      </c>
      <c r="EN46" s="18">
        <f>'Total Weekday Boardings'!EN46/'Service Days per Month'!EN$4</f>
        <v>255.68181818181819</v>
      </c>
      <c r="EO46" s="18">
        <f>'Total Weekday Boardings'!EO46/'Service Days per Month'!EO$4</f>
        <v>225.2</v>
      </c>
      <c r="EP46" s="18">
        <f>'Total Weekday Boardings'!EP46/'Service Days per Month'!EP$4</f>
        <v>182.36363636363637</v>
      </c>
      <c r="EQ46" s="18">
        <f>'Total Weekday Boardings'!EQ46/'Service Days per Month'!EQ$4</f>
        <v>108.85714285714286</v>
      </c>
      <c r="ER46" s="18">
        <f>'Total Weekday Boardings'!ER46/'Service Days per Month'!ER$4</f>
        <v>203.85</v>
      </c>
      <c r="ES46" s="18">
        <f>'Total Weekday Boardings'!ES46/'Service Days per Month'!ES$4</f>
        <v>217.17391304347825</v>
      </c>
      <c r="ET46" s="18">
        <f>'Total Weekday Boardings'!ET46/'Service Days per Month'!ET$4</f>
        <v>226.77272727272728</v>
      </c>
      <c r="EU46" s="18">
        <f>'Total Weekday Boardings'!EU46/'Service Days per Month'!EU$4</f>
        <v>198.25</v>
      </c>
      <c r="EV46" s="19">
        <f>'Total Weekday Boardings'!EV46/'Service Days per Month'!EV$4</f>
        <v>216.72727272727272</v>
      </c>
      <c r="EW46" s="17">
        <f>'Total Weekday Boardings'!EW46/'Service Days per Month'!EW$4</f>
        <v>205.14285714285714</v>
      </c>
      <c r="EX46" s="18">
        <f>'Total Weekday Boardings'!EX46/'Service Days per Month'!EX$4</f>
        <v>228.54545454545453</v>
      </c>
      <c r="EY46" s="18">
        <f>'Total Weekday Boardings'!EY46/'Service Days per Month'!EY$4</f>
        <v>247.33333333333334</v>
      </c>
      <c r="EZ46" s="18">
        <f>'Total Weekday Boardings'!EZ46/'Service Days per Month'!EZ$4</f>
        <v>273.85714285714283</v>
      </c>
      <c r="FA46" s="18">
        <f>'Total Weekday Boardings'!FA46/'Service Days per Month'!FA$4</f>
        <v>293.1904761904762</v>
      </c>
      <c r="FB46" s="18">
        <f>'Total Weekday Boardings'!FB46/'Service Days per Month'!FB$4</f>
        <v>271.72727272727275</v>
      </c>
      <c r="FC46" s="18">
        <f>'Total Weekday Boardings'!FC46/'Service Days per Month'!FC$4</f>
        <v>245.1904761904762</v>
      </c>
      <c r="FD46" s="18">
        <f>'Total Weekday Boardings'!FD46/'Service Days per Month'!FD$4</f>
        <v>308.55</v>
      </c>
      <c r="FE46" s="18">
        <f>'Total Weekday Boardings'!FE46/'Service Days per Month'!FE$4</f>
        <v>336.13043478260869</v>
      </c>
      <c r="FF46" s="18">
        <f>'Total Weekday Boardings'!FF46/'Service Days per Month'!FF$4</f>
        <v>323.95238095238096</v>
      </c>
      <c r="FG46" s="18">
        <f>'Total Weekday Boardings'!FG46/'Service Days per Month'!FG$4</f>
        <v>300.71428571428572</v>
      </c>
      <c r="FH46" s="19">
        <f>'Total Weekday Boardings'!FH46/'Service Days per Month'!FH$4</f>
        <v>275.77272727272725</v>
      </c>
      <c r="FI46" s="17">
        <v>285.39999999999998</v>
      </c>
      <c r="FJ46" s="18">
        <v>310.82608695652175</v>
      </c>
      <c r="FK46" s="18">
        <v>357.38095238095241</v>
      </c>
      <c r="FL46" s="18">
        <v>347.52380952380952</v>
      </c>
      <c r="FM46" s="18">
        <v>333.33333333333331</v>
      </c>
      <c r="FN46" s="18">
        <v>334.1904761904762</v>
      </c>
      <c r="FO46" s="18">
        <v>347.95238095238096</v>
      </c>
      <c r="FP46" s="18">
        <v>309.8</v>
      </c>
      <c r="FQ46" s="18">
        <v>367.26086956521738</v>
      </c>
      <c r="FR46" s="18">
        <f>'Total Weekday Boardings'!FR46/20</f>
        <v>392.25</v>
      </c>
      <c r="FS46" s="18">
        <f>'Total Weekday Boardings'!FS46/22</f>
        <v>360.81818181818181</v>
      </c>
      <c r="FT46" s="21">
        <f>'Total Weekday Boardings'!FT46/23</f>
        <v>310.26086956521738</v>
      </c>
      <c r="FU46" s="17">
        <f>'Total Weekday Boardings'!FU46/21</f>
        <v>295.57142857142856</v>
      </c>
      <c r="FV46" s="18">
        <f>'Total Weekday Boardings'!FV46/23</f>
        <v>321.95652173913044</v>
      </c>
      <c r="FW46" s="18">
        <f>'Total Weekday Boardings'!FW46/21</f>
        <v>345.57142857142856</v>
      </c>
      <c r="FX46" s="18">
        <f>'Total Weekday Boardings'!FX46/22</f>
        <v>363.18181818181819</v>
      </c>
      <c r="FY46" s="18">
        <f>'Total Weekday Boardings'!FY46/22</f>
        <v>353.13636363636363</v>
      </c>
      <c r="FZ46" s="18">
        <f>'Total Weekday Boardings'!FZ46/21</f>
        <v>325.1904761904762</v>
      </c>
      <c r="GA46" s="18">
        <f>'Total Weekday Boardings'!GA46/23</f>
        <v>330.86956521739131</v>
      </c>
      <c r="GB46" s="18">
        <f>'Total Weekday Boardings'!GB46/21</f>
        <v>409.38095238095241</v>
      </c>
      <c r="GC46" s="18">
        <f>'Total Weekday Boardings'!GC46/21</f>
        <v>395.85714285714283</v>
      </c>
      <c r="GD46" s="18">
        <f>'Total Weekday Boardings'!GD46/22</f>
        <v>375.81818181818181</v>
      </c>
      <c r="GE46" s="13">
        <f>'Total Weekday Boardings'!GE46/23</f>
        <v>348.73913043478262</v>
      </c>
      <c r="GF46" s="13">
        <f>'Total Weekday Boardings'!GF46/20</f>
        <v>324.35000000000002</v>
      </c>
      <c r="GG46" s="21">
        <f>'Total Weekday Boardings'!GG46/23</f>
        <v>335.21739130434781</v>
      </c>
      <c r="GH46" s="13">
        <f>'Total Weekday Boardings'!GH46/22</f>
        <v>367.36363636363637</v>
      </c>
      <c r="GI46" s="13">
        <f>'Total Weekday Boardings'!GI46/21</f>
        <v>391.85714285714283</v>
      </c>
      <c r="GJ46" s="13">
        <f>'Total Weekday Boardings'!GJ46/23</f>
        <v>418.47826086956519</v>
      </c>
      <c r="GK46" s="13">
        <f>'Total Weekday Boardings'!GK46/21</f>
        <v>390.66666666666669</v>
      </c>
      <c r="GL46" s="13">
        <f>'Total Weekday Boardings'!GL46/22</f>
        <v>373.59090909090907</v>
      </c>
    </row>
    <row r="47" spans="1:194" ht="15" thickBot="1" x14ac:dyDescent="0.35">
      <c r="A47" s="11" t="s">
        <v>29</v>
      </c>
      <c r="B47" s="27"/>
      <c r="C47" s="28"/>
      <c r="D47" s="28"/>
      <c r="E47" s="28"/>
      <c r="F47" s="28"/>
      <c r="G47" s="28"/>
      <c r="H47" s="29"/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9"/>
      <c r="U47" s="27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9"/>
      <c r="AG47" s="27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9"/>
      <c r="AS47" s="27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9"/>
      <c r="BE47" s="27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9"/>
      <c r="BQ47" s="27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9"/>
      <c r="CC47" s="30"/>
      <c r="CD47" s="28">
        <f>'Total Weekday Boardings'!CD47/'Service Days per Month'!CD$8</f>
        <v>2496</v>
      </c>
      <c r="CE47" s="28">
        <f>'Total Weekday Boardings'!CE47/'Service Days per Month'!CE$4</f>
        <v>2284.2857142857142</v>
      </c>
      <c r="CF47" s="28">
        <f>'Total Weekday Boardings'!CF47/'Service Days per Month'!CF$4</f>
        <v>2272.409090909091</v>
      </c>
      <c r="CG47" s="28">
        <f>'Total Weekday Boardings'!CG47/'Service Days per Month'!CG$4</f>
        <v>2254.4444444444443</v>
      </c>
      <c r="CH47" s="28">
        <f>'Total Weekday Boardings'!CH47/'Service Days per Month'!CH$4</f>
        <v>2266.4761904761904</v>
      </c>
      <c r="CI47" s="28">
        <f>'Total Weekday Boardings'!CI47/'Service Days per Month'!CI$4</f>
        <v>2367.7368421052633</v>
      </c>
      <c r="CJ47" s="28">
        <f>'Total Weekday Boardings'!CJ47/'Service Days per Month'!CJ$4</f>
        <v>2507.4</v>
      </c>
      <c r="CK47" s="28">
        <f>'Total Weekday Boardings'!CK47/'Service Days per Month'!CK$4</f>
        <v>2496.304347826087</v>
      </c>
      <c r="CL47" s="28">
        <f>'Total Weekday Boardings'!CL47/'Service Days per Month'!CL$4</f>
        <v>2471.9047619047619</v>
      </c>
      <c r="CM47" s="28">
        <f>'Total Weekday Boardings'!CM47/'Service Days per Month'!CM$4</f>
        <v>2126.4761904761904</v>
      </c>
      <c r="CN47" s="31">
        <f>'Total Weekday Boardings'!CN47/'Service Days per Month'!CN$4</f>
        <v>2218.5</v>
      </c>
      <c r="CO47" s="27">
        <f>'Total Weekday Boardings'!CO47/'Service Days per Month'!CO$4</f>
        <v>2184.9499999999998</v>
      </c>
      <c r="CP47" s="28">
        <f>'Total Weekday Boardings'!CP47/'Service Days per Month'!CP$4</f>
        <v>2335.304347826087</v>
      </c>
      <c r="CQ47" s="28">
        <f>'Total Weekday Boardings'!CQ47/'Service Days per Month'!CQ$4</f>
        <v>2354.7619047619046</v>
      </c>
      <c r="CR47" s="28">
        <f>'Total Weekday Boardings'!CR47/'Service Days per Month'!CR$4</f>
        <v>2309.6666666666665</v>
      </c>
      <c r="CS47" s="28">
        <f>'Total Weekday Boardings'!CS47/'Service Days per Month'!CS$4</f>
        <v>2369.1578947368421</v>
      </c>
      <c r="CT47" s="28">
        <f>'Total Weekday Boardings'!CT47/'Service Days per Month'!CT$4</f>
        <v>2307.3333333333335</v>
      </c>
      <c r="CU47" s="28">
        <f>'Total Weekday Boardings'!CU47/'Service Days per Month'!CU$4</f>
        <v>2496.9</v>
      </c>
      <c r="CV47" s="28">
        <f>'Total Weekday Boardings'!CV47/'Service Days per Month'!CV$4</f>
        <v>2614.8421052631579</v>
      </c>
      <c r="CW47" s="28">
        <f>'Total Weekday Boardings'!CW47/'Service Days per Month'!CW$4</f>
        <v>2527.9565217391305</v>
      </c>
      <c r="CX47" s="28">
        <f>'Total Weekday Boardings'!CX47/'Service Days per Month'!CX$4</f>
        <v>2468.75</v>
      </c>
      <c r="CY47" s="28">
        <f>'Total Weekday Boardings'!CY47/'Service Days per Month'!CY$4</f>
        <v>2409.409090909091</v>
      </c>
      <c r="CZ47" s="29">
        <f>'Total Weekday Boardings'!CZ47/'Service Days per Month'!CZ$4</f>
        <v>2218.590909090909</v>
      </c>
      <c r="DA47" s="27">
        <f>'Total Weekday Boardings'!DA47/'Service Days per Month'!DA$4</f>
        <v>2198.0500000000002</v>
      </c>
      <c r="DB47" s="28">
        <f>'Total Weekday Boardings'!DB47/'Service Days per Month'!DB$4</f>
        <v>2492.391304347826</v>
      </c>
      <c r="DC47" s="28">
        <f>'Total Weekday Boardings'!DC47/'Service Days per Month'!DC$4</f>
        <v>2541.1999999999998</v>
      </c>
      <c r="DD47" s="28">
        <f>'Total Weekday Boardings'!DD47/'Service Days per Month'!DD$4</f>
        <v>2518.5</v>
      </c>
      <c r="DE47" s="28">
        <f>'Total Weekday Boardings'!DE47/'Service Days per Month'!DE$4</f>
        <v>2317.5789473684213</v>
      </c>
      <c r="DF47" s="28">
        <f>'Total Weekday Boardings'!DF47/'Service Days per Month'!DF$4</f>
        <v>2525.25</v>
      </c>
      <c r="DG47" s="28">
        <f>'Total Weekday Boardings'!DG47/'Service Days per Month'!DG$4</f>
        <v>2422.5238095238096</v>
      </c>
      <c r="DH47" s="28">
        <f>'Total Weekday Boardings'!DH47/'Service Days per Month'!DH$4</f>
        <v>2525.2631578947367</v>
      </c>
      <c r="DI47" s="28">
        <f>'Total Weekday Boardings'!DI47/'Service Days per Month'!DI$4</f>
        <v>2584.5</v>
      </c>
      <c r="DJ47" s="28">
        <f>'Total Weekday Boardings'!DJ47/'Service Days per Month'!DJ$4</f>
        <v>2586.4761904761904</v>
      </c>
      <c r="DK47" s="28">
        <f>'Total Weekday Boardings'!DK47/'Service Days per Month'!DK$4</f>
        <v>2263.7727272727275</v>
      </c>
      <c r="DL47" s="29">
        <f>'Total Weekday Boardings'!DL47/'Service Days per Month'!DL$4</f>
        <v>2105.1904761904761</v>
      </c>
      <c r="DM47" s="27">
        <f>'Total Weekday Boardings'!DM47/'Service Days per Month'!DM$4</f>
        <v>2111.1904761904761</v>
      </c>
      <c r="DN47" s="28">
        <f>'Total Weekday Boardings'!DN47/'Service Days per Month'!DN$4</f>
        <v>2370.2608695652175</v>
      </c>
      <c r="DO47" s="28">
        <f>'Total Weekday Boardings'!DO47/'Service Days per Month'!DO$4</f>
        <v>2440.3157894736842</v>
      </c>
      <c r="DP47" s="28">
        <f>'Total Weekday Boardings'!DP47/'Service Days per Month'!DP$4</f>
        <v>2378.1304347826085</v>
      </c>
      <c r="DQ47" s="28">
        <f>'Total Weekday Boardings'!DQ47/'Service Days per Month'!DQ$4</f>
        <v>2479.6190476190477</v>
      </c>
      <c r="DR47" s="28">
        <f>'Total Weekday Boardings'!DR47/'Service Days per Month'!DR$4</f>
        <v>2452.1</v>
      </c>
      <c r="DS47" s="28">
        <f>'Total Weekday Boardings'!DS47/'Service Days per Month'!DS$4</f>
        <v>2634.909090909091</v>
      </c>
      <c r="DT47" s="28">
        <f>'Total Weekday Boardings'!DT47/'Service Days per Month'!DT$4</f>
        <v>2546.65</v>
      </c>
      <c r="DU47" s="28">
        <f>'Total Weekday Boardings'!DU47/'Service Days per Month'!DU$4</f>
        <v>2568.8095238095239</v>
      </c>
      <c r="DV47" s="28">
        <f>'Total Weekday Boardings'!DV47/'Service Days per Month'!DV$4</f>
        <v>2526.5454545454545</v>
      </c>
      <c r="DW47" s="28">
        <f>'Total Weekday Boardings'!DW47/'Service Days per Month'!DW$4</f>
        <v>1806.409090909091</v>
      </c>
      <c r="DX47" s="29">
        <f>'Total Weekday Boardings'!DX47/'Service Days per Month'!DX$4</f>
        <v>802.05</v>
      </c>
      <c r="DY47" s="27">
        <f>'Total Weekday Boardings'!DY47/'Service Days per Month'!DY$4</f>
        <v>762.27272727272725</v>
      </c>
      <c r="DZ47" s="28">
        <f>'Total Weekday Boardings'!DZ47/'Service Days per Month'!DZ$4</f>
        <v>790.68181818181813</v>
      </c>
      <c r="EA47" s="28">
        <f>'Total Weekday Boardings'!EA47/'Service Days per Month'!EA$4</f>
        <v>918.15</v>
      </c>
      <c r="EB47" s="28">
        <f>'Total Weekday Boardings'!EB47/'Service Days per Month'!EB$4</f>
        <v>922.95652173913038</v>
      </c>
      <c r="EC47" s="28">
        <f>'Total Weekday Boardings'!EC47/'Service Days per Month'!EC$4</f>
        <v>906.95</v>
      </c>
      <c r="ED47" s="28">
        <f>'Total Weekday Boardings'!ED47/'Service Days per Month'!ED$4</f>
        <v>1009.047619047619</v>
      </c>
      <c r="EE47" s="28">
        <f>'Total Weekday Boardings'!EE47/'Service Days per Month'!EE$4</f>
        <v>826.04347826086962</v>
      </c>
      <c r="EF47" s="28">
        <f>'Total Weekday Boardings'!EF47/'Service Days per Month'!EF$4</f>
        <v>920.45</v>
      </c>
      <c r="EG47" s="28">
        <f>'Total Weekday Boardings'!EG47/'Service Days per Month'!EG$4</f>
        <v>696.31818181818187</v>
      </c>
      <c r="EH47" s="28">
        <f>'Total Weekday Boardings'!EH47/'Service Days per Month'!EH$4</f>
        <v>453.77272727272725</v>
      </c>
      <c r="EI47" s="28">
        <f>'Total Weekday Boardings'!EI47/'Service Days per Month'!EI$4</f>
        <v>439.4</v>
      </c>
      <c r="EJ47" s="29">
        <f>'Total Weekday Boardings'!EJ47/'Service Days per Month'!EJ$4</f>
        <v>382.95454545454544</v>
      </c>
      <c r="EK47" s="27">
        <f>'Total Weekday Boardings'!EK47/'Service Days per Month'!EK$4</f>
        <v>359.31818181818181</v>
      </c>
      <c r="EL47" s="28">
        <f>'Total Weekday Boardings'!EL47/'Service Days per Month'!EL$4</f>
        <v>376.47619047619048</v>
      </c>
      <c r="EM47" s="28">
        <f>'Total Weekday Boardings'!EM47/'Service Days per Month'!EM$4</f>
        <v>385.57142857142856</v>
      </c>
      <c r="EN47" s="28">
        <f>'Total Weekday Boardings'!EN47/'Service Days per Month'!EN$4</f>
        <v>398.40909090909093</v>
      </c>
      <c r="EO47" s="28">
        <f>'Total Weekday Boardings'!EO47/'Service Days per Month'!EO$4</f>
        <v>391.8</v>
      </c>
      <c r="EP47" s="28">
        <f>'Total Weekday Boardings'!EP47/'Service Days per Month'!EP$4</f>
        <v>294.09090909090907</v>
      </c>
      <c r="EQ47" s="28">
        <f>'Total Weekday Boardings'!EQ47/'Service Days per Month'!EQ$4</f>
        <v>156.71428571428572</v>
      </c>
      <c r="ER47" s="28">
        <f>'Total Weekday Boardings'!ER47/'Service Days per Month'!ER$4</f>
        <v>319.95</v>
      </c>
      <c r="ES47" s="28">
        <f>'Total Weekday Boardings'!ES47/'Service Days per Month'!ES$4</f>
        <v>350.39130434782606</v>
      </c>
      <c r="ET47" s="28">
        <f>'Total Weekday Boardings'!ET47/'Service Days per Month'!ET$4</f>
        <v>354.40909090909093</v>
      </c>
      <c r="EU47" s="28">
        <f>'Total Weekday Boardings'!EU47/'Service Days per Month'!EU$4</f>
        <v>317.5</v>
      </c>
      <c r="EV47" s="29">
        <f>'Total Weekday Boardings'!EV47/'Service Days per Month'!EV$4</f>
        <v>353.72727272727275</v>
      </c>
      <c r="EW47" s="27">
        <f>'Total Weekday Boardings'!EW47/'Service Days per Month'!EW$4</f>
        <v>358.90476190476193</v>
      </c>
      <c r="EX47" s="28">
        <f>'Total Weekday Boardings'!EX47/'Service Days per Month'!EX$4</f>
        <v>398.90909090909093</v>
      </c>
      <c r="EY47" s="28">
        <f>'Total Weekday Boardings'!EY47/'Service Days per Month'!EY$4</f>
        <v>430.76190476190476</v>
      </c>
      <c r="EZ47" s="28">
        <f>'Total Weekday Boardings'!EZ47/'Service Days per Month'!EZ$4</f>
        <v>486.61904761904759</v>
      </c>
      <c r="FA47" s="28">
        <f>'Total Weekday Boardings'!FA47/'Service Days per Month'!FA$4</f>
        <v>521.09523809523807</v>
      </c>
      <c r="FB47" s="28">
        <f>'Total Weekday Boardings'!FB47/'Service Days per Month'!FB$4</f>
        <v>518.31818181818187</v>
      </c>
      <c r="FC47" s="28">
        <f>'Total Weekday Boardings'!FC47/'Service Days per Month'!FC$4</f>
        <v>394.8095238095238</v>
      </c>
      <c r="FD47" s="28">
        <f>'Total Weekday Boardings'!FD47/'Service Days per Month'!FD$4</f>
        <v>505.3</v>
      </c>
      <c r="FE47" s="28">
        <f>'Total Weekday Boardings'!FE47/'Service Days per Month'!FE$4</f>
        <v>565.43478260869563</v>
      </c>
      <c r="FF47" s="28">
        <f>'Total Weekday Boardings'!FF47/'Service Days per Month'!FF$4</f>
        <v>610.23809523809518</v>
      </c>
      <c r="FG47" s="28">
        <f>'Total Weekday Boardings'!FG47/'Service Days per Month'!FG$4</f>
        <v>518.04761904761904</v>
      </c>
      <c r="FH47" s="29">
        <f>'Total Weekday Boardings'!FH47/'Service Days per Month'!FH$4</f>
        <v>446.77272727272725</v>
      </c>
      <c r="FI47" s="27">
        <v>486.35</v>
      </c>
      <c r="FJ47" s="28">
        <v>532.04347826086962</v>
      </c>
      <c r="FK47" s="28">
        <v>575.76190476190482</v>
      </c>
      <c r="FL47" s="28">
        <v>573.04761904761904</v>
      </c>
      <c r="FM47" s="28">
        <v>594.52380952380952</v>
      </c>
      <c r="FN47" s="28">
        <v>793.19047619047615</v>
      </c>
      <c r="FO47" s="28">
        <v>659.19047619047615</v>
      </c>
      <c r="FP47" s="28">
        <v>507.4</v>
      </c>
      <c r="FQ47" s="28">
        <v>592.6521739130435</v>
      </c>
      <c r="FR47" s="28">
        <f>'Total Weekday Boardings'!FR47/20</f>
        <v>624.79999999999995</v>
      </c>
      <c r="FS47" s="28">
        <f>'Total Weekday Boardings'!FS47/22</f>
        <v>553.18181818181813</v>
      </c>
      <c r="FT47" s="31">
        <f>'Total Weekday Boardings'!FT47/23</f>
        <v>476</v>
      </c>
      <c r="FU47" s="27">
        <f>'Total Weekday Boardings'!FU47/21</f>
        <v>492.04761904761904</v>
      </c>
      <c r="FV47" s="28">
        <f>'Total Weekday Boardings'!FV47/23</f>
        <v>514.43478260869563</v>
      </c>
      <c r="FW47" s="28">
        <f>'Total Weekday Boardings'!FW47/21</f>
        <v>524.61904761904759</v>
      </c>
      <c r="FX47" s="28">
        <f>'Total Weekday Boardings'!FX47/22</f>
        <v>554.59090909090912</v>
      </c>
      <c r="FY47" s="28">
        <f>'Total Weekday Boardings'!FY47/22</f>
        <v>519.27272727272725</v>
      </c>
      <c r="FZ47" s="28">
        <f>'Total Weekday Boardings'!FZ47/21</f>
        <v>593.38095238095241</v>
      </c>
      <c r="GA47" s="28">
        <f>'Total Weekday Boardings'!GA47/23</f>
        <v>531.43478260869563</v>
      </c>
      <c r="GB47" s="28">
        <f>'Total Weekday Boardings'!GB47/21</f>
        <v>566.52380952380952</v>
      </c>
      <c r="GC47" s="28">
        <f>'Total Weekday Boardings'!GC47/21</f>
        <v>757.76190476190482</v>
      </c>
      <c r="GD47" s="28">
        <f>'Total Weekday Boardings'!GD47/22</f>
        <v>528.18181818181813</v>
      </c>
      <c r="GE47" s="13">
        <f>'Total Weekday Boardings'!GE47/23</f>
        <v>461.43478260869563</v>
      </c>
      <c r="GF47" s="13">
        <f>'Total Weekday Boardings'!GF47/20</f>
        <v>493.05</v>
      </c>
      <c r="GG47" s="21">
        <f>'Total Weekday Boardings'!GG47/23</f>
        <v>455.60869565217394</v>
      </c>
      <c r="GH47" s="13">
        <f>'Total Weekday Boardings'!GH47/22</f>
        <v>488.54545454545456</v>
      </c>
      <c r="GI47" s="13">
        <f>'Total Weekday Boardings'!GI47/21</f>
        <v>507.61904761904759</v>
      </c>
      <c r="GJ47" s="13">
        <f>'Total Weekday Boardings'!GJ47/23</f>
        <v>536.17391304347825</v>
      </c>
      <c r="GK47" s="13">
        <f>'Total Weekday Boardings'!GK47/21</f>
        <v>468.76190476190476</v>
      </c>
      <c r="GL47" s="13">
        <f>'Total Weekday Boardings'!GL47/22</f>
        <v>589.9545454545455</v>
      </c>
    </row>
    <row r="48" spans="1:194" ht="15" customHeight="1" thickBot="1" x14ac:dyDescent="0.35">
      <c r="A48" s="93" t="s">
        <v>69</v>
      </c>
      <c r="B48" s="12"/>
      <c r="C48" s="13"/>
      <c r="D48" s="13"/>
      <c r="E48" s="13"/>
      <c r="F48" s="13"/>
      <c r="G48" s="13"/>
      <c r="H48" s="14"/>
      <c r="I48" s="1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6"/>
      <c r="U48" s="12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4"/>
      <c r="AS48" s="15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6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4"/>
      <c r="BQ48" s="15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6"/>
      <c r="CC48" s="12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4"/>
      <c r="CO48" s="15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4"/>
      <c r="DA48" s="12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4"/>
      <c r="DM48" s="12"/>
      <c r="DN48" s="13"/>
      <c r="DO48" s="13"/>
      <c r="DP48" s="13"/>
      <c r="DQ48" s="13"/>
      <c r="DR48" s="13"/>
      <c r="DS48" s="13"/>
      <c r="DT48" s="13"/>
      <c r="DU48" s="13"/>
      <c r="DV48" s="13"/>
      <c r="DW48" s="13">
        <f>'Total Weekday Boardings'!DW48/'Service Days per Month'!DW$8</f>
        <v>374.66666666666669</v>
      </c>
      <c r="DX48" s="14">
        <v>408</v>
      </c>
      <c r="DY48" s="32">
        <f>'Total Weekday Boardings'!DY48/'Service Days per Month'!DY$4</f>
        <v>430.18181818181819</v>
      </c>
      <c r="DZ48" s="33">
        <f>'Total Weekday Boardings'!DZ48/'Service Days per Month'!DZ$4</f>
        <v>457.68181818181819</v>
      </c>
      <c r="EA48" s="33">
        <f>'Total Weekday Boardings'!EA48/'Service Days per Month'!EA$4</f>
        <v>492.65</v>
      </c>
      <c r="EB48" s="33">
        <f>'Total Weekday Boardings'!EB48/'Service Days per Month'!EB$4</f>
        <v>542.304347826087</v>
      </c>
      <c r="EC48" s="33">
        <f>'Total Weekday Boardings'!EC48/'Service Days per Month'!EC$4</f>
        <v>540.85</v>
      </c>
      <c r="ED48" s="33">
        <f>'Total Weekday Boardings'!ED48/'Service Days per Month'!ED$4</f>
        <v>482.61904761904759</v>
      </c>
      <c r="EE48" s="33">
        <f>'Total Weekday Boardings'!EE48/'Service Days per Month'!EE$4</f>
        <v>520.13043478260875</v>
      </c>
      <c r="EF48" s="33">
        <f>'Total Weekday Boardings'!EF48/'Service Days per Month'!EF$4</f>
        <v>575.75</v>
      </c>
      <c r="EG48" s="33">
        <f>'Total Weekday Boardings'!EG48/'Service Days per Month'!EG$4</f>
        <v>514.0454545454545</v>
      </c>
      <c r="EH48" s="33">
        <f>'Total Weekday Boardings'!EH48/'Service Days per Month'!EH$4</f>
        <v>364.63636363636363</v>
      </c>
      <c r="EI48" s="33">
        <f>'Total Weekday Boardings'!EI48/'Service Days per Month'!EI$4</f>
        <v>336.4</v>
      </c>
      <c r="EJ48" s="34">
        <f>'Total Weekday Boardings'!EJ48/'Service Days per Month'!EJ$4</f>
        <v>325.04545454545456</v>
      </c>
      <c r="EK48" s="32">
        <f>'Total Weekday Boardings'!EK48/'Service Days per Month'!EK$4</f>
        <v>300.18181818181819</v>
      </c>
      <c r="EL48" s="33">
        <f>'Total Weekday Boardings'!EL48/'Service Days per Month'!EL$4</f>
        <v>297.8095238095238</v>
      </c>
      <c r="EM48" s="33">
        <f>'Total Weekday Boardings'!EM48/'Service Days per Month'!EM$4</f>
        <v>306.61904761904759</v>
      </c>
      <c r="EN48" s="33">
        <f>'Total Weekday Boardings'!EN48/'Service Days per Month'!EN$4</f>
        <v>323.09090909090907</v>
      </c>
      <c r="EO48" s="33">
        <f>'Total Weekday Boardings'!EO48/'Service Days per Month'!EO$4</f>
        <v>302.25</v>
      </c>
      <c r="EP48" s="33">
        <f>'Total Weekday Boardings'!EP48/'Service Days per Month'!EP$4</f>
        <v>241.72727272727272</v>
      </c>
      <c r="EQ48" s="33">
        <f>'Total Weekday Boardings'!EQ48/'Service Days per Month'!EQ$4</f>
        <v>145.66666666666666</v>
      </c>
      <c r="ER48" s="33">
        <f>'Total Weekday Boardings'!ER48/'Service Days per Month'!ER$4</f>
        <v>273.14999999999998</v>
      </c>
      <c r="ES48" s="33">
        <f>'Total Weekday Boardings'!ES48/'Service Days per Month'!ES$4</f>
        <v>112.78260869565217</v>
      </c>
      <c r="ET48" s="33">
        <f>'Total Weekday Boardings'!ET48/'Service Days per Month'!ET$4</f>
        <v>273.13636363636363</v>
      </c>
      <c r="EU48" s="33">
        <f>'Total Weekday Boardings'!EU48/'Service Days per Month'!EU$4</f>
        <v>259.64999999999998</v>
      </c>
      <c r="EV48" s="34">
        <f>'Total Weekday Boardings'!EV48/'Service Days per Month'!EV$4</f>
        <v>273.27272727272725</v>
      </c>
      <c r="EW48" s="32">
        <f>'Total Weekday Boardings'!EW48/'Service Days per Month'!EW$4</f>
        <v>276.28571428571428</v>
      </c>
      <c r="EX48" s="33">
        <f>'Total Weekday Boardings'!EX48/'Service Days per Month'!EX$4</f>
        <v>274.5</v>
      </c>
      <c r="EY48" s="33">
        <f>'Total Weekday Boardings'!EY48/'Service Days per Month'!EY$4</f>
        <v>313.85714285714283</v>
      </c>
      <c r="EZ48" s="33">
        <f>'Total Weekday Boardings'!EZ48/'Service Days per Month'!EZ$4</f>
        <v>340.47619047619048</v>
      </c>
      <c r="FA48" s="33">
        <f>'Total Weekday Boardings'!FA48/'Service Days per Month'!FA$4</f>
        <v>342.85714285714283</v>
      </c>
      <c r="FB48" s="33">
        <f>'Total Weekday Boardings'!FB48/'Service Days per Month'!FB$4</f>
        <v>322.63636363636363</v>
      </c>
      <c r="FC48" s="33">
        <f>'Total Weekday Boardings'!FC48/'Service Days per Month'!FC$4</f>
        <v>330.33333333333331</v>
      </c>
      <c r="FD48" s="33">
        <f>'Total Weekday Boardings'!FD48/'Service Days per Month'!FD$4</f>
        <v>451.3</v>
      </c>
      <c r="FE48" s="33">
        <f>'Total Weekday Boardings'!FE48/'Service Days per Month'!FE$4</f>
        <v>457.95652173913044</v>
      </c>
      <c r="FF48" s="33">
        <f>'Total Weekday Boardings'!FF48/'Service Days per Month'!FF$4</f>
        <v>449.33333333333331</v>
      </c>
      <c r="FG48" s="33">
        <f>'Total Weekday Boardings'!FG48/'Service Days per Month'!FG$4</f>
        <v>394.38095238095241</v>
      </c>
      <c r="FH48" s="34">
        <f>'Total Weekday Boardings'!FH48/'Service Days per Month'!FH$4</f>
        <v>338.5</v>
      </c>
      <c r="FI48" s="32">
        <v>356.15</v>
      </c>
      <c r="FJ48" s="33">
        <v>385.08695652173913</v>
      </c>
      <c r="FK48" s="33">
        <v>379.52380952380952</v>
      </c>
      <c r="FL48" s="33">
        <v>377.38095238095241</v>
      </c>
      <c r="FM48" s="33">
        <v>392.1904761904762</v>
      </c>
      <c r="FN48" s="33">
        <v>417.23809523809524</v>
      </c>
      <c r="FO48" s="33">
        <v>435.95238095238096</v>
      </c>
      <c r="FP48" s="33">
        <v>371.6</v>
      </c>
      <c r="FQ48" s="33">
        <v>457.60869565217394</v>
      </c>
      <c r="FR48" s="33">
        <f>'Total Weekday Boardings'!FR48/20</f>
        <v>466.6</v>
      </c>
      <c r="FS48" s="33">
        <f>'Total Weekday Boardings'!FS48/22</f>
        <v>423.04545454545456</v>
      </c>
      <c r="FT48" s="36">
        <f>'Total Weekday Boardings'!FT48/23</f>
        <v>391.91304347826087</v>
      </c>
      <c r="FU48" s="32">
        <f>'Total Weekday Boardings'!FU48/21</f>
        <v>417.8095238095238</v>
      </c>
      <c r="FV48" s="33">
        <f>'Total Weekday Boardings'!FV48/23</f>
        <v>439.47826086956519</v>
      </c>
      <c r="FW48" s="33">
        <f>'Total Weekday Boardings'!FW48/21</f>
        <v>424.47619047619048</v>
      </c>
      <c r="FX48" s="33">
        <f>'Total Weekday Boardings'!FX48/22</f>
        <v>450.40909090909093</v>
      </c>
      <c r="FY48" s="33">
        <f>'Total Weekday Boardings'!FY48/22</f>
        <v>394.36363636363637</v>
      </c>
      <c r="FZ48" s="33">
        <f>'Total Weekday Boardings'!FZ48/21</f>
        <v>374.71428571428572</v>
      </c>
      <c r="GA48" s="33">
        <f>'Total Weekday Boardings'!GA48/23</f>
        <v>403.13043478260869</v>
      </c>
      <c r="GB48" s="33">
        <f>'Total Weekday Boardings'!GB48/21</f>
        <v>456.09523809523807</v>
      </c>
      <c r="GC48" s="33">
        <f>'Total Weekday Boardings'!GC48/21</f>
        <v>402.1904761904762</v>
      </c>
      <c r="GD48" s="33">
        <f>'Total Weekday Boardings'!GD48/22</f>
        <v>390.22727272727275</v>
      </c>
      <c r="GE48" s="13">
        <f>'Total Weekday Boardings'!GE48/23</f>
        <v>364.95652173913044</v>
      </c>
      <c r="GF48" s="13">
        <f>'Total Weekday Boardings'!GF48/20</f>
        <v>414.7</v>
      </c>
      <c r="GG48" s="21">
        <f>'Total Weekday Boardings'!GG48/23</f>
        <v>417.3478260869565</v>
      </c>
      <c r="GH48" s="13">
        <f>'Total Weekday Boardings'!GH48/22</f>
        <v>476</v>
      </c>
      <c r="GI48" s="13">
        <f>'Total Weekday Boardings'!GI48/21</f>
        <v>463.76190476190476</v>
      </c>
      <c r="GJ48" s="13">
        <f>'Total Weekday Boardings'!GJ48/23</f>
        <v>469.17391304347825</v>
      </c>
      <c r="GK48" s="13">
        <f>'Total Weekday Boardings'!GK48/21</f>
        <v>397.8095238095238</v>
      </c>
      <c r="GL48" s="13">
        <f>'Total Weekday Boardings'!GL48/22</f>
        <v>358.5</v>
      </c>
    </row>
    <row r="49" spans="1:194" ht="15.75" customHeight="1" thickBot="1" x14ac:dyDescent="0.35">
      <c r="A49" s="94" t="s">
        <v>70</v>
      </c>
      <c r="B49" s="27"/>
      <c r="C49" s="28"/>
      <c r="D49" s="28"/>
      <c r="E49" s="28"/>
      <c r="F49" s="28"/>
      <c r="G49" s="28"/>
      <c r="H49" s="29"/>
      <c r="I49" s="30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27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9"/>
      <c r="AS49" s="30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31"/>
      <c r="BE49" s="27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9"/>
      <c r="BQ49" s="30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31"/>
      <c r="CC49" s="27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9"/>
      <c r="CO49" s="30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9"/>
      <c r="DA49" s="27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9"/>
      <c r="DM49" s="27"/>
      <c r="DN49" s="28"/>
      <c r="DO49" s="28"/>
      <c r="DP49" s="28"/>
      <c r="DQ49" s="28"/>
      <c r="DR49" s="28"/>
      <c r="DS49" s="28"/>
      <c r="DT49" s="28"/>
      <c r="DU49" s="28"/>
      <c r="DV49" s="28"/>
      <c r="DW49" s="28">
        <f>'Total Weekday Boardings'!DW49/'Service Days per Month'!DW$8</f>
        <v>1941.4444444444443</v>
      </c>
      <c r="DX49" s="29">
        <v>1934</v>
      </c>
      <c r="DY49" s="27">
        <f>'Total Weekday Boardings'!DY49/'Service Days per Month'!DY$4</f>
        <v>1971.090909090909</v>
      </c>
      <c r="DZ49" s="28">
        <f>'Total Weekday Boardings'!DZ49/'Service Days per Month'!DZ$4</f>
        <v>2032.8636363636363</v>
      </c>
      <c r="EA49" s="28">
        <f>'Total Weekday Boardings'!EA49/'Service Days per Month'!EA$4</f>
        <v>2173.8000000000002</v>
      </c>
      <c r="EB49" s="28">
        <f>'Total Weekday Boardings'!EB49/'Service Days per Month'!EB$4</f>
        <v>2047.304347826087</v>
      </c>
      <c r="EC49" s="28">
        <f>'Total Weekday Boardings'!EC49/'Service Days per Month'!EC$4</f>
        <v>2188</v>
      </c>
      <c r="ED49" s="28">
        <f>'Total Weekday Boardings'!ED49/'Service Days per Month'!ED$4</f>
        <v>2131.7142857142858</v>
      </c>
      <c r="EE49" s="28">
        <f>'Total Weekday Boardings'!EE49/'Service Days per Month'!EE$4</f>
        <v>2235.086956521739</v>
      </c>
      <c r="EF49" s="28">
        <f>'Total Weekday Boardings'!EF49/'Service Days per Month'!EF$4</f>
        <v>2511.5</v>
      </c>
      <c r="EG49" s="28">
        <f>'Total Weekday Boardings'!EG49/'Service Days per Month'!EG$4</f>
        <v>994.63636363636363</v>
      </c>
      <c r="EH49" s="28">
        <f>'Total Weekday Boardings'!EH49/'Service Days per Month'!EH$4</f>
        <v>709.81818181818187</v>
      </c>
      <c r="EI49" s="28">
        <f>'Total Weekday Boardings'!EI49/'Service Days per Month'!EI$4</f>
        <v>721.65</v>
      </c>
      <c r="EJ49" s="29">
        <f>'Total Weekday Boardings'!EJ49/'Service Days per Month'!EJ$4</f>
        <v>692.31818181818187</v>
      </c>
      <c r="EK49" s="27">
        <f>'Total Weekday Boardings'!EK49/'Service Days per Month'!EK$4</f>
        <v>663.36363636363637</v>
      </c>
      <c r="EL49" s="28">
        <f>'Total Weekday Boardings'!EL49/'Service Days per Month'!EL$4</f>
        <v>700.42857142857144</v>
      </c>
      <c r="EM49" s="28">
        <f>'Total Weekday Boardings'!EM49/'Service Days per Month'!EM$4</f>
        <v>653.71428571428567</v>
      </c>
      <c r="EN49" s="28">
        <f>'Total Weekday Boardings'!EN49/'Service Days per Month'!EN$4</f>
        <v>617.09090909090912</v>
      </c>
      <c r="EO49" s="28">
        <f>'Total Weekday Boardings'!EO49/'Service Days per Month'!EO$4</f>
        <v>1344.2</v>
      </c>
      <c r="EP49" s="28">
        <f>'Total Weekday Boardings'!EP49/'Service Days per Month'!EP$4</f>
        <v>313.04545454545456</v>
      </c>
      <c r="EQ49" s="28">
        <f>'Total Weekday Boardings'!EQ49/'Service Days per Month'!EQ$4</f>
        <v>271.23809523809524</v>
      </c>
      <c r="ER49" s="28">
        <f>'Total Weekday Boardings'!ER49/'Service Days per Month'!ER$4</f>
        <v>604.1</v>
      </c>
      <c r="ES49" s="28">
        <f>'Total Weekday Boardings'!ES49/'Service Days per Month'!ES$4</f>
        <v>440</v>
      </c>
      <c r="ET49" s="28">
        <f>'Total Weekday Boardings'!ET49/'Service Days per Month'!ET$4</f>
        <v>1222</v>
      </c>
      <c r="EU49" s="28">
        <f>'Total Weekday Boardings'!EU49/'Service Days per Month'!EU$4</f>
        <v>1130.3499999999999</v>
      </c>
      <c r="EV49" s="29">
        <f>'Total Weekday Boardings'!EV49/'Service Days per Month'!EV$4</f>
        <v>1261.1363636363637</v>
      </c>
      <c r="EW49" s="27">
        <f>'Total Weekday Boardings'!EW49/'Service Days per Month'!EW$4</f>
        <v>1228.3333333333333</v>
      </c>
      <c r="EX49" s="28">
        <f>'Total Weekday Boardings'!EX49/'Service Days per Month'!EX$4</f>
        <v>1326.090909090909</v>
      </c>
      <c r="EY49" s="28">
        <f>'Total Weekday Boardings'!EY49/'Service Days per Month'!EY$4</f>
        <v>1359.4761904761904</v>
      </c>
      <c r="EZ49" s="28">
        <f>'Total Weekday Boardings'!EZ49/'Service Days per Month'!EZ$4</f>
        <v>1344.8095238095239</v>
      </c>
      <c r="FA49" s="28">
        <f>'Total Weekday Boardings'!FA49/'Service Days per Month'!FA$4</f>
        <v>1344.5238095238096</v>
      </c>
      <c r="FB49" s="28">
        <f>'Total Weekday Boardings'!FB49/'Service Days per Month'!FB$4</f>
        <v>1264.2272727272727</v>
      </c>
      <c r="FC49" s="28">
        <f>'Total Weekday Boardings'!FC49/'Service Days per Month'!FC$4</f>
        <v>1306.7619047619048</v>
      </c>
      <c r="FD49" s="28">
        <f>'Total Weekday Boardings'!FD49/'Service Days per Month'!FD$4</f>
        <v>1593.9</v>
      </c>
      <c r="FE49" s="28">
        <f>'Total Weekday Boardings'!FE49/'Service Days per Month'!FE$4</f>
        <v>1613.7826086956522</v>
      </c>
      <c r="FF49" s="28">
        <f>'Total Weekday Boardings'!FF49/'Service Days per Month'!FF$4</f>
        <v>1536.7142857142858</v>
      </c>
      <c r="FG49" s="28">
        <f>'Total Weekday Boardings'!FG49/'Service Days per Month'!FG$4</f>
        <v>1349.047619047619</v>
      </c>
      <c r="FH49" s="29">
        <f>'Total Weekday Boardings'!FH49/'Service Days per Month'!FH$4</f>
        <v>1225.5454545454545</v>
      </c>
      <c r="FI49" s="27">
        <v>1313.75</v>
      </c>
      <c r="FJ49" s="28">
        <v>1333.6521739130435</v>
      </c>
      <c r="FK49" s="28">
        <v>1419.2857142857142</v>
      </c>
      <c r="FL49" s="28">
        <v>1350.5238095238096</v>
      </c>
      <c r="FM49" s="28">
        <v>1321.8571428571429</v>
      </c>
      <c r="FN49" s="28">
        <v>1330.047619047619</v>
      </c>
      <c r="FO49" s="28">
        <v>1458.7619047619048</v>
      </c>
      <c r="FP49" s="28">
        <v>535</v>
      </c>
      <c r="FQ49" s="28">
        <v>1719.5652173913043</v>
      </c>
      <c r="FR49" s="28">
        <f>'Total Weekday Boardings'!FR49/20</f>
        <v>1696.6</v>
      </c>
      <c r="FS49" s="28">
        <f>'Total Weekday Boardings'!FS49/22</f>
        <v>1542.3636363636363</v>
      </c>
      <c r="FT49" s="31">
        <f>'Total Weekday Boardings'!FT49/23</f>
        <v>1284.9130434782608</v>
      </c>
      <c r="FU49" s="27">
        <f>'Total Weekday Boardings'!FU49/21</f>
        <v>1380.4285714285713</v>
      </c>
      <c r="FV49" s="28">
        <f>'Total Weekday Boardings'!FV49/23</f>
        <v>1436.695652173913</v>
      </c>
      <c r="FW49" s="28">
        <f>'Total Weekday Boardings'!FW49/21</f>
        <v>1385.1904761904761</v>
      </c>
      <c r="FX49" s="28">
        <f>'Total Weekday Boardings'!FX49/22</f>
        <v>1612.8181818181818</v>
      </c>
      <c r="FY49" s="28">
        <f>'Total Weekday Boardings'!FY49/22</f>
        <v>1507.4545454545455</v>
      </c>
      <c r="FZ49" s="28">
        <f>'Total Weekday Boardings'!FZ49/21</f>
        <v>1521.1428571428571</v>
      </c>
      <c r="GA49" s="28">
        <f>'Total Weekday Boardings'!GA49/23</f>
        <v>1502.5217391304348</v>
      </c>
      <c r="GB49" s="28">
        <f>'Total Weekday Boardings'!GB49/21</f>
        <v>1828.6666666666667</v>
      </c>
      <c r="GC49" s="28">
        <f>'Total Weekday Boardings'!GC49/21</f>
        <v>1647.047619047619</v>
      </c>
      <c r="GD49" s="28">
        <f>'Total Weekday Boardings'!GD49/22</f>
        <v>1745.590909090909</v>
      </c>
      <c r="GE49" s="13">
        <f>'Total Weekday Boardings'!GE49/23</f>
        <v>1539.4347826086957</v>
      </c>
      <c r="GF49" s="13">
        <f>'Total Weekday Boardings'!GF49/20</f>
        <v>1488.85</v>
      </c>
      <c r="GG49" s="21">
        <f>'Total Weekday Boardings'!GG49/23</f>
        <v>1662.695652173913</v>
      </c>
      <c r="GH49" s="13">
        <f>'Total Weekday Boardings'!GH49/22</f>
        <v>1886.2272727272727</v>
      </c>
      <c r="GI49" s="13">
        <f>'Total Weekday Boardings'!GI49/21</f>
        <v>1944.5714285714287</v>
      </c>
      <c r="GJ49" s="13">
        <f>'Total Weekday Boardings'!GJ49/23</f>
        <v>1959.3478260869565</v>
      </c>
      <c r="GK49" s="13">
        <f>'Total Weekday Boardings'!GK49/21</f>
        <v>1749.5714285714287</v>
      </c>
      <c r="GL49" s="13">
        <f>'Total Weekday Boardings'!GL49/22</f>
        <v>1823.8181818181818</v>
      </c>
    </row>
    <row r="50" spans="1:194" s="5" customFormat="1" x14ac:dyDescent="0.3">
      <c r="A50" s="45" t="s">
        <v>51</v>
      </c>
      <c r="B50" s="47"/>
      <c r="C50" s="48">
        <f t="shared" ref="C50:BN50" si="0">SUM(C7:C47)</f>
        <v>29159</v>
      </c>
      <c r="D50" s="48">
        <f t="shared" si="0"/>
        <v>35276.700000000004</v>
      </c>
      <c r="E50" s="48">
        <f t="shared" si="0"/>
        <v>34375.954545454537</v>
      </c>
      <c r="F50" s="48">
        <f t="shared" si="0"/>
        <v>37385.545454545449</v>
      </c>
      <c r="G50" s="48">
        <f t="shared" si="0"/>
        <v>33553.25</v>
      </c>
      <c r="H50" s="49">
        <f t="shared" si="0"/>
        <v>29469.090909090912</v>
      </c>
      <c r="I50" s="47">
        <f t="shared" si="0"/>
        <v>25400.043478260872</v>
      </c>
      <c r="J50" s="48">
        <f t="shared" si="0"/>
        <v>33111.190476190481</v>
      </c>
      <c r="K50" s="48">
        <f t="shared" si="0"/>
        <v>40771.809523809527</v>
      </c>
      <c r="L50" s="48">
        <f t="shared" si="0"/>
        <v>41077.181818181823</v>
      </c>
      <c r="M50" s="48">
        <f t="shared" si="0"/>
        <v>40211.049999999996</v>
      </c>
      <c r="N50" s="48">
        <f t="shared" si="0"/>
        <v>35535.863636363632</v>
      </c>
      <c r="O50" s="48">
        <f t="shared" si="0"/>
        <v>37207.75</v>
      </c>
      <c r="P50" s="48">
        <f t="shared" si="0"/>
        <v>41333.199999999997</v>
      </c>
      <c r="Q50" s="48">
        <f t="shared" si="0"/>
        <v>41412.652173913055</v>
      </c>
      <c r="R50" s="48">
        <f t="shared" si="0"/>
        <v>44931.818181818169</v>
      </c>
      <c r="S50" s="48">
        <f t="shared" si="0"/>
        <v>37266.80000000001</v>
      </c>
      <c r="T50" s="49">
        <f t="shared" si="0"/>
        <v>35419.545454545441</v>
      </c>
      <c r="U50" s="47">
        <f t="shared" si="0"/>
        <v>29634.714285714286</v>
      </c>
      <c r="V50" s="48">
        <f t="shared" si="0"/>
        <v>38137.454545454537</v>
      </c>
      <c r="W50" s="48">
        <f t="shared" si="0"/>
        <v>44577.142857142855</v>
      </c>
      <c r="X50" s="48">
        <f t="shared" si="0"/>
        <v>43425.380952380954</v>
      </c>
      <c r="Y50" s="48">
        <f t="shared" si="0"/>
        <v>43234.57894736842</v>
      </c>
      <c r="Z50" s="48">
        <f t="shared" si="0"/>
        <v>37470.952380952374</v>
      </c>
      <c r="AA50" s="48">
        <f t="shared" si="0"/>
        <v>41529.75</v>
      </c>
      <c r="AB50" s="48">
        <f t="shared" si="0"/>
        <v>45073.631578947381</v>
      </c>
      <c r="AC50" s="48">
        <f t="shared" si="0"/>
        <v>42234.434782608689</v>
      </c>
      <c r="AD50" s="48">
        <f t="shared" si="0"/>
        <v>45146.428571428572</v>
      </c>
      <c r="AE50" s="48">
        <f t="shared" si="0"/>
        <v>36731.571428571435</v>
      </c>
      <c r="AF50" s="49">
        <f t="shared" si="0"/>
        <v>33824.13636363636</v>
      </c>
      <c r="AG50" s="47">
        <f t="shared" si="0"/>
        <v>33487.85</v>
      </c>
      <c r="AH50" s="48">
        <f t="shared" si="0"/>
        <v>40417.260869565216</v>
      </c>
      <c r="AI50" s="48">
        <f t="shared" si="0"/>
        <v>47818.42857142858</v>
      </c>
      <c r="AJ50" s="48">
        <f t="shared" si="0"/>
        <v>45866.809523809527</v>
      </c>
      <c r="AK50" s="48">
        <f t="shared" si="0"/>
        <v>42451.421052631566</v>
      </c>
      <c r="AL50" s="48">
        <f t="shared" si="0"/>
        <v>37064.142857142862</v>
      </c>
      <c r="AM50" s="48">
        <f t="shared" si="0"/>
        <v>44086.500000000007</v>
      </c>
      <c r="AN50" s="48">
        <f t="shared" si="0"/>
        <v>44578.850000000006</v>
      </c>
      <c r="AO50" s="48">
        <f t="shared" si="0"/>
        <v>43855.909090909096</v>
      </c>
      <c r="AP50" s="48">
        <f t="shared" si="0"/>
        <v>47400.047619047618</v>
      </c>
      <c r="AQ50" s="48">
        <f t="shared" si="0"/>
        <v>40110.636363636375</v>
      </c>
      <c r="AR50" s="49">
        <f t="shared" si="0"/>
        <v>33111.952380952389</v>
      </c>
      <c r="AS50" s="47">
        <f t="shared" si="0"/>
        <v>34167.904761904763</v>
      </c>
      <c r="AT50" s="48">
        <f t="shared" si="0"/>
        <v>42053.695652173919</v>
      </c>
      <c r="AU50" s="48">
        <f t="shared" si="0"/>
        <v>49486.57894736842</v>
      </c>
      <c r="AV50" s="48">
        <f t="shared" si="0"/>
        <v>48902.565217391289</v>
      </c>
      <c r="AW50" s="48">
        <f t="shared" si="0"/>
        <v>50298.157894736847</v>
      </c>
      <c r="AX50" s="48">
        <f t="shared" si="0"/>
        <v>43412.684210526306</v>
      </c>
      <c r="AY50" s="48">
        <f t="shared" si="0"/>
        <v>45126.285714285717</v>
      </c>
      <c r="AZ50" s="48">
        <f t="shared" si="0"/>
        <v>48608.42105263158</v>
      </c>
      <c r="BA50" s="48">
        <f t="shared" si="0"/>
        <v>45203.476190476184</v>
      </c>
      <c r="BB50" s="48">
        <f t="shared" si="0"/>
        <v>48126.227272727279</v>
      </c>
      <c r="BC50" s="48">
        <f t="shared" si="0"/>
        <v>41243.818181818177</v>
      </c>
      <c r="BD50" s="49">
        <f t="shared" si="0"/>
        <v>36631.150000000009</v>
      </c>
      <c r="BE50" s="47">
        <f t="shared" si="0"/>
        <v>34667.181818181831</v>
      </c>
      <c r="BF50" s="48">
        <f t="shared" si="0"/>
        <v>41844.772727272713</v>
      </c>
      <c r="BG50" s="48">
        <f t="shared" si="0"/>
        <v>48810.000000000007</v>
      </c>
      <c r="BH50" s="48">
        <f t="shared" si="0"/>
        <v>46491.869565217385</v>
      </c>
      <c r="BI50" s="48">
        <f t="shared" si="0"/>
        <v>49053.888888888891</v>
      </c>
      <c r="BJ50" s="48">
        <f t="shared" si="0"/>
        <v>40200.149999999994</v>
      </c>
      <c r="BK50" s="48">
        <f t="shared" si="0"/>
        <v>46273.476190476184</v>
      </c>
      <c r="BL50" s="48">
        <f t="shared" si="0"/>
        <v>48924.210526315786</v>
      </c>
      <c r="BM50" s="48">
        <f t="shared" si="0"/>
        <v>47781.476190476184</v>
      </c>
      <c r="BN50" s="48">
        <f t="shared" si="0"/>
        <v>47020.863636363632</v>
      </c>
      <c r="BO50" s="48">
        <f t="shared" ref="BO50:CY50" si="1">SUM(BO7:BO47)</f>
        <v>40705.333333333336</v>
      </c>
      <c r="BP50" s="49">
        <f t="shared" si="1"/>
        <v>37654.047619047618</v>
      </c>
      <c r="BQ50" s="47">
        <f t="shared" si="1"/>
        <v>34117.863636363647</v>
      </c>
      <c r="BR50" s="48">
        <f t="shared" si="1"/>
        <v>41876.333333333328</v>
      </c>
      <c r="BS50" s="48">
        <f t="shared" si="1"/>
        <v>47573.952380952367</v>
      </c>
      <c r="BT50" s="48">
        <f t="shared" si="1"/>
        <v>46557.52173913044</v>
      </c>
      <c r="BU50" s="48">
        <f t="shared" si="1"/>
        <v>47304.411764705881</v>
      </c>
      <c r="BV50" s="48">
        <f t="shared" si="1"/>
        <v>40536.57142857142</v>
      </c>
      <c r="BW50" s="48">
        <f t="shared" si="1"/>
        <v>50489.8</v>
      </c>
      <c r="BX50" s="48">
        <f t="shared" si="1"/>
        <v>47379.631578947374</v>
      </c>
      <c r="BY50" s="48">
        <f t="shared" si="1"/>
        <v>44592.090909090904</v>
      </c>
      <c r="BZ50" s="48">
        <f t="shared" si="1"/>
        <v>45699.954545454544</v>
      </c>
      <c r="CA50" s="48">
        <f t="shared" si="1"/>
        <v>40016.449999999997</v>
      </c>
      <c r="CB50" s="49">
        <f t="shared" si="1"/>
        <v>36470.045454545456</v>
      </c>
      <c r="CC50" s="50">
        <f t="shared" si="1"/>
        <v>34406.363636363632</v>
      </c>
      <c r="CD50" s="48">
        <f t="shared" si="1"/>
        <v>45973.976190476191</v>
      </c>
      <c r="CE50" s="48">
        <f t="shared" si="1"/>
        <v>51019.238095238099</v>
      </c>
      <c r="CF50" s="48">
        <f t="shared" si="1"/>
        <v>50474.863636363625</v>
      </c>
      <c r="CG50" s="48">
        <f t="shared" si="1"/>
        <v>49956.555555555577</v>
      </c>
      <c r="CH50" s="48">
        <f t="shared" si="1"/>
        <v>43396.904761904756</v>
      </c>
      <c r="CI50" s="48">
        <f t="shared" si="1"/>
        <v>48289.31578947368</v>
      </c>
      <c r="CJ50" s="48">
        <f t="shared" si="1"/>
        <v>49647.75</v>
      </c>
      <c r="CK50" s="48">
        <f t="shared" si="1"/>
        <v>51511.917874396146</v>
      </c>
      <c r="CL50" s="48">
        <f t="shared" si="1"/>
        <v>53905.809523809512</v>
      </c>
      <c r="CM50" s="48">
        <f t="shared" si="1"/>
        <v>47548.380952380954</v>
      </c>
      <c r="CN50" s="51">
        <f t="shared" si="1"/>
        <v>45368.136363636368</v>
      </c>
      <c r="CO50" s="47">
        <f t="shared" si="1"/>
        <v>43002</v>
      </c>
      <c r="CP50" s="48">
        <f t="shared" si="1"/>
        <v>49508.391304347839</v>
      </c>
      <c r="CQ50" s="48">
        <f t="shared" si="1"/>
        <v>53018.761904761894</v>
      </c>
      <c r="CR50" s="48">
        <f t="shared" si="1"/>
        <v>52301.999999999993</v>
      </c>
      <c r="CS50" s="48">
        <f t="shared" si="1"/>
        <v>51948.42105263158</v>
      </c>
      <c r="CT50" s="48">
        <f t="shared" si="1"/>
        <v>45838.476190476198</v>
      </c>
      <c r="CU50" s="48">
        <f t="shared" si="1"/>
        <v>51310.55000000001</v>
      </c>
      <c r="CV50" s="48">
        <f t="shared" si="1"/>
        <v>53762.578947368434</v>
      </c>
      <c r="CW50" s="48">
        <f t="shared" si="1"/>
        <v>51932.043478260872</v>
      </c>
      <c r="CX50" s="48">
        <f t="shared" si="1"/>
        <v>52910.200000000004</v>
      </c>
      <c r="CY50" s="48">
        <f t="shared" si="1"/>
        <v>48395.045454545441</v>
      </c>
      <c r="CZ50" s="49">
        <f t="shared" ref="CZ50:DL50" si="2">SUM(CZ7:CZ47)</f>
        <v>43450.818181818191</v>
      </c>
      <c r="DA50" s="47">
        <f t="shared" si="2"/>
        <v>41362.050000000003</v>
      </c>
      <c r="DB50" s="48">
        <f t="shared" si="2"/>
        <v>49049.521739130432</v>
      </c>
      <c r="DC50" s="48">
        <f t="shared" si="2"/>
        <v>51526.299999999988</v>
      </c>
      <c r="DD50" s="48">
        <f t="shared" si="2"/>
        <v>51498.500000000007</v>
      </c>
      <c r="DE50" s="48">
        <f t="shared" si="2"/>
        <v>50337.105263157908</v>
      </c>
      <c r="DF50" s="48">
        <f t="shared" si="2"/>
        <v>45018.15</v>
      </c>
      <c r="DG50" s="48">
        <f t="shared" si="2"/>
        <v>49004.952380952389</v>
      </c>
      <c r="DH50" s="48">
        <f t="shared" si="2"/>
        <v>50851.368421052626</v>
      </c>
      <c r="DI50" s="48">
        <f t="shared" si="2"/>
        <v>49258.363636363654</v>
      </c>
      <c r="DJ50" s="48">
        <f t="shared" si="2"/>
        <v>50538</v>
      </c>
      <c r="DK50" s="48">
        <f t="shared" si="2"/>
        <v>45018.181818181823</v>
      </c>
      <c r="DL50" s="49">
        <f t="shared" si="2"/>
        <v>41280.571428571435</v>
      </c>
      <c r="DM50" s="47">
        <f t="shared" ref="DM50:DV50" si="3">SUM(DM7:DM47)</f>
        <v>39610.857142857145</v>
      </c>
      <c r="DN50" s="48">
        <f t="shared" si="3"/>
        <v>46041.999999999993</v>
      </c>
      <c r="DO50" s="48">
        <f t="shared" si="3"/>
        <v>49155.526315789473</v>
      </c>
      <c r="DP50" s="48">
        <f t="shared" si="3"/>
        <v>48789.826086956527</v>
      </c>
      <c r="DQ50" s="48">
        <f t="shared" si="3"/>
        <v>48324.952380952389</v>
      </c>
      <c r="DR50" s="48">
        <f t="shared" si="3"/>
        <v>43259.149999999994</v>
      </c>
      <c r="DS50" s="48">
        <f t="shared" si="3"/>
        <v>47340.86363636364</v>
      </c>
      <c r="DT50" s="48">
        <f t="shared" si="3"/>
        <v>47063.100000000013</v>
      </c>
      <c r="DU50" s="48">
        <f t="shared" si="3"/>
        <v>46608.238095238099</v>
      </c>
      <c r="DV50" s="48">
        <f t="shared" si="3"/>
        <v>43106.272727272728</v>
      </c>
      <c r="DW50" s="48">
        <f t="shared" ref="DW50:EJ50" si="4">SUM(DW7:DW49)</f>
        <v>44335.974747474749</v>
      </c>
      <c r="DX50" s="49">
        <f t="shared" si="4"/>
        <v>41506.000000000007</v>
      </c>
      <c r="DY50" s="47">
        <f t="shared" si="4"/>
        <v>38659.818181818177</v>
      </c>
      <c r="DZ50" s="48">
        <f t="shared" si="4"/>
        <v>44892.999999999993</v>
      </c>
      <c r="EA50" s="48">
        <f t="shared" si="4"/>
        <v>49268.55000000001</v>
      </c>
      <c r="EB50" s="48">
        <f t="shared" si="4"/>
        <v>49049.260869565231</v>
      </c>
      <c r="EC50" s="48">
        <f t="shared" si="4"/>
        <v>48727.94999999999</v>
      </c>
      <c r="ED50" s="48">
        <f t="shared" si="4"/>
        <v>43297.809523809505</v>
      </c>
      <c r="EE50" s="48">
        <f t="shared" si="4"/>
        <v>44074.65217391304</v>
      </c>
      <c r="EF50" s="48">
        <f t="shared" si="4"/>
        <v>49185.45</v>
      </c>
      <c r="EG50" s="48">
        <f t="shared" si="4"/>
        <v>34138.909090909096</v>
      </c>
      <c r="EH50" s="48">
        <f t="shared" si="4"/>
        <v>20552.909090909088</v>
      </c>
      <c r="EI50" s="48">
        <f t="shared" si="4"/>
        <v>20308.700000000004</v>
      </c>
      <c r="EJ50" s="49">
        <f t="shared" si="4"/>
        <v>19151.863636363636</v>
      </c>
      <c r="EK50" s="47">
        <f t="shared" ref="EK50:EV50" si="5">SUM(EK7:EK49)</f>
        <v>18347.181818181809</v>
      </c>
      <c r="EL50" s="48">
        <f t="shared" si="5"/>
        <v>18643.857142857141</v>
      </c>
      <c r="EM50" s="48">
        <f t="shared" si="5"/>
        <v>19321.761904761905</v>
      </c>
      <c r="EN50" s="48">
        <f t="shared" si="5"/>
        <v>19919</v>
      </c>
      <c r="EO50" s="48">
        <f t="shared" si="5"/>
        <v>21231.300000000003</v>
      </c>
      <c r="EP50" s="48">
        <f t="shared" si="5"/>
        <v>14605.68181818182</v>
      </c>
      <c r="EQ50" s="48">
        <f t="shared" si="5"/>
        <v>8161.8095238095248</v>
      </c>
      <c r="ER50" s="48">
        <f t="shared" si="5"/>
        <v>16702.7</v>
      </c>
      <c r="ES50" s="48">
        <f t="shared" si="5"/>
        <v>17333.217391304348</v>
      </c>
      <c r="ET50" s="48">
        <f t="shared" si="5"/>
        <v>20909.590909090908</v>
      </c>
      <c r="EU50" s="48">
        <f t="shared" si="5"/>
        <v>18958.850000000002</v>
      </c>
      <c r="EV50" s="49">
        <f t="shared" si="5"/>
        <v>19652.863636363636</v>
      </c>
      <c r="EW50" s="47">
        <f t="shared" ref="EW50:FH50" si="6">SUM(EW7:EW49)</f>
        <v>19503.761904761908</v>
      </c>
      <c r="EX50" s="48">
        <f t="shared" si="6"/>
        <v>21914.863636363636</v>
      </c>
      <c r="EY50" s="48">
        <f t="shared" si="6"/>
        <v>24472.952380952374</v>
      </c>
      <c r="EZ50" s="48">
        <f t="shared" si="6"/>
        <v>24842.523809523806</v>
      </c>
      <c r="FA50" s="48">
        <f t="shared" si="6"/>
        <v>25413.333333333328</v>
      </c>
      <c r="FB50" s="48">
        <f t="shared" si="6"/>
        <v>22551.772727272717</v>
      </c>
      <c r="FC50" s="48">
        <f t="shared" si="6"/>
        <v>21978.285714285714</v>
      </c>
      <c r="FD50" s="48">
        <f t="shared" si="6"/>
        <v>28247.350000000002</v>
      </c>
      <c r="FE50" s="48">
        <f t="shared" si="6"/>
        <v>29301.000000000004</v>
      </c>
      <c r="FF50" s="48">
        <f t="shared" si="6"/>
        <v>28907.28571428571</v>
      </c>
      <c r="FG50" s="48">
        <f t="shared" si="6"/>
        <v>25978.285714285717</v>
      </c>
      <c r="FH50" s="49">
        <f t="shared" si="6"/>
        <v>21205.54545454546</v>
      </c>
      <c r="FI50" s="47">
        <v>22006.9</v>
      </c>
      <c r="FJ50" s="48">
        <v>25329.782608695656</v>
      </c>
      <c r="FK50" s="48">
        <v>28946.666666666672</v>
      </c>
      <c r="FL50" s="48">
        <v>27861.476190476187</v>
      </c>
      <c r="FM50" s="48">
        <v>26807.333333333332</v>
      </c>
      <c r="FN50" s="48">
        <v>25213.523809523809</v>
      </c>
      <c r="FO50" s="48">
        <v>28647.761904761905</v>
      </c>
      <c r="FP50" s="48">
        <v>26271.700000000004</v>
      </c>
      <c r="FQ50" s="48">
        <v>31040.304347826084</v>
      </c>
      <c r="FR50" s="48">
        <v>32470.999999999993</v>
      </c>
      <c r="FS50" s="48">
        <v>29894.81818181818</v>
      </c>
      <c r="FT50" s="51">
        <v>25054.999999999996</v>
      </c>
      <c r="FU50" s="47">
        <f>SUM(FU7:FU49)</f>
        <v>24421.714285714286</v>
      </c>
      <c r="FV50" s="48">
        <f t="shared" ref="FV50:FZ50" si="7">SUM(FV7:FV49)</f>
        <v>27873.695652173912</v>
      </c>
      <c r="FW50" s="48">
        <f t="shared" si="7"/>
        <v>27800.285714285714</v>
      </c>
      <c r="FX50" s="48">
        <f t="shared" si="7"/>
        <v>32214.727272727283</v>
      </c>
      <c r="FY50" s="48">
        <f t="shared" si="7"/>
        <v>29304.818181818177</v>
      </c>
      <c r="FZ50" s="48">
        <f t="shared" si="7"/>
        <v>26655.28571428571</v>
      </c>
      <c r="GA50" s="48">
        <f t="shared" ref="GA50:GD50" si="8">SUM(GA4:GA49)</f>
        <v>28654.782608695648</v>
      </c>
      <c r="GB50" s="48">
        <f t="shared" si="8"/>
        <v>33999.523809523809</v>
      </c>
      <c r="GC50" s="48">
        <f t="shared" si="8"/>
        <v>32079.761904761901</v>
      </c>
      <c r="GD50" s="48">
        <f t="shared" si="8"/>
        <v>30920.363636363651</v>
      </c>
      <c r="GE50" s="13">
        <f>'Total Weekday Boardings'!GE50/23</f>
        <v>28193.739130434784</v>
      </c>
      <c r="GF50" s="13">
        <f>'Total Weekday Boardings'!GF50/20</f>
        <v>27170.75</v>
      </c>
      <c r="GG50" s="21">
        <f>'Total Weekday Boardings'!GG50/23</f>
        <v>25444.521739130436</v>
      </c>
      <c r="GH50" s="13">
        <f>'Total Weekday Boardings'!GH50/22</f>
        <v>30366.18181818182</v>
      </c>
      <c r="GI50" s="13">
        <f>'Total Weekday Boardings'!GI50/21</f>
        <v>31699.238095238095</v>
      </c>
      <c r="GJ50" s="13">
        <f>'Total Weekday Boardings'!GJ50/23</f>
        <v>31421.91304347826</v>
      </c>
      <c r="GK50" s="13">
        <f>'Total Weekday Boardings'!GK50/21</f>
        <v>29410.523809523809</v>
      </c>
      <c r="GL50" s="13">
        <f>'Total Weekday Boardings'!GL50/22</f>
        <v>26443.954545454544</v>
      </c>
    </row>
    <row r="51" spans="1:194" s="5" customFormat="1" x14ac:dyDescent="0.3">
      <c r="A51" s="45" t="s">
        <v>56</v>
      </c>
      <c r="B51" s="198">
        <f>AVERAGE(C50:H50)</f>
        <v>33203.256818181813</v>
      </c>
      <c r="C51" s="199"/>
      <c r="D51" s="199"/>
      <c r="E51" s="199"/>
      <c r="F51" s="199"/>
      <c r="G51" s="199"/>
      <c r="H51" s="200"/>
      <c r="I51" s="198">
        <f>AVERAGE(I50:T50)</f>
        <v>37806.575395256914</v>
      </c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200"/>
      <c r="U51" s="198">
        <f>AVERAGE(U50:AF50)</f>
        <v>40085.014724517154</v>
      </c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200"/>
      <c r="AG51" s="198">
        <f>AVERAGE(AG50:AR50)</f>
        <v>41687.484027426937</v>
      </c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200"/>
      <c r="AS51" s="198">
        <f>AVERAGE(AS50:BD50)</f>
        <v>44438.413758003378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200"/>
      <c r="BE51" s="198">
        <f>AVERAGE(BE50:BP50)</f>
        <v>44118.93920796446</v>
      </c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200"/>
      <c r="BQ51" s="198">
        <f>AVERAGE(BQ50:CB50)</f>
        <v>43551.21889759128</v>
      </c>
      <c r="BR51" s="199"/>
      <c r="BS51" s="199"/>
      <c r="BT51" s="199"/>
      <c r="BU51" s="199"/>
      <c r="BV51" s="199"/>
      <c r="BW51" s="199"/>
      <c r="BX51" s="199"/>
      <c r="BY51" s="199"/>
      <c r="BZ51" s="199"/>
      <c r="CA51" s="199"/>
      <c r="CB51" s="200"/>
      <c r="CC51" s="198">
        <f>AVERAGE(CC50:CN50)</f>
        <v>47624.934364966546</v>
      </c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200"/>
      <c r="CO51" s="198">
        <f>AVERAGE(CO50:CZ50)</f>
        <v>49781.60720951754</v>
      </c>
      <c r="CP51" s="199"/>
      <c r="CQ51" s="199"/>
      <c r="CR51" s="199"/>
      <c r="CS51" s="199"/>
      <c r="CT51" s="199"/>
      <c r="CU51" s="199"/>
      <c r="CV51" s="199"/>
      <c r="CW51" s="199"/>
      <c r="CX51" s="199"/>
      <c r="CY51" s="199"/>
      <c r="CZ51" s="200"/>
      <c r="DA51" s="198">
        <f>AVERAGE(DA50:DL50)</f>
        <v>47895.255390617524</v>
      </c>
      <c r="DB51" s="199"/>
      <c r="DC51" s="199"/>
      <c r="DD51" s="199"/>
      <c r="DE51" s="199"/>
      <c r="DF51" s="199"/>
      <c r="DG51" s="199"/>
      <c r="DH51" s="199"/>
      <c r="DI51" s="199"/>
      <c r="DJ51" s="199"/>
      <c r="DK51" s="199"/>
      <c r="DL51" s="200"/>
      <c r="DM51" s="198">
        <f>AVERAGE(DM50:DX50)</f>
        <v>45428.563427742069</v>
      </c>
      <c r="DN51" s="199"/>
      <c r="DO51" s="199"/>
      <c r="DP51" s="199"/>
      <c r="DQ51" s="199"/>
      <c r="DR51" s="199"/>
      <c r="DS51" s="199"/>
      <c r="DT51" s="199"/>
      <c r="DU51" s="199"/>
      <c r="DV51" s="199"/>
      <c r="DW51" s="199"/>
      <c r="DX51" s="200"/>
      <c r="DY51" s="198">
        <f>AVERAGE(DY50:EJ50)</f>
        <v>38442.406047273987</v>
      </c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200"/>
      <c r="EK51" s="198">
        <f>AVERAGE(EK50:EV50)</f>
        <v>17815.651178712596</v>
      </c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200"/>
      <c r="EW51" s="198">
        <f>AVERAGE(EW50:FH50)</f>
        <v>24526.413365800865</v>
      </c>
      <c r="EX51" s="199"/>
      <c r="EY51" s="199"/>
      <c r="EZ51" s="199"/>
      <c r="FA51" s="199"/>
      <c r="FB51" s="199"/>
      <c r="FC51" s="199"/>
      <c r="FD51" s="199"/>
      <c r="FE51" s="199"/>
      <c r="FF51" s="199"/>
      <c r="FG51" s="199"/>
      <c r="FH51" s="200"/>
      <c r="FI51" s="198">
        <f>AVERAGE(FI50:FT50)</f>
        <v>27462.188920258483</v>
      </c>
      <c r="FJ51" s="199"/>
      <c r="FK51" s="199"/>
      <c r="FL51" s="199"/>
      <c r="FM51" s="199"/>
      <c r="FN51" s="199"/>
      <c r="FO51" s="199"/>
      <c r="FP51" s="199"/>
      <c r="FQ51" s="199"/>
      <c r="FR51" s="199"/>
      <c r="FS51" s="199"/>
      <c r="FT51" s="199"/>
      <c r="FU51" s="198">
        <f>AVERAGE(FU50:GA50)</f>
        <v>28132.187061385815</v>
      </c>
      <c r="FV51" s="199"/>
      <c r="FW51" s="199"/>
      <c r="FX51" s="199"/>
      <c r="FY51" s="199"/>
      <c r="FZ51" s="199"/>
      <c r="GA51" s="199"/>
      <c r="GB51" s="199"/>
      <c r="GC51" s="199"/>
      <c r="GD51" s="199"/>
      <c r="GE51" s="199"/>
      <c r="GF51" s="200"/>
    </row>
    <row r="52" spans="1:194" x14ac:dyDescent="0.3">
      <c r="DY52" s="135"/>
      <c r="DZ52" s="135"/>
      <c r="EA52" s="135"/>
      <c r="EB52" s="135"/>
      <c r="EC52" s="135"/>
      <c r="ED52" s="135"/>
      <c r="EE52" s="135"/>
      <c r="EF52" s="135"/>
      <c r="EG52" s="135"/>
      <c r="EH52" s="135"/>
      <c r="EI52" s="135"/>
      <c r="EJ52" s="135"/>
      <c r="EK52" s="135"/>
      <c r="GF52" s="89"/>
    </row>
    <row r="54" spans="1:194" x14ac:dyDescent="0.3">
      <c r="A54" t="s">
        <v>94</v>
      </c>
      <c r="DA54" s="89"/>
    </row>
    <row r="55" spans="1:194" x14ac:dyDescent="0.3">
      <c r="DA55" s="90"/>
      <c r="FG55" s="206"/>
      <c r="FH55" s="206"/>
      <c r="FI55" s="206"/>
      <c r="FJ55" s="206"/>
      <c r="FK55" s="206"/>
      <c r="FL55" s="206"/>
      <c r="FM55" s="206"/>
      <c r="FN55" s="206"/>
      <c r="FO55" s="206"/>
      <c r="FP55" s="206"/>
      <c r="FQ55" s="206"/>
      <c r="FR55" s="206"/>
      <c r="FS55" s="206"/>
      <c r="FT55" s="206"/>
    </row>
    <row r="56" spans="1:194" ht="15" thickBot="1" x14ac:dyDescent="0.35">
      <c r="FG56" s="152"/>
      <c r="FH56" s="152"/>
      <c r="FI56" s="152"/>
      <c r="FJ56" s="152"/>
      <c r="FK56" s="152"/>
      <c r="FL56" s="152"/>
      <c r="FM56" s="152"/>
      <c r="FN56" s="152"/>
      <c r="FO56" s="172">
        <v>44949</v>
      </c>
      <c r="FP56" s="172">
        <v>44980</v>
      </c>
      <c r="FQ56" s="172">
        <v>45008</v>
      </c>
      <c r="FR56" s="172">
        <v>45039</v>
      </c>
      <c r="FS56" s="172">
        <v>45069</v>
      </c>
      <c r="FT56" s="172">
        <v>45100</v>
      </c>
      <c r="FU56" s="173">
        <v>45130</v>
      </c>
      <c r="FV56" s="173">
        <v>45161</v>
      </c>
      <c r="FW56" s="173">
        <v>45192</v>
      </c>
      <c r="FX56" s="173">
        <v>45222</v>
      </c>
      <c r="FY56" s="173">
        <v>45253</v>
      </c>
      <c r="FZ56" s="173">
        <v>45283</v>
      </c>
      <c r="GA56" s="173">
        <v>45315</v>
      </c>
      <c r="GB56" s="173">
        <v>45345</v>
      </c>
      <c r="GC56" s="173">
        <v>45374</v>
      </c>
      <c r="GD56" s="173">
        <v>45405</v>
      </c>
      <c r="GE56" s="173">
        <v>45435</v>
      </c>
      <c r="GF56" s="173">
        <v>45466</v>
      </c>
      <c r="GG56" s="173">
        <v>45496</v>
      </c>
      <c r="GH56" s="173">
        <v>45527</v>
      </c>
      <c r="GI56" s="173">
        <v>45559</v>
      </c>
      <c r="GJ56" s="173">
        <v>45590</v>
      </c>
      <c r="GK56" s="173">
        <v>45622</v>
      </c>
      <c r="GL56" s="173">
        <v>45653</v>
      </c>
    </row>
    <row r="57" spans="1:194" x14ac:dyDescent="0.3">
      <c r="A57" s="156" t="s">
        <v>80</v>
      </c>
      <c r="DA57" s="89"/>
      <c r="FF57" s="150"/>
      <c r="FO57" s="174">
        <v>157</v>
      </c>
      <c r="FP57" s="174">
        <v>124</v>
      </c>
      <c r="FQ57" s="145">
        <v>180</v>
      </c>
      <c r="FR57" s="145">
        <v>174.65</v>
      </c>
      <c r="FS57" s="145">
        <v>184.90909090909091</v>
      </c>
      <c r="FT57" s="145">
        <v>161.5</v>
      </c>
      <c r="FU57" s="18">
        <f>'Total Weekday Boardings'!FU56/21</f>
        <v>140.8095238095238</v>
      </c>
      <c r="FV57" s="18">
        <f>'Total Weekday Boardings'!FV56/23</f>
        <v>186.91304347826087</v>
      </c>
      <c r="FW57" s="18">
        <f>'Total Weekday Boardings'!FW56/21</f>
        <v>160.28571428571428</v>
      </c>
      <c r="FX57" s="18">
        <f>'Total Weekday Boardings'!FX56/22</f>
        <v>175.95454545454547</v>
      </c>
      <c r="FY57" s="18">
        <f>'Total Weekday Boardings'!FY56/22</f>
        <v>162</v>
      </c>
      <c r="FZ57" s="18">
        <f>'Total Weekday Boardings'!FZ56/21</f>
        <v>139.8095238095238</v>
      </c>
      <c r="GA57" s="18">
        <f>'Total Weekday Boardings'!GA56/23</f>
        <v>139</v>
      </c>
      <c r="GB57" s="18">
        <f>'Total Weekday Boardings'!GB56/21</f>
        <v>168.28571428571428</v>
      </c>
      <c r="GC57" s="18">
        <f>'Total Weekday Boardings'!GC56/21</f>
        <v>116.36143517499451</v>
      </c>
      <c r="GD57" s="18">
        <f>'Total Weekday Boardings'!GD56/22</f>
        <v>172.13636363636363</v>
      </c>
      <c r="GE57" s="18">
        <f>'Total Weekday Boardings'!GE56/23</f>
        <v>145.69565217391303</v>
      </c>
      <c r="GF57" s="18">
        <f>'Total Weekday Boardings'!GF56/20</f>
        <v>135.94999999999999</v>
      </c>
      <c r="GG57" s="18">
        <f>'Total Weekday Boardings'!GG56/23</f>
        <v>139.04347826086956</v>
      </c>
      <c r="GH57" s="18">
        <f>'Total Weekday Boardings'!GH56/22</f>
        <v>148.68181818181819</v>
      </c>
      <c r="GI57" s="18">
        <f>'Total Weekday Boardings'!GI56/21</f>
        <v>182.66666666666666</v>
      </c>
      <c r="GJ57" s="18">
        <f>'Total Weekday Boardings'!GJ56/23</f>
        <v>193.78260869565219</v>
      </c>
      <c r="GK57" s="18">
        <f>'Total Weekday Boardings'!GK56/21</f>
        <v>137.52380952380952</v>
      </c>
      <c r="GL57" s="18">
        <f>'Total Weekday Boardings'!GL56/22</f>
        <v>121.36363636363636</v>
      </c>
    </row>
    <row r="58" spans="1:194" x14ac:dyDescent="0.3">
      <c r="A58" s="157" t="s">
        <v>81</v>
      </c>
      <c r="DA58" s="89"/>
      <c r="DD58" s="89"/>
      <c r="FF58" s="150"/>
      <c r="FO58" s="174">
        <v>70</v>
      </c>
      <c r="FP58" s="174">
        <v>55</v>
      </c>
      <c r="FQ58" s="145">
        <v>74</v>
      </c>
      <c r="FR58" s="145">
        <v>69.5</v>
      </c>
      <c r="FS58" s="145">
        <v>73.454545454545453</v>
      </c>
      <c r="FT58" s="145">
        <v>87.954545454545453</v>
      </c>
      <c r="FU58" s="18">
        <f>'Total Weekday Boardings'!FU57/21</f>
        <v>77.666666666666671</v>
      </c>
      <c r="FV58" s="18">
        <f>'Total Weekday Boardings'!FV57/23</f>
        <v>80.826086956521735</v>
      </c>
      <c r="FW58" s="18">
        <f>'Total Weekday Boardings'!FW57/21</f>
        <v>76.714285714285708</v>
      </c>
      <c r="FX58" s="18">
        <f>'Total Weekday Boardings'!FX57/22</f>
        <v>48.090909090909093</v>
      </c>
      <c r="FY58" s="18">
        <f>'Total Weekday Boardings'!FY57/22</f>
        <v>39.772727272727273</v>
      </c>
      <c r="FZ58" s="18">
        <f>'Total Weekday Boardings'!FZ57/21</f>
        <v>27.19047619047619</v>
      </c>
      <c r="GA58" s="18">
        <f>'Total Weekday Boardings'!GA57/23</f>
        <v>40.913043478260867</v>
      </c>
      <c r="GB58" s="18">
        <f>'Total Weekday Boardings'!GB57/21</f>
        <v>43.428571428571431</v>
      </c>
      <c r="GC58" s="18">
        <f>'Total Weekday Boardings'!GC57/21</f>
        <v>36.132511556240374</v>
      </c>
      <c r="GD58" s="18">
        <f>'Total Weekday Boardings'!GD57/22</f>
        <v>42.31818181818182</v>
      </c>
      <c r="GE58" s="18">
        <f>'Total Weekday Boardings'!GE57/23</f>
        <v>24.608695652173914</v>
      </c>
      <c r="GF58" s="18">
        <f>'Total Weekday Boardings'!GF57/20</f>
        <v>30.35</v>
      </c>
      <c r="GG58" s="18">
        <f>'Total Weekday Boardings'!GG57/23</f>
        <v>38.260869565217391</v>
      </c>
      <c r="GH58" s="18">
        <f>'Total Weekday Boardings'!GH57/22</f>
        <v>33.545454545454547</v>
      </c>
      <c r="GI58" s="18">
        <f>'Total Weekday Boardings'!GI57/21</f>
        <v>45.142857142857146</v>
      </c>
      <c r="GJ58" s="18">
        <f>'Total Weekday Boardings'!GJ57/23</f>
        <v>40.478260869565219</v>
      </c>
      <c r="GK58" s="18">
        <f>'Total Weekday Boardings'!GK57/21</f>
        <v>37.142857142857146</v>
      </c>
      <c r="GL58" s="18">
        <f>'Total Weekday Boardings'!GL57/22</f>
        <v>33.227272727272727</v>
      </c>
    </row>
    <row r="59" spans="1:194" x14ac:dyDescent="0.3">
      <c r="A59" s="157" t="s">
        <v>82</v>
      </c>
      <c r="FF59" s="150"/>
      <c r="FO59" s="174">
        <v>30</v>
      </c>
      <c r="FP59" s="174">
        <v>25</v>
      </c>
      <c r="FQ59" s="145">
        <v>34</v>
      </c>
      <c r="FR59" s="145">
        <v>34.6</v>
      </c>
      <c r="FS59" s="145">
        <v>37.227272727272727</v>
      </c>
      <c r="FT59" s="145">
        <v>37.31818181818182</v>
      </c>
      <c r="FU59" s="18">
        <f>'Total Weekday Boardings'!FU58/21</f>
        <v>28.238095238095237</v>
      </c>
      <c r="FV59" s="18">
        <f>'Total Weekday Boardings'!FV58/23</f>
        <v>40.956521739130437</v>
      </c>
      <c r="FW59" s="18">
        <f>'Total Weekday Boardings'!FW58/21</f>
        <v>37.38095238095238</v>
      </c>
      <c r="FX59" s="18">
        <f>'Total Weekday Boardings'!FX58/22</f>
        <v>35.090909090909093</v>
      </c>
      <c r="FY59" s="18">
        <f>'Total Weekday Boardings'!FY58/22</f>
        <v>26.772727272727273</v>
      </c>
      <c r="FZ59" s="18">
        <f>'Total Weekday Boardings'!FZ58/21</f>
        <v>19.047619047619047</v>
      </c>
      <c r="GA59" s="18">
        <f>'Total Weekday Boardings'!GA58/23</f>
        <v>26.130434782608695</v>
      </c>
      <c r="GB59" s="18">
        <f>'Total Weekday Boardings'!GB58/21</f>
        <v>23.857142857142858</v>
      </c>
      <c r="GC59" s="18">
        <f>'Total Weekday Boardings'!GC58/21</f>
        <v>27.578692493946733</v>
      </c>
      <c r="GD59" s="18">
        <f>'Total Weekday Boardings'!GD58/22</f>
        <v>34.545454545454547</v>
      </c>
      <c r="GE59" s="18">
        <f>'Total Weekday Boardings'!GE58/23</f>
        <v>38.173913043478258</v>
      </c>
      <c r="GF59" s="18">
        <f>'Total Weekday Boardings'!GF58/20</f>
        <v>17.7</v>
      </c>
      <c r="GG59" s="18">
        <f>'Total Weekday Boardings'!GG58/23</f>
        <v>33.869565217391305</v>
      </c>
      <c r="GH59" s="18">
        <f>'Total Weekday Boardings'!GH58/22</f>
        <v>35.045454545454547</v>
      </c>
      <c r="GI59" s="18">
        <f>'Total Weekday Boardings'!GI58/21</f>
        <v>41.952380952380949</v>
      </c>
      <c r="GJ59" s="18">
        <f>'Total Weekday Boardings'!GJ58/23</f>
        <v>34.391304347826086</v>
      </c>
      <c r="GK59" s="18">
        <f>'Total Weekday Boardings'!GK58/21</f>
        <v>8.9523809523809526</v>
      </c>
      <c r="GL59" s="18">
        <f>'Total Weekday Boardings'!GL58/22</f>
        <v>19.727272727272727</v>
      </c>
    </row>
    <row r="60" spans="1:194" x14ac:dyDescent="0.3">
      <c r="A60" s="157" t="s">
        <v>83</v>
      </c>
      <c r="DA60" s="91"/>
      <c r="FF60" s="150"/>
      <c r="FO60" s="174">
        <v>19</v>
      </c>
      <c r="FP60" s="174">
        <v>21</v>
      </c>
      <c r="FQ60" s="145">
        <v>28</v>
      </c>
      <c r="FR60" s="145">
        <v>24.2</v>
      </c>
      <c r="FS60" s="145">
        <v>24.318181818181817</v>
      </c>
      <c r="FT60" s="145">
        <v>28.318181818181817</v>
      </c>
      <c r="FU60" s="18">
        <f>'Total Weekday Boardings'!FU59/21</f>
        <v>24.571428571428573</v>
      </c>
      <c r="FV60" s="18">
        <f>'Total Weekday Boardings'!FV59/23</f>
        <v>39.608695652173914</v>
      </c>
      <c r="FW60" s="18">
        <f>'Total Weekday Boardings'!FW59/21</f>
        <v>33.904761904761905</v>
      </c>
      <c r="FX60" s="18">
        <f>'Total Weekday Boardings'!FX59/22</f>
        <v>29.863636363636363</v>
      </c>
      <c r="FY60" s="18">
        <f>'Total Weekday Boardings'!FY59/22</f>
        <v>27.90909090909091</v>
      </c>
      <c r="FZ60" s="18">
        <f>'Total Weekday Boardings'!FZ59/21</f>
        <v>16.142857142857142</v>
      </c>
      <c r="GA60" s="18">
        <f>'Total Weekday Boardings'!GA59/23</f>
        <v>25.086956521739129</v>
      </c>
      <c r="GB60" s="18">
        <f>'Total Weekday Boardings'!GB59/21</f>
        <v>64.857142857142861</v>
      </c>
      <c r="GC60" s="18">
        <f>'Total Weekday Boardings'!GC59/21</f>
        <v>25.219018269865728</v>
      </c>
      <c r="GD60" s="18">
        <f>'Total Weekday Boardings'!GD59/22</f>
        <v>29.045454545454547</v>
      </c>
      <c r="GE60" s="18">
        <f>'Total Weekday Boardings'!GE59/23</f>
        <v>4.0434782608695654</v>
      </c>
      <c r="GF60" s="18">
        <f>'Total Weekday Boardings'!GF59/20</f>
        <v>49.65</v>
      </c>
      <c r="GG60" s="18">
        <f>'Total Weekday Boardings'!GG59/23</f>
        <v>164.39130434782609</v>
      </c>
      <c r="GH60" s="18">
        <f>'Total Weekday Boardings'!GH59/22</f>
        <v>169.36363636363637</v>
      </c>
      <c r="GI60" s="18">
        <f>'Total Weekday Boardings'!GI59/21</f>
        <v>142.38095238095238</v>
      </c>
      <c r="GJ60" s="18">
        <f>'Total Weekday Boardings'!GJ59/23</f>
        <v>28.826086956521738</v>
      </c>
      <c r="GK60" s="18">
        <f>'Total Weekday Boardings'!GK59/21</f>
        <v>48.095238095238095</v>
      </c>
      <c r="GL60" s="18">
        <f>'Total Weekday Boardings'!GL59/22</f>
        <v>25.59090909090909</v>
      </c>
    </row>
    <row r="61" spans="1:194" x14ac:dyDescent="0.3">
      <c r="A61" s="157" t="s">
        <v>84</v>
      </c>
      <c r="FF61" s="150"/>
      <c r="FO61" s="174">
        <v>36</v>
      </c>
      <c r="FP61" s="174">
        <v>34</v>
      </c>
      <c r="FQ61" s="145">
        <v>37</v>
      </c>
      <c r="FR61" s="145">
        <v>46.1</v>
      </c>
      <c r="FS61" s="145">
        <v>39.18181818181818</v>
      </c>
      <c r="FT61" s="145">
        <v>41.909090909090907</v>
      </c>
      <c r="FU61" s="18">
        <f>'Total Weekday Boardings'!FU60/21</f>
        <v>32.952380952380949</v>
      </c>
      <c r="FV61" s="18">
        <f>'Total Weekday Boardings'!FV60/23</f>
        <v>59.043478260869563</v>
      </c>
      <c r="FW61" s="18">
        <f>'Total Weekday Boardings'!FW60/21</f>
        <v>69.047619047619051</v>
      </c>
      <c r="FX61" s="18">
        <f>'Total Weekday Boardings'!FX60/22</f>
        <v>56.090909090909093</v>
      </c>
      <c r="FY61" s="18">
        <f>'Total Weekday Boardings'!FY60/22</f>
        <v>53.363636363636367</v>
      </c>
      <c r="FZ61" s="18">
        <f>'Total Weekday Boardings'!FZ60/21</f>
        <v>28.095238095238095</v>
      </c>
      <c r="GA61" s="18">
        <f>'Total Weekday Boardings'!GA60/23</f>
        <v>50.217391304347828</v>
      </c>
      <c r="GB61" s="18">
        <f>'Total Weekday Boardings'!GB60/21</f>
        <v>63.61904761904762</v>
      </c>
      <c r="GC61" s="18">
        <f>'Total Weekday Boardings'!GC60/21</f>
        <v>53.436789199501064</v>
      </c>
      <c r="GD61" s="18">
        <f>'Total Weekday Boardings'!GD60/22</f>
        <v>63.727272727272727</v>
      </c>
      <c r="GE61" s="18">
        <f>'Total Weekday Boardings'!GE60/23</f>
        <v>31.173913043478262</v>
      </c>
      <c r="GF61" s="18">
        <f>'Total Weekday Boardings'!GF60/20</f>
        <v>25.45</v>
      </c>
      <c r="GG61" s="18">
        <f>'Total Weekday Boardings'!GG60/23</f>
        <v>28.217391304347824</v>
      </c>
      <c r="GH61" s="18">
        <f>'Total Weekday Boardings'!GH60/22</f>
        <v>42.363636363636367</v>
      </c>
      <c r="GI61" s="18">
        <f>'Total Weekday Boardings'!GI60/21</f>
        <v>67.714285714285708</v>
      </c>
      <c r="GJ61" s="18">
        <f>'Total Weekday Boardings'!GJ60/23</f>
        <v>56.260869565217391</v>
      </c>
      <c r="GK61" s="18">
        <f>'Total Weekday Boardings'!GK60/21</f>
        <v>44.571428571428569</v>
      </c>
      <c r="GL61" s="18">
        <f>'Total Weekday Boardings'!GL60/22</f>
        <v>30.59090909090909</v>
      </c>
    </row>
    <row r="62" spans="1:194" x14ac:dyDescent="0.3">
      <c r="A62" s="157" t="s">
        <v>85</v>
      </c>
      <c r="FF62" s="150"/>
      <c r="FO62" s="174">
        <v>51</v>
      </c>
      <c r="FP62" s="174">
        <v>52</v>
      </c>
      <c r="FQ62" s="145">
        <v>60</v>
      </c>
      <c r="FR62" s="145">
        <v>65.400000000000006</v>
      </c>
      <c r="FS62" s="145">
        <v>58.272727272727273</v>
      </c>
      <c r="FT62" s="145">
        <v>56.727272727272727</v>
      </c>
      <c r="FU62" s="18">
        <f>'Total Weekday Boardings'!FU61/21</f>
        <v>49.19047619047619</v>
      </c>
      <c r="FV62" s="18">
        <f>'Total Weekday Boardings'!FV61/23</f>
        <v>84.565217391304344</v>
      </c>
      <c r="FW62" s="18">
        <f>'Total Weekday Boardings'!FW61/21</f>
        <v>101.33333333333333</v>
      </c>
      <c r="FX62" s="18">
        <f>'Total Weekday Boardings'!FX61/22</f>
        <v>98.36363636363636</v>
      </c>
      <c r="FY62" s="18">
        <f>'Total Weekday Boardings'!FY61/22</f>
        <v>89.318181818181813</v>
      </c>
      <c r="FZ62" s="18">
        <f>'Total Weekday Boardings'!FZ61/21</f>
        <v>39.38095238095238</v>
      </c>
      <c r="GA62" s="18">
        <f>'Total Weekday Boardings'!GA61/23</f>
        <v>70.173913043478265</v>
      </c>
      <c r="GB62" s="18">
        <f>'Total Weekday Boardings'!GB61/21</f>
        <v>79.238095238095241</v>
      </c>
      <c r="GC62" s="18">
        <f>'Total Weekday Boardings'!GC61/21</f>
        <v>82.736077481840198</v>
      </c>
      <c r="GD62" s="18">
        <f>'Total Weekday Boardings'!GD61/22</f>
        <v>85.36363636363636</v>
      </c>
      <c r="GE62" s="18">
        <f>'Total Weekday Boardings'!GE61/23</f>
        <v>41.260869565217391</v>
      </c>
      <c r="GF62" s="18">
        <f>'Total Weekday Boardings'!GF61/20</f>
        <v>37.85</v>
      </c>
      <c r="GG62" s="18">
        <f>'Total Weekday Boardings'!GG61/23</f>
        <v>43.260869565217391</v>
      </c>
      <c r="GH62" s="18">
        <f>'Total Weekday Boardings'!GH61/22</f>
        <v>64.409090909090907</v>
      </c>
      <c r="GI62" s="18">
        <f>'Total Weekday Boardings'!GI61/21</f>
        <v>90.142857142857139</v>
      </c>
      <c r="GJ62" s="18">
        <f>'Total Weekday Boardings'!GJ61/23</f>
        <v>78.173913043478265</v>
      </c>
      <c r="GK62" s="18">
        <f>'Total Weekday Boardings'!GK61/21</f>
        <v>72.523809523809518</v>
      </c>
      <c r="GL62" s="18">
        <f>'Total Weekday Boardings'!GL61/22</f>
        <v>49.363636363636367</v>
      </c>
    </row>
    <row r="63" spans="1:194" x14ac:dyDescent="0.3">
      <c r="A63" s="157" t="s">
        <v>86</v>
      </c>
      <c r="FF63" s="150"/>
      <c r="FO63" s="174">
        <v>241</v>
      </c>
      <c r="FP63" s="174">
        <v>223</v>
      </c>
      <c r="FQ63" s="145">
        <v>277</v>
      </c>
      <c r="FR63" s="145">
        <v>313.35000000000002</v>
      </c>
      <c r="FS63" s="145">
        <v>176.18181818181819</v>
      </c>
      <c r="FT63" s="145">
        <v>150.36363636363637</v>
      </c>
      <c r="FU63" s="18">
        <f>'Total Weekday Boardings'!FU62/21</f>
        <v>122.52380952380952</v>
      </c>
      <c r="FV63" s="18">
        <f>'Total Weekday Boardings'!FV62/23</f>
        <v>294.91304347826087</v>
      </c>
      <c r="FW63" s="18">
        <f>'Total Weekday Boardings'!FW62/21</f>
        <v>360.85714285714283</v>
      </c>
      <c r="FX63" s="18">
        <f>'Total Weekday Boardings'!FX62/22</f>
        <v>322.72727272727275</v>
      </c>
      <c r="FY63" s="18">
        <f>'Total Weekday Boardings'!FY62/22</f>
        <v>341.86363636363637</v>
      </c>
      <c r="FZ63" s="18">
        <f>'Total Weekday Boardings'!FZ62/21</f>
        <v>158.14285714285714</v>
      </c>
      <c r="GA63" s="18">
        <f>'Total Weekday Boardings'!GA62/23</f>
        <v>245.30434782608697</v>
      </c>
      <c r="GB63" s="18">
        <f>'Total Weekday Boardings'!GB62/21</f>
        <v>304.04761904761904</v>
      </c>
      <c r="GC63" s="18">
        <f>'Total Weekday Boardings'!GC62/21</f>
        <v>245.3077995450877</v>
      </c>
      <c r="GD63" s="18">
        <f>'Total Weekday Boardings'!GD62/22</f>
        <v>309.81818181818181</v>
      </c>
      <c r="GE63" s="18">
        <f>'Total Weekday Boardings'!GE62/23</f>
        <v>141.2608695652174</v>
      </c>
      <c r="GF63" s="18">
        <f>'Total Weekday Boardings'!GF62/20</f>
        <v>96.6</v>
      </c>
      <c r="GG63" s="18">
        <f>'Total Weekday Boardings'!GG62/23</f>
        <v>95.565217391304344</v>
      </c>
      <c r="GH63" s="18">
        <f>'Total Weekday Boardings'!GH62/22</f>
        <v>236.77272727272728</v>
      </c>
      <c r="GI63" s="18">
        <f>'Total Weekday Boardings'!GI62/21</f>
        <v>381.33333333333331</v>
      </c>
      <c r="GJ63" s="18">
        <f>'Total Weekday Boardings'!GJ62/23</f>
        <v>329.6521739130435</v>
      </c>
      <c r="GK63" s="18">
        <f>'Total Weekday Boardings'!GK62/21</f>
        <v>309.71428571428572</v>
      </c>
      <c r="GL63" s="18">
        <f>'Total Weekday Boardings'!GL62/22</f>
        <v>199.72727272727272</v>
      </c>
    </row>
    <row r="64" spans="1:194" x14ac:dyDescent="0.3">
      <c r="A64" s="157" t="s">
        <v>87</v>
      </c>
      <c r="FF64" s="150"/>
      <c r="FO64" s="174">
        <v>185</v>
      </c>
      <c r="FP64" s="174">
        <v>176</v>
      </c>
      <c r="FQ64" s="145">
        <v>212</v>
      </c>
      <c r="FR64" s="145">
        <v>255</v>
      </c>
      <c r="FS64" s="145">
        <v>89.318181818181813</v>
      </c>
      <c r="FT64" s="145">
        <v>89.409090909090907</v>
      </c>
      <c r="FU64" s="18">
        <f>'Total Weekday Boardings'!FU63/21</f>
        <v>72.714285714285708</v>
      </c>
      <c r="FV64" s="18">
        <f>'Total Weekday Boardings'!FV63/23</f>
        <v>245.78260869565219</v>
      </c>
      <c r="FW64" s="18">
        <f>'Total Weekday Boardings'!FW63/21</f>
        <v>351.47619047619048</v>
      </c>
      <c r="FX64" s="18">
        <f>'Total Weekday Boardings'!FX63/22</f>
        <v>308.81818181818181</v>
      </c>
      <c r="FY64" s="18">
        <f>'Total Weekday Boardings'!FY63/22</f>
        <v>299.54545454545456</v>
      </c>
      <c r="FZ64" s="18">
        <f>'Total Weekday Boardings'!FZ63/21</f>
        <v>83.047619047619051</v>
      </c>
      <c r="GA64" s="18">
        <f>'Total Weekday Boardings'!GA63/23</f>
        <v>221.52173913043478</v>
      </c>
      <c r="GB64" s="18">
        <f>'Total Weekday Boardings'!GB63/21</f>
        <v>271.23809523809524</v>
      </c>
      <c r="GC64" s="18">
        <f>'Total Weekday Boardings'!GC63/21</f>
        <v>224.3656908063688</v>
      </c>
      <c r="GD64" s="18">
        <f>'Total Weekday Boardings'!GD63/22</f>
        <v>275.22727272727275</v>
      </c>
      <c r="GE64" s="18">
        <f>'Total Weekday Boardings'!GE63/23</f>
        <v>58.217391304347828</v>
      </c>
      <c r="GF64" s="18">
        <f>'Total Weekday Boardings'!GF63/20</f>
        <v>50.55</v>
      </c>
      <c r="GG64" s="18">
        <f>'Total Weekday Boardings'!GG63/23</f>
        <v>48.130434782608695</v>
      </c>
      <c r="GH64" s="18">
        <f>'Total Weekday Boardings'!GH63/22</f>
        <v>154</v>
      </c>
      <c r="GI64" s="18">
        <f>'Total Weekday Boardings'!GI63/21</f>
        <v>318.95238095238096</v>
      </c>
      <c r="GJ64" s="18">
        <f>'Total Weekday Boardings'!GJ63/23</f>
        <v>269.60869565217394</v>
      </c>
      <c r="GK64" s="18">
        <f>'Total Weekday Boardings'!GK63/21</f>
        <v>246.04761904761904</v>
      </c>
      <c r="GL64" s="18">
        <f>'Total Weekday Boardings'!GL63/22</f>
        <v>131.86363636363637</v>
      </c>
    </row>
    <row r="65" spans="1:194" x14ac:dyDescent="0.3">
      <c r="A65" s="157" t="s">
        <v>88</v>
      </c>
      <c r="FF65" s="150"/>
      <c r="FO65" s="174">
        <v>342</v>
      </c>
      <c r="FP65" s="174">
        <v>352</v>
      </c>
      <c r="FQ65" s="145">
        <v>349</v>
      </c>
      <c r="FR65" s="145">
        <v>408.4</v>
      </c>
      <c r="FS65" s="145">
        <v>156</v>
      </c>
      <c r="FT65" s="145">
        <v>120</v>
      </c>
      <c r="FU65" s="18">
        <f>'Total Weekday Boardings'!FU64/21</f>
        <v>118.33333333333333</v>
      </c>
      <c r="FV65" s="18">
        <f>'Total Weekday Boardings'!FV64/23</f>
        <v>431</v>
      </c>
      <c r="FW65" s="18">
        <f>'Total Weekday Boardings'!FW64/21</f>
        <v>566.76190476190482</v>
      </c>
      <c r="FX65" s="18">
        <f>'Total Weekday Boardings'!FX64/22</f>
        <v>465.04545454545456</v>
      </c>
      <c r="FY65" s="18">
        <f>'Total Weekday Boardings'!FY64/22</f>
        <v>403.95454545454544</v>
      </c>
      <c r="FZ65" s="18">
        <f>'Total Weekday Boardings'!FZ64/21</f>
        <v>128.42857142857142</v>
      </c>
      <c r="GA65" s="18">
        <f>'Total Weekday Boardings'!GA64/23</f>
        <v>371.30434782608694</v>
      </c>
      <c r="GB65" s="18">
        <f>'Total Weekday Boardings'!GB64/21</f>
        <v>435</v>
      </c>
      <c r="GC65" s="18">
        <f>'Total Weekday Boardings'!GC64/21</f>
        <v>326.12664171986205</v>
      </c>
      <c r="GD65" s="18">
        <f>'Total Weekday Boardings'!GD64/22</f>
        <v>400.54545454545456</v>
      </c>
      <c r="GE65" s="18">
        <f>'Total Weekday Boardings'!GE64/23</f>
        <v>103.56521739130434</v>
      </c>
      <c r="GF65" s="18">
        <f>'Total Weekday Boardings'!GF64/20</f>
        <v>100.35</v>
      </c>
      <c r="GG65" s="18">
        <f>'Total Weekday Boardings'!GG64/23</f>
        <v>106.95652173913044</v>
      </c>
      <c r="GH65" s="18">
        <f>'Total Weekday Boardings'!GH64/22</f>
        <v>308</v>
      </c>
      <c r="GI65" s="18">
        <f>'Total Weekday Boardings'!GI64/21</f>
        <v>613</v>
      </c>
      <c r="GJ65" s="18">
        <f>'Total Weekday Boardings'!GJ64/23</f>
        <v>493.43478260869563</v>
      </c>
      <c r="GK65" s="18">
        <f>'Total Weekday Boardings'!GK64/21</f>
        <v>425.52380952380952</v>
      </c>
      <c r="GL65" s="18">
        <f>'Total Weekday Boardings'!GL64/22</f>
        <v>222.68181818181819</v>
      </c>
    </row>
    <row r="66" spans="1:194" x14ac:dyDescent="0.3">
      <c r="A66" s="157" t="s">
        <v>89</v>
      </c>
      <c r="FF66" s="150"/>
      <c r="FO66" s="174">
        <v>367</v>
      </c>
      <c r="FP66" s="174">
        <v>361</v>
      </c>
      <c r="FQ66" s="145">
        <v>452</v>
      </c>
      <c r="FR66" s="145">
        <v>554.15</v>
      </c>
      <c r="FS66" s="145">
        <v>187.72727272727272</v>
      </c>
      <c r="FT66" s="145">
        <v>126.13636363636364</v>
      </c>
      <c r="FU66" s="18">
        <f>'Total Weekday Boardings'!FU65/21</f>
        <v>85.761904761904759</v>
      </c>
      <c r="FV66" s="18">
        <f>'Total Weekday Boardings'!FV65/23</f>
        <v>447</v>
      </c>
      <c r="FW66" s="18">
        <f>'Total Weekday Boardings'!FW65/21</f>
        <v>656.85714285714289</v>
      </c>
      <c r="FX66" s="18">
        <f>'Total Weekday Boardings'!FX65/22</f>
        <v>490</v>
      </c>
      <c r="FY66" s="18">
        <f>'Total Weekday Boardings'!FY65/22</f>
        <v>472.77272727272725</v>
      </c>
      <c r="FZ66" s="18">
        <f>'Total Weekday Boardings'!FZ65/21</f>
        <v>133.8095238095238</v>
      </c>
      <c r="GA66" s="18">
        <f>'Total Weekday Boardings'!GA65/23</f>
        <v>343.30434782608694</v>
      </c>
      <c r="GB66" s="18">
        <f>'Total Weekday Boardings'!GB65/21</f>
        <v>441.95238095238096</v>
      </c>
      <c r="GC66" s="18">
        <f>'Total Weekday Boardings'!GC65/21</f>
        <v>346.67547142123414</v>
      </c>
      <c r="GD66" s="18">
        <f>'Total Weekday Boardings'!GD65/22</f>
        <v>465.45454545454544</v>
      </c>
      <c r="GE66" s="18">
        <f>'Total Weekday Boardings'!GE65/23</f>
        <v>119.34782608695652</v>
      </c>
      <c r="GF66" s="18">
        <f>'Total Weekday Boardings'!GF65/20</f>
        <v>56.2</v>
      </c>
      <c r="GG66" s="18">
        <f>'Total Weekday Boardings'!GG65/23</f>
        <v>53.782608695652172</v>
      </c>
      <c r="GH66" s="18">
        <f>'Total Weekday Boardings'!GH65/22</f>
        <v>289.18181818181819</v>
      </c>
      <c r="GI66" s="18">
        <f>'Total Weekday Boardings'!GI65/21</f>
        <v>536.42857142857144</v>
      </c>
      <c r="GJ66" s="18">
        <f>'Total Weekday Boardings'!GJ65/23</f>
        <v>471.04347826086956</v>
      </c>
      <c r="GK66" s="18">
        <f>'Total Weekday Boardings'!GK65/21</f>
        <v>430</v>
      </c>
      <c r="GL66" s="18">
        <f>'Total Weekday Boardings'!GL65/22</f>
        <v>207</v>
      </c>
    </row>
    <row r="67" spans="1:194" x14ac:dyDescent="0.3">
      <c r="A67" s="157" t="s">
        <v>90</v>
      </c>
      <c r="FF67" s="150"/>
      <c r="FO67" s="174">
        <v>432</v>
      </c>
      <c r="FP67" s="174">
        <v>376</v>
      </c>
      <c r="FQ67" s="145">
        <v>462</v>
      </c>
      <c r="FR67" s="145">
        <v>578.54999999999995</v>
      </c>
      <c r="FS67" s="145">
        <v>320.63636363636363</v>
      </c>
      <c r="FT67" s="145">
        <v>224.22727272727272</v>
      </c>
      <c r="FU67" s="18">
        <f>'Total Weekday Boardings'!FU66/21</f>
        <v>217.28571428571428</v>
      </c>
      <c r="FV67" s="18">
        <f>'Total Weekday Boardings'!FV66/23</f>
        <v>524.6521739130435</v>
      </c>
      <c r="FW67" s="18">
        <f>'Total Weekday Boardings'!FW66/21</f>
        <v>721.52380952380952</v>
      </c>
      <c r="FX67" s="18">
        <f>'Total Weekday Boardings'!FX66/22</f>
        <v>630.09090909090912</v>
      </c>
      <c r="FY67" s="18">
        <f>'Total Weekday Boardings'!FY66/22</f>
        <v>591.18181818181813</v>
      </c>
      <c r="FZ67" s="18">
        <f>'Total Weekday Boardings'!FZ66/21</f>
        <v>235.28571428571428</v>
      </c>
      <c r="GA67" s="18">
        <f>'Total Weekday Boardings'!GA66/23</f>
        <v>446.52173913043481</v>
      </c>
      <c r="GB67" s="18">
        <f>'Total Weekday Boardings'!GB66/21</f>
        <v>571.14285714285711</v>
      </c>
      <c r="GC67" s="18">
        <f>'Total Weekday Boardings'!GC66/21</f>
        <v>460.6280724924793</v>
      </c>
      <c r="GD67" s="18">
        <f>'Total Weekday Boardings'!GD66/22</f>
        <v>572.86363636363637</v>
      </c>
      <c r="GE67" s="18">
        <f>'Total Weekday Boardings'!GE66/23</f>
        <v>248.56521739130434</v>
      </c>
      <c r="GF67" s="18">
        <f>'Total Weekday Boardings'!GF66/20</f>
        <v>171.6</v>
      </c>
      <c r="GG67" s="18">
        <f>'Total Weekday Boardings'!GG66/23</f>
        <v>157.78260869565219</v>
      </c>
      <c r="GH67" s="18">
        <f>'Total Weekday Boardings'!GH66/22</f>
        <v>367</v>
      </c>
      <c r="GI67" s="18">
        <f>'Total Weekday Boardings'!GI66/21</f>
        <v>638.71428571428567</v>
      </c>
      <c r="GJ67" s="18">
        <f>'Total Weekday Boardings'!GJ66/23</f>
        <v>577.86956521739125</v>
      </c>
      <c r="GK67" s="18">
        <f>'Total Weekday Boardings'!GK66/21</f>
        <v>498.04761904761904</v>
      </c>
      <c r="GL67" s="18">
        <f>'Total Weekday Boardings'!GL66/22</f>
        <v>282.04545454545456</v>
      </c>
    </row>
    <row r="68" spans="1:194" x14ac:dyDescent="0.3">
      <c r="A68" s="157" t="s">
        <v>91</v>
      </c>
      <c r="FF68" s="150"/>
      <c r="FO68" s="174">
        <v>372</v>
      </c>
      <c r="FP68" s="174">
        <v>329</v>
      </c>
      <c r="FQ68" s="145">
        <v>419</v>
      </c>
      <c r="FR68" s="145">
        <v>430.45</v>
      </c>
      <c r="FS68" s="145">
        <v>291.36363636363637</v>
      </c>
      <c r="FT68" s="145">
        <v>246.81818181818181</v>
      </c>
      <c r="FU68" s="18">
        <f>'Total Weekday Boardings'!FU67/21</f>
        <v>227.42857142857142</v>
      </c>
      <c r="FV68" s="18">
        <f>'Total Weekday Boardings'!FV67/23</f>
        <v>546.82608695652175</v>
      </c>
      <c r="FW68" s="18">
        <f>'Total Weekday Boardings'!FW67/21</f>
        <v>674.66666666666663</v>
      </c>
      <c r="FX68" s="18">
        <f>'Total Weekday Boardings'!FX67/22</f>
        <v>587.59090909090912</v>
      </c>
      <c r="FY68" s="18">
        <f>'Total Weekday Boardings'!FY67/22</f>
        <v>583.59090909090912</v>
      </c>
      <c r="FZ68" s="18">
        <f>'Total Weekday Boardings'!FZ67/21</f>
        <v>276.42857142857144</v>
      </c>
      <c r="GA68" s="18">
        <f>'Total Weekday Boardings'!GA67/23</f>
        <v>472.95652173913044</v>
      </c>
      <c r="GB68" s="18">
        <f>'Total Weekday Boardings'!GB67/21</f>
        <v>549.38095238095241</v>
      </c>
      <c r="GC68" s="18">
        <f>'Total Weekday Boardings'!GC67/21</f>
        <v>410.77995450876813</v>
      </c>
      <c r="GD68" s="18">
        <f>'Total Weekday Boardings'!GD67/22</f>
        <v>481.18181818181819</v>
      </c>
      <c r="GE68" s="18">
        <f>'Total Weekday Boardings'!GE67/23</f>
        <v>235.7391304347826</v>
      </c>
      <c r="GF68" s="18">
        <f>'Total Weekday Boardings'!GF67/20</f>
        <v>213.75</v>
      </c>
      <c r="GG68" s="18">
        <f>'Total Weekday Boardings'!GG67/23</f>
        <v>203.2608695652174</v>
      </c>
      <c r="GH68" s="18">
        <f>'Total Weekday Boardings'!GH67/22</f>
        <v>437.5</v>
      </c>
      <c r="GI68" s="18">
        <f>'Total Weekday Boardings'!GI67/21</f>
        <v>703.47619047619048</v>
      </c>
      <c r="GJ68" s="18">
        <f>'Total Weekday Boardings'!GJ67/23</f>
        <v>621.82608695652175</v>
      </c>
      <c r="GK68" s="18">
        <f>'Total Weekday Boardings'!GK67/21</f>
        <v>546.95238095238096</v>
      </c>
      <c r="GL68" s="18">
        <f>'Total Weekday Boardings'!GL67/22</f>
        <v>356.45454545454544</v>
      </c>
    </row>
    <row r="69" spans="1:194" x14ac:dyDescent="0.3">
      <c r="A69" s="157" t="s">
        <v>92</v>
      </c>
      <c r="FF69" s="150"/>
      <c r="FO69" s="174">
        <v>28</v>
      </c>
      <c r="FP69" s="174">
        <v>21</v>
      </c>
      <c r="FQ69" s="145">
        <v>26</v>
      </c>
      <c r="FR69" s="145">
        <v>29.15</v>
      </c>
      <c r="FS69" s="145">
        <v>34.31818181818182</v>
      </c>
      <c r="FT69" s="145">
        <v>38.909090909090907</v>
      </c>
      <c r="FU69" s="18">
        <f>'Total Weekday Boardings'!FU68/21</f>
        <v>32.19047619047619</v>
      </c>
      <c r="FV69" s="18">
        <f>'Total Weekday Boardings'!FV68/23</f>
        <v>40.608695652173914</v>
      </c>
      <c r="FW69" s="18">
        <f>'Total Weekday Boardings'!FW68/21</f>
        <v>26.142857142857142</v>
      </c>
      <c r="FX69" s="18">
        <f>'Total Weekday Boardings'!FX68/22</f>
        <v>22.727272727272727</v>
      </c>
      <c r="FY69" s="18">
        <f>'Total Weekday Boardings'!FY68/22</f>
        <v>19.363636363636363</v>
      </c>
      <c r="FZ69" s="18">
        <f>'Total Weekday Boardings'!FZ68/21</f>
        <v>14.142857142857142</v>
      </c>
      <c r="GA69" s="18">
        <f>'Total Weekday Boardings'!GA68/23</f>
        <v>18.086956521739129</v>
      </c>
      <c r="GB69" s="18">
        <f>'Total Weekday Boardings'!GB68/21</f>
        <v>19.761904761904763</v>
      </c>
      <c r="GC69" s="18">
        <f>'Total Weekday Boardings'!GC68/21</f>
        <v>18.484114755301199</v>
      </c>
      <c r="GD69" s="18">
        <f>'Total Weekday Boardings'!GD68/22</f>
        <v>21.636363636363637</v>
      </c>
      <c r="GE69" s="18">
        <f>'Total Weekday Boardings'!GE68/23</f>
        <v>13.130434782608695</v>
      </c>
      <c r="GF69" s="18">
        <f>'Total Weekday Boardings'!GF68/20</f>
        <v>20.9</v>
      </c>
      <c r="GG69" s="18">
        <f>'Total Weekday Boardings'!GG68/23</f>
        <v>23.434782608695652</v>
      </c>
      <c r="GH69" s="18">
        <f>'Total Weekday Boardings'!GH68/22</f>
        <v>21.09090909090909</v>
      </c>
      <c r="GI69" s="18">
        <f>'Total Weekday Boardings'!GI68/21</f>
        <v>23.952380952380953</v>
      </c>
      <c r="GJ69" s="18">
        <f>'Total Weekday Boardings'!GJ68/23</f>
        <v>18.347826086956523</v>
      </c>
      <c r="GK69" s="18">
        <f>'Total Weekday Boardings'!GK68/21</f>
        <v>17.19047619047619</v>
      </c>
      <c r="GL69" s="18">
        <f>'Total Weekday Boardings'!GL68/22</f>
        <v>15.681818181818182</v>
      </c>
    </row>
    <row r="70" spans="1:194" x14ac:dyDescent="0.3">
      <c r="A70" s="157" t="s">
        <v>93</v>
      </c>
      <c r="FF70" s="150"/>
      <c r="FO70" s="174">
        <v>18</v>
      </c>
      <c r="FP70" s="174">
        <v>15</v>
      </c>
      <c r="FQ70" s="145">
        <v>23</v>
      </c>
      <c r="FR70" s="145">
        <v>22.35</v>
      </c>
      <c r="FS70" s="145">
        <v>26.681818181818183</v>
      </c>
      <c r="FT70" s="145">
        <v>29.227272727272727</v>
      </c>
      <c r="FU70" s="18">
        <f>'Total Weekday Boardings'!FU69/21</f>
        <v>26.142857142857142</v>
      </c>
      <c r="FV70" s="18">
        <f>'Total Weekday Boardings'!FV69/23</f>
        <v>31.391304347826086</v>
      </c>
      <c r="FW70" s="18">
        <f>'Total Weekday Boardings'!FW69/21</f>
        <v>21.80952380952381</v>
      </c>
      <c r="FX70" s="18">
        <f>'Total Weekday Boardings'!FX69/22</f>
        <v>19.363636363636363</v>
      </c>
      <c r="FY70" s="18">
        <f>'Total Weekday Boardings'!FY69/22</f>
        <v>26.454545454545453</v>
      </c>
      <c r="FZ70" s="18">
        <f>'Total Weekday Boardings'!FZ69/21</f>
        <v>18.476190476190474</v>
      </c>
      <c r="GA70" s="18">
        <f>'Total Weekday Boardings'!GA69/23</f>
        <v>21.260869565217391</v>
      </c>
      <c r="GB70" s="18">
        <f>'Total Weekday Boardings'!GB69/21</f>
        <v>21.761904761904763</v>
      </c>
      <c r="GC70" s="18">
        <f>'Total Weekday Boardings'!GC69/21</f>
        <v>15.780321373541714</v>
      </c>
      <c r="GD70" s="18">
        <f>'Total Weekday Boardings'!GD69/22</f>
        <v>24.181818181818183</v>
      </c>
      <c r="GE70" s="18">
        <f>'Total Weekday Boardings'!GE69/23</f>
        <v>17.913043478260871</v>
      </c>
      <c r="GF70" s="18">
        <f>'Total Weekday Boardings'!GF69/20</f>
        <v>21.25</v>
      </c>
      <c r="GG70" s="18">
        <f>'Total Weekday Boardings'!GG69/23</f>
        <v>21.956521739130434</v>
      </c>
      <c r="GH70" s="18">
        <f>'Total Weekday Boardings'!GH69/22</f>
        <v>18.045454545454547</v>
      </c>
      <c r="GI70" s="18">
        <f>'Total Weekday Boardings'!GI69/21</f>
        <v>21.714285714285715</v>
      </c>
      <c r="GJ70" s="18">
        <f>'Total Weekday Boardings'!GJ69/23</f>
        <v>24.130434782608695</v>
      </c>
      <c r="GK70" s="18">
        <f>'Total Weekday Boardings'!GK69/21</f>
        <v>22</v>
      </c>
      <c r="GL70" s="18">
        <f>'Total Weekday Boardings'!GL69/22</f>
        <v>19.636363636363637</v>
      </c>
    </row>
    <row r="71" spans="1:194" ht="15" thickBot="1" x14ac:dyDescent="0.35">
      <c r="A71" s="158" t="s">
        <v>95</v>
      </c>
      <c r="FF71" s="153"/>
      <c r="FO71" s="145">
        <f>SUM(FO57:FO70)</f>
        <v>2348</v>
      </c>
      <c r="FP71" s="145">
        <f t="shared" ref="FP71:GH71" si="9">SUM(FP57:FP70)</f>
        <v>2164</v>
      </c>
      <c r="FQ71" s="145">
        <f t="shared" si="9"/>
        <v>2633</v>
      </c>
      <c r="FR71" s="145">
        <f t="shared" si="9"/>
        <v>3005.8499999999995</v>
      </c>
      <c r="FS71" s="145">
        <f t="shared" si="9"/>
        <v>1699.590909090909</v>
      </c>
      <c r="FT71" s="145">
        <f t="shared" si="9"/>
        <v>1438.8181818181818</v>
      </c>
      <c r="FU71" s="145">
        <f t="shared" si="9"/>
        <v>1255.8095238095236</v>
      </c>
      <c r="FV71" s="145">
        <f t="shared" si="9"/>
        <v>3054.086956521739</v>
      </c>
      <c r="FW71" s="145">
        <f t="shared" si="9"/>
        <v>3858.761904761905</v>
      </c>
      <c r="FX71" s="145">
        <f t="shared" si="9"/>
        <v>3289.8181818181815</v>
      </c>
      <c r="FY71" s="145">
        <f t="shared" si="9"/>
        <v>3137.8636363636365</v>
      </c>
      <c r="FZ71" s="145">
        <f t="shared" si="9"/>
        <v>1317.4285714285713</v>
      </c>
      <c r="GA71" s="145">
        <f t="shared" si="9"/>
        <v>2491.782608695652</v>
      </c>
      <c r="GB71" s="145">
        <f t="shared" si="9"/>
        <v>3057.571428571428</v>
      </c>
      <c r="GC71" s="145">
        <f t="shared" si="9"/>
        <v>2389.6125907990318</v>
      </c>
      <c r="GD71" s="145">
        <f t="shared" si="9"/>
        <v>2978.045454545454</v>
      </c>
      <c r="GE71" s="145">
        <f t="shared" si="9"/>
        <v>1222.6956521739128</v>
      </c>
      <c r="GF71" s="145">
        <f t="shared" si="9"/>
        <v>1028.1500000000001</v>
      </c>
      <c r="GG71" s="145">
        <f t="shared" si="9"/>
        <v>1157.913043478261</v>
      </c>
      <c r="GH71" s="145">
        <f t="shared" si="9"/>
        <v>2325</v>
      </c>
      <c r="GI71" s="145">
        <f>SUM(GI57:GI70)</f>
        <v>3807.5714285714284</v>
      </c>
      <c r="GJ71" s="145">
        <f>SUM(GJ57:GJ70)</f>
        <v>3237.826086956522</v>
      </c>
      <c r="GK71" s="18">
        <f>SUM(GK57:GK70)</f>
        <v>2844.2857142857138</v>
      </c>
      <c r="GL71" s="18">
        <f>SUM(GL57:GL70)</f>
        <v>1714.9545454545457</v>
      </c>
    </row>
    <row r="72" spans="1:194" x14ac:dyDescent="0.3">
      <c r="A72" s="153"/>
      <c r="FF72" s="153"/>
      <c r="GE72" s="89"/>
      <c r="GF72" s="89"/>
      <c r="GH72" s="89"/>
      <c r="GI72" s="89"/>
    </row>
  </sheetData>
  <mergeCells count="35">
    <mergeCell ref="DM2:DX2"/>
    <mergeCell ref="DM51:DX51"/>
    <mergeCell ref="DA2:DL2"/>
    <mergeCell ref="DA51:DL51"/>
    <mergeCell ref="EW2:FH2"/>
    <mergeCell ref="EW51:FH51"/>
    <mergeCell ref="EK2:EV2"/>
    <mergeCell ref="EK51:EV51"/>
    <mergeCell ref="DY2:EJ2"/>
    <mergeCell ref="DY51:EJ51"/>
    <mergeCell ref="BQ51:CB51"/>
    <mergeCell ref="CC51:CN51"/>
    <mergeCell ref="CO51:CZ51"/>
    <mergeCell ref="CC2:CN2"/>
    <mergeCell ref="BQ2:CB2"/>
    <mergeCell ref="CO2:CZ2"/>
    <mergeCell ref="A2:A3"/>
    <mergeCell ref="AG2:AR2"/>
    <mergeCell ref="AS2:BD2"/>
    <mergeCell ref="BE2:BP2"/>
    <mergeCell ref="AG51:AR51"/>
    <mergeCell ref="AS51:BD51"/>
    <mergeCell ref="BE51:BP51"/>
    <mergeCell ref="U51:AF51"/>
    <mergeCell ref="I51:T51"/>
    <mergeCell ref="U2:AF2"/>
    <mergeCell ref="I2:T2"/>
    <mergeCell ref="B2:H2"/>
    <mergeCell ref="B51:H51"/>
    <mergeCell ref="FI2:FT2"/>
    <mergeCell ref="FI51:FT51"/>
    <mergeCell ref="FG55:FH55"/>
    <mergeCell ref="FI55:FT55"/>
    <mergeCell ref="FU2:GF2"/>
    <mergeCell ref="FU51:GF5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GL73"/>
  <sheetViews>
    <sheetView zoomScale="69" zoomScaleNormal="100" workbookViewId="0">
      <pane xSplit="1" ySplit="3" topLeftCell="FM43" activePane="bottomRight" state="frozen"/>
      <selection activeCell="FJ74" sqref="FJ74"/>
      <selection pane="topRight" activeCell="FJ74" sqref="FJ74"/>
      <selection pane="bottomLeft" activeCell="FJ74" sqref="FJ74"/>
      <selection pane="bottomRight" activeCell="GG74" sqref="GG74"/>
    </sheetView>
  </sheetViews>
  <sheetFormatPr defaultRowHeight="14.4" x14ac:dyDescent="0.3"/>
  <cols>
    <col min="1" max="1" width="40.33203125" bestFit="1" customWidth="1"/>
    <col min="2" max="128" width="11.109375" customWidth="1"/>
  </cols>
  <sheetData>
    <row r="1" spans="1:194" s="5" customFormat="1" x14ac:dyDescent="0.3">
      <c r="A1" s="43" t="s">
        <v>62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</row>
    <row r="2" spans="1:194" s="5" customFormat="1" x14ac:dyDescent="0.3">
      <c r="A2" s="193"/>
      <c r="B2" s="195" t="s">
        <v>49</v>
      </c>
      <c r="C2" s="196"/>
      <c r="D2" s="196"/>
      <c r="E2" s="196"/>
      <c r="F2" s="196"/>
      <c r="G2" s="196"/>
      <c r="H2" s="197"/>
      <c r="I2" s="195" t="s">
        <v>48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95" t="s">
        <v>47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7"/>
      <c r="AG2" s="192" t="s">
        <v>46</v>
      </c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 t="s">
        <v>45</v>
      </c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 t="s">
        <v>44</v>
      </c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 t="s">
        <v>2</v>
      </c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 t="s">
        <v>1</v>
      </c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 t="s">
        <v>0</v>
      </c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 t="s">
        <v>50</v>
      </c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5" t="s">
        <v>72</v>
      </c>
      <c r="DN2" s="196"/>
      <c r="DO2" s="196"/>
      <c r="DP2" s="196"/>
      <c r="DQ2" s="196"/>
      <c r="DR2" s="196"/>
      <c r="DS2" s="196"/>
      <c r="DT2" s="196"/>
      <c r="DU2" s="196"/>
      <c r="DV2" s="196"/>
      <c r="DW2" s="196"/>
      <c r="DX2" s="197"/>
      <c r="DY2" s="192" t="s">
        <v>75</v>
      </c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 t="s">
        <v>76</v>
      </c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 t="s">
        <v>77</v>
      </c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 t="s">
        <v>79</v>
      </c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 t="s">
        <v>101</v>
      </c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</row>
    <row r="3" spans="1:194" s="1" customFormat="1" ht="15" thickBot="1" x14ac:dyDescent="0.35">
      <c r="A3" s="194"/>
      <c r="B3" s="46">
        <v>39783</v>
      </c>
      <c r="C3" s="38">
        <v>39814</v>
      </c>
      <c r="D3" s="38">
        <v>39845</v>
      </c>
      <c r="E3" s="37">
        <v>39873</v>
      </c>
      <c r="F3" s="38">
        <v>39904</v>
      </c>
      <c r="G3" s="38">
        <v>39934</v>
      </c>
      <c r="H3" s="41">
        <v>39965</v>
      </c>
      <c r="I3" s="40">
        <v>39995</v>
      </c>
      <c r="J3" s="38">
        <v>40026</v>
      </c>
      <c r="K3" s="38">
        <v>40057</v>
      </c>
      <c r="L3" s="38">
        <v>40087</v>
      </c>
      <c r="M3" s="37">
        <v>40118</v>
      </c>
      <c r="N3" s="38">
        <v>40148</v>
      </c>
      <c r="O3" s="38">
        <v>40179</v>
      </c>
      <c r="P3" s="38">
        <v>40210</v>
      </c>
      <c r="Q3" s="37">
        <v>40238</v>
      </c>
      <c r="R3" s="38">
        <v>40269</v>
      </c>
      <c r="S3" s="38">
        <v>40299</v>
      </c>
      <c r="T3" s="41">
        <v>40330</v>
      </c>
      <c r="U3" s="40">
        <v>40360</v>
      </c>
      <c r="V3" s="38">
        <v>40391</v>
      </c>
      <c r="W3" s="38">
        <v>40422</v>
      </c>
      <c r="X3" s="38">
        <v>40452</v>
      </c>
      <c r="Y3" s="37">
        <v>40483</v>
      </c>
      <c r="Z3" s="38">
        <v>40513</v>
      </c>
      <c r="AA3" s="38">
        <v>40544</v>
      </c>
      <c r="AB3" s="38">
        <v>40575</v>
      </c>
      <c r="AC3" s="37">
        <v>40603</v>
      </c>
      <c r="AD3" s="38">
        <v>40634</v>
      </c>
      <c r="AE3" s="38">
        <v>40664</v>
      </c>
      <c r="AF3" s="41">
        <v>40695</v>
      </c>
      <c r="AG3" s="40">
        <v>40725</v>
      </c>
      <c r="AH3" s="38">
        <v>40756</v>
      </c>
      <c r="AI3" s="38">
        <v>40787</v>
      </c>
      <c r="AJ3" s="38">
        <v>40817</v>
      </c>
      <c r="AK3" s="37">
        <v>40848</v>
      </c>
      <c r="AL3" s="38">
        <v>40878</v>
      </c>
      <c r="AM3" s="38">
        <v>40909</v>
      </c>
      <c r="AN3" s="38">
        <v>40940</v>
      </c>
      <c r="AO3" s="37">
        <v>40969</v>
      </c>
      <c r="AP3" s="38">
        <v>41000</v>
      </c>
      <c r="AQ3" s="38">
        <v>41030</v>
      </c>
      <c r="AR3" s="41">
        <v>41061</v>
      </c>
      <c r="AS3" s="40">
        <v>41091</v>
      </c>
      <c r="AT3" s="38">
        <v>41122</v>
      </c>
      <c r="AU3" s="38">
        <v>41153</v>
      </c>
      <c r="AV3" s="38">
        <v>41183</v>
      </c>
      <c r="AW3" s="37">
        <v>41214</v>
      </c>
      <c r="AX3" s="38">
        <v>41244</v>
      </c>
      <c r="AY3" s="38">
        <v>41275</v>
      </c>
      <c r="AZ3" s="38">
        <v>41306</v>
      </c>
      <c r="BA3" s="37">
        <v>41334</v>
      </c>
      <c r="BB3" s="38">
        <v>41365</v>
      </c>
      <c r="BC3" s="38">
        <v>41395</v>
      </c>
      <c r="BD3" s="41">
        <v>41426</v>
      </c>
      <c r="BE3" s="40">
        <v>41456</v>
      </c>
      <c r="BF3" s="38">
        <v>41487</v>
      </c>
      <c r="BG3" s="38">
        <v>41518</v>
      </c>
      <c r="BH3" s="38">
        <v>41548</v>
      </c>
      <c r="BI3" s="37">
        <v>41579</v>
      </c>
      <c r="BJ3" s="38">
        <v>41609</v>
      </c>
      <c r="BK3" s="38">
        <v>41640</v>
      </c>
      <c r="BL3" s="38">
        <v>41671</v>
      </c>
      <c r="BM3" s="37">
        <v>41699</v>
      </c>
      <c r="BN3" s="38">
        <v>41730</v>
      </c>
      <c r="BO3" s="38">
        <v>41760</v>
      </c>
      <c r="BP3" s="41">
        <v>41791</v>
      </c>
      <c r="BQ3" s="40">
        <v>41821</v>
      </c>
      <c r="BR3" s="38">
        <v>41852</v>
      </c>
      <c r="BS3" s="38">
        <v>41883</v>
      </c>
      <c r="BT3" s="38">
        <v>41913</v>
      </c>
      <c r="BU3" s="37">
        <v>41944</v>
      </c>
      <c r="BV3" s="38">
        <v>41974</v>
      </c>
      <c r="BW3" s="38">
        <v>42005</v>
      </c>
      <c r="BX3" s="38">
        <v>42036</v>
      </c>
      <c r="BY3" s="37">
        <v>42064</v>
      </c>
      <c r="BZ3" s="38">
        <v>42095</v>
      </c>
      <c r="CA3" s="38">
        <v>42125</v>
      </c>
      <c r="CB3" s="41">
        <v>42156</v>
      </c>
      <c r="CC3" s="42">
        <v>42186</v>
      </c>
      <c r="CD3" s="38">
        <v>42217</v>
      </c>
      <c r="CE3" s="38">
        <v>42248</v>
      </c>
      <c r="CF3" s="38">
        <v>42278</v>
      </c>
      <c r="CG3" s="37">
        <v>42309</v>
      </c>
      <c r="CH3" s="38">
        <v>42339</v>
      </c>
      <c r="CI3" s="38">
        <v>42370</v>
      </c>
      <c r="CJ3" s="38">
        <v>42401</v>
      </c>
      <c r="CK3" s="37">
        <v>42430</v>
      </c>
      <c r="CL3" s="38">
        <v>42461</v>
      </c>
      <c r="CM3" s="38">
        <v>42491</v>
      </c>
      <c r="CN3" s="39">
        <v>42522</v>
      </c>
      <c r="CO3" s="40">
        <v>42552</v>
      </c>
      <c r="CP3" s="38">
        <v>42583</v>
      </c>
      <c r="CQ3" s="38">
        <v>42614</v>
      </c>
      <c r="CR3" s="38">
        <v>42644</v>
      </c>
      <c r="CS3" s="37">
        <v>42675</v>
      </c>
      <c r="CT3" s="38">
        <v>42705</v>
      </c>
      <c r="CU3" s="38">
        <v>42736</v>
      </c>
      <c r="CV3" s="38">
        <v>42767</v>
      </c>
      <c r="CW3" s="37">
        <v>42795</v>
      </c>
      <c r="CX3" s="38">
        <v>42826</v>
      </c>
      <c r="CY3" s="38">
        <v>42856</v>
      </c>
      <c r="CZ3" s="41">
        <v>42887</v>
      </c>
      <c r="DA3" s="40">
        <v>42917</v>
      </c>
      <c r="DB3" s="38">
        <v>42948</v>
      </c>
      <c r="DC3" s="38">
        <v>42979</v>
      </c>
      <c r="DD3" s="38">
        <v>43009</v>
      </c>
      <c r="DE3" s="37">
        <v>43040</v>
      </c>
      <c r="DF3" s="38">
        <v>43070</v>
      </c>
      <c r="DG3" s="38">
        <v>43101</v>
      </c>
      <c r="DH3" s="38">
        <v>43132</v>
      </c>
      <c r="DI3" s="37">
        <v>43160</v>
      </c>
      <c r="DJ3" s="38">
        <v>43191</v>
      </c>
      <c r="DK3" s="38">
        <v>43221</v>
      </c>
      <c r="DL3" s="41">
        <v>43252</v>
      </c>
      <c r="DM3" s="40">
        <v>43282</v>
      </c>
      <c r="DN3" s="38">
        <v>43313</v>
      </c>
      <c r="DO3" s="38">
        <v>43344</v>
      </c>
      <c r="DP3" s="38">
        <v>43374</v>
      </c>
      <c r="DQ3" s="37">
        <v>43405</v>
      </c>
      <c r="DR3" s="38">
        <v>43435</v>
      </c>
      <c r="DS3" s="38">
        <v>43466</v>
      </c>
      <c r="DT3" s="38">
        <v>43497</v>
      </c>
      <c r="DU3" s="37">
        <v>43525</v>
      </c>
      <c r="DV3" s="38">
        <v>43556</v>
      </c>
      <c r="DW3" s="38">
        <v>43586</v>
      </c>
      <c r="DX3" s="41">
        <v>43617</v>
      </c>
      <c r="DY3" s="40">
        <v>43647</v>
      </c>
      <c r="DZ3" s="38">
        <v>43678</v>
      </c>
      <c r="EA3" s="38">
        <v>43709</v>
      </c>
      <c r="EB3" s="38">
        <v>43739</v>
      </c>
      <c r="EC3" s="37">
        <v>43770</v>
      </c>
      <c r="ED3" s="38">
        <v>43800</v>
      </c>
      <c r="EE3" s="38">
        <v>43831</v>
      </c>
      <c r="EF3" s="38">
        <v>43862</v>
      </c>
      <c r="EG3" s="37">
        <v>43891</v>
      </c>
      <c r="EH3" s="38">
        <v>43922</v>
      </c>
      <c r="EI3" s="38">
        <v>43952</v>
      </c>
      <c r="EJ3" s="41">
        <v>43983</v>
      </c>
      <c r="EK3" s="40">
        <v>44013</v>
      </c>
      <c r="EL3" s="38">
        <v>44044</v>
      </c>
      <c r="EM3" s="38">
        <v>44075</v>
      </c>
      <c r="EN3" s="38">
        <v>44105</v>
      </c>
      <c r="EO3" s="37">
        <v>44136</v>
      </c>
      <c r="EP3" s="38">
        <v>44166</v>
      </c>
      <c r="EQ3" s="38">
        <v>44197</v>
      </c>
      <c r="ER3" s="38">
        <v>44228</v>
      </c>
      <c r="ES3" s="37">
        <v>44256</v>
      </c>
      <c r="ET3" s="38">
        <v>44287</v>
      </c>
      <c r="EU3" s="38">
        <v>44317</v>
      </c>
      <c r="EV3" s="41">
        <v>44348</v>
      </c>
      <c r="EW3" s="40">
        <v>44378</v>
      </c>
      <c r="EX3" s="38">
        <v>44409</v>
      </c>
      <c r="EY3" s="38">
        <v>44440</v>
      </c>
      <c r="EZ3" s="38">
        <v>44470</v>
      </c>
      <c r="FA3" s="37">
        <v>44501</v>
      </c>
      <c r="FB3" s="38">
        <v>44531</v>
      </c>
      <c r="FC3" s="38">
        <v>44562</v>
      </c>
      <c r="FD3" s="38">
        <v>44593</v>
      </c>
      <c r="FE3" s="37">
        <v>44621</v>
      </c>
      <c r="FF3" s="38">
        <v>44652</v>
      </c>
      <c r="FG3" s="38">
        <v>44682</v>
      </c>
      <c r="FH3" s="41">
        <v>44713</v>
      </c>
      <c r="FI3" s="40">
        <v>44764</v>
      </c>
      <c r="FJ3" s="38">
        <v>44795</v>
      </c>
      <c r="FK3" s="38">
        <v>44826</v>
      </c>
      <c r="FL3" s="38">
        <v>44856</v>
      </c>
      <c r="FM3" s="37">
        <v>44887</v>
      </c>
      <c r="FN3" s="38">
        <v>44917</v>
      </c>
      <c r="FO3" s="38">
        <v>44949</v>
      </c>
      <c r="FP3" s="38">
        <v>44980</v>
      </c>
      <c r="FQ3" s="37">
        <v>45008</v>
      </c>
      <c r="FR3" s="38">
        <v>45039</v>
      </c>
      <c r="FS3" s="38">
        <v>45069</v>
      </c>
      <c r="FT3" s="41">
        <v>45100</v>
      </c>
      <c r="FU3" s="40">
        <v>45130</v>
      </c>
      <c r="FV3" s="38">
        <v>45161</v>
      </c>
      <c r="FW3" s="38">
        <v>45192</v>
      </c>
      <c r="FX3" s="38">
        <v>45222</v>
      </c>
      <c r="FY3" s="37">
        <v>45253</v>
      </c>
      <c r="FZ3" s="38">
        <v>45283</v>
      </c>
      <c r="GA3" s="38">
        <v>45315</v>
      </c>
      <c r="GB3" s="38">
        <v>45345</v>
      </c>
      <c r="GC3" s="37">
        <v>45374</v>
      </c>
      <c r="GD3" s="38">
        <v>45405</v>
      </c>
      <c r="GE3" s="38">
        <v>45435</v>
      </c>
      <c r="GF3" s="38">
        <v>45466</v>
      </c>
      <c r="GG3" s="38">
        <v>45496</v>
      </c>
      <c r="GH3" s="38">
        <v>45527</v>
      </c>
      <c r="GI3" s="38">
        <v>45558</v>
      </c>
      <c r="GJ3" s="38">
        <v>45588</v>
      </c>
      <c r="GK3" s="38">
        <v>45619</v>
      </c>
      <c r="GL3" s="38">
        <v>45649</v>
      </c>
    </row>
    <row r="4" spans="1:194" s="1" customFormat="1" x14ac:dyDescent="0.3">
      <c r="A4" s="168" t="s">
        <v>96</v>
      </c>
      <c r="B4" s="160"/>
      <c r="C4" s="161"/>
      <c r="D4" s="161"/>
      <c r="E4" s="162"/>
      <c r="F4" s="161"/>
      <c r="G4" s="161"/>
      <c r="H4" s="163"/>
      <c r="I4" s="164"/>
      <c r="J4" s="161"/>
      <c r="K4" s="161"/>
      <c r="L4" s="161"/>
      <c r="M4" s="162"/>
      <c r="N4" s="161"/>
      <c r="O4" s="161"/>
      <c r="P4" s="161"/>
      <c r="Q4" s="162"/>
      <c r="R4" s="161"/>
      <c r="S4" s="161"/>
      <c r="T4" s="163"/>
      <c r="U4" s="164"/>
      <c r="V4" s="161"/>
      <c r="W4" s="161"/>
      <c r="X4" s="161"/>
      <c r="Y4" s="162"/>
      <c r="Z4" s="161"/>
      <c r="AA4" s="161"/>
      <c r="AB4" s="161"/>
      <c r="AC4" s="162"/>
      <c r="AD4" s="161"/>
      <c r="AE4" s="161"/>
      <c r="AF4" s="163"/>
      <c r="AG4" s="164"/>
      <c r="AH4" s="161"/>
      <c r="AI4" s="161"/>
      <c r="AJ4" s="161"/>
      <c r="AK4" s="162"/>
      <c r="AL4" s="161"/>
      <c r="AM4" s="161"/>
      <c r="AN4" s="161"/>
      <c r="AO4" s="162"/>
      <c r="AP4" s="161"/>
      <c r="AQ4" s="161"/>
      <c r="AR4" s="163"/>
      <c r="AS4" s="164"/>
      <c r="AT4" s="161"/>
      <c r="AU4" s="161"/>
      <c r="AV4" s="161"/>
      <c r="AW4" s="162"/>
      <c r="AX4" s="161"/>
      <c r="AY4" s="161"/>
      <c r="AZ4" s="161"/>
      <c r="BA4" s="162"/>
      <c r="BB4" s="161"/>
      <c r="BC4" s="161"/>
      <c r="BD4" s="163"/>
      <c r="BE4" s="164"/>
      <c r="BF4" s="161"/>
      <c r="BG4" s="161"/>
      <c r="BH4" s="161"/>
      <c r="BI4" s="162"/>
      <c r="BJ4" s="161"/>
      <c r="BK4" s="161"/>
      <c r="BL4" s="161"/>
      <c r="BM4" s="162"/>
      <c r="BN4" s="161"/>
      <c r="BO4" s="161"/>
      <c r="BP4" s="163"/>
      <c r="BQ4" s="164"/>
      <c r="BR4" s="161"/>
      <c r="BS4" s="161"/>
      <c r="BT4" s="161"/>
      <c r="BU4" s="162"/>
      <c r="BV4" s="161"/>
      <c r="BW4" s="161"/>
      <c r="BX4" s="161"/>
      <c r="BY4" s="162"/>
      <c r="BZ4" s="161"/>
      <c r="CA4" s="161"/>
      <c r="CB4" s="163"/>
      <c r="CC4" s="165"/>
      <c r="CD4" s="161"/>
      <c r="CE4" s="161"/>
      <c r="CF4" s="161"/>
      <c r="CG4" s="162"/>
      <c r="CH4" s="161"/>
      <c r="CI4" s="161"/>
      <c r="CJ4" s="161"/>
      <c r="CK4" s="162"/>
      <c r="CL4" s="161"/>
      <c r="CM4" s="161"/>
      <c r="CN4" s="166"/>
      <c r="CO4" s="164"/>
      <c r="CP4" s="161"/>
      <c r="CQ4" s="161"/>
      <c r="CR4" s="161"/>
      <c r="CS4" s="162"/>
      <c r="CT4" s="161"/>
      <c r="CU4" s="161"/>
      <c r="CV4" s="161"/>
      <c r="CW4" s="162"/>
      <c r="CX4" s="161"/>
      <c r="CY4" s="161"/>
      <c r="CZ4" s="163"/>
      <c r="DA4" s="164"/>
      <c r="DB4" s="161"/>
      <c r="DC4" s="161"/>
      <c r="DD4" s="161"/>
      <c r="DE4" s="162"/>
      <c r="DF4" s="161"/>
      <c r="DG4" s="161"/>
      <c r="DH4" s="161"/>
      <c r="DI4" s="162"/>
      <c r="DJ4" s="161"/>
      <c r="DK4" s="161"/>
      <c r="DL4" s="163"/>
      <c r="DM4" s="164"/>
      <c r="DN4" s="161"/>
      <c r="DO4" s="161"/>
      <c r="DP4" s="161"/>
      <c r="DQ4" s="162"/>
      <c r="DR4" s="161"/>
      <c r="DS4" s="161"/>
      <c r="DT4" s="161"/>
      <c r="DU4" s="162"/>
      <c r="DV4" s="161"/>
      <c r="DW4" s="161"/>
      <c r="DX4" s="163"/>
      <c r="DY4" s="164"/>
      <c r="DZ4" s="161"/>
      <c r="EA4" s="161"/>
      <c r="EB4" s="161"/>
      <c r="EC4" s="162"/>
      <c r="ED4" s="161"/>
      <c r="EE4" s="161"/>
      <c r="EF4" s="161"/>
      <c r="EG4" s="162"/>
      <c r="EH4" s="161"/>
      <c r="EI4" s="161"/>
      <c r="EJ4" s="163"/>
      <c r="EK4" s="164"/>
      <c r="EL4" s="161"/>
      <c r="EM4" s="161"/>
      <c r="EN4" s="161"/>
      <c r="EO4" s="162"/>
      <c r="EP4" s="161"/>
      <c r="EQ4" s="161"/>
      <c r="ER4" s="161"/>
      <c r="ES4" s="162"/>
      <c r="ET4" s="161"/>
      <c r="EU4" s="161"/>
      <c r="EV4" s="163"/>
      <c r="EW4" s="164"/>
      <c r="EX4" s="161"/>
      <c r="EY4" s="161"/>
      <c r="EZ4" s="161"/>
      <c r="FA4" s="162"/>
      <c r="FB4" s="161"/>
      <c r="FC4" s="161"/>
      <c r="FD4" s="161"/>
      <c r="FE4" s="162"/>
      <c r="FF4" s="161"/>
      <c r="FG4" s="161"/>
      <c r="FH4" s="163"/>
      <c r="FI4" s="164"/>
      <c r="FJ4" s="161"/>
      <c r="FK4" s="161"/>
      <c r="FL4" s="161"/>
      <c r="FM4" s="162"/>
      <c r="FN4" s="161"/>
      <c r="FO4" s="161"/>
      <c r="FP4" s="161"/>
      <c r="FQ4" s="162"/>
      <c r="FR4" s="161"/>
      <c r="FS4" s="161"/>
      <c r="FT4" s="163"/>
      <c r="FU4" s="164"/>
      <c r="FV4" s="161"/>
      <c r="FW4" s="161"/>
      <c r="FX4" s="161"/>
      <c r="FY4" s="162"/>
      <c r="FZ4" s="161"/>
      <c r="GA4" s="18">
        <f>'Total Saturday Boardings'!GA4/4</f>
        <v>692.5</v>
      </c>
      <c r="GB4" s="18">
        <f>'Total Saturday Boardings'!GB4/4</f>
        <v>1519.75</v>
      </c>
      <c r="GC4" s="18">
        <f>'Total Saturday Boardings'!GC4/5</f>
        <v>1298</v>
      </c>
      <c r="GD4" s="18">
        <f>'Total Saturday Boardings'!GD4/4</f>
        <v>1334.25</v>
      </c>
      <c r="GE4" s="18">
        <f>'Total Saturday Boardings'!GE4/4</f>
        <v>1538.75</v>
      </c>
      <c r="GF4" s="18">
        <f>'Total Saturday Boardings'!GF4/5</f>
        <v>1290</v>
      </c>
      <c r="GG4" s="18">
        <f>'Total Saturday Boardings'!GG4/4</f>
        <v>1523.75</v>
      </c>
      <c r="GH4" s="18">
        <f>'Total Saturday Boardings'!GH4/5</f>
        <v>1520.4</v>
      </c>
      <c r="GI4" s="18">
        <f>'Total Saturday Boardings'!GI4/4</f>
        <v>384.75</v>
      </c>
      <c r="GJ4" s="18">
        <f>'Total Saturday Boardings'!GJ4/4</f>
        <v>1740.25</v>
      </c>
      <c r="GK4" s="18">
        <f>'Total Saturday Boardings'!GK4/5</f>
        <v>1478.4</v>
      </c>
      <c r="GL4" s="18">
        <f>'Total Saturday Boardings'!GL4/4</f>
        <v>1314.5</v>
      </c>
    </row>
    <row r="5" spans="1:194" s="1" customFormat="1" x14ac:dyDescent="0.3">
      <c r="A5" s="168" t="s">
        <v>97</v>
      </c>
      <c r="B5" s="160"/>
      <c r="C5" s="161"/>
      <c r="D5" s="161"/>
      <c r="E5" s="162"/>
      <c r="F5" s="161"/>
      <c r="G5" s="161"/>
      <c r="H5" s="163"/>
      <c r="I5" s="164"/>
      <c r="J5" s="161"/>
      <c r="K5" s="161"/>
      <c r="L5" s="161"/>
      <c r="M5" s="162"/>
      <c r="N5" s="161"/>
      <c r="O5" s="161"/>
      <c r="P5" s="161"/>
      <c r="Q5" s="162"/>
      <c r="R5" s="161"/>
      <c r="S5" s="161"/>
      <c r="T5" s="163"/>
      <c r="U5" s="164"/>
      <c r="V5" s="161"/>
      <c r="W5" s="161"/>
      <c r="X5" s="161"/>
      <c r="Y5" s="162"/>
      <c r="Z5" s="161"/>
      <c r="AA5" s="161"/>
      <c r="AB5" s="161"/>
      <c r="AC5" s="162"/>
      <c r="AD5" s="161"/>
      <c r="AE5" s="161"/>
      <c r="AF5" s="163"/>
      <c r="AG5" s="164"/>
      <c r="AH5" s="161"/>
      <c r="AI5" s="161"/>
      <c r="AJ5" s="161"/>
      <c r="AK5" s="162"/>
      <c r="AL5" s="161"/>
      <c r="AM5" s="161"/>
      <c r="AN5" s="161"/>
      <c r="AO5" s="162"/>
      <c r="AP5" s="161"/>
      <c r="AQ5" s="161"/>
      <c r="AR5" s="163"/>
      <c r="AS5" s="164"/>
      <c r="AT5" s="161"/>
      <c r="AU5" s="161"/>
      <c r="AV5" s="161"/>
      <c r="AW5" s="162"/>
      <c r="AX5" s="161"/>
      <c r="AY5" s="161"/>
      <c r="AZ5" s="161"/>
      <c r="BA5" s="162"/>
      <c r="BB5" s="161"/>
      <c r="BC5" s="161"/>
      <c r="BD5" s="163"/>
      <c r="BE5" s="164"/>
      <c r="BF5" s="161"/>
      <c r="BG5" s="161"/>
      <c r="BH5" s="161"/>
      <c r="BI5" s="162"/>
      <c r="BJ5" s="161"/>
      <c r="BK5" s="161"/>
      <c r="BL5" s="161"/>
      <c r="BM5" s="162"/>
      <c r="BN5" s="161"/>
      <c r="BO5" s="161"/>
      <c r="BP5" s="163"/>
      <c r="BQ5" s="164"/>
      <c r="BR5" s="161"/>
      <c r="BS5" s="161"/>
      <c r="BT5" s="161"/>
      <c r="BU5" s="162"/>
      <c r="BV5" s="161"/>
      <c r="BW5" s="161"/>
      <c r="BX5" s="161"/>
      <c r="BY5" s="162"/>
      <c r="BZ5" s="161"/>
      <c r="CA5" s="161"/>
      <c r="CB5" s="163"/>
      <c r="CC5" s="165"/>
      <c r="CD5" s="161"/>
      <c r="CE5" s="161"/>
      <c r="CF5" s="161"/>
      <c r="CG5" s="162"/>
      <c r="CH5" s="161"/>
      <c r="CI5" s="161"/>
      <c r="CJ5" s="161"/>
      <c r="CK5" s="162"/>
      <c r="CL5" s="161"/>
      <c r="CM5" s="161"/>
      <c r="CN5" s="166"/>
      <c r="CO5" s="164"/>
      <c r="CP5" s="161"/>
      <c r="CQ5" s="161"/>
      <c r="CR5" s="161"/>
      <c r="CS5" s="162"/>
      <c r="CT5" s="161"/>
      <c r="CU5" s="161"/>
      <c r="CV5" s="161"/>
      <c r="CW5" s="162"/>
      <c r="CX5" s="161"/>
      <c r="CY5" s="161"/>
      <c r="CZ5" s="163"/>
      <c r="DA5" s="164"/>
      <c r="DB5" s="161"/>
      <c r="DC5" s="161"/>
      <c r="DD5" s="161"/>
      <c r="DE5" s="162"/>
      <c r="DF5" s="161"/>
      <c r="DG5" s="161"/>
      <c r="DH5" s="161"/>
      <c r="DI5" s="162"/>
      <c r="DJ5" s="161"/>
      <c r="DK5" s="161"/>
      <c r="DL5" s="163"/>
      <c r="DM5" s="164"/>
      <c r="DN5" s="161"/>
      <c r="DO5" s="161"/>
      <c r="DP5" s="161"/>
      <c r="DQ5" s="162"/>
      <c r="DR5" s="161"/>
      <c r="DS5" s="161"/>
      <c r="DT5" s="161"/>
      <c r="DU5" s="162"/>
      <c r="DV5" s="161"/>
      <c r="DW5" s="161"/>
      <c r="DX5" s="163"/>
      <c r="DY5" s="164"/>
      <c r="DZ5" s="161"/>
      <c r="EA5" s="161"/>
      <c r="EB5" s="161"/>
      <c r="EC5" s="162"/>
      <c r="ED5" s="161"/>
      <c r="EE5" s="161"/>
      <c r="EF5" s="161"/>
      <c r="EG5" s="162"/>
      <c r="EH5" s="161"/>
      <c r="EI5" s="161"/>
      <c r="EJ5" s="163"/>
      <c r="EK5" s="164"/>
      <c r="EL5" s="161"/>
      <c r="EM5" s="161"/>
      <c r="EN5" s="161"/>
      <c r="EO5" s="162"/>
      <c r="EP5" s="161"/>
      <c r="EQ5" s="161"/>
      <c r="ER5" s="161"/>
      <c r="ES5" s="162"/>
      <c r="ET5" s="161"/>
      <c r="EU5" s="161"/>
      <c r="EV5" s="163"/>
      <c r="EW5" s="164"/>
      <c r="EX5" s="161"/>
      <c r="EY5" s="161"/>
      <c r="EZ5" s="161"/>
      <c r="FA5" s="162"/>
      <c r="FB5" s="161"/>
      <c r="FC5" s="161"/>
      <c r="FD5" s="161"/>
      <c r="FE5" s="162"/>
      <c r="FF5" s="161"/>
      <c r="FG5" s="161"/>
      <c r="FH5" s="163"/>
      <c r="FI5" s="164"/>
      <c r="FJ5" s="161"/>
      <c r="FK5" s="161"/>
      <c r="FL5" s="161"/>
      <c r="FM5" s="162"/>
      <c r="FN5" s="161"/>
      <c r="FO5" s="161"/>
      <c r="FP5" s="161"/>
      <c r="FQ5" s="162"/>
      <c r="FR5" s="161"/>
      <c r="FS5" s="161"/>
      <c r="FT5" s="163"/>
      <c r="FU5" s="164"/>
      <c r="FV5" s="161"/>
      <c r="FW5" s="161"/>
      <c r="FX5" s="161"/>
      <c r="FY5" s="162"/>
      <c r="FZ5" s="161"/>
      <c r="GA5" s="18">
        <f>'Total Saturday Boardings'!GA5/4</f>
        <v>52.25</v>
      </c>
      <c r="GB5" s="18">
        <f>'Total Saturday Boardings'!GB5/4</f>
        <v>99.5</v>
      </c>
      <c r="GC5" s="18">
        <f>'Total Saturday Boardings'!GC5/5</f>
        <v>96.4</v>
      </c>
      <c r="GD5" s="18">
        <f>'Total Saturday Boardings'!GD5/4</f>
        <v>96.25</v>
      </c>
      <c r="GE5" s="18">
        <f>'Total Saturday Boardings'!GE5/4</f>
        <v>87.25</v>
      </c>
      <c r="GF5" s="18">
        <f>'Total Saturday Boardings'!GF5/5</f>
        <v>85.6</v>
      </c>
      <c r="GG5" s="18">
        <f>'Total Saturday Boardings'!GG5/4</f>
        <v>112.25</v>
      </c>
      <c r="GH5" s="18">
        <f>'Total Saturday Boardings'!GH5/5</f>
        <v>131.6</v>
      </c>
      <c r="GI5" s="18">
        <f>'Total Saturday Boardings'!GI5/4</f>
        <v>21</v>
      </c>
      <c r="GJ5" s="18">
        <f>'Total Saturday Boardings'!GJ5/4</f>
        <v>131.5</v>
      </c>
      <c r="GK5" s="18">
        <f>'Total Saturday Boardings'!GK5/5</f>
        <v>127.2</v>
      </c>
      <c r="GL5" s="18">
        <f>'Total Saturday Boardings'!GL5/4</f>
        <v>119.25</v>
      </c>
    </row>
    <row r="6" spans="1:194" s="1" customFormat="1" ht="15" thickBot="1" x14ac:dyDescent="0.35">
      <c r="A6" s="168" t="s">
        <v>98</v>
      </c>
      <c r="B6" s="160"/>
      <c r="C6" s="161"/>
      <c r="D6" s="161"/>
      <c r="E6" s="162"/>
      <c r="F6" s="161"/>
      <c r="G6" s="161"/>
      <c r="H6" s="163"/>
      <c r="I6" s="164"/>
      <c r="J6" s="161"/>
      <c r="K6" s="161"/>
      <c r="L6" s="161"/>
      <c r="M6" s="162"/>
      <c r="N6" s="161"/>
      <c r="O6" s="161"/>
      <c r="P6" s="161"/>
      <c r="Q6" s="162"/>
      <c r="R6" s="161"/>
      <c r="S6" s="161"/>
      <c r="T6" s="163"/>
      <c r="U6" s="164"/>
      <c r="V6" s="161"/>
      <c r="W6" s="161"/>
      <c r="X6" s="161"/>
      <c r="Y6" s="162"/>
      <c r="Z6" s="161"/>
      <c r="AA6" s="161"/>
      <c r="AB6" s="161"/>
      <c r="AC6" s="162"/>
      <c r="AD6" s="161"/>
      <c r="AE6" s="161"/>
      <c r="AF6" s="163"/>
      <c r="AG6" s="164"/>
      <c r="AH6" s="161"/>
      <c r="AI6" s="161"/>
      <c r="AJ6" s="161"/>
      <c r="AK6" s="162"/>
      <c r="AL6" s="161"/>
      <c r="AM6" s="161"/>
      <c r="AN6" s="161"/>
      <c r="AO6" s="162"/>
      <c r="AP6" s="161"/>
      <c r="AQ6" s="161"/>
      <c r="AR6" s="163"/>
      <c r="AS6" s="164"/>
      <c r="AT6" s="161"/>
      <c r="AU6" s="161"/>
      <c r="AV6" s="161"/>
      <c r="AW6" s="162"/>
      <c r="AX6" s="161"/>
      <c r="AY6" s="161"/>
      <c r="AZ6" s="161"/>
      <c r="BA6" s="162"/>
      <c r="BB6" s="161"/>
      <c r="BC6" s="161"/>
      <c r="BD6" s="163"/>
      <c r="BE6" s="164"/>
      <c r="BF6" s="161"/>
      <c r="BG6" s="161"/>
      <c r="BH6" s="161"/>
      <c r="BI6" s="162"/>
      <c r="BJ6" s="161"/>
      <c r="BK6" s="161"/>
      <c r="BL6" s="161"/>
      <c r="BM6" s="162"/>
      <c r="BN6" s="161"/>
      <c r="BO6" s="161"/>
      <c r="BP6" s="163"/>
      <c r="BQ6" s="164"/>
      <c r="BR6" s="161"/>
      <c r="BS6" s="161"/>
      <c r="BT6" s="161"/>
      <c r="BU6" s="162"/>
      <c r="BV6" s="161"/>
      <c r="BW6" s="161"/>
      <c r="BX6" s="161"/>
      <c r="BY6" s="162"/>
      <c r="BZ6" s="161"/>
      <c r="CA6" s="161"/>
      <c r="CB6" s="163"/>
      <c r="CC6" s="165"/>
      <c r="CD6" s="161"/>
      <c r="CE6" s="161"/>
      <c r="CF6" s="161"/>
      <c r="CG6" s="162"/>
      <c r="CH6" s="161"/>
      <c r="CI6" s="161"/>
      <c r="CJ6" s="161"/>
      <c r="CK6" s="162"/>
      <c r="CL6" s="161"/>
      <c r="CM6" s="161"/>
      <c r="CN6" s="166"/>
      <c r="CO6" s="164"/>
      <c r="CP6" s="161"/>
      <c r="CQ6" s="161"/>
      <c r="CR6" s="161"/>
      <c r="CS6" s="162"/>
      <c r="CT6" s="161"/>
      <c r="CU6" s="161"/>
      <c r="CV6" s="161"/>
      <c r="CW6" s="162"/>
      <c r="CX6" s="161"/>
      <c r="CY6" s="161"/>
      <c r="CZ6" s="163"/>
      <c r="DA6" s="164"/>
      <c r="DB6" s="161"/>
      <c r="DC6" s="161"/>
      <c r="DD6" s="161"/>
      <c r="DE6" s="162"/>
      <c r="DF6" s="161"/>
      <c r="DG6" s="161"/>
      <c r="DH6" s="161"/>
      <c r="DI6" s="162"/>
      <c r="DJ6" s="161"/>
      <c r="DK6" s="161"/>
      <c r="DL6" s="163"/>
      <c r="DM6" s="164"/>
      <c r="DN6" s="161"/>
      <c r="DO6" s="161"/>
      <c r="DP6" s="161"/>
      <c r="DQ6" s="162"/>
      <c r="DR6" s="161"/>
      <c r="DS6" s="161"/>
      <c r="DT6" s="161"/>
      <c r="DU6" s="162"/>
      <c r="DV6" s="161"/>
      <c r="DW6" s="161"/>
      <c r="DX6" s="163"/>
      <c r="DY6" s="164"/>
      <c r="DZ6" s="161"/>
      <c r="EA6" s="161"/>
      <c r="EB6" s="161"/>
      <c r="EC6" s="162"/>
      <c r="ED6" s="161"/>
      <c r="EE6" s="161"/>
      <c r="EF6" s="161"/>
      <c r="EG6" s="162"/>
      <c r="EH6" s="161"/>
      <c r="EI6" s="161"/>
      <c r="EJ6" s="163"/>
      <c r="EK6" s="164"/>
      <c r="EL6" s="161"/>
      <c r="EM6" s="161"/>
      <c r="EN6" s="161"/>
      <c r="EO6" s="162"/>
      <c r="EP6" s="161"/>
      <c r="EQ6" s="161"/>
      <c r="ER6" s="161"/>
      <c r="ES6" s="162"/>
      <c r="ET6" s="161"/>
      <c r="EU6" s="161"/>
      <c r="EV6" s="163"/>
      <c r="EW6" s="164"/>
      <c r="EX6" s="161"/>
      <c r="EY6" s="161"/>
      <c r="EZ6" s="161"/>
      <c r="FA6" s="162"/>
      <c r="FB6" s="161"/>
      <c r="FC6" s="161"/>
      <c r="FD6" s="161"/>
      <c r="FE6" s="162"/>
      <c r="FF6" s="161"/>
      <c r="FG6" s="161"/>
      <c r="FH6" s="163"/>
      <c r="FI6" s="164"/>
      <c r="FJ6" s="161"/>
      <c r="FK6" s="161"/>
      <c r="FL6" s="161"/>
      <c r="FM6" s="162"/>
      <c r="FN6" s="161"/>
      <c r="FO6" s="161"/>
      <c r="FP6" s="161"/>
      <c r="FQ6" s="162"/>
      <c r="FR6" s="161"/>
      <c r="FS6" s="161"/>
      <c r="FT6" s="163"/>
      <c r="FU6" s="164"/>
      <c r="FV6" s="161"/>
      <c r="FW6" s="161"/>
      <c r="FX6" s="161"/>
      <c r="FY6" s="162"/>
      <c r="FZ6" s="161"/>
      <c r="GA6" s="18">
        <f>'Total Saturday Boardings'!GA6/4</f>
        <v>54</v>
      </c>
      <c r="GB6" s="18">
        <f>'Total Saturday Boardings'!GB6/4</f>
        <v>146.25</v>
      </c>
      <c r="GC6" s="18">
        <f>'Total Saturday Boardings'!GC6/5</f>
        <v>146</v>
      </c>
      <c r="GD6" s="18">
        <f>'Total Saturday Boardings'!GD6/4</f>
        <v>127.75</v>
      </c>
      <c r="GE6" s="28">
        <f>'Total Saturday Boardings'!GE6/4</f>
        <v>123.75</v>
      </c>
      <c r="GF6" s="18">
        <f>'Total Saturday Boardings'!GF6/5</f>
        <v>128.19999999999999</v>
      </c>
      <c r="GG6" s="18">
        <f>'Total Saturday Boardings'!GG6/4</f>
        <v>155</v>
      </c>
      <c r="GH6" s="18">
        <f>'Total Saturday Boardings'!GH6/5</f>
        <v>151.4</v>
      </c>
      <c r="GI6" s="18">
        <f>'Total Saturday Boardings'!GI6/4</f>
        <v>34.25</v>
      </c>
      <c r="GJ6" s="18">
        <f>'Total Saturday Boardings'!GJ6/4</f>
        <v>163</v>
      </c>
      <c r="GK6" s="18">
        <f>'Total Saturday Boardings'!GK6/5</f>
        <v>146.4</v>
      </c>
      <c r="GL6" s="18">
        <f>'Total Saturday Boardings'!GL6/4</f>
        <v>135.25</v>
      </c>
    </row>
    <row r="7" spans="1:194" x14ac:dyDescent="0.3">
      <c r="A7" s="6" t="s">
        <v>32</v>
      </c>
      <c r="B7" s="12"/>
      <c r="C7" s="13"/>
      <c r="D7" s="13"/>
      <c r="E7" s="13"/>
      <c r="F7" s="13"/>
      <c r="G7" s="13"/>
      <c r="H7" s="14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  <c r="U7" s="12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2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2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4"/>
      <c r="BE7" s="12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4"/>
      <c r="BQ7" s="12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4"/>
      <c r="CC7" s="15"/>
      <c r="CD7" s="13"/>
      <c r="CE7" s="13"/>
      <c r="CF7" s="13"/>
      <c r="CG7" s="13"/>
      <c r="CH7" s="13"/>
      <c r="CI7" s="13"/>
      <c r="CJ7" s="13"/>
      <c r="CK7" s="13">
        <f>'Total Saturday Boardings'!CK7/'Service Days per Month'!CK$9</f>
        <v>2578</v>
      </c>
      <c r="CL7" s="13">
        <f>'Total Saturday Boardings'!CL7/'Service Days per Month'!CL$5</f>
        <v>2379.4</v>
      </c>
      <c r="CM7" s="13">
        <f>'Total Saturday Boardings'!CM7/'Service Days per Month'!CM$5</f>
        <v>2370.5</v>
      </c>
      <c r="CN7" s="16">
        <f>'Total Saturday Boardings'!CN7/'Service Days per Month'!CN$5</f>
        <v>2525.75</v>
      </c>
      <c r="CO7" s="12">
        <f>'Total Saturday Boardings'!CO7/'Service Days per Month'!CO$5</f>
        <v>2343.4</v>
      </c>
      <c r="CP7" s="13">
        <f>'Total Saturday Boardings'!CP7/'Service Days per Month'!CP$5</f>
        <v>2469</v>
      </c>
      <c r="CQ7" s="13">
        <f>'Total Saturday Boardings'!CQ7/'Service Days per Month'!CQ$5</f>
        <v>2571.5</v>
      </c>
      <c r="CR7" s="13">
        <f>'Total Saturday Boardings'!CR7/'Service Days per Month'!CR$5</f>
        <v>2438</v>
      </c>
      <c r="CS7" s="13">
        <f>'Total Saturday Boardings'!CS7/'Service Days per Month'!CS$5</f>
        <v>2220.75</v>
      </c>
      <c r="CT7" s="13">
        <f>'Total Saturday Boardings'!CT7/'Service Days per Month'!CT$5</f>
        <v>2475.5</v>
      </c>
      <c r="CU7" s="13">
        <f>'Total Saturday Boardings'!CU7/'Service Days per Month'!CU$5</f>
        <v>2408.75</v>
      </c>
      <c r="CV7" s="13">
        <f>'Total Saturday Boardings'!CV7/'Service Days per Month'!CV$5</f>
        <v>2481.5</v>
      </c>
      <c r="CW7" s="13">
        <f>'Total Saturday Boardings'!CW7/'Service Days per Month'!CW$5</f>
        <v>2522.5</v>
      </c>
      <c r="CX7" s="13">
        <f>'Total Saturday Boardings'!CX7/'Service Days per Month'!CX$5</f>
        <v>2911.2</v>
      </c>
      <c r="CY7" s="13">
        <f>'Total Saturday Boardings'!CY7/'Service Days per Month'!CY$5</f>
        <v>2591.25</v>
      </c>
      <c r="CZ7" s="14">
        <f>'Total Saturday Boardings'!CZ7/'Service Days per Month'!CZ$5</f>
        <v>2564.25</v>
      </c>
      <c r="DA7" s="12">
        <f>'Total Saturday Boardings'!DA7/'Service Days per Month'!DA$5</f>
        <v>2691.6</v>
      </c>
      <c r="DB7" s="13">
        <f>'Total Saturday Boardings'!DB7/'Service Days per Month'!DB$5</f>
        <v>2947.75</v>
      </c>
      <c r="DC7" s="13">
        <f>'Total Saturday Boardings'!DC7/'Service Days per Month'!DC$5</f>
        <v>2736.2</v>
      </c>
      <c r="DD7" s="13">
        <f>'Total Saturday Boardings'!DD7/'Service Days per Month'!DD$5</f>
        <v>2813.25</v>
      </c>
      <c r="DE7" s="13">
        <f>'Total Saturday Boardings'!DE7/'Service Days per Month'!DE$5</f>
        <v>2607.25</v>
      </c>
      <c r="DF7" s="13">
        <f>'Total Saturday Boardings'!DF7/'Service Days per Month'!DF$5</f>
        <v>2840.6</v>
      </c>
      <c r="DG7" s="13">
        <f>'Total Saturday Boardings'!DG7/'Service Days per Month'!DG$5</f>
        <v>2549.25</v>
      </c>
      <c r="DH7" s="13">
        <f>'Total Saturday Boardings'!DH7/'Service Days per Month'!DH$5</f>
        <v>2756.5</v>
      </c>
      <c r="DI7" s="13">
        <f>'Total Saturday Boardings'!DI7/'Service Days per Month'!DI$5</f>
        <v>2906.6</v>
      </c>
      <c r="DJ7" s="13">
        <f>'Total Saturday Boardings'!DJ7/'Service Days per Month'!DJ$5</f>
        <v>2749.75</v>
      </c>
      <c r="DK7" s="13">
        <f>'Total Saturday Boardings'!DK7/'Service Days per Month'!DK$5</f>
        <v>2565.75</v>
      </c>
      <c r="DL7" s="14">
        <f>'Total Saturday Boardings'!DL7/'Service Days per Month'!DL$5</f>
        <v>2462.6</v>
      </c>
      <c r="DM7" s="12">
        <f>'Total Saturday Boardings'!DM7/'Service Days per Month'!DM$5</f>
        <v>2506.5</v>
      </c>
      <c r="DN7" s="13">
        <f>'Total Saturday Boardings'!DN7/'Service Days per Month'!DN$5</f>
        <v>2904.5</v>
      </c>
      <c r="DO7" s="13">
        <f>'Total Saturday Boardings'!DO7/'Service Days per Month'!DO$5</f>
        <v>2672</v>
      </c>
      <c r="DP7" s="13">
        <f>'Total Saturday Boardings'!DP7/'Service Days per Month'!DP$5</f>
        <v>2453.75</v>
      </c>
      <c r="DQ7" s="13">
        <f>'Total Saturday Boardings'!DQ7/'Service Days per Month'!DQ$5</f>
        <v>2487</v>
      </c>
      <c r="DR7" s="13">
        <f>'Total Saturday Boardings'!DR7/'Service Days per Month'!DR$5</f>
        <v>2595.4</v>
      </c>
      <c r="DS7" s="13">
        <f>'Total Saturday Boardings'!DS7/'Service Days per Month'!DS$5</f>
        <v>2395.5</v>
      </c>
      <c r="DT7" s="13">
        <f>'Total Saturday Boardings'!DT7/'Service Days per Month'!DT$5</f>
        <v>2570</v>
      </c>
      <c r="DU7" s="13">
        <f>'Total Saturday Boardings'!DU7/'Service Days per Month'!DU$5</f>
        <v>2627.4</v>
      </c>
      <c r="DV7" s="13">
        <f>'Total Saturday Boardings'!DV7/'Service Days per Month'!DV$5</f>
        <v>2597.25</v>
      </c>
      <c r="DW7" s="13">
        <f>'Total Saturday Boardings'!DW7/'Service Days per Month'!DW$5</f>
        <v>2546.5</v>
      </c>
      <c r="DX7" s="14">
        <f>'Total Saturday Boardings'!DX7/'Service Days per Month'!DX$5</f>
        <v>2263.6</v>
      </c>
      <c r="DY7" s="12">
        <f>'Total Saturday Boardings'!DY7/'Service Days per Month'!DY$5</f>
        <v>2248.75</v>
      </c>
      <c r="DZ7" s="13">
        <f>'Total Saturday Boardings'!DZ7/'Service Days per Month'!DZ$5</f>
        <v>2463.1999999999998</v>
      </c>
      <c r="EA7" s="13">
        <f>'Total Saturday Boardings'!EA7/'Service Days per Month'!EA$5</f>
        <v>2447.75</v>
      </c>
      <c r="EB7" s="13">
        <f>'Total Saturday Boardings'!EB7/'Service Days per Month'!EB$5</f>
        <v>2365</v>
      </c>
      <c r="EC7" s="13">
        <f>'Total Saturday Boardings'!EC7/'Service Days per Month'!EC$5</f>
        <v>2459.1999999999998</v>
      </c>
      <c r="ED7" s="13">
        <f>'Total Saturday Boardings'!ED7/'Service Days per Month'!ED$5</f>
        <v>2514</v>
      </c>
      <c r="EE7" s="13">
        <f>'Total Saturday Boardings'!EE7/'Service Days per Month'!EE$5</f>
        <v>2402.5</v>
      </c>
      <c r="EF7" s="13">
        <f>'Total Saturday Boardings'!EF7/'Service Days per Month'!EF$5</f>
        <v>2584.6</v>
      </c>
      <c r="EG7" s="13">
        <f>'Total Saturday Boardings'!EG7/'Service Days per Month'!EG$5</f>
        <v>2256.5</v>
      </c>
      <c r="EH7" s="13">
        <f>'Total Saturday Boardings'!EH7/'Service Days per Month'!EH$5</f>
        <v>1732.25</v>
      </c>
      <c r="EI7" s="13">
        <f>'Total Saturday Boardings'!EI7/'Service Days per Month'!EI$5</f>
        <v>1538.8</v>
      </c>
      <c r="EJ7" s="14">
        <f>'Total Saturday Boardings'!EJ7/'Service Days per Month'!EJ$5</f>
        <v>1512.75</v>
      </c>
      <c r="EK7" s="12">
        <f>'Total Saturday Boardings'!EK7/'Service Days per Month'!EK$5</f>
        <v>1084.75</v>
      </c>
      <c r="EL7" s="13">
        <f>'Total Saturday Boardings'!EL7/'Service Days per Month'!EL$5</f>
        <v>1570</v>
      </c>
      <c r="EM7" s="13">
        <f>'Total Saturday Boardings'!EM7/'Service Days per Month'!EM$5</f>
        <v>1601</v>
      </c>
      <c r="EN7" s="13">
        <f>'Total Saturday Boardings'!EN7/'Service Days per Month'!EN$5</f>
        <v>1432.8</v>
      </c>
      <c r="EO7" s="13">
        <f>'Total Saturday Boardings'!EO7/'Service Days per Month'!EO$5</f>
        <v>1630.75</v>
      </c>
      <c r="EP7" s="13">
        <f>'Total Saturday Boardings'!EP7/'Service Days per Month'!EP$5</f>
        <v>1166.75</v>
      </c>
      <c r="EQ7" s="13">
        <f>'Total Saturday Boardings'!EQ7/'Service Days per Month'!EQ$5</f>
        <v>710.8</v>
      </c>
      <c r="ER7" s="13">
        <f>'Total Saturday Boardings'!ER7/'Service Days per Month'!ER$5</f>
        <v>1425</v>
      </c>
      <c r="ES7" s="13">
        <f>'Total Saturday Boardings'!ES7/'Service Days per Month'!ES$5</f>
        <v>1242</v>
      </c>
      <c r="ET7" s="13">
        <f>'Total Saturday Boardings'!ET7/'Service Days per Month'!ET$5</f>
        <v>1308.5</v>
      </c>
      <c r="EU7" s="13">
        <f>'Total Saturday Boardings'!EU7/'Service Days per Month'!EU$5</f>
        <v>1208.4000000000001</v>
      </c>
      <c r="EV7" s="14">
        <f>'Total Saturday Boardings'!EV7/'Service Days per Month'!EV$5</f>
        <v>1373.5</v>
      </c>
      <c r="EW7" s="12">
        <f>'Total Saturday Boardings'!EW7/'Service Days per Month'!EW$5</f>
        <v>1304.5999999999999</v>
      </c>
      <c r="EX7" s="13">
        <f>'Total Saturday Boardings'!EX7/'Service Days per Month'!EX$5</f>
        <v>1308.5</v>
      </c>
      <c r="EY7" s="13">
        <f>'Total Saturday Boardings'!EY7/'Service Days per Month'!EY$5</f>
        <v>1287</v>
      </c>
      <c r="EZ7" s="13">
        <f>'Total Saturday Boardings'!EZ7/'Service Days per Month'!EZ$5</f>
        <v>1280.5999999999999</v>
      </c>
      <c r="FA7" s="13">
        <f>'Total Saturday Boardings'!FA7/'Service Days per Month'!FA$5</f>
        <v>1309.25</v>
      </c>
      <c r="FB7" s="13">
        <f>'Total Saturday Boardings'!FB7/'Service Days per Month'!FB$5</f>
        <v>1413</v>
      </c>
      <c r="FC7" s="13">
        <f>'Total Saturday Boardings'!FC7/'Service Days per Month'!FC$5</f>
        <v>1334.4</v>
      </c>
      <c r="FD7" s="13">
        <f>'Total Saturday Boardings'!FD7/'Service Days per Month'!FD$5</f>
        <v>1605.5</v>
      </c>
      <c r="FE7" s="13">
        <f>'Total Saturday Boardings'!FE7/'Service Days per Month'!FE$5</f>
        <v>1636.5</v>
      </c>
      <c r="FF7" s="13">
        <f>'Total Saturday Boardings'!FF7/'Service Days per Month'!FF$5</f>
        <v>1622</v>
      </c>
      <c r="FG7" s="13">
        <f>'Total Saturday Boardings'!FG7/'Service Days per Month'!FG$5</f>
        <v>1545.75</v>
      </c>
      <c r="FH7" s="14">
        <f>'Total Saturday Boardings'!FH7/'Service Days per Month'!FH$5</f>
        <v>1424.25</v>
      </c>
      <c r="FI7" s="12">
        <v>1404.4</v>
      </c>
      <c r="FJ7" s="13">
        <v>1535</v>
      </c>
      <c r="FK7" s="13">
        <v>1653.25</v>
      </c>
      <c r="FL7" s="13">
        <v>1505.4</v>
      </c>
      <c r="FM7" s="13">
        <v>1157.8</v>
      </c>
      <c r="FN7" s="13">
        <v>1391.8</v>
      </c>
      <c r="FO7" s="13">
        <v>1182.2</v>
      </c>
      <c r="FP7" s="13">
        <v>1072</v>
      </c>
      <c r="FQ7" s="13">
        <v>1725.5</v>
      </c>
      <c r="FR7" s="13">
        <f>'Total Saturday Boardings'!FR7/5</f>
        <v>1481</v>
      </c>
      <c r="FS7" s="13">
        <f>'Total Saturday Boardings'!FS7/4</f>
        <v>1574.75</v>
      </c>
      <c r="FT7" s="14">
        <f>'Total Saturday Boardings'!FT7/4</f>
        <v>1606.75</v>
      </c>
      <c r="FU7" s="12">
        <f>'Total Saturday Boardings'!FU7/5</f>
        <v>1731.6</v>
      </c>
      <c r="FV7" s="13">
        <f>'Total Saturday Boardings'!FV7/4</f>
        <v>1863.25</v>
      </c>
      <c r="FW7" s="13">
        <f>'Total Saturday Boardings'!FW7/5</f>
        <v>1674.2</v>
      </c>
      <c r="FX7" s="13">
        <f>'Total Saturday Boardings'!FX7/4</f>
        <v>1845.5</v>
      </c>
      <c r="FY7" s="13">
        <f>'Total Saturday Boardings'!FY7/4</f>
        <v>1868.25</v>
      </c>
      <c r="FZ7" s="13">
        <f>'Total Saturday Boardings'!FZ7/5</f>
        <v>1804</v>
      </c>
      <c r="GA7" s="13">
        <f>'Total Saturday Boardings'!GA7/4</f>
        <v>1979.75</v>
      </c>
      <c r="GB7" s="13">
        <f>'Total Saturday Boardings'!GB7/4</f>
        <v>857.25</v>
      </c>
      <c r="GC7" s="13">
        <f>'Total Saturday Boardings'!GC7/5</f>
        <v>896.4</v>
      </c>
      <c r="GD7" s="13">
        <f>'Total Saturday Boardings'!GD7/4</f>
        <v>727</v>
      </c>
      <c r="GE7" s="33">
        <f>'Total Saturday Boardings'!GE7/4</f>
        <v>719.75</v>
      </c>
      <c r="GF7" s="18">
        <f>'Total Saturday Boardings'!GF7/5</f>
        <v>662</v>
      </c>
      <c r="GG7" s="18">
        <f>'Total Saturday Boardings'!GG7/4</f>
        <v>713.75</v>
      </c>
      <c r="GH7" s="18">
        <f>'Total Saturday Boardings'!GH7/5</f>
        <v>749</v>
      </c>
      <c r="GI7" s="18">
        <f>'Total Saturday Boardings'!GI7/4</f>
        <v>2019.5</v>
      </c>
      <c r="GJ7" s="18">
        <f>'Total Saturday Boardings'!GJ7/4</f>
        <v>728.5</v>
      </c>
      <c r="GK7" s="18">
        <f>'Total Saturday Boardings'!GK7/5</f>
        <v>662.8</v>
      </c>
      <c r="GL7" s="18">
        <f>'Total Saturday Boardings'!GL7/4</f>
        <v>655.25</v>
      </c>
    </row>
    <row r="8" spans="1:194" x14ac:dyDescent="0.3">
      <c r="A8" s="2" t="s">
        <v>30</v>
      </c>
      <c r="B8" s="17"/>
      <c r="C8" s="18"/>
      <c r="D8" s="18"/>
      <c r="E8" s="18"/>
      <c r="F8" s="18"/>
      <c r="G8" s="18"/>
      <c r="H8" s="19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7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7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  <c r="AS8" s="1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9"/>
      <c r="BE8" s="17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9"/>
      <c r="BQ8" s="17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9"/>
      <c r="CC8" s="20"/>
      <c r="CD8" s="18"/>
      <c r="CE8" s="18"/>
      <c r="CF8" s="18"/>
      <c r="CG8" s="18"/>
      <c r="CH8" s="18"/>
      <c r="CI8" s="18"/>
      <c r="CJ8" s="18"/>
      <c r="CK8" s="18">
        <f>'Total Saturday Boardings'!CK8/'Service Days per Month'!CK$9</f>
        <v>826</v>
      </c>
      <c r="CL8" s="18">
        <f>'Total Saturday Boardings'!CL8/'Service Days per Month'!CL$5</f>
        <v>855.2</v>
      </c>
      <c r="CM8" s="18">
        <f>'Total Saturday Boardings'!CM8/'Service Days per Month'!CM$5</f>
        <v>819.75</v>
      </c>
      <c r="CN8" s="21">
        <f>'Total Saturday Boardings'!CN8/'Service Days per Month'!CN$5</f>
        <v>869</v>
      </c>
      <c r="CO8" s="17">
        <f>'Total Saturday Boardings'!CO8/'Service Days per Month'!CO$5</f>
        <v>882.6</v>
      </c>
      <c r="CP8" s="18">
        <f>'Total Saturday Boardings'!CP8/'Service Days per Month'!CP$5</f>
        <v>909.25</v>
      </c>
      <c r="CQ8" s="18">
        <f>'Total Saturday Boardings'!CQ8/'Service Days per Month'!CQ$5</f>
        <v>916.25</v>
      </c>
      <c r="CR8" s="18">
        <f>'Total Saturday Boardings'!CR8/'Service Days per Month'!CR$5</f>
        <v>949.4</v>
      </c>
      <c r="CS8" s="18">
        <f>'Total Saturday Boardings'!CS8/'Service Days per Month'!CS$5</f>
        <v>906.25</v>
      </c>
      <c r="CT8" s="18">
        <f>'Total Saturday Boardings'!CT8/'Service Days per Month'!CT$5</f>
        <v>971.25</v>
      </c>
      <c r="CU8" s="18">
        <f>'Total Saturday Boardings'!CU8/'Service Days per Month'!CU$5</f>
        <v>997.5</v>
      </c>
      <c r="CV8" s="18">
        <f>'Total Saturday Boardings'!CV8/'Service Days per Month'!CV$5</f>
        <v>1002.5</v>
      </c>
      <c r="CW8" s="18">
        <f>'Total Saturday Boardings'!CW8/'Service Days per Month'!CW$5</f>
        <v>987.75</v>
      </c>
      <c r="CX8" s="18">
        <f>'Total Saturday Boardings'!CX8/'Service Days per Month'!CX$5</f>
        <v>1026.5999999999999</v>
      </c>
      <c r="CY8" s="18">
        <f>'Total Saturday Boardings'!CY8/'Service Days per Month'!CY$5</f>
        <v>954.75</v>
      </c>
      <c r="CZ8" s="19">
        <f>'Total Saturday Boardings'!CZ8/'Service Days per Month'!CZ$5</f>
        <v>961.5</v>
      </c>
      <c r="DA8" s="17">
        <f>'Total Saturday Boardings'!DA8/'Service Days per Month'!DA$5</f>
        <v>958.8</v>
      </c>
      <c r="DB8" s="18">
        <f>'Total Saturday Boardings'!DB8/'Service Days per Month'!DB$5</f>
        <v>967.5</v>
      </c>
      <c r="DC8" s="18">
        <f>'Total Saturday Boardings'!DC8/'Service Days per Month'!DC$5</f>
        <v>1056.2</v>
      </c>
      <c r="DD8" s="18">
        <f>'Total Saturday Boardings'!DD8/'Service Days per Month'!DD$5</f>
        <v>1028.25</v>
      </c>
      <c r="DE8" s="18">
        <f>'Total Saturday Boardings'!DE8/'Service Days per Month'!DE$5</f>
        <v>994.75</v>
      </c>
      <c r="DF8" s="18">
        <f>'Total Saturday Boardings'!DF8/'Service Days per Month'!DF$5</f>
        <v>990.6</v>
      </c>
      <c r="DG8" s="18">
        <f>'Total Saturday Boardings'!DG8/'Service Days per Month'!DG$5</f>
        <v>1007.75</v>
      </c>
      <c r="DH8" s="18">
        <f>'Total Saturday Boardings'!DH8/'Service Days per Month'!DH$5</f>
        <v>1084.25</v>
      </c>
      <c r="DI8" s="18">
        <f>'Total Saturday Boardings'!DI8/'Service Days per Month'!DI$5</f>
        <v>1046.8</v>
      </c>
      <c r="DJ8" s="18">
        <f>'Total Saturday Boardings'!DJ8/'Service Days per Month'!DJ$5</f>
        <v>1023.75</v>
      </c>
      <c r="DK8" s="18">
        <f>'Total Saturday Boardings'!DK8/'Service Days per Month'!DK$5</f>
        <v>958</v>
      </c>
      <c r="DL8" s="19">
        <f>'Total Saturday Boardings'!DL8/'Service Days per Month'!DL$5</f>
        <v>966</v>
      </c>
      <c r="DM8" s="17">
        <f>'Total Saturday Boardings'!DM8/'Service Days per Month'!DM$5</f>
        <v>900.5</v>
      </c>
      <c r="DN8" s="18">
        <f>'Total Saturday Boardings'!DN8/'Service Days per Month'!DN$5</f>
        <v>950.75</v>
      </c>
      <c r="DO8" s="18">
        <f>'Total Saturday Boardings'!DO8/'Service Days per Month'!DO$5</f>
        <v>1040.8</v>
      </c>
      <c r="DP8" s="18">
        <f>'Total Saturday Boardings'!DP8/'Service Days per Month'!DP$5</f>
        <v>1025</v>
      </c>
      <c r="DQ8" s="18">
        <f>'Total Saturday Boardings'!DQ8/'Service Days per Month'!DQ$5</f>
        <v>1057.25</v>
      </c>
      <c r="DR8" s="18">
        <f>'Total Saturday Boardings'!DR8/'Service Days per Month'!DR$5</f>
        <v>1049.4000000000001</v>
      </c>
      <c r="DS8" s="18">
        <f>'Total Saturday Boardings'!DS8/'Service Days per Month'!DS$5</f>
        <v>1020.75</v>
      </c>
      <c r="DT8" s="18">
        <f>'Total Saturday Boardings'!DT8/'Service Days per Month'!DT$5</f>
        <v>1049.25</v>
      </c>
      <c r="DU8" s="18">
        <f>'Total Saturday Boardings'!DU8/'Service Days per Month'!DU$5</f>
        <v>971.2</v>
      </c>
      <c r="DV8" s="18">
        <f>'Total Saturday Boardings'!DV8/'Service Days per Month'!DV$5</f>
        <v>960.75</v>
      </c>
      <c r="DW8" s="18">
        <f>'Total Saturday Boardings'!DW8/'Service Days per Month'!DW$5</f>
        <v>894.5</v>
      </c>
      <c r="DX8" s="19">
        <f>'Total Saturday Boardings'!DX8/'Service Days per Month'!DX$5</f>
        <v>852.8</v>
      </c>
      <c r="DY8" s="17">
        <f>'Total Saturday Boardings'!DY8/'Service Days per Month'!DY$5</f>
        <v>777</v>
      </c>
      <c r="DZ8" s="18">
        <f>'Total Saturday Boardings'!DZ8/'Service Days per Month'!DZ$5</f>
        <v>884</v>
      </c>
      <c r="EA8" s="18">
        <f>'Total Saturday Boardings'!EA8/'Service Days per Month'!EA$5</f>
        <v>896.25</v>
      </c>
      <c r="EB8" s="18">
        <f>'Total Saturday Boardings'!EB8/'Service Days per Month'!EB$5</f>
        <v>957.5</v>
      </c>
      <c r="EC8" s="18">
        <f>'Total Saturday Boardings'!EC8/'Service Days per Month'!EC$5</f>
        <v>921.2</v>
      </c>
      <c r="ED8" s="18">
        <f>'Total Saturday Boardings'!ED8/'Service Days per Month'!ED$5</f>
        <v>924.5</v>
      </c>
      <c r="EE8" s="18">
        <f>'Total Saturday Boardings'!EE8/'Service Days per Month'!EE$5</f>
        <v>931</v>
      </c>
      <c r="EF8" s="18">
        <f>'Total Saturday Boardings'!EF8/'Service Days per Month'!EF$5</f>
        <v>969</v>
      </c>
      <c r="EG8" s="18">
        <f>'Total Saturday Boardings'!EG8/'Service Days per Month'!EG$5</f>
        <v>820.5</v>
      </c>
      <c r="EH8" s="18">
        <f>'Total Saturday Boardings'!EH8/'Service Days per Month'!EH$5</f>
        <v>596.75</v>
      </c>
      <c r="EI8" s="18">
        <f>'Total Saturday Boardings'!EI8/'Service Days per Month'!EI$5</f>
        <v>575.4</v>
      </c>
      <c r="EJ8" s="19">
        <f>'Total Saturday Boardings'!EJ8/'Service Days per Month'!EJ$5</f>
        <v>564</v>
      </c>
      <c r="EK8" s="17">
        <f>'Total Saturday Boardings'!EK8/'Service Days per Month'!EK$5</f>
        <v>353.5</v>
      </c>
      <c r="EL8" s="18">
        <f>'Total Saturday Boardings'!EL8/'Service Days per Month'!EL$5</f>
        <v>483.4</v>
      </c>
      <c r="EM8" s="18">
        <f>'Total Saturday Boardings'!EM8/'Service Days per Month'!EM$5</f>
        <v>490.75</v>
      </c>
      <c r="EN8" s="18">
        <f>'Total Saturday Boardings'!EN8/'Service Days per Month'!EN$5</f>
        <v>527.6</v>
      </c>
      <c r="EO8" s="18">
        <f>'Total Saturday Boardings'!EO8/'Service Days per Month'!EO$5</f>
        <v>526.25</v>
      </c>
      <c r="EP8" s="18">
        <f>'Total Saturday Boardings'!EP8/'Service Days per Month'!EP$5</f>
        <v>405</v>
      </c>
      <c r="EQ8" s="18">
        <f>'Total Saturday Boardings'!EQ8/'Service Days per Month'!EQ$5</f>
        <v>241.8</v>
      </c>
      <c r="ER8" s="18">
        <f>'Total Saturday Boardings'!ER8/'Service Days per Month'!ER$5</f>
        <v>465.25</v>
      </c>
      <c r="ES8" s="18">
        <f>'Total Saturday Boardings'!ES8/'Service Days per Month'!ES$5</f>
        <v>465.25</v>
      </c>
      <c r="ET8" s="18">
        <f>'Total Saturday Boardings'!ET8/'Service Days per Month'!ET$5</f>
        <v>480.75</v>
      </c>
      <c r="EU8" s="18">
        <f>'Total Saturday Boardings'!EU8/'Service Days per Month'!EU$5</f>
        <v>455.2</v>
      </c>
      <c r="EV8" s="19">
        <f>'Total Saturday Boardings'!EV8/'Service Days per Month'!EV$5</f>
        <v>431</v>
      </c>
      <c r="EW8" s="17">
        <f>'Total Saturday Boardings'!EW8/'Service Days per Month'!EW$5</f>
        <v>421</v>
      </c>
      <c r="EX8" s="18">
        <f>'Total Saturday Boardings'!EX8/'Service Days per Month'!EX$5</f>
        <v>472</v>
      </c>
      <c r="EY8" s="18">
        <f>'Total Saturday Boardings'!EY8/'Service Days per Month'!EY$5</f>
        <v>454.25</v>
      </c>
      <c r="EZ8" s="18">
        <f>'Total Saturday Boardings'!EZ8/'Service Days per Month'!EZ$5</f>
        <v>469.4</v>
      </c>
      <c r="FA8" s="18">
        <f>'Total Saturday Boardings'!FA8/'Service Days per Month'!FA$5</f>
        <v>548.75</v>
      </c>
      <c r="FB8" s="18">
        <f>'Total Saturday Boardings'!FB8/'Service Days per Month'!FB$5</f>
        <v>518.75</v>
      </c>
      <c r="FC8" s="18">
        <f>'Total Saturday Boardings'!FC8/'Service Days per Month'!FC$5</f>
        <v>452.2</v>
      </c>
      <c r="FD8" s="18">
        <f>'Total Saturday Boardings'!FD8/'Service Days per Month'!FD$5</f>
        <v>628</v>
      </c>
      <c r="FE8" s="18">
        <f>'Total Saturday Boardings'!FE8/'Service Days per Month'!FE$5</f>
        <v>664.5</v>
      </c>
      <c r="FF8" s="18">
        <f>'Total Saturday Boardings'!FF8/'Service Days per Month'!FF$5</f>
        <v>622.4</v>
      </c>
      <c r="FG8" s="18">
        <f>'Total Saturday Boardings'!FG8/'Service Days per Month'!FG$5</f>
        <v>587</v>
      </c>
      <c r="FH8" s="19">
        <f>'Total Saturday Boardings'!FH8/'Service Days per Month'!FH$5</f>
        <v>461.75</v>
      </c>
      <c r="FI8" s="17">
        <v>491.2</v>
      </c>
      <c r="FJ8" s="18">
        <v>567.25</v>
      </c>
      <c r="FK8" s="18">
        <v>651.75</v>
      </c>
      <c r="FL8" s="18">
        <v>649.4</v>
      </c>
      <c r="FM8" s="18">
        <v>450.6</v>
      </c>
      <c r="FN8" s="18">
        <v>527</v>
      </c>
      <c r="FO8" s="18">
        <v>531.79999999999995</v>
      </c>
      <c r="FP8" s="18">
        <v>636.5</v>
      </c>
      <c r="FQ8" s="18">
        <v>674</v>
      </c>
      <c r="FR8" s="18">
        <f>'Total Saturday Boardings'!FR8/5</f>
        <v>650.6</v>
      </c>
      <c r="FS8" s="18">
        <f>'Total Saturday Boardings'!FS8/4</f>
        <v>675.5</v>
      </c>
      <c r="FT8" s="19">
        <f>'Total Saturday Boardings'!FT8/4</f>
        <v>619.25</v>
      </c>
      <c r="FU8" s="17">
        <f>'Total Saturday Boardings'!FU8/5</f>
        <v>625.20000000000005</v>
      </c>
      <c r="FV8" s="18">
        <f>'Total Saturday Boardings'!FV8/4</f>
        <v>710.25</v>
      </c>
      <c r="FW8" s="18">
        <f>'Total Saturday Boardings'!FW8/5</f>
        <v>679.6</v>
      </c>
      <c r="FX8" s="18">
        <f>'Total Saturday Boardings'!FX8/4</f>
        <v>671</v>
      </c>
      <c r="FY8" s="18">
        <f>'Total Saturday Boardings'!FY8/4</f>
        <v>641.25</v>
      </c>
      <c r="FZ8" s="18">
        <f>'Total Saturday Boardings'!FZ8/5</f>
        <v>623.4</v>
      </c>
      <c r="GA8" s="18">
        <f>'Total Saturday Boardings'!GA8/4</f>
        <v>678.25</v>
      </c>
      <c r="GB8" s="18">
        <f>'Total Saturday Boardings'!GB8/4</f>
        <v>697.5</v>
      </c>
      <c r="GC8" s="18">
        <f>'Total Saturday Boardings'!GC8/5</f>
        <v>669.2</v>
      </c>
      <c r="GD8" s="18">
        <f>'Total Saturday Boardings'!GD8/4</f>
        <v>610.75</v>
      </c>
      <c r="GE8" s="18">
        <f>'Total Saturday Boardings'!GE8/4</f>
        <v>612.5</v>
      </c>
      <c r="GF8" s="18">
        <f>'Total Saturday Boardings'!GF8/5</f>
        <v>554.4</v>
      </c>
      <c r="GG8" s="18">
        <f>'Total Saturday Boardings'!GG8/4</f>
        <v>571.75</v>
      </c>
      <c r="GH8" s="18">
        <f>'Total Saturday Boardings'!GH8/5</f>
        <v>640.6</v>
      </c>
      <c r="GI8" s="18">
        <f>'Total Saturday Boardings'!GI8/4</f>
        <v>622.5</v>
      </c>
      <c r="GJ8" s="18">
        <f>'Total Saturday Boardings'!GJ8/4</f>
        <v>597</v>
      </c>
      <c r="GK8" s="18">
        <f>'Total Saturday Boardings'!GK8/5</f>
        <v>555.79999999999995</v>
      </c>
      <c r="GL8" s="18">
        <f>'Total Saturday Boardings'!GL8/4</f>
        <v>565.5</v>
      </c>
    </row>
    <row r="9" spans="1:194" ht="15" thickBot="1" x14ac:dyDescent="0.35">
      <c r="A9" s="7" t="s">
        <v>31</v>
      </c>
      <c r="B9" s="22"/>
      <c r="C9" s="23"/>
      <c r="D9" s="23"/>
      <c r="E9" s="23"/>
      <c r="F9" s="23"/>
      <c r="G9" s="23"/>
      <c r="H9" s="24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2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22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4"/>
      <c r="AS9" s="22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4"/>
      <c r="BE9" s="22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4"/>
      <c r="BQ9" s="22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4"/>
      <c r="CC9" s="25"/>
      <c r="CD9" s="23"/>
      <c r="CE9" s="23"/>
      <c r="CF9" s="23"/>
      <c r="CG9" s="23"/>
      <c r="CH9" s="23"/>
      <c r="CI9" s="23"/>
      <c r="CJ9" s="23"/>
      <c r="CK9" s="23">
        <f>'Total Saturday Boardings'!CK9/'Service Days per Month'!CK$9</f>
        <v>941</v>
      </c>
      <c r="CL9" s="23">
        <f>'Total Saturday Boardings'!CL9/'Service Days per Month'!CL$5</f>
        <v>1062</v>
      </c>
      <c r="CM9" s="23">
        <f>'Total Saturday Boardings'!CM9/'Service Days per Month'!CM$5</f>
        <v>1081.5</v>
      </c>
      <c r="CN9" s="26">
        <f>'Total Saturday Boardings'!CN9/'Service Days per Month'!CN$5</f>
        <v>1133.75</v>
      </c>
      <c r="CO9" s="22">
        <f>'Total Saturday Boardings'!CO9/'Service Days per Month'!CO$5</f>
        <v>1136</v>
      </c>
      <c r="CP9" s="23">
        <f>'Total Saturday Boardings'!CP9/'Service Days per Month'!CP$5</f>
        <v>1163.75</v>
      </c>
      <c r="CQ9" s="23">
        <f>'Total Saturday Boardings'!CQ9/'Service Days per Month'!CQ$5</f>
        <v>1177.75</v>
      </c>
      <c r="CR9" s="23">
        <f>'Total Saturday Boardings'!CR9/'Service Days per Month'!CR$5</f>
        <v>1221.4000000000001</v>
      </c>
      <c r="CS9" s="23">
        <f>'Total Saturday Boardings'!CS9/'Service Days per Month'!CS$5</f>
        <v>1193.25</v>
      </c>
      <c r="CT9" s="23">
        <f>'Total Saturday Boardings'!CT9/'Service Days per Month'!CT$5</f>
        <v>1255</v>
      </c>
      <c r="CU9" s="23">
        <f>'Total Saturday Boardings'!CU9/'Service Days per Month'!CU$5</f>
        <v>1237</v>
      </c>
      <c r="CV9" s="23">
        <f>'Total Saturday Boardings'!CV9/'Service Days per Month'!CV$5</f>
        <v>1275.5</v>
      </c>
      <c r="CW9" s="23">
        <f>'Total Saturday Boardings'!CW9/'Service Days per Month'!CW$5</f>
        <v>1278.5</v>
      </c>
      <c r="CX9" s="23">
        <f>'Total Saturday Boardings'!CX9/'Service Days per Month'!CX$5</f>
        <v>1256.8</v>
      </c>
      <c r="CY9" s="23">
        <f>'Total Saturday Boardings'!CY9/'Service Days per Month'!CY$5</f>
        <v>1187.75</v>
      </c>
      <c r="CZ9" s="24">
        <f>'Total Saturday Boardings'!CZ9/'Service Days per Month'!CZ$5</f>
        <v>1113.25</v>
      </c>
      <c r="DA9" s="22">
        <f>'Total Saturday Boardings'!DA9/'Service Days per Month'!DA$5</f>
        <v>1127.8</v>
      </c>
      <c r="DB9" s="23">
        <f>'Total Saturday Boardings'!DB9/'Service Days per Month'!DB$5</f>
        <v>1248.25</v>
      </c>
      <c r="DC9" s="23">
        <f>'Total Saturday Boardings'!DC9/'Service Days per Month'!DC$5</f>
        <v>1234.5999999999999</v>
      </c>
      <c r="DD9" s="23">
        <f>'Total Saturday Boardings'!DD9/'Service Days per Month'!DD$5</f>
        <v>1338.25</v>
      </c>
      <c r="DE9" s="23">
        <f>'Total Saturday Boardings'!DE9/'Service Days per Month'!DE$5</f>
        <v>1269.25</v>
      </c>
      <c r="DF9" s="23">
        <f>'Total Saturday Boardings'!DF9/'Service Days per Month'!DF$5</f>
        <v>1308</v>
      </c>
      <c r="DG9" s="23">
        <f>'Total Saturday Boardings'!DG9/'Service Days per Month'!DG$5</f>
        <v>1319</v>
      </c>
      <c r="DH9" s="23">
        <f>'Total Saturday Boardings'!DH9/'Service Days per Month'!DH$5</f>
        <v>1370.5</v>
      </c>
      <c r="DI9" s="23">
        <f>'Total Saturday Boardings'!DI9/'Service Days per Month'!DI$5</f>
        <v>1263.5999999999999</v>
      </c>
      <c r="DJ9" s="23">
        <f>'Total Saturday Boardings'!DJ9/'Service Days per Month'!DJ$5</f>
        <v>1250</v>
      </c>
      <c r="DK9" s="23">
        <f>'Total Saturday Boardings'!DK9/'Service Days per Month'!DK$5</f>
        <v>1232.75</v>
      </c>
      <c r="DL9" s="24">
        <f>'Total Saturday Boardings'!DL9/'Service Days per Month'!DL$5</f>
        <v>1148.5999999999999</v>
      </c>
      <c r="DM9" s="22">
        <f>'Total Saturday Boardings'!DM9/'Service Days per Month'!DM$5</f>
        <v>1112.5</v>
      </c>
      <c r="DN9" s="23">
        <f>'Total Saturday Boardings'!DN9/'Service Days per Month'!DN$5</f>
        <v>1175.5</v>
      </c>
      <c r="DO9" s="23">
        <f>'Total Saturday Boardings'!DO9/'Service Days per Month'!DO$5</f>
        <v>1150.2</v>
      </c>
      <c r="DP9" s="23">
        <f>'Total Saturday Boardings'!DP9/'Service Days per Month'!DP$5</f>
        <v>1191.5</v>
      </c>
      <c r="DQ9" s="23">
        <f>'Total Saturday Boardings'!DQ9/'Service Days per Month'!DQ$5</f>
        <v>1290.25</v>
      </c>
      <c r="DR9" s="23">
        <f>'Total Saturday Boardings'!DR9/'Service Days per Month'!DR$5</f>
        <v>1235.4000000000001</v>
      </c>
      <c r="DS9" s="23">
        <f>'Total Saturday Boardings'!DS9/'Service Days per Month'!DS$5</f>
        <v>1153.25</v>
      </c>
      <c r="DT9" s="23">
        <f>'Total Saturday Boardings'!DT9/'Service Days per Month'!DT$5</f>
        <v>1218</v>
      </c>
      <c r="DU9" s="23">
        <f>'Total Saturday Boardings'!DU9/'Service Days per Month'!DU$5</f>
        <v>1176</v>
      </c>
      <c r="DV9" s="23">
        <f>'Total Saturday Boardings'!DV9/'Service Days per Month'!DV$5</f>
        <v>1134</v>
      </c>
      <c r="DW9" s="23">
        <f>'Total Saturday Boardings'!DW9/'Service Days per Month'!DW$5</f>
        <v>1067.5</v>
      </c>
      <c r="DX9" s="24">
        <f>'Total Saturday Boardings'!DX9/'Service Days per Month'!DX$5</f>
        <v>1017</v>
      </c>
      <c r="DY9" s="22">
        <f>'Total Saturday Boardings'!DY9/'Service Days per Month'!DY$5</f>
        <v>987.25</v>
      </c>
      <c r="DZ9" s="23">
        <f>'Total Saturday Boardings'!DZ9/'Service Days per Month'!DZ$5</f>
        <v>1054.8</v>
      </c>
      <c r="EA9" s="23">
        <f>'Total Saturday Boardings'!EA9/'Service Days per Month'!EA$5</f>
        <v>1122.25</v>
      </c>
      <c r="EB9" s="23">
        <f>'Total Saturday Boardings'!EB9/'Service Days per Month'!EB$5</f>
        <v>1165.75</v>
      </c>
      <c r="EC9" s="23">
        <f>'Total Saturday Boardings'!EC9/'Service Days per Month'!EC$5</f>
        <v>1197</v>
      </c>
      <c r="ED9" s="23">
        <f>'Total Saturday Boardings'!ED9/'Service Days per Month'!ED$5</f>
        <v>1103.5</v>
      </c>
      <c r="EE9" s="23">
        <f>'Total Saturday Boardings'!EE9/'Service Days per Month'!EE$5</f>
        <v>1099.25</v>
      </c>
      <c r="EF9" s="23">
        <f>'Total Saturday Boardings'!EF9/'Service Days per Month'!EF$5</f>
        <v>1101.8</v>
      </c>
      <c r="EG9" s="23">
        <f>'Total Saturday Boardings'!EG9/'Service Days per Month'!EG$5</f>
        <v>1007.5</v>
      </c>
      <c r="EH9" s="23">
        <f>'Total Saturday Boardings'!EH9/'Service Days per Month'!EH$5</f>
        <v>718.75</v>
      </c>
      <c r="EI9" s="23">
        <f>'Total Saturday Boardings'!EI9/'Service Days per Month'!EI$5</f>
        <v>700.4</v>
      </c>
      <c r="EJ9" s="24">
        <f>'Total Saturday Boardings'!EJ9/'Service Days per Month'!EJ$5</f>
        <v>638.5</v>
      </c>
      <c r="EK9" s="22">
        <f>'Total Saturday Boardings'!EK9/'Service Days per Month'!EK$5</f>
        <v>422.75</v>
      </c>
      <c r="EL9" s="23">
        <f>'Total Saturday Boardings'!EL9/'Service Days per Month'!EL$5</f>
        <v>600.4</v>
      </c>
      <c r="EM9" s="23">
        <f>'Total Saturday Boardings'!EM9/'Service Days per Month'!EM$5</f>
        <v>650.5</v>
      </c>
      <c r="EN9" s="23">
        <f>'Total Saturday Boardings'!EN9/'Service Days per Month'!EN$5</f>
        <v>676</v>
      </c>
      <c r="EO9" s="23">
        <f>'Total Saturday Boardings'!EO9/'Service Days per Month'!EO$5</f>
        <v>617</v>
      </c>
      <c r="EP9" s="23">
        <f>'Total Saturday Boardings'!EP9/'Service Days per Month'!EP$5</f>
        <v>509.5</v>
      </c>
      <c r="EQ9" s="23">
        <f>'Total Saturday Boardings'!EQ9/'Service Days per Month'!EQ$5</f>
        <v>315</v>
      </c>
      <c r="ER9" s="23">
        <f>'Total Saturday Boardings'!ER9/'Service Days per Month'!ER$5</f>
        <v>590</v>
      </c>
      <c r="ES9" s="23">
        <f>'Total Saturday Boardings'!ES9/'Service Days per Month'!ES$5</f>
        <v>591.25</v>
      </c>
      <c r="ET9" s="23">
        <f>'Total Saturday Boardings'!ET9/'Service Days per Month'!ET$5</f>
        <v>610.75</v>
      </c>
      <c r="EU9" s="23">
        <f>'Total Saturday Boardings'!EU9/'Service Days per Month'!EU$5</f>
        <v>582.79999999999995</v>
      </c>
      <c r="EV9" s="24">
        <f>'Total Saturday Boardings'!EV9/'Service Days per Month'!EV$5</f>
        <v>543.25</v>
      </c>
      <c r="EW9" s="22">
        <f>'Total Saturday Boardings'!EW9/'Service Days per Month'!EW$5</f>
        <v>493.6</v>
      </c>
      <c r="EX9" s="23">
        <f>'Total Saturday Boardings'!EX9/'Service Days per Month'!EX$5</f>
        <v>557.25</v>
      </c>
      <c r="EY9" s="23">
        <f>'Total Saturday Boardings'!EY9/'Service Days per Month'!EY$5</f>
        <v>587</v>
      </c>
      <c r="EZ9" s="23">
        <f>'Total Saturday Boardings'!EZ9/'Service Days per Month'!EZ$5</f>
        <v>624</v>
      </c>
      <c r="FA9" s="23">
        <f>'Total Saturday Boardings'!FA9/'Service Days per Month'!FA$5</f>
        <v>633</v>
      </c>
      <c r="FB9" s="23">
        <f>'Total Saturday Boardings'!FB9/'Service Days per Month'!FB$5</f>
        <v>643.5</v>
      </c>
      <c r="FC9" s="23">
        <f>'Total Saturday Boardings'!FC9/'Service Days per Month'!FC$5</f>
        <v>596.4</v>
      </c>
      <c r="FD9" s="23">
        <f>'Total Saturday Boardings'!FD9/'Service Days per Month'!FD$5</f>
        <v>743.5</v>
      </c>
      <c r="FE9" s="23">
        <f>'Total Saturday Boardings'!FE9/'Service Days per Month'!FE$5</f>
        <v>810.75</v>
      </c>
      <c r="FF9" s="23">
        <f>'Total Saturday Boardings'!FF9/'Service Days per Month'!FF$5</f>
        <v>760.6</v>
      </c>
      <c r="FG9" s="23">
        <f>'Total Saturday Boardings'!FG9/'Service Days per Month'!FG$5</f>
        <v>724.75</v>
      </c>
      <c r="FH9" s="24">
        <f>'Total Saturday Boardings'!FH9/'Service Days per Month'!FH$5</f>
        <v>622.25</v>
      </c>
      <c r="FI9" s="22">
        <v>641.20000000000005</v>
      </c>
      <c r="FJ9" s="23">
        <v>711.25</v>
      </c>
      <c r="FK9" s="23">
        <v>812</v>
      </c>
      <c r="FL9" s="23">
        <v>856</v>
      </c>
      <c r="FM9" s="23">
        <v>656.2</v>
      </c>
      <c r="FN9" s="23">
        <v>780.6</v>
      </c>
      <c r="FO9" s="23">
        <v>693.4</v>
      </c>
      <c r="FP9" s="23">
        <v>886.5</v>
      </c>
      <c r="FQ9" s="23">
        <v>944</v>
      </c>
      <c r="FR9" s="23">
        <f>'Total Saturday Boardings'!FR9/5</f>
        <v>850.8</v>
      </c>
      <c r="FS9" s="23">
        <f>'Total Saturday Boardings'!FS9/4</f>
        <v>914.75</v>
      </c>
      <c r="FT9" s="24">
        <f>'Total Saturday Boardings'!FT9/4</f>
        <v>832.75</v>
      </c>
      <c r="FU9" s="22">
        <f>'Total Saturday Boardings'!FU9/5</f>
        <v>838.4</v>
      </c>
      <c r="FV9" s="23">
        <f>'Total Saturday Boardings'!FV9/4</f>
        <v>866</v>
      </c>
      <c r="FW9" s="23">
        <f>'Total Saturday Boardings'!FW9/5</f>
        <v>844.6</v>
      </c>
      <c r="FX9" s="23">
        <f>'Total Saturday Boardings'!FX9/4</f>
        <v>810</v>
      </c>
      <c r="FY9" s="23">
        <f>'Total Saturday Boardings'!FY9/4</f>
        <v>786.75</v>
      </c>
      <c r="FZ9" s="23">
        <f>'Total Saturday Boardings'!FZ9/5</f>
        <v>813.6</v>
      </c>
      <c r="GA9" s="23">
        <f>'Total Saturday Boardings'!GA9/4</f>
        <v>815.75</v>
      </c>
      <c r="GB9" s="23">
        <f>'Total Saturday Boardings'!GB9/4</f>
        <v>820.75</v>
      </c>
      <c r="GC9" s="23">
        <f>'Total Saturday Boardings'!GC9/5</f>
        <v>829.2</v>
      </c>
      <c r="GD9" s="23">
        <f>'Total Saturday Boardings'!GD9/4</f>
        <v>818.5</v>
      </c>
      <c r="GE9" s="28">
        <f>'Total Saturday Boardings'!GE9/4</f>
        <v>831</v>
      </c>
      <c r="GF9" s="18">
        <f>'Total Saturday Boardings'!GF9/5</f>
        <v>742.6</v>
      </c>
      <c r="GG9" s="18">
        <f>'Total Saturday Boardings'!GG9/4</f>
        <v>842.75</v>
      </c>
      <c r="GH9" s="18">
        <f>'Total Saturday Boardings'!GH9/5</f>
        <v>743.8</v>
      </c>
      <c r="GI9" s="18">
        <f>'Total Saturday Boardings'!GI9/4</f>
        <v>717</v>
      </c>
      <c r="GJ9" s="18">
        <f>'Total Saturday Boardings'!GJ9/4</f>
        <v>683</v>
      </c>
      <c r="GK9" s="18">
        <f>'Total Saturday Boardings'!GK9/5</f>
        <v>639.6</v>
      </c>
      <c r="GL9" s="18">
        <f>'Total Saturday Boardings'!GL9/4</f>
        <v>665.25</v>
      </c>
    </row>
    <row r="10" spans="1:194" x14ac:dyDescent="0.3">
      <c r="A10" s="8" t="s">
        <v>3</v>
      </c>
      <c r="B10" s="12"/>
      <c r="C10" s="13">
        <f>'Total Saturday Boardings'!C10/'Service Days per Month'!C$5</f>
        <v>5097.3999999999996</v>
      </c>
      <c r="D10" s="13">
        <f>'Total Saturday Boardings'!D10/'Service Days per Month'!D$5</f>
        <v>4336.75</v>
      </c>
      <c r="E10" s="13">
        <f>'Total Saturday Boardings'!E10/'Service Days per Month'!E$5</f>
        <v>3548.75</v>
      </c>
      <c r="F10" s="13">
        <f>'Total Saturday Boardings'!F10/'Service Days per Month'!F$5</f>
        <v>3885.75</v>
      </c>
      <c r="G10" s="13">
        <f>'Total Saturday Boardings'!G10/'Service Days per Month'!G$5</f>
        <v>2496.1999999999998</v>
      </c>
      <c r="H10" s="14">
        <f>'Total Saturday Boardings'!H10/'Service Days per Month'!H$5</f>
        <v>2560</v>
      </c>
      <c r="I10" s="12">
        <f>'Total Saturday Boardings'!I10/'Service Days per Month'!I$5</f>
        <v>3223</v>
      </c>
      <c r="J10" s="13">
        <f>'Total Saturday Boardings'!J10/'Service Days per Month'!J$5</f>
        <v>1814.4</v>
      </c>
      <c r="K10" s="13">
        <f>'Total Saturday Boardings'!K10/'Service Days per Month'!K$5</f>
        <v>2852.5</v>
      </c>
      <c r="L10" s="13">
        <f>'Total Saturday Boardings'!L10/'Service Days per Month'!L$5</f>
        <v>2345.8000000000002</v>
      </c>
      <c r="M10" s="13">
        <f>'Total Saturday Boardings'!M10/'Service Days per Month'!M$5</f>
        <v>2983</v>
      </c>
      <c r="N10" s="13">
        <f>'Total Saturday Boardings'!N10/'Service Days per Month'!N$5</f>
        <v>3229.25</v>
      </c>
      <c r="O10" s="68">
        <f>'Total Saturday Boardings'!O10/'Service Days per Month'!O$5</f>
        <v>2721.6</v>
      </c>
      <c r="P10" s="68">
        <f>'Total Saturday Boardings'!P10/'Service Days per Month'!P$5</f>
        <v>3046.5</v>
      </c>
      <c r="Q10" s="68">
        <f>'Total Saturday Boardings'!Q10/'Service Days per Month'!Q$5</f>
        <v>3182.75</v>
      </c>
      <c r="R10" s="68">
        <f>'Total Saturday Boardings'!R10/'Service Days per Month'!R$5</f>
        <v>3233.5</v>
      </c>
      <c r="S10" s="68">
        <f>'Total Saturday Boardings'!S10/'Service Days per Month'!S$5</f>
        <v>2277</v>
      </c>
      <c r="T10" s="69">
        <f>'Total Saturday Boardings'!T10/'Service Days per Month'!T$5</f>
        <v>2653.25</v>
      </c>
      <c r="U10" s="70">
        <f>'Total Saturday Boardings'!U10/'Service Days per Month'!U$5</f>
        <v>2544.1999999999998</v>
      </c>
      <c r="V10" s="68">
        <f>'Total Saturday Boardings'!V10/'Service Days per Month'!V$5</f>
        <v>2620.5</v>
      </c>
      <c r="W10" s="68">
        <f>'Total Saturday Boardings'!W10/'Service Days per Month'!W$5</f>
        <v>3221.25</v>
      </c>
      <c r="X10" s="68">
        <f>'Total Saturday Boardings'!X10/'Service Days per Month'!X$5</f>
        <v>2503.6</v>
      </c>
      <c r="Y10" s="68">
        <f>'Total Saturday Boardings'!Y10/'Service Days per Month'!Y$5</f>
        <v>2872.5</v>
      </c>
      <c r="Z10" s="68">
        <f>'Total Saturday Boardings'!Z10/'Service Days per Month'!Z$5</f>
        <v>3174.3333333333335</v>
      </c>
      <c r="AA10" s="13">
        <f>'Total Saturday Boardings'!AA10/'Service Days per Month'!AA$5</f>
        <v>2407.4</v>
      </c>
      <c r="AB10" s="13">
        <f>'Total Saturday Boardings'!AB10/'Service Days per Month'!AB$5</f>
        <v>2921.25</v>
      </c>
      <c r="AC10" s="13">
        <f>'Total Saturday Boardings'!AC10/'Service Days per Month'!AC$5</f>
        <v>3451.5</v>
      </c>
      <c r="AD10" s="13">
        <f>'Total Saturday Boardings'!AD10/'Service Days per Month'!AD$5</f>
        <v>3252.6</v>
      </c>
      <c r="AE10" s="13">
        <f>'Total Saturday Boardings'!AE10/'Service Days per Month'!AE$5</f>
        <v>2797.25</v>
      </c>
      <c r="AF10" s="14">
        <f>'Total Saturday Boardings'!AF10/'Service Days per Month'!AF$5</f>
        <v>2732</v>
      </c>
      <c r="AG10" s="12">
        <f>'Total Saturday Boardings'!AG10/'Service Days per Month'!AG$5</f>
        <v>2836</v>
      </c>
      <c r="AH10" s="13">
        <f>'Total Saturday Boardings'!AH10/'Service Days per Month'!AH$5</f>
        <v>2850.75</v>
      </c>
      <c r="AI10" s="13">
        <f>'Total Saturday Boardings'!AI10/'Service Days per Month'!AI$5</f>
        <v>3212.75</v>
      </c>
      <c r="AJ10" s="13">
        <f>'Total Saturday Boardings'!AJ10/'Service Days per Month'!AJ$5</f>
        <v>3077.6</v>
      </c>
      <c r="AK10" s="13">
        <f>'Total Saturday Boardings'!AK10/'Service Days per Month'!AK$5</f>
        <v>2738.25</v>
      </c>
      <c r="AL10" s="13">
        <f>'Total Saturday Boardings'!AL10/'Service Days per Month'!AL$5</f>
        <v>4004.25</v>
      </c>
      <c r="AM10" s="13">
        <f>'Total Saturday Boardings'!AM10/'Service Days per Month'!AM$5</f>
        <v>3244</v>
      </c>
      <c r="AN10" s="13">
        <f>'Total Saturday Boardings'!AN10/'Service Days per Month'!AN$5</f>
        <v>3424</v>
      </c>
      <c r="AO10" s="13">
        <f>'Total Saturday Boardings'!AO10/'Service Days per Month'!AO$5</f>
        <v>3082.2</v>
      </c>
      <c r="AP10" s="13">
        <f>'Total Saturday Boardings'!AP10/'Service Days per Month'!AP$5</f>
        <v>3225</v>
      </c>
      <c r="AQ10" s="13">
        <f>'Total Saturday Boardings'!AQ10/'Service Days per Month'!AQ$5</f>
        <v>2937</v>
      </c>
      <c r="AR10" s="14">
        <f>'Total Saturday Boardings'!AR10/'Service Days per Month'!AR$5</f>
        <v>2909.8</v>
      </c>
      <c r="AS10" s="12">
        <f>'Total Saturday Boardings'!AS10/'Service Days per Month'!AS$5</f>
        <v>2919.25</v>
      </c>
      <c r="AT10" s="13">
        <f>'Total Saturday Boardings'!AT10/'Service Days per Month'!AT$5</f>
        <v>2988.25</v>
      </c>
      <c r="AU10" s="13">
        <f>'Total Saturday Boardings'!AU10/'Service Days per Month'!AU$5</f>
        <v>3172</v>
      </c>
      <c r="AV10" s="13">
        <f>'Total Saturday Boardings'!AV10/'Service Days per Month'!AV$5</f>
        <v>3271</v>
      </c>
      <c r="AW10" s="13">
        <f>'Total Saturday Boardings'!AW10/'Service Days per Month'!AW$5</f>
        <v>3176.75</v>
      </c>
      <c r="AX10" s="13">
        <f>'Total Saturday Boardings'!AX10/'Service Days per Month'!AX$5</f>
        <v>3459.8</v>
      </c>
      <c r="AY10" s="13">
        <f>'Total Saturday Boardings'!AY10/'Service Days per Month'!AY$5</f>
        <v>3206.25</v>
      </c>
      <c r="AZ10" s="13">
        <f>'Total Saturday Boardings'!AZ10/'Service Days per Month'!AZ$5</f>
        <v>3602.5</v>
      </c>
      <c r="BA10" s="13">
        <f>'Total Saturday Boardings'!BA10/'Service Days per Month'!BA$5</f>
        <v>3562.2</v>
      </c>
      <c r="BB10" s="13">
        <f>'Total Saturday Boardings'!BB10/'Service Days per Month'!BB$5</f>
        <v>3881.75</v>
      </c>
      <c r="BC10" s="13">
        <f>'Total Saturday Boardings'!BC10/'Service Days per Month'!BC$5</f>
        <v>3431.5</v>
      </c>
      <c r="BD10" s="14">
        <f>'Total Saturday Boardings'!BD10/'Service Days per Month'!BD$5</f>
        <v>2968.6</v>
      </c>
      <c r="BE10" s="12">
        <f>'Total Saturday Boardings'!BE10/'Service Days per Month'!BE$5</f>
        <v>2941.75</v>
      </c>
      <c r="BF10" s="13">
        <f>'Total Saturday Boardings'!BF10/'Service Days per Month'!BF$5</f>
        <v>3144</v>
      </c>
      <c r="BG10" s="13">
        <f>'Total Saturday Boardings'!BG10/'Service Days per Month'!BG$5</f>
        <v>3332</v>
      </c>
      <c r="BH10" s="13">
        <f>'Total Saturday Boardings'!BH10/'Service Days per Month'!BH$5</f>
        <v>3199.25</v>
      </c>
      <c r="BI10" s="13">
        <f>'Total Saturday Boardings'!BI10/'Service Days per Month'!BI$5</f>
        <v>3073.1043568333157</v>
      </c>
      <c r="BJ10" s="13">
        <f>'Total Saturday Boardings'!BJ10/'Service Days per Month'!BJ$5</f>
        <v>3529</v>
      </c>
      <c r="BK10" s="13">
        <f>'Total Saturday Boardings'!BK10/'Service Days per Month'!BK$5</f>
        <v>3498.25</v>
      </c>
      <c r="BL10" s="13">
        <f>'Total Saturday Boardings'!BL10/'Service Days per Month'!BL$5</f>
        <v>3588.25</v>
      </c>
      <c r="BM10" s="13">
        <f>'Total Saturday Boardings'!BM10/'Service Days per Month'!BM$5</f>
        <v>3401.2</v>
      </c>
      <c r="BN10" s="13">
        <f>'Total Saturday Boardings'!BN10/'Service Days per Month'!BN$5</f>
        <v>3529.25</v>
      </c>
      <c r="BO10" s="13">
        <f>'Total Saturday Boardings'!BO10/'Service Days per Month'!BO$5</f>
        <v>2985.6</v>
      </c>
      <c r="BP10" s="14">
        <f>'Total Saturday Boardings'!BP10/'Service Days per Month'!BP$5</f>
        <v>2980.5</v>
      </c>
      <c r="BQ10" s="12">
        <f>'Total Saturday Boardings'!BQ10/'Service Days per Month'!BQ$5</f>
        <v>2723.25</v>
      </c>
      <c r="BR10" s="13">
        <f>'Total Saturday Boardings'!BR10/'Service Days per Month'!BR$5</f>
        <v>2994.8</v>
      </c>
      <c r="BS10" s="13">
        <f>'Total Saturday Boardings'!BS10/'Service Days per Month'!BS$5</f>
        <v>2812</v>
      </c>
      <c r="BT10" s="13">
        <f>'Total Saturday Boardings'!BT10/'Service Days per Month'!BT$5</f>
        <v>3348</v>
      </c>
      <c r="BU10" s="13">
        <f>'Total Saturday Boardings'!BU10/'Service Days per Month'!BU$5</f>
        <v>3159.8</v>
      </c>
      <c r="BV10" s="13">
        <f>'Total Saturday Boardings'!BV10/'Service Days per Month'!BV$5</f>
        <v>3222.25</v>
      </c>
      <c r="BW10" s="13">
        <f>'Total Saturday Boardings'!BW10/'Service Days per Month'!BW$5</f>
        <v>4970.3999999999996</v>
      </c>
      <c r="BX10" s="13">
        <f>'Total Saturday Boardings'!BX10/'Service Days per Month'!BX$5</f>
        <v>3290.75</v>
      </c>
      <c r="BY10" s="13">
        <f>'Total Saturday Boardings'!BY10/'Service Days per Month'!BY$5</f>
        <v>3399.75</v>
      </c>
      <c r="BZ10" s="13">
        <f>'Total Saturday Boardings'!BZ10/'Service Days per Month'!BZ$5</f>
        <v>3435.75</v>
      </c>
      <c r="CA10" s="13">
        <f>'Total Saturday Boardings'!CA10/'Service Days per Month'!CA$5</f>
        <v>3334.8</v>
      </c>
      <c r="CB10" s="14">
        <f>'Total Saturday Boardings'!CB10/'Service Days per Month'!CB$5</f>
        <v>3052.25</v>
      </c>
      <c r="CC10" s="15">
        <f>'Total Saturday Boardings'!CC10/'Service Days per Month'!CC$5</f>
        <v>3418</v>
      </c>
      <c r="CD10" s="13">
        <f>'Total Saturday Boardings'!CD10/'Service Days per Month'!CD$5</f>
        <v>3165.6</v>
      </c>
      <c r="CE10" s="13">
        <f>'Total Saturday Boardings'!CE10/'Service Days per Month'!CE$5</f>
        <v>3325.75</v>
      </c>
      <c r="CF10" s="13">
        <f>'Total Saturday Boardings'!CF10/'Service Days per Month'!CF$5</f>
        <v>3456.2</v>
      </c>
      <c r="CG10" s="13">
        <f>'Total Saturday Boardings'!CG10/'Service Days per Month'!CG$5</f>
        <v>3065.75</v>
      </c>
      <c r="CH10" s="13">
        <f>'Total Saturday Boardings'!CH10/'Service Days per Month'!CH$5</f>
        <v>3085.25</v>
      </c>
      <c r="CI10" s="13">
        <f>'Total Saturday Boardings'!CI10/'Service Days per Month'!CI$5</f>
        <v>3201</v>
      </c>
      <c r="CJ10" s="13">
        <f>'Total Saturday Boardings'!CJ10/'Service Days per Month'!CJ$5</f>
        <v>2970</v>
      </c>
      <c r="CK10" s="13">
        <f>'Total Saturday Boardings'!CK10/'Service Days per Month'!CK$5</f>
        <v>2938.5</v>
      </c>
      <c r="CL10" s="13">
        <f>'Total Saturday Boardings'!CL10/'Service Days per Month'!CL$5</f>
        <v>2235</v>
      </c>
      <c r="CM10" s="13">
        <f>'Total Saturday Boardings'!CM10/'Service Days per Month'!CM$5</f>
        <v>2053.25</v>
      </c>
      <c r="CN10" s="16">
        <f>'Total Saturday Boardings'!CN10/'Service Days per Month'!CN$5</f>
        <v>1999.5</v>
      </c>
      <c r="CO10" s="12">
        <f>'Total Saturday Boardings'!CO10/'Service Days per Month'!CO$5</f>
        <v>2019.8</v>
      </c>
      <c r="CP10" s="13">
        <f>'Total Saturday Boardings'!CP10/'Service Days per Month'!CP$5</f>
        <v>2068.25</v>
      </c>
      <c r="CQ10" s="13">
        <f>'Total Saturday Boardings'!CQ10/'Service Days per Month'!CQ$5</f>
        <v>2170.25</v>
      </c>
      <c r="CR10" s="13">
        <f>'Total Saturday Boardings'!CR10/'Service Days per Month'!CR$5</f>
        <v>2098.8000000000002</v>
      </c>
      <c r="CS10" s="13">
        <f>'Total Saturday Boardings'!CS10/'Service Days per Month'!CS$5</f>
        <v>2060.25</v>
      </c>
      <c r="CT10" s="13">
        <f>'Total Saturday Boardings'!CT10/'Service Days per Month'!CT$5</f>
        <v>2277</v>
      </c>
      <c r="CU10" s="13">
        <f>'Total Saturday Boardings'!CU10/'Service Days per Month'!CU$5</f>
        <v>2052.25</v>
      </c>
      <c r="CV10" s="13">
        <f>'Total Saturday Boardings'!CV10/'Service Days per Month'!CV$5</f>
        <v>2040</v>
      </c>
      <c r="CW10" s="13">
        <f>'Total Saturday Boardings'!CW10/'Service Days per Month'!CW$5</f>
        <v>2063.5</v>
      </c>
      <c r="CX10" s="13">
        <f>'Total Saturday Boardings'!CX10/'Service Days per Month'!CX$5</f>
        <v>2310</v>
      </c>
      <c r="CY10" s="13">
        <f>'Total Saturday Boardings'!CY10/'Service Days per Month'!CY$5</f>
        <v>1931.25</v>
      </c>
      <c r="CZ10" s="14">
        <f>'Total Saturday Boardings'!CZ10/'Service Days per Month'!CZ$5</f>
        <v>1734</v>
      </c>
      <c r="DA10" s="12">
        <f>'Total Saturday Boardings'!DA10/'Service Days per Month'!DA$5</f>
        <v>1745.6</v>
      </c>
      <c r="DB10" s="13">
        <f>'Total Saturday Boardings'!DB10/'Service Days per Month'!DB$5</f>
        <v>1872.5</v>
      </c>
      <c r="DC10" s="13">
        <f>'Total Saturday Boardings'!DC10/'Service Days per Month'!DC$5</f>
        <v>1930.8</v>
      </c>
      <c r="DD10" s="13">
        <f>'Total Saturday Boardings'!DD10/'Service Days per Month'!DD$5</f>
        <v>1953.75</v>
      </c>
      <c r="DE10" s="13">
        <f>'Total Saturday Boardings'!DE10/'Service Days per Month'!DE$5</f>
        <v>1932</v>
      </c>
      <c r="DF10" s="13">
        <f>'Total Saturday Boardings'!DF10/'Service Days per Month'!DF$5</f>
        <v>2110.8000000000002</v>
      </c>
      <c r="DG10" s="13">
        <f>'Total Saturday Boardings'!DG10/'Service Days per Month'!DG$5</f>
        <v>1810.75</v>
      </c>
      <c r="DH10" s="13">
        <f>'Total Saturday Boardings'!DH10/'Service Days per Month'!DH$5</f>
        <v>1984.5</v>
      </c>
      <c r="DI10" s="13">
        <f>'Total Saturday Boardings'!DI10/'Service Days per Month'!DI$5</f>
        <v>2008.6</v>
      </c>
      <c r="DJ10" s="13">
        <f>'Total Saturday Boardings'!DJ10/'Service Days per Month'!DJ$5</f>
        <v>1888.25</v>
      </c>
      <c r="DK10" s="13">
        <f>'Total Saturday Boardings'!DK10/'Service Days per Month'!DK$5</f>
        <v>1793.25</v>
      </c>
      <c r="DL10" s="14">
        <f>'Total Saturday Boardings'!DL10/'Service Days per Month'!DL$5</f>
        <v>1707.6</v>
      </c>
      <c r="DM10" s="12">
        <f>'Total Saturday Boardings'!DM10/'Service Days per Month'!DM$5</f>
        <v>1591.75</v>
      </c>
      <c r="DN10" s="13">
        <f>'Total Saturday Boardings'!DN10/'Service Days per Month'!DN$5</f>
        <v>1701.25</v>
      </c>
      <c r="DO10" s="13">
        <f>'Total Saturday Boardings'!DO10/'Service Days per Month'!DO$5</f>
        <v>1819.4</v>
      </c>
      <c r="DP10" s="13">
        <f>'Total Saturday Boardings'!DP10/'Service Days per Month'!DP$5</f>
        <v>1753</v>
      </c>
      <c r="DQ10" s="13">
        <f>'Total Saturday Boardings'!DQ10/'Service Days per Month'!DQ$5</f>
        <v>1849.25</v>
      </c>
      <c r="DR10" s="13">
        <f>'Total Saturday Boardings'!DR10/'Service Days per Month'!DR$5</f>
        <v>1886.2</v>
      </c>
      <c r="DS10" s="13">
        <f>'Total Saturday Boardings'!DS10/'Service Days per Month'!DS$5</f>
        <v>1736.25</v>
      </c>
      <c r="DT10" s="13">
        <f>'Total Saturday Boardings'!DT10/'Service Days per Month'!DT$5</f>
        <v>1800.75</v>
      </c>
      <c r="DU10" s="13">
        <f>'Total Saturday Boardings'!DU10/'Service Days per Month'!DU$5</f>
        <v>1805.6</v>
      </c>
      <c r="DV10" s="13">
        <f>'Total Saturday Boardings'!DV10/'Service Days per Month'!DV$5</f>
        <v>1787.25</v>
      </c>
      <c r="DW10" s="13">
        <f>'Total Saturday Boardings'!DW10/'Service Days per Month'!DW$5</f>
        <v>1723</v>
      </c>
      <c r="DX10" s="14">
        <f>'Total Saturday Boardings'!DX10/'Service Days per Month'!DX$5</f>
        <v>1525.2</v>
      </c>
      <c r="DY10" s="12">
        <f>'Total Saturday Boardings'!DY10/'Service Days per Month'!DY$5</f>
        <v>1406.75</v>
      </c>
      <c r="DZ10" s="13">
        <f>'Total Saturday Boardings'!DZ10/'Service Days per Month'!DZ$5</f>
        <v>1765.4</v>
      </c>
      <c r="EA10" s="13">
        <f>'Total Saturday Boardings'!EA10/'Service Days per Month'!EA$5</f>
        <v>1586</v>
      </c>
      <c r="EB10" s="13">
        <f>'Total Saturday Boardings'!EB10/'Service Days per Month'!EB$5</f>
        <v>1705.75</v>
      </c>
      <c r="EC10" s="13">
        <f>'Total Saturday Boardings'!EC10/'Service Days per Month'!EC$5</f>
        <v>1739</v>
      </c>
      <c r="ED10" s="13">
        <f>'Total Saturday Boardings'!ED10/'Service Days per Month'!ED$5</f>
        <v>1697.5</v>
      </c>
      <c r="EE10" s="13">
        <f>'Total Saturday Boardings'!EE10/'Service Days per Month'!EE$5</f>
        <v>1575.25</v>
      </c>
      <c r="EF10" s="13">
        <f>'Total Saturday Boardings'!EF10/'Service Days per Month'!EF$5</f>
        <v>1648</v>
      </c>
      <c r="EG10" s="13">
        <f>'Total Saturday Boardings'!EG10/'Service Days per Month'!EG$5</f>
        <v>1370</v>
      </c>
      <c r="EH10" s="13">
        <f>'Total Saturday Boardings'!EH10/'Service Days per Month'!EH$5</f>
        <v>902.25</v>
      </c>
      <c r="EI10" s="13">
        <f>'Total Saturday Boardings'!EI10/'Service Days per Month'!EI$5</f>
        <v>902.4</v>
      </c>
      <c r="EJ10" s="14">
        <f>'Total Saturday Boardings'!EJ10/'Service Days per Month'!EJ$5</f>
        <v>905.5</v>
      </c>
      <c r="EK10" s="12">
        <f>'Total Saturday Boardings'!EK10/'Service Days per Month'!EK$5</f>
        <v>532.25</v>
      </c>
      <c r="EL10" s="13">
        <f>'Total Saturday Boardings'!EL10/'Service Days per Month'!EL$5</f>
        <v>762.4</v>
      </c>
      <c r="EM10" s="13">
        <f>'Total Saturday Boardings'!EM10/'Service Days per Month'!EM$5</f>
        <v>789.25</v>
      </c>
      <c r="EN10" s="13">
        <f>'Total Saturday Boardings'!EN10/'Service Days per Month'!EN$5</f>
        <v>841</v>
      </c>
      <c r="EO10" s="13">
        <f>'Total Saturday Boardings'!EO10/'Service Days per Month'!EO$5</f>
        <v>838.5</v>
      </c>
      <c r="EP10" s="13">
        <f>'Total Saturday Boardings'!EP10/'Service Days per Month'!EP$5</f>
        <v>624</v>
      </c>
      <c r="EQ10" s="13">
        <f>'Total Saturday Boardings'!EQ10/'Service Days per Month'!EQ$5</f>
        <v>398.4</v>
      </c>
      <c r="ER10" s="13">
        <f>'Total Saturday Boardings'!ER10/'Service Days per Month'!ER$5</f>
        <v>748.5</v>
      </c>
      <c r="ES10" s="13">
        <f>'Total Saturday Boardings'!ES10/'Service Days per Month'!ES$5</f>
        <v>759.5</v>
      </c>
      <c r="ET10" s="13">
        <f>'Total Saturday Boardings'!ET10/'Service Days per Month'!ET$5</f>
        <v>952.75</v>
      </c>
      <c r="EU10" s="13">
        <f>'Total Saturday Boardings'!EU10/'Service Days per Month'!EU$5</f>
        <v>809</v>
      </c>
      <c r="EV10" s="14">
        <f>'Total Saturday Boardings'!EV10/'Service Days per Month'!EV$5</f>
        <v>727</v>
      </c>
      <c r="EW10" s="12">
        <f>'Total Saturday Boardings'!EW10/'Service Days per Month'!EW$5</f>
        <v>670.8</v>
      </c>
      <c r="EX10" s="13">
        <f>'Total Saturday Boardings'!EX10/'Service Days per Month'!EX$5</f>
        <v>751.75</v>
      </c>
      <c r="EY10" s="13">
        <f>'Total Saturday Boardings'!EY10/'Service Days per Month'!EY$5</f>
        <v>799.5</v>
      </c>
      <c r="EZ10" s="13">
        <f>'Total Saturday Boardings'!EZ10/'Service Days per Month'!EZ$5</f>
        <v>867.4</v>
      </c>
      <c r="FA10" s="13">
        <f>'Total Saturday Boardings'!FA10/'Service Days per Month'!FA$5</f>
        <v>921.25</v>
      </c>
      <c r="FB10" s="13">
        <f>'Total Saturday Boardings'!FB10/'Service Days per Month'!FB$5</f>
        <v>914.75</v>
      </c>
      <c r="FC10" s="13">
        <f>'Total Saturday Boardings'!FC10/'Service Days per Month'!FC$5</f>
        <v>826</v>
      </c>
      <c r="FD10" s="13">
        <f>'Total Saturday Boardings'!FD10/'Service Days per Month'!FD$5</f>
        <v>1094.25</v>
      </c>
      <c r="FE10" s="13">
        <f>'Total Saturday Boardings'!FE10/'Service Days per Month'!FE$5</f>
        <v>1127.5</v>
      </c>
      <c r="FF10" s="13">
        <f>'Total Saturday Boardings'!FF10/'Service Days per Month'!FF$5</f>
        <v>1127.8</v>
      </c>
      <c r="FG10" s="13">
        <f>'Total Saturday Boardings'!FG10/'Service Days per Month'!FG$5</f>
        <v>1064.75</v>
      </c>
      <c r="FH10" s="14">
        <f>'Total Saturday Boardings'!FH10/'Service Days per Month'!FH$5</f>
        <v>859</v>
      </c>
      <c r="FI10" s="12">
        <v>909.8</v>
      </c>
      <c r="FJ10" s="13">
        <v>1040.5</v>
      </c>
      <c r="FK10" s="13">
        <v>1230.75</v>
      </c>
      <c r="FL10" s="13">
        <v>1205.5999999999999</v>
      </c>
      <c r="FM10" s="13">
        <v>960.2</v>
      </c>
      <c r="FN10" s="13">
        <v>1116</v>
      </c>
      <c r="FO10" s="13">
        <v>955.4</v>
      </c>
      <c r="FP10" s="13">
        <v>1338</v>
      </c>
      <c r="FQ10" s="13">
        <v>1336</v>
      </c>
      <c r="FR10" s="13">
        <f>'Total Saturday Boardings'!FR10/5</f>
        <v>1190.2</v>
      </c>
      <c r="FS10" s="13">
        <f>'Total Saturday Boardings'!FS10/4</f>
        <v>1206.75</v>
      </c>
      <c r="FT10" s="14">
        <f>'Total Saturday Boardings'!FT10/4</f>
        <v>1186.75</v>
      </c>
      <c r="FU10" s="12">
        <f>'Total Saturday Boardings'!FU10/5</f>
        <v>981.6</v>
      </c>
      <c r="FV10" s="13">
        <f>'Total Saturday Boardings'!FV10/4</f>
        <v>1070.5</v>
      </c>
      <c r="FW10" s="13">
        <f>'Total Saturday Boardings'!FW10/5</f>
        <v>1008.4</v>
      </c>
      <c r="FX10" s="13">
        <f>'Total Saturday Boardings'!FX10/4</f>
        <v>1041.5</v>
      </c>
      <c r="FY10" s="13">
        <f>'Total Saturday Boardings'!FY10/4</f>
        <v>1029.25</v>
      </c>
      <c r="FZ10" s="13">
        <f>'Total Saturday Boardings'!FZ10/5</f>
        <v>1130.8</v>
      </c>
      <c r="GA10" s="13">
        <f>'Total Saturday Boardings'!GA10/4</f>
        <v>1037</v>
      </c>
      <c r="GB10" s="13">
        <f>'Total Saturday Boardings'!GB10/4</f>
        <v>1112.75</v>
      </c>
      <c r="GC10" s="13">
        <f>'Total Saturday Boardings'!GC10/5</f>
        <v>1113.4000000000001</v>
      </c>
      <c r="GD10" s="13">
        <f>'Total Saturday Boardings'!GD10/4</f>
        <v>1047.25</v>
      </c>
      <c r="GE10" s="33">
        <f>'Total Saturday Boardings'!GE10/4</f>
        <v>1033.25</v>
      </c>
      <c r="GF10" s="18">
        <f>'Total Saturday Boardings'!GF10/5</f>
        <v>887</v>
      </c>
      <c r="GG10" s="18">
        <f>'Total Saturday Boardings'!GG10/4</f>
        <v>889</v>
      </c>
      <c r="GH10" s="18">
        <f>'Total Saturday Boardings'!GH10/5</f>
        <v>1049</v>
      </c>
      <c r="GI10" s="18">
        <f>'Total Saturday Boardings'!GI10/4</f>
        <v>1038.75</v>
      </c>
      <c r="GJ10" s="18">
        <f>'Total Saturday Boardings'!GJ10/4</f>
        <v>1032</v>
      </c>
      <c r="GK10" s="18">
        <f>'Total Saturday Boardings'!GK10/5</f>
        <v>930</v>
      </c>
      <c r="GL10" s="18">
        <f>'Total Saturday Boardings'!GL10/4</f>
        <v>1011.25</v>
      </c>
    </row>
    <row r="11" spans="1:194" x14ac:dyDescent="0.3">
      <c r="A11" s="3" t="s">
        <v>4</v>
      </c>
      <c r="B11" s="17"/>
      <c r="C11" s="18">
        <f>'Total Saturday Boardings'!C11/'Service Days per Month'!C$5</f>
        <v>593.4</v>
      </c>
      <c r="D11" s="18">
        <f>'Total Saturday Boardings'!D11/'Service Days per Month'!D$5</f>
        <v>953.25</v>
      </c>
      <c r="E11" s="18">
        <f>'Total Saturday Boardings'!E11/'Service Days per Month'!E$5</f>
        <v>885.5</v>
      </c>
      <c r="F11" s="18">
        <f>'Total Saturday Boardings'!F11/'Service Days per Month'!F$5</f>
        <v>955.5</v>
      </c>
      <c r="G11" s="18">
        <f>'Total Saturday Boardings'!G11/'Service Days per Month'!G$5</f>
        <v>771.2</v>
      </c>
      <c r="H11" s="19">
        <f>'Total Saturday Boardings'!H11/'Service Days per Month'!H$5</f>
        <v>865</v>
      </c>
      <c r="I11" s="17">
        <f>'Total Saturday Boardings'!I11/'Service Days per Month'!I$5</f>
        <v>1085.3333333333333</v>
      </c>
      <c r="J11" s="18">
        <f>'Total Saturday Boardings'!J11/'Service Days per Month'!J$5</f>
        <v>689.4</v>
      </c>
      <c r="K11" s="18">
        <f>'Total Saturday Boardings'!K11/'Service Days per Month'!K$5</f>
        <v>1071</v>
      </c>
      <c r="L11" s="18">
        <f>'Total Saturday Boardings'!L11/'Service Days per Month'!L$5</f>
        <v>849</v>
      </c>
      <c r="M11" s="18">
        <f>'Total Saturday Boardings'!M11/'Service Days per Month'!M$5</f>
        <v>1068.25</v>
      </c>
      <c r="N11" s="18">
        <f>'Total Saturday Boardings'!N11/'Service Days per Month'!N$5</f>
        <v>1330</v>
      </c>
      <c r="O11" s="62">
        <f>'Total Saturday Boardings'!O11/'Service Days per Month'!O$5</f>
        <v>1006</v>
      </c>
      <c r="P11" s="62">
        <f>'Total Saturday Boardings'!P11/'Service Days per Month'!P$5</f>
        <v>1150</v>
      </c>
      <c r="Q11" s="62">
        <f>'Total Saturday Boardings'!Q11/'Service Days per Month'!Q$5</f>
        <v>1132.25</v>
      </c>
      <c r="R11" s="62">
        <f>'Total Saturday Boardings'!R11/'Service Days per Month'!R$5</f>
        <v>1203.75</v>
      </c>
      <c r="S11" s="62">
        <f>'Total Saturday Boardings'!S11/'Service Days per Month'!S$5</f>
        <v>889.8</v>
      </c>
      <c r="T11" s="63">
        <f>'Total Saturday Boardings'!T11/'Service Days per Month'!T$5</f>
        <v>1007</v>
      </c>
      <c r="U11" s="64">
        <f>'Total Saturday Boardings'!U11/'Service Days per Month'!U$5</f>
        <v>1049</v>
      </c>
      <c r="V11" s="62">
        <f>'Total Saturday Boardings'!V11/'Service Days per Month'!V$5</f>
        <v>1077.5</v>
      </c>
      <c r="W11" s="62">
        <f>'Total Saturday Boardings'!W11/'Service Days per Month'!W$5</f>
        <v>1353.25</v>
      </c>
      <c r="X11" s="62">
        <f>'Total Saturday Boardings'!X11/'Service Days per Month'!X$5</f>
        <v>1049.8</v>
      </c>
      <c r="Y11" s="62">
        <f>'Total Saturday Boardings'!Y11/'Service Days per Month'!Y$5</f>
        <v>1335.25</v>
      </c>
      <c r="Z11" s="62">
        <f>'Total Saturday Boardings'!Z11/'Service Days per Month'!Z$5</f>
        <v>1239.3333333333333</v>
      </c>
      <c r="AA11" s="18">
        <f>'Total Saturday Boardings'!AA11/'Service Days per Month'!AA$5</f>
        <v>967.4</v>
      </c>
      <c r="AB11" s="18">
        <f>'Total Saturday Boardings'!AB11/'Service Days per Month'!AB$5</f>
        <v>1174.75</v>
      </c>
      <c r="AC11" s="18">
        <f>'Total Saturday Boardings'!AC11/'Service Days per Month'!AC$5</f>
        <v>1268</v>
      </c>
      <c r="AD11" s="18">
        <f>'Total Saturday Boardings'!AD11/'Service Days per Month'!AD$5</f>
        <v>1261</v>
      </c>
      <c r="AE11" s="18">
        <f>'Total Saturday Boardings'!AE11/'Service Days per Month'!AE$5</f>
        <v>1215.75</v>
      </c>
      <c r="AF11" s="19">
        <f>'Total Saturday Boardings'!AF11/'Service Days per Month'!AF$5</f>
        <v>1094.25</v>
      </c>
      <c r="AG11" s="17">
        <f>'Total Saturday Boardings'!AG11/'Service Days per Month'!AG$5</f>
        <v>1152</v>
      </c>
      <c r="AH11" s="18">
        <f>'Total Saturday Boardings'!AH11/'Service Days per Month'!AH$5</f>
        <v>1253.5</v>
      </c>
      <c r="AI11" s="18">
        <f>'Total Saturday Boardings'!AI11/'Service Days per Month'!AI$5</f>
        <v>1392</v>
      </c>
      <c r="AJ11" s="18">
        <f>'Total Saturday Boardings'!AJ11/'Service Days per Month'!AJ$5</f>
        <v>1450.2</v>
      </c>
      <c r="AK11" s="18">
        <f>'Total Saturday Boardings'!AK11/'Service Days per Month'!AK$5</f>
        <v>1341.75</v>
      </c>
      <c r="AL11" s="18">
        <f>'Total Saturday Boardings'!AL11/'Service Days per Month'!AL$5</f>
        <v>1709</v>
      </c>
      <c r="AM11" s="18">
        <f>'Total Saturday Boardings'!AM11/'Service Days per Month'!AM$5</f>
        <v>1321</v>
      </c>
      <c r="AN11" s="18">
        <f>'Total Saturday Boardings'!AN11/'Service Days per Month'!AN$5</f>
        <v>1357.25</v>
      </c>
      <c r="AO11" s="18">
        <f>'Total Saturday Boardings'!AO11/'Service Days per Month'!AO$5</f>
        <v>1259</v>
      </c>
      <c r="AP11" s="18">
        <f>'Total Saturday Boardings'!AP11/'Service Days per Month'!AP$5</f>
        <v>1414</v>
      </c>
      <c r="AQ11" s="18">
        <f>'Total Saturday Boardings'!AQ11/'Service Days per Month'!AQ$5</f>
        <v>1357</v>
      </c>
      <c r="AR11" s="19">
        <f>'Total Saturday Boardings'!AR11/'Service Days per Month'!AR$5</f>
        <v>1367.8</v>
      </c>
      <c r="AS11" s="17">
        <f>'Total Saturday Boardings'!AS11/'Service Days per Month'!AS$5</f>
        <v>1257.25</v>
      </c>
      <c r="AT11" s="18">
        <f>'Total Saturday Boardings'!AT11/'Service Days per Month'!AT$5</f>
        <v>1375.5</v>
      </c>
      <c r="AU11" s="18">
        <f>'Total Saturday Boardings'!AU11/'Service Days per Month'!AU$5</f>
        <v>1513.4</v>
      </c>
      <c r="AV11" s="18">
        <f>'Total Saturday Boardings'!AV11/'Service Days per Month'!AV$5</f>
        <v>1569</v>
      </c>
      <c r="AW11" s="18">
        <f>'Total Saturday Boardings'!AW11/'Service Days per Month'!AW$5</f>
        <v>1594</v>
      </c>
      <c r="AX11" s="18">
        <f>'Total Saturday Boardings'!AX11/'Service Days per Month'!AX$5</f>
        <v>1653.8</v>
      </c>
      <c r="AY11" s="18">
        <f>'Total Saturday Boardings'!AY11/'Service Days per Month'!AY$5</f>
        <v>1465.75</v>
      </c>
      <c r="AZ11" s="18">
        <f>'Total Saturday Boardings'!AZ11/'Service Days per Month'!AZ$5</f>
        <v>1657.5</v>
      </c>
      <c r="BA11" s="18">
        <f>'Total Saturday Boardings'!BA11/'Service Days per Month'!BA$5</f>
        <v>1614.8</v>
      </c>
      <c r="BB11" s="18">
        <f>'Total Saturday Boardings'!BB11/'Service Days per Month'!BB$5</f>
        <v>1686.25</v>
      </c>
      <c r="BC11" s="18">
        <f>'Total Saturday Boardings'!BC11/'Service Days per Month'!BC$5</f>
        <v>1531.5</v>
      </c>
      <c r="BD11" s="19">
        <f>'Total Saturday Boardings'!BD11/'Service Days per Month'!BD$5</f>
        <v>1344.2</v>
      </c>
      <c r="BE11" s="17">
        <f>'Total Saturday Boardings'!BE11/'Service Days per Month'!BE$5</f>
        <v>1424.5</v>
      </c>
      <c r="BF11" s="18">
        <f>'Total Saturday Boardings'!BF11/'Service Days per Month'!BF$5</f>
        <v>1478.4</v>
      </c>
      <c r="BG11" s="18">
        <f>'Total Saturday Boardings'!BG11/'Service Days per Month'!BG$5</f>
        <v>1566.25</v>
      </c>
      <c r="BH11" s="18">
        <f>'Total Saturday Boardings'!BH11/'Service Days per Month'!BH$5</f>
        <v>1571.25</v>
      </c>
      <c r="BI11" s="18">
        <f>'Total Saturday Boardings'!BI11/'Service Days per Month'!BI$5</f>
        <v>1455.9292421519924</v>
      </c>
      <c r="BJ11" s="18">
        <f>'Total Saturday Boardings'!BJ11/'Service Days per Month'!BJ$5</f>
        <v>1557.75</v>
      </c>
      <c r="BK11" s="18">
        <f>'Total Saturday Boardings'!BK11/'Service Days per Month'!BK$5</f>
        <v>1574.25</v>
      </c>
      <c r="BL11" s="18">
        <f>'Total Saturday Boardings'!BL11/'Service Days per Month'!BL$5</f>
        <v>1613.5</v>
      </c>
      <c r="BM11" s="18">
        <f>'Total Saturday Boardings'!BM11/'Service Days per Month'!BM$5</f>
        <v>1598.2</v>
      </c>
      <c r="BN11" s="18">
        <f>'Total Saturday Boardings'!BN11/'Service Days per Month'!BN$5</f>
        <v>1667</v>
      </c>
      <c r="BO11" s="18">
        <f>'Total Saturday Boardings'!BO11/'Service Days per Month'!BO$5</f>
        <v>1487.8</v>
      </c>
      <c r="BP11" s="19">
        <f>'Total Saturday Boardings'!BP11/'Service Days per Month'!BP$5</f>
        <v>1442</v>
      </c>
      <c r="BQ11" s="17">
        <f>'Total Saturday Boardings'!BQ11/'Service Days per Month'!BQ$5</f>
        <v>1296.25</v>
      </c>
      <c r="BR11" s="18">
        <f>'Total Saturday Boardings'!BR11/'Service Days per Month'!BR$5</f>
        <v>1423</v>
      </c>
      <c r="BS11" s="18">
        <f>'Total Saturday Boardings'!BS11/'Service Days per Month'!BS$5</f>
        <v>1393.25</v>
      </c>
      <c r="BT11" s="18">
        <f>'Total Saturday Boardings'!BT11/'Service Days per Month'!BT$5</f>
        <v>1607</v>
      </c>
      <c r="BU11" s="18">
        <f>'Total Saturday Boardings'!BU11/'Service Days per Month'!BU$5</f>
        <v>1524.4</v>
      </c>
      <c r="BV11" s="18">
        <f>'Total Saturday Boardings'!BV11/'Service Days per Month'!BV$5</f>
        <v>1619.5</v>
      </c>
      <c r="BW11" s="18">
        <f>'Total Saturday Boardings'!BW11/'Service Days per Month'!BW$5</f>
        <v>2151.1999999999998</v>
      </c>
      <c r="BX11" s="18">
        <f>'Total Saturday Boardings'!BX11/'Service Days per Month'!BX$5</f>
        <v>1630.5</v>
      </c>
      <c r="BY11" s="18">
        <f>'Total Saturday Boardings'!BY11/'Service Days per Month'!BY$5</f>
        <v>1608.5</v>
      </c>
      <c r="BZ11" s="18">
        <f>'Total Saturday Boardings'!BZ11/'Service Days per Month'!BZ$5</f>
        <v>1688.25</v>
      </c>
      <c r="CA11" s="18">
        <f>'Total Saturday Boardings'!CA11/'Service Days per Month'!CA$5</f>
        <v>1561.2</v>
      </c>
      <c r="CB11" s="19">
        <f>'Total Saturday Boardings'!CB11/'Service Days per Month'!CB$5</f>
        <v>1448.75</v>
      </c>
      <c r="CC11" s="20">
        <f>'Total Saturday Boardings'!CC11/'Service Days per Month'!CC$5</f>
        <v>1606</v>
      </c>
      <c r="CD11" s="18">
        <f>'Total Saturday Boardings'!CD11/'Service Days per Month'!CD$5</f>
        <v>1457.4</v>
      </c>
      <c r="CE11" s="18">
        <f>'Total Saturday Boardings'!CE11/'Service Days per Month'!CE$5</f>
        <v>1611</v>
      </c>
      <c r="CF11" s="18">
        <f>'Total Saturday Boardings'!CF11/'Service Days per Month'!CF$5</f>
        <v>1763.4</v>
      </c>
      <c r="CG11" s="18">
        <f>'Total Saturday Boardings'!CG11/'Service Days per Month'!CG$5</f>
        <v>1633</v>
      </c>
      <c r="CH11" s="18">
        <f>'Total Saturday Boardings'!CH11/'Service Days per Month'!CH$5</f>
        <v>1598</v>
      </c>
      <c r="CI11" s="18">
        <f>'Total Saturday Boardings'!CI11/'Service Days per Month'!CI$5</f>
        <v>1598.4</v>
      </c>
      <c r="CJ11" s="18">
        <f>'Total Saturday Boardings'!CJ11/'Service Days per Month'!CJ$5</f>
        <v>2926.5</v>
      </c>
      <c r="CK11" s="18">
        <f>'Total Saturday Boardings'!CK11/'Service Days per Month'!CK$5</f>
        <v>1638.25</v>
      </c>
      <c r="CL11" s="18">
        <f>'Total Saturday Boardings'!CL11/'Service Days per Month'!CL$5</f>
        <v>1782.6</v>
      </c>
      <c r="CM11" s="18">
        <f>'Total Saturday Boardings'!CM11/'Service Days per Month'!CM$5</f>
        <v>1716.25</v>
      </c>
      <c r="CN11" s="21">
        <f>'Total Saturday Boardings'!CN11/'Service Days per Month'!CN$5</f>
        <v>1687.25</v>
      </c>
      <c r="CO11" s="17">
        <f>'Total Saturday Boardings'!CO11/'Service Days per Month'!CO$5</f>
        <v>1670.2</v>
      </c>
      <c r="CP11" s="18">
        <f>'Total Saturday Boardings'!CP11/'Service Days per Month'!CP$5</f>
        <v>1703.5</v>
      </c>
      <c r="CQ11" s="18">
        <f>'Total Saturday Boardings'!CQ11/'Service Days per Month'!CQ$5</f>
        <v>1710.25</v>
      </c>
      <c r="CR11" s="18">
        <f>'Total Saturday Boardings'!CR11/'Service Days per Month'!CR$5</f>
        <v>1748</v>
      </c>
      <c r="CS11" s="18">
        <f>'Total Saturday Boardings'!CS11/'Service Days per Month'!CS$5</f>
        <v>1625</v>
      </c>
      <c r="CT11" s="18">
        <f>'Total Saturday Boardings'!CT11/'Service Days per Month'!CT$5</f>
        <v>1923.75</v>
      </c>
      <c r="CU11" s="18">
        <f>'Total Saturday Boardings'!CU11/'Service Days per Month'!CU$5</f>
        <v>1744.25</v>
      </c>
      <c r="CV11" s="18">
        <f>'Total Saturday Boardings'!CV11/'Service Days per Month'!CV$5</f>
        <v>1664.5</v>
      </c>
      <c r="CW11" s="18">
        <f>'Total Saturday Boardings'!CW11/'Service Days per Month'!CW$5</f>
        <v>1686.5</v>
      </c>
      <c r="CX11" s="18">
        <f>'Total Saturday Boardings'!CX11/'Service Days per Month'!CX$5</f>
        <v>1927.4</v>
      </c>
      <c r="CY11" s="18">
        <f>'Total Saturday Boardings'!CY11/'Service Days per Month'!CY$5</f>
        <v>1782.75</v>
      </c>
      <c r="CZ11" s="19">
        <f>'Total Saturday Boardings'!CZ11/'Service Days per Month'!CZ$5</f>
        <v>1578.5</v>
      </c>
      <c r="DA11" s="17">
        <f>'Total Saturday Boardings'!DA11/'Service Days per Month'!DA$5</f>
        <v>1578.2</v>
      </c>
      <c r="DB11" s="18">
        <f>'Total Saturday Boardings'!DB11/'Service Days per Month'!DB$5</f>
        <v>1795</v>
      </c>
      <c r="DC11" s="18">
        <f>'Total Saturday Boardings'!DC11/'Service Days per Month'!DC$5</f>
        <v>1823.4</v>
      </c>
      <c r="DD11" s="18">
        <f>'Total Saturday Boardings'!DD11/'Service Days per Month'!DD$5</f>
        <v>1805.75</v>
      </c>
      <c r="DE11" s="18">
        <f>'Total Saturday Boardings'!DE11/'Service Days per Month'!DE$5</f>
        <v>1758.25</v>
      </c>
      <c r="DF11" s="18">
        <f>'Total Saturday Boardings'!DF11/'Service Days per Month'!DF$5</f>
        <v>1743.8</v>
      </c>
      <c r="DG11" s="18">
        <f>'Total Saturday Boardings'!DG11/'Service Days per Month'!DG$5</f>
        <v>1761.75</v>
      </c>
      <c r="DH11" s="18">
        <f>'Total Saturday Boardings'!DH11/'Service Days per Month'!DH$5</f>
        <v>1748</v>
      </c>
      <c r="DI11" s="18">
        <f>'Total Saturday Boardings'!DI11/'Service Days per Month'!DI$5</f>
        <v>1725.2</v>
      </c>
      <c r="DJ11" s="18">
        <f>'Total Saturday Boardings'!DJ11/'Service Days per Month'!DJ$5</f>
        <v>1633</v>
      </c>
      <c r="DK11" s="18">
        <f>'Total Saturday Boardings'!DK11/'Service Days per Month'!DK$5</f>
        <v>1536.25</v>
      </c>
      <c r="DL11" s="19">
        <f>'Total Saturday Boardings'!DL11/'Service Days per Month'!DL$5</f>
        <v>1516.8</v>
      </c>
      <c r="DM11" s="17">
        <f>'Total Saturday Boardings'!DM11/'Service Days per Month'!DM$5</f>
        <v>1497</v>
      </c>
      <c r="DN11" s="18">
        <f>'Total Saturday Boardings'!DN11/'Service Days per Month'!DN$5</f>
        <v>1497.75</v>
      </c>
      <c r="DO11" s="18">
        <f>'Total Saturday Boardings'!DO11/'Service Days per Month'!DO$5</f>
        <v>1549.2</v>
      </c>
      <c r="DP11" s="18">
        <f>'Total Saturday Boardings'!DP11/'Service Days per Month'!DP$5</f>
        <v>1550.75</v>
      </c>
      <c r="DQ11" s="18">
        <f>'Total Saturday Boardings'!DQ11/'Service Days per Month'!DQ$5</f>
        <v>1627.25</v>
      </c>
      <c r="DR11" s="18">
        <f>'Total Saturday Boardings'!DR11/'Service Days per Month'!DR$5</f>
        <v>1620</v>
      </c>
      <c r="DS11" s="18">
        <f>'Total Saturday Boardings'!DS11/'Service Days per Month'!DS$5</f>
        <v>1531.75</v>
      </c>
      <c r="DT11" s="18">
        <f>'Total Saturday Boardings'!DT11/'Service Days per Month'!DT$5</f>
        <v>1524.5</v>
      </c>
      <c r="DU11" s="18">
        <f>'Total Saturday Boardings'!DU11/'Service Days per Month'!DU$5</f>
        <v>1555</v>
      </c>
      <c r="DV11" s="18">
        <f>'Total Saturday Boardings'!DV11/'Service Days per Month'!DV$5</f>
        <v>1505.5</v>
      </c>
      <c r="DW11" s="18">
        <f>'Total Saturday Boardings'!DW11/'Service Days per Month'!DW$5</f>
        <v>1496.75</v>
      </c>
      <c r="DX11" s="19">
        <f>'Total Saturday Boardings'!DX11/'Service Days per Month'!DX$5</f>
        <v>1330</v>
      </c>
      <c r="DY11" s="17">
        <f>'Total Saturday Boardings'!DY11/'Service Days per Month'!DY$5</f>
        <v>1220.75</v>
      </c>
      <c r="DZ11" s="18">
        <f>'Total Saturday Boardings'!DZ11/'Service Days per Month'!DZ$5</f>
        <v>1366.2</v>
      </c>
      <c r="EA11" s="18">
        <f>'Total Saturday Boardings'!EA11/'Service Days per Month'!EA$5</f>
        <v>1390</v>
      </c>
      <c r="EB11" s="18">
        <f>'Total Saturday Boardings'!EB11/'Service Days per Month'!EB$5</f>
        <v>1466.25</v>
      </c>
      <c r="EC11" s="18">
        <f>'Total Saturday Boardings'!EC11/'Service Days per Month'!EC$5</f>
        <v>1457.6</v>
      </c>
      <c r="ED11" s="18">
        <f>'Total Saturday Boardings'!ED11/'Service Days per Month'!ED$5</f>
        <v>1425.25</v>
      </c>
      <c r="EE11" s="18">
        <f>'Total Saturday Boardings'!EE11/'Service Days per Month'!EE$5</f>
        <v>1318.75</v>
      </c>
      <c r="EF11" s="18">
        <f>'Total Saturday Boardings'!EF11/'Service Days per Month'!EF$5</f>
        <v>1421.2</v>
      </c>
      <c r="EG11" s="18">
        <f>'Total Saturday Boardings'!EG11/'Service Days per Month'!EG$5</f>
        <v>1177.5</v>
      </c>
      <c r="EH11" s="18">
        <f>'Total Saturday Boardings'!EH11/'Service Days per Month'!EH$5</f>
        <v>780.5</v>
      </c>
      <c r="EI11" s="18">
        <f>'Total Saturday Boardings'!EI11/'Service Days per Month'!EI$5</f>
        <v>714</v>
      </c>
      <c r="EJ11" s="19">
        <f>'Total Saturday Boardings'!EJ11/'Service Days per Month'!EJ$5</f>
        <v>669.75</v>
      </c>
      <c r="EK11" s="17">
        <f>'Total Saturday Boardings'!EK11/'Service Days per Month'!EK$5</f>
        <v>448.5</v>
      </c>
      <c r="EL11" s="18">
        <f>'Total Saturday Boardings'!EL11/'Service Days per Month'!EL$5</f>
        <v>688</v>
      </c>
      <c r="EM11" s="18">
        <f>'Total Saturday Boardings'!EM11/'Service Days per Month'!EM$5</f>
        <v>747.25</v>
      </c>
      <c r="EN11" s="18">
        <f>'Total Saturday Boardings'!EN11/'Service Days per Month'!EN$5</f>
        <v>732.2</v>
      </c>
      <c r="EO11" s="18">
        <f>'Total Saturday Boardings'!EO11/'Service Days per Month'!EO$5</f>
        <v>727.75</v>
      </c>
      <c r="EP11" s="18">
        <f>'Total Saturday Boardings'!EP11/'Service Days per Month'!EP$5</f>
        <v>535.5</v>
      </c>
      <c r="EQ11" s="18">
        <f>'Total Saturday Boardings'!EQ11/'Service Days per Month'!EQ$5</f>
        <v>314.39999999999998</v>
      </c>
      <c r="ER11" s="18">
        <f>'Total Saturday Boardings'!ER11/'Service Days per Month'!ER$5</f>
        <v>663.25</v>
      </c>
      <c r="ES11" s="18">
        <f>'Total Saturday Boardings'!ES11/'Service Days per Month'!ES$5</f>
        <v>637.5</v>
      </c>
      <c r="ET11" s="18">
        <f>'Total Saturday Boardings'!ET11/'Service Days per Month'!ET$5</f>
        <v>652</v>
      </c>
      <c r="EU11" s="18">
        <f>'Total Saturday Boardings'!EU11/'Service Days per Month'!EU$5</f>
        <v>682.2</v>
      </c>
      <c r="EV11" s="19">
        <f>'Total Saturday Boardings'!EV11/'Service Days per Month'!EV$5</f>
        <v>596.75</v>
      </c>
      <c r="EW11" s="17">
        <f>'Total Saturday Boardings'!EW11/'Service Days per Month'!EW$5</f>
        <v>582.20000000000005</v>
      </c>
      <c r="EX11" s="18">
        <f>'Total Saturday Boardings'!EX11/'Service Days per Month'!EX$5</f>
        <v>483.5</v>
      </c>
      <c r="EY11" s="18">
        <f>'Total Saturday Boardings'!EY11/'Service Days per Month'!EY$5</f>
        <v>637.5</v>
      </c>
      <c r="EZ11" s="18">
        <f>'Total Saturday Boardings'!EZ11/'Service Days per Month'!EZ$5</f>
        <v>669.8</v>
      </c>
      <c r="FA11" s="18">
        <f>'Total Saturday Boardings'!FA11/'Service Days per Month'!FA$5</f>
        <v>730</v>
      </c>
      <c r="FB11" s="18">
        <f>'Total Saturday Boardings'!FB11/'Service Days per Month'!FB$5</f>
        <v>813.75</v>
      </c>
      <c r="FC11" s="18">
        <f>'Total Saturday Boardings'!FC11/'Service Days per Month'!FC$5</f>
        <v>638.6</v>
      </c>
      <c r="FD11" s="18">
        <f>'Total Saturday Boardings'!FD11/'Service Days per Month'!FD$5</f>
        <v>838.75</v>
      </c>
      <c r="FE11" s="18">
        <f>'Total Saturday Boardings'!FE11/'Service Days per Month'!FE$5</f>
        <v>869.75</v>
      </c>
      <c r="FF11" s="18">
        <f>'Total Saturday Boardings'!FF11/'Service Days per Month'!FF$5</f>
        <v>850.4</v>
      </c>
      <c r="FG11" s="18">
        <f>'Total Saturday Boardings'!FG11/'Service Days per Month'!FG$5</f>
        <v>799.5</v>
      </c>
      <c r="FH11" s="19">
        <f>'Total Saturday Boardings'!FH11/'Service Days per Month'!FH$5</f>
        <v>658.75</v>
      </c>
      <c r="FI11" s="17">
        <v>700.2</v>
      </c>
      <c r="FJ11" s="18">
        <v>775</v>
      </c>
      <c r="FK11" s="18">
        <v>889.5</v>
      </c>
      <c r="FL11" s="18">
        <v>825</v>
      </c>
      <c r="FM11" s="18">
        <v>733.6</v>
      </c>
      <c r="FN11" s="18">
        <v>827.6</v>
      </c>
      <c r="FO11" s="18">
        <v>747.6</v>
      </c>
      <c r="FP11" s="18">
        <v>1107.75</v>
      </c>
      <c r="FQ11" s="18">
        <v>1094.25</v>
      </c>
      <c r="FR11" s="18">
        <f>'Total Saturday Boardings'!FR11/5</f>
        <v>986</v>
      </c>
      <c r="FS11" s="18">
        <f>'Total Saturday Boardings'!FS11/4</f>
        <v>1055</v>
      </c>
      <c r="FT11" s="19">
        <f>'Total Saturday Boardings'!FT11/4</f>
        <v>1018.75</v>
      </c>
      <c r="FU11" s="17">
        <f>'Total Saturday Boardings'!FU11/5</f>
        <v>961</v>
      </c>
      <c r="FV11" s="18">
        <f>'Total Saturday Boardings'!FV11/4</f>
        <v>1012.25</v>
      </c>
      <c r="FW11" s="18">
        <f>'Total Saturday Boardings'!FW11/5</f>
        <v>983.8</v>
      </c>
      <c r="FX11" s="18">
        <f>'Total Saturday Boardings'!FX11/4</f>
        <v>962</v>
      </c>
      <c r="FY11" s="18">
        <f>'Total Saturday Boardings'!FY11/4</f>
        <v>971.75</v>
      </c>
      <c r="FZ11" s="18">
        <f>'Total Saturday Boardings'!FZ11/5</f>
        <v>999.2</v>
      </c>
      <c r="GA11" s="18">
        <f>'Total Saturday Boardings'!GA11/4</f>
        <v>1020</v>
      </c>
      <c r="GB11" s="18">
        <f>'Total Saturday Boardings'!GB11/4</f>
        <v>1036</v>
      </c>
      <c r="GC11" s="18">
        <f>'Total Saturday Boardings'!GC11/5</f>
        <v>989.2</v>
      </c>
      <c r="GD11" s="18">
        <f>'Total Saturday Boardings'!GD11/4</f>
        <v>975.25</v>
      </c>
      <c r="GE11" s="18">
        <f>'Total Saturday Boardings'!GE11/4</f>
        <v>940</v>
      </c>
      <c r="GF11" s="18">
        <f>'Total Saturday Boardings'!GF11/5</f>
        <v>829.6</v>
      </c>
      <c r="GG11" s="18">
        <f>'Total Saturday Boardings'!GG11/4</f>
        <v>874.25</v>
      </c>
      <c r="GH11" s="18">
        <f>'Total Saturday Boardings'!GH11/5</f>
        <v>969.4</v>
      </c>
      <c r="GI11" s="18">
        <f>'Total Saturday Boardings'!GI11/4</f>
        <v>969.75</v>
      </c>
      <c r="GJ11" s="18">
        <f>'Total Saturday Boardings'!GJ11/4</f>
        <v>909.5</v>
      </c>
      <c r="GK11" s="18">
        <f>'Total Saturday Boardings'!GK11/5</f>
        <v>818.6</v>
      </c>
      <c r="GL11" s="18">
        <f>'Total Saturday Boardings'!GL11/4</f>
        <v>888</v>
      </c>
    </row>
    <row r="12" spans="1:194" x14ac:dyDescent="0.3">
      <c r="A12" s="3" t="s">
        <v>5</v>
      </c>
      <c r="B12" s="17"/>
      <c r="C12" s="18">
        <f>'Total Saturday Boardings'!C12/'Service Days per Month'!C$5</f>
        <v>333.2</v>
      </c>
      <c r="D12" s="18">
        <f>'Total Saturday Boardings'!D12/'Service Days per Month'!D$5</f>
        <v>609.5</v>
      </c>
      <c r="E12" s="18">
        <f>'Total Saturday Boardings'!E12/'Service Days per Month'!E$5</f>
        <v>563.75</v>
      </c>
      <c r="F12" s="18">
        <f>'Total Saturday Boardings'!F12/'Service Days per Month'!F$5</f>
        <v>678</v>
      </c>
      <c r="G12" s="18">
        <f>'Total Saturday Boardings'!G12/'Service Days per Month'!G$5</f>
        <v>477.2</v>
      </c>
      <c r="H12" s="19">
        <f>'Total Saturday Boardings'!H12/'Service Days per Month'!H$5</f>
        <v>490.5</v>
      </c>
      <c r="I12" s="17">
        <f>'Total Saturday Boardings'!I12/'Service Days per Month'!I$5</f>
        <v>686.66666666666663</v>
      </c>
      <c r="J12" s="18">
        <f>'Total Saturday Boardings'!J12/'Service Days per Month'!J$5</f>
        <v>441</v>
      </c>
      <c r="K12" s="18">
        <f>'Total Saturday Boardings'!K12/'Service Days per Month'!K$5</f>
        <v>623.25</v>
      </c>
      <c r="L12" s="18">
        <f>'Total Saturday Boardings'!L12/'Service Days per Month'!L$5</f>
        <v>587.6</v>
      </c>
      <c r="M12" s="18">
        <f>'Total Saturday Boardings'!M12/'Service Days per Month'!M$5</f>
        <v>716.5</v>
      </c>
      <c r="N12" s="18">
        <f>'Total Saturday Boardings'!N12/'Service Days per Month'!N$5</f>
        <v>832.25</v>
      </c>
      <c r="O12" s="62">
        <f>'Total Saturday Boardings'!O12/'Service Days per Month'!O$5</f>
        <v>601.20000000000005</v>
      </c>
      <c r="P12" s="62">
        <f>'Total Saturday Boardings'!P12/'Service Days per Month'!P$5</f>
        <v>681</v>
      </c>
      <c r="Q12" s="62">
        <f>'Total Saturday Boardings'!Q12/'Service Days per Month'!Q$5</f>
        <v>699.75</v>
      </c>
      <c r="R12" s="62">
        <f>'Total Saturday Boardings'!R12/'Service Days per Month'!R$5</f>
        <v>860</v>
      </c>
      <c r="S12" s="62">
        <f>'Total Saturday Boardings'!S12/'Service Days per Month'!S$5</f>
        <v>532.20000000000005</v>
      </c>
      <c r="T12" s="63">
        <f>'Total Saturday Boardings'!T12/'Service Days per Month'!T$5</f>
        <v>672.25</v>
      </c>
      <c r="U12" s="64">
        <f>'Total Saturday Boardings'!U12/'Service Days per Month'!U$5</f>
        <v>690</v>
      </c>
      <c r="V12" s="62">
        <f>'Total Saturday Boardings'!V12/'Service Days per Month'!V$5</f>
        <v>667.5</v>
      </c>
      <c r="W12" s="62">
        <f>'Total Saturday Boardings'!W12/'Service Days per Month'!W$5</f>
        <v>812.25</v>
      </c>
      <c r="X12" s="62">
        <f>'Total Saturday Boardings'!X12/'Service Days per Month'!X$5</f>
        <v>623.4</v>
      </c>
      <c r="Y12" s="62">
        <f>'Total Saturday Boardings'!Y12/'Service Days per Month'!Y$5</f>
        <v>718.75</v>
      </c>
      <c r="Z12" s="62">
        <f>'Total Saturday Boardings'!Z12/'Service Days per Month'!Z$5</f>
        <v>935.33333333333337</v>
      </c>
      <c r="AA12" s="18">
        <f>'Total Saturday Boardings'!AA12/'Service Days per Month'!AA$5</f>
        <v>592.79999999999995</v>
      </c>
      <c r="AB12" s="18">
        <f>'Total Saturday Boardings'!AB12/'Service Days per Month'!AB$5</f>
        <v>761.75</v>
      </c>
      <c r="AC12" s="18">
        <f>'Total Saturday Boardings'!AC12/'Service Days per Month'!AC$5</f>
        <v>856.25</v>
      </c>
      <c r="AD12" s="18">
        <f>'Total Saturday Boardings'!AD12/'Service Days per Month'!AD$5</f>
        <v>876.8</v>
      </c>
      <c r="AE12" s="18">
        <f>'Total Saturday Boardings'!AE12/'Service Days per Month'!AE$5</f>
        <v>814.75</v>
      </c>
      <c r="AF12" s="19">
        <f>'Total Saturday Boardings'!AF12/'Service Days per Month'!AF$5</f>
        <v>725.75</v>
      </c>
      <c r="AG12" s="17">
        <f>'Total Saturday Boardings'!AG12/'Service Days per Month'!AG$5</f>
        <v>697.8</v>
      </c>
      <c r="AH12" s="18">
        <f>'Total Saturday Boardings'!AH12/'Service Days per Month'!AH$5</f>
        <v>792</v>
      </c>
      <c r="AI12" s="18">
        <f>'Total Saturday Boardings'!AI12/'Service Days per Month'!AI$5</f>
        <v>817.25</v>
      </c>
      <c r="AJ12" s="18">
        <f>'Total Saturday Boardings'!AJ12/'Service Days per Month'!AJ$5</f>
        <v>879.6</v>
      </c>
      <c r="AK12" s="18">
        <f>'Total Saturday Boardings'!AK12/'Service Days per Month'!AK$5</f>
        <v>777.25</v>
      </c>
      <c r="AL12" s="18">
        <f>'Total Saturday Boardings'!AL12/'Service Days per Month'!AL$5</f>
        <v>1141</v>
      </c>
      <c r="AM12" s="18">
        <f>'Total Saturday Boardings'!AM12/'Service Days per Month'!AM$5</f>
        <v>842</v>
      </c>
      <c r="AN12" s="18">
        <f>'Total Saturday Boardings'!AN12/'Service Days per Month'!AN$5</f>
        <v>892</v>
      </c>
      <c r="AO12" s="18">
        <f>'Total Saturday Boardings'!AO12/'Service Days per Month'!AO$5</f>
        <v>833.4</v>
      </c>
      <c r="AP12" s="18">
        <f>'Total Saturday Boardings'!AP12/'Service Days per Month'!AP$5</f>
        <v>1011.5</v>
      </c>
      <c r="AQ12" s="18">
        <f>'Total Saturday Boardings'!AQ12/'Service Days per Month'!AQ$5</f>
        <v>867</v>
      </c>
      <c r="AR12" s="19">
        <f>'Total Saturday Boardings'!AR12/'Service Days per Month'!AR$5</f>
        <v>836</v>
      </c>
      <c r="AS12" s="17">
        <f>'Total Saturday Boardings'!AS12/'Service Days per Month'!AS$5</f>
        <v>770</v>
      </c>
      <c r="AT12" s="18">
        <f>'Total Saturday Boardings'!AT12/'Service Days per Month'!AT$5</f>
        <v>889.25</v>
      </c>
      <c r="AU12" s="18">
        <f>'Total Saturday Boardings'!AU12/'Service Days per Month'!AU$5</f>
        <v>944.6</v>
      </c>
      <c r="AV12" s="18">
        <f>'Total Saturday Boardings'!AV12/'Service Days per Month'!AV$5</f>
        <v>997.75</v>
      </c>
      <c r="AW12" s="18">
        <f>'Total Saturday Boardings'!AW12/'Service Days per Month'!AW$5</f>
        <v>976</v>
      </c>
      <c r="AX12" s="18">
        <f>'Total Saturday Boardings'!AX12/'Service Days per Month'!AX$5</f>
        <v>1011</v>
      </c>
      <c r="AY12" s="18">
        <f>'Total Saturday Boardings'!AY12/'Service Days per Month'!AY$5</f>
        <v>915.25</v>
      </c>
      <c r="AZ12" s="18">
        <f>'Total Saturday Boardings'!AZ12/'Service Days per Month'!AZ$5</f>
        <v>983.25</v>
      </c>
      <c r="BA12" s="18">
        <f>'Total Saturday Boardings'!BA12/'Service Days per Month'!BA$5</f>
        <v>986.4</v>
      </c>
      <c r="BB12" s="18">
        <f>'Total Saturday Boardings'!BB12/'Service Days per Month'!BB$5</f>
        <v>1158.5</v>
      </c>
      <c r="BC12" s="18">
        <f>'Total Saturday Boardings'!BC12/'Service Days per Month'!BC$5</f>
        <v>1004</v>
      </c>
      <c r="BD12" s="19">
        <f>'Total Saturday Boardings'!BD12/'Service Days per Month'!BD$5</f>
        <v>863.8</v>
      </c>
      <c r="BE12" s="17">
        <f>'Total Saturday Boardings'!BE12/'Service Days per Month'!BE$5</f>
        <v>899.5</v>
      </c>
      <c r="BF12" s="18">
        <f>'Total Saturday Boardings'!BF12/'Service Days per Month'!BF$5</f>
        <v>940</v>
      </c>
      <c r="BG12" s="18">
        <f>'Total Saturday Boardings'!BG12/'Service Days per Month'!BG$5</f>
        <v>975.25</v>
      </c>
      <c r="BH12" s="18">
        <f>'Total Saturday Boardings'!BH12/'Service Days per Month'!BH$5</f>
        <v>949.75</v>
      </c>
      <c r="BI12" s="18">
        <f>'Total Saturday Boardings'!BI12/'Service Days per Month'!BI$5</f>
        <v>902.10638621710189</v>
      </c>
      <c r="BJ12" s="18">
        <f>'Total Saturday Boardings'!BJ12/'Service Days per Month'!BJ$5</f>
        <v>1018</v>
      </c>
      <c r="BK12" s="18">
        <f>'Total Saturday Boardings'!BK12/'Service Days per Month'!BK$5</f>
        <v>937.25</v>
      </c>
      <c r="BL12" s="18">
        <f>'Total Saturday Boardings'!BL12/'Service Days per Month'!BL$5</f>
        <v>1021</v>
      </c>
      <c r="BM12" s="18">
        <f>'Total Saturday Boardings'!BM12/'Service Days per Month'!BM$5</f>
        <v>1013.2</v>
      </c>
      <c r="BN12" s="18">
        <f>'Total Saturday Boardings'!BN12/'Service Days per Month'!BN$5</f>
        <v>1073.75</v>
      </c>
      <c r="BO12" s="18">
        <f>'Total Saturday Boardings'!BO12/'Service Days per Month'!BO$5</f>
        <v>881.6</v>
      </c>
      <c r="BP12" s="19">
        <f>'Total Saturday Boardings'!BP12/'Service Days per Month'!BP$5</f>
        <v>818.75</v>
      </c>
      <c r="BQ12" s="17">
        <f>'Total Saturday Boardings'!BQ12/'Service Days per Month'!BQ$5</f>
        <v>848.5</v>
      </c>
      <c r="BR12" s="18">
        <f>'Total Saturday Boardings'!BR12/'Service Days per Month'!BR$5</f>
        <v>873.4</v>
      </c>
      <c r="BS12" s="18">
        <f>'Total Saturday Boardings'!BS12/'Service Days per Month'!BS$5</f>
        <v>862.75</v>
      </c>
      <c r="BT12" s="18">
        <f>'Total Saturday Boardings'!BT12/'Service Days per Month'!BT$5</f>
        <v>1004</v>
      </c>
      <c r="BU12" s="18">
        <f>'Total Saturday Boardings'!BU12/'Service Days per Month'!BU$5</f>
        <v>878.2</v>
      </c>
      <c r="BV12" s="18">
        <f>'Total Saturday Boardings'!BV12/'Service Days per Month'!BV$5</f>
        <v>975</v>
      </c>
      <c r="BW12" s="18">
        <f>'Total Saturday Boardings'!BW12/'Service Days per Month'!BW$5</f>
        <v>1198.8</v>
      </c>
      <c r="BX12" s="18">
        <f>'Total Saturday Boardings'!BX12/'Service Days per Month'!BX$5</f>
        <v>896</v>
      </c>
      <c r="BY12" s="18">
        <f>'Total Saturday Boardings'!BY12/'Service Days per Month'!BY$5</f>
        <v>963.5</v>
      </c>
      <c r="BZ12" s="18">
        <f>'Total Saturday Boardings'!BZ12/'Service Days per Month'!BZ$5</f>
        <v>1003.5</v>
      </c>
      <c r="CA12" s="18">
        <f>'Total Saturday Boardings'!CA12/'Service Days per Month'!CA$5</f>
        <v>910.6</v>
      </c>
      <c r="CB12" s="19">
        <f>'Total Saturday Boardings'!CB12/'Service Days per Month'!CB$5</f>
        <v>911.75</v>
      </c>
      <c r="CC12" s="20">
        <f>'Total Saturday Boardings'!CC12/'Service Days per Month'!CC$5</f>
        <v>962.5</v>
      </c>
      <c r="CD12" s="18">
        <f>'Total Saturday Boardings'!CD12/'Service Days per Month'!CD$5</f>
        <v>896.4</v>
      </c>
      <c r="CE12" s="18">
        <f>'Total Saturday Boardings'!CE12/'Service Days per Month'!CE$5</f>
        <v>985.5</v>
      </c>
      <c r="CF12" s="18">
        <f>'Total Saturday Boardings'!CF12/'Service Days per Month'!CF$5</f>
        <v>1043.8</v>
      </c>
      <c r="CG12" s="18">
        <f>'Total Saturday Boardings'!CG12/'Service Days per Month'!CG$5</f>
        <v>1023.25</v>
      </c>
      <c r="CH12" s="18">
        <f>'Total Saturday Boardings'!CH12/'Service Days per Month'!CH$5</f>
        <v>1023</v>
      </c>
      <c r="CI12" s="18">
        <f>'Total Saturday Boardings'!CI12/'Service Days per Month'!CI$5</f>
        <v>964.2</v>
      </c>
      <c r="CJ12" s="18">
        <f>'Total Saturday Boardings'!CJ12/'Service Days per Month'!CJ$5</f>
        <v>948.25</v>
      </c>
      <c r="CK12" s="18">
        <f>'Total Saturday Boardings'!CK12/'Service Days per Month'!CK$5</f>
        <v>1056.25</v>
      </c>
      <c r="CL12" s="18">
        <f>'Total Saturday Boardings'!CL12/'Service Days per Month'!CL$5</f>
        <v>1070.8</v>
      </c>
      <c r="CM12" s="18">
        <f>'Total Saturday Boardings'!CM12/'Service Days per Month'!CM$5</f>
        <v>1015.75</v>
      </c>
      <c r="CN12" s="21">
        <f>'Total Saturday Boardings'!CN12/'Service Days per Month'!CN$5</f>
        <v>1016.75</v>
      </c>
      <c r="CO12" s="17">
        <f>'Total Saturday Boardings'!CO12/'Service Days per Month'!CO$5</f>
        <v>1019.4</v>
      </c>
      <c r="CP12" s="18">
        <f>'Total Saturday Boardings'!CP12/'Service Days per Month'!CP$5</f>
        <v>1023.25</v>
      </c>
      <c r="CQ12" s="18">
        <f>'Total Saturday Boardings'!CQ12/'Service Days per Month'!CQ$5</f>
        <v>1027.25</v>
      </c>
      <c r="CR12" s="18">
        <f>'Total Saturday Boardings'!CR12/'Service Days per Month'!CR$5</f>
        <v>1069</v>
      </c>
      <c r="CS12" s="18">
        <f>'Total Saturday Boardings'!CS12/'Service Days per Month'!CS$5</f>
        <v>1023</v>
      </c>
      <c r="CT12" s="18">
        <f>'Total Saturday Boardings'!CT12/'Service Days per Month'!CT$5</f>
        <v>1172.75</v>
      </c>
      <c r="CU12" s="18">
        <f>'Total Saturday Boardings'!CU12/'Service Days per Month'!CU$5</f>
        <v>1083.25</v>
      </c>
      <c r="CV12" s="18">
        <f>'Total Saturday Boardings'!CV12/'Service Days per Month'!CV$5</f>
        <v>1021.75</v>
      </c>
      <c r="CW12" s="18">
        <f>'Total Saturday Boardings'!CW12/'Service Days per Month'!CW$5</f>
        <v>1058.25</v>
      </c>
      <c r="CX12" s="18">
        <f>'Total Saturday Boardings'!CX12/'Service Days per Month'!CX$5</f>
        <v>1103.4000000000001</v>
      </c>
      <c r="CY12" s="18">
        <f>'Total Saturday Boardings'!CY12/'Service Days per Month'!CY$5</f>
        <v>991.75</v>
      </c>
      <c r="CZ12" s="19">
        <f>'Total Saturday Boardings'!CZ12/'Service Days per Month'!CZ$5</f>
        <v>897.5</v>
      </c>
      <c r="DA12" s="17">
        <f>'Total Saturday Boardings'!DA12/'Service Days per Month'!DA$5</f>
        <v>942.8</v>
      </c>
      <c r="DB12" s="18">
        <f>'Total Saturday Boardings'!DB12/'Service Days per Month'!DB$5</f>
        <v>995.25</v>
      </c>
      <c r="DC12" s="18">
        <f>'Total Saturday Boardings'!DC12/'Service Days per Month'!DC$5</f>
        <v>984.2</v>
      </c>
      <c r="DD12" s="18">
        <f>'Total Saturday Boardings'!DD12/'Service Days per Month'!DD$5</f>
        <v>1028.25</v>
      </c>
      <c r="DE12" s="18">
        <f>'Total Saturday Boardings'!DE12/'Service Days per Month'!DE$5</f>
        <v>944.25</v>
      </c>
      <c r="DF12" s="18">
        <f>'Total Saturday Boardings'!DF12/'Service Days per Month'!DF$5</f>
        <v>948.2</v>
      </c>
      <c r="DG12" s="18">
        <f>'Total Saturday Boardings'!DG12/'Service Days per Month'!DG$5</f>
        <v>892.5</v>
      </c>
      <c r="DH12" s="18">
        <f>'Total Saturday Boardings'!DH12/'Service Days per Month'!DH$5</f>
        <v>921.5</v>
      </c>
      <c r="DI12" s="18">
        <f>'Total Saturday Boardings'!DI12/'Service Days per Month'!DI$5</f>
        <v>957.6</v>
      </c>
      <c r="DJ12" s="18">
        <f>'Total Saturday Boardings'!DJ12/'Service Days per Month'!DJ$5</f>
        <v>904.75</v>
      </c>
      <c r="DK12" s="18">
        <f>'Total Saturday Boardings'!DK12/'Service Days per Month'!DK$5</f>
        <v>864</v>
      </c>
      <c r="DL12" s="19">
        <f>'Total Saturday Boardings'!DL12/'Service Days per Month'!DL$5</f>
        <v>2155.1999999999998</v>
      </c>
      <c r="DM12" s="17">
        <f>'Total Saturday Boardings'!DM12/'Service Days per Month'!DM$5</f>
        <v>781.25</v>
      </c>
      <c r="DN12" s="18">
        <f>'Total Saturday Boardings'!DN12/'Service Days per Month'!DN$5</f>
        <v>796.5</v>
      </c>
      <c r="DO12" s="18">
        <f>'Total Saturday Boardings'!DO12/'Service Days per Month'!DO$5</f>
        <v>881.8</v>
      </c>
      <c r="DP12" s="18">
        <f>'Total Saturday Boardings'!DP12/'Service Days per Month'!DP$5</f>
        <v>826.25</v>
      </c>
      <c r="DQ12" s="18">
        <f>'Total Saturday Boardings'!DQ12/'Service Days per Month'!DQ$5</f>
        <v>812.5</v>
      </c>
      <c r="DR12" s="18">
        <f>'Total Saturday Boardings'!DR12/'Service Days per Month'!DR$5</f>
        <v>882.8</v>
      </c>
      <c r="DS12" s="18">
        <f>'Total Saturday Boardings'!DS12/'Service Days per Month'!DS$5</f>
        <v>770.75</v>
      </c>
      <c r="DT12" s="18">
        <f>'Total Saturday Boardings'!DT12/'Service Days per Month'!DT$5</f>
        <v>812.75</v>
      </c>
      <c r="DU12" s="18">
        <f>'Total Saturday Boardings'!DU12/'Service Days per Month'!DU$5</f>
        <v>896.6</v>
      </c>
      <c r="DV12" s="18">
        <f>'Total Saturday Boardings'!DV12/'Service Days per Month'!DV$5</f>
        <v>871</v>
      </c>
      <c r="DW12" s="18">
        <f>'Total Saturday Boardings'!DW12/'Service Days per Month'!DW$5</f>
        <v>820.75</v>
      </c>
      <c r="DX12" s="19">
        <f>'Total Saturday Boardings'!DX12/'Service Days per Month'!DX$5</f>
        <v>757.4</v>
      </c>
      <c r="DY12" s="17">
        <f>'Total Saturday Boardings'!DY12/'Service Days per Month'!DY$5</f>
        <v>693</v>
      </c>
      <c r="DZ12" s="18">
        <f>'Total Saturday Boardings'!DZ12/'Service Days per Month'!DZ$5</f>
        <v>737.4</v>
      </c>
      <c r="EA12" s="18">
        <f>'Total Saturday Boardings'!EA12/'Service Days per Month'!EA$5</f>
        <v>772.5</v>
      </c>
      <c r="EB12" s="18">
        <f>'Total Saturday Boardings'!EB12/'Service Days per Month'!EB$5</f>
        <v>755</v>
      </c>
      <c r="EC12" s="18">
        <f>'Total Saturday Boardings'!EC12/'Service Days per Month'!EC$5</f>
        <v>698.4</v>
      </c>
      <c r="ED12" s="18">
        <f>'Total Saturday Boardings'!ED12/'Service Days per Month'!ED$5</f>
        <v>749.5</v>
      </c>
      <c r="EE12" s="18">
        <f>'Total Saturday Boardings'!EE12/'Service Days per Month'!EE$5</f>
        <v>675.5</v>
      </c>
      <c r="EF12" s="18">
        <f>'Total Saturday Boardings'!EF12/'Service Days per Month'!EF$5</f>
        <v>668</v>
      </c>
      <c r="EG12" s="18">
        <f>'Total Saturday Boardings'!EG12/'Service Days per Month'!EG$5</f>
        <v>605.5</v>
      </c>
      <c r="EH12" s="18">
        <f>'Total Saturday Boardings'!EH12/'Service Days per Month'!EH$5</f>
        <v>400.75</v>
      </c>
      <c r="EI12" s="18">
        <f>'Total Saturday Boardings'!EI12/'Service Days per Month'!EI$5</f>
        <v>360.2</v>
      </c>
      <c r="EJ12" s="19">
        <f>'Total Saturday Boardings'!EJ12/'Service Days per Month'!EJ$5</f>
        <v>342.5</v>
      </c>
      <c r="EK12" s="17">
        <f>'Total Saturday Boardings'!EK12/'Service Days per Month'!EK$5</f>
        <v>232.75</v>
      </c>
      <c r="EL12" s="18">
        <f>'Total Saturday Boardings'!EL12/'Service Days per Month'!EL$5</f>
        <v>342.2</v>
      </c>
      <c r="EM12" s="18">
        <f>'Total Saturday Boardings'!EM12/'Service Days per Month'!EM$5</f>
        <v>342</v>
      </c>
      <c r="EN12" s="18">
        <f>'Total Saturday Boardings'!EN12/'Service Days per Month'!EN$5</f>
        <v>351</v>
      </c>
      <c r="EO12" s="18">
        <f>'Total Saturday Boardings'!EO12/'Service Days per Month'!EO$5</f>
        <v>387</v>
      </c>
      <c r="EP12" s="18">
        <f>'Total Saturday Boardings'!EP12/'Service Days per Month'!EP$5</f>
        <v>254.5</v>
      </c>
      <c r="EQ12" s="18">
        <f>'Total Saturday Boardings'!EQ12/'Service Days per Month'!EQ$5</f>
        <v>156</v>
      </c>
      <c r="ER12" s="18">
        <f>'Total Saturday Boardings'!ER12/'Service Days per Month'!ER$5</f>
        <v>321.75</v>
      </c>
      <c r="ES12" s="18">
        <f>'Total Saturday Boardings'!ES12/'Service Days per Month'!ES$5</f>
        <v>343.25</v>
      </c>
      <c r="ET12" s="18">
        <f>'Total Saturday Boardings'!ET12/'Service Days per Month'!ET$5</f>
        <v>396.5</v>
      </c>
      <c r="EU12" s="18">
        <f>'Total Saturday Boardings'!EU12/'Service Days per Month'!EU$5</f>
        <v>339.8</v>
      </c>
      <c r="EV12" s="19">
        <f>'Total Saturday Boardings'!EV12/'Service Days per Month'!EV$5</f>
        <v>327.75</v>
      </c>
      <c r="EW12" s="17">
        <f>'Total Saturday Boardings'!EW12/'Service Days per Month'!EW$5</f>
        <v>309.60000000000002</v>
      </c>
      <c r="EX12" s="18">
        <f>'Total Saturday Boardings'!EX12/'Service Days per Month'!EX$5</f>
        <v>293.25</v>
      </c>
      <c r="EY12" s="18">
        <f>'Total Saturday Boardings'!EY12/'Service Days per Month'!EY$5</f>
        <v>361.75</v>
      </c>
      <c r="EZ12" s="18">
        <f>'Total Saturday Boardings'!EZ12/'Service Days per Month'!EZ$5</f>
        <v>397.4</v>
      </c>
      <c r="FA12" s="18">
        <f>'Total Saturday Boardings'!FA12/'Service Days per Month'!FA$5</f>
        <v>465.75</v>
      </c>
      <c r="FB12" s="18">
        <f>'Total Saturday Boardings'!FB12/'Service Days per Month'!FB$5</f>
        <v>411.25</v>
      </c>
      <c r="FC12" s="18">
        <f>'Total Saturday Boardings'!FC12/'Service Days per Month'!FC$5</f>
        <v>351.8</v>
      </c>
      <c r="FD12" s="18">
        <f>'Total Saturday Boardings'!FD12/'Service Days per Month'!FD$5</f>
        <v>472</v>
      </c>
      <c r="FE12" s="18">
        <f>'Total Saturday Boardings'!FE12/'Service Days per Month'!FE$5</f>
        <v>555.75</v>
      </c>
      <c r="FF12" s="18">
        <f>'Total Saturday Boardings'!FF12/'Service Days per Month'!FF$5</f>
        <v>489</v>
      </c>
      <c r="FG12" s="18">
        <f>'Total Saturday Boardings'!FG12/'Service Days per Month'!FG$5</f>
        <v>452.5</v>
      </c>
      <c r="FH12" s="19">
        <f>'Total Saturday Boardings'!FH12/'Service Days per Month'!FH$5</f>
        <v>395</v>
      </c>
      <c r="FI12" s="17">
        <v>397.6</v>
      </c>
      <c r="FJ12" s="18">
        <v>440.5</v>
      </c>
      <c r="FK12" s="18">
        <v>403</v>
      </c>
      <c r="FL12" s="18">
        <v>454.2</v>
      </c>
      <c r="FM12" s="18">
        <v>378.8</v>
      </c>
      <c r="FN12" s="18">
        <v>408.2</v>
      </c>
      <c r="FO12" s="18">
        <v>367.8</v>
      </c>
      <c r="FP12" s="18">
        <v>524.5</v>
      </c>
      <c r="FQ12" s="18">
        <v>549.75</v>
      </c>
      <c r="FR12" s="18">
        <f>'Total Saturday Boardings'!FR12/5</f>
        <v>460</v>
      </c>
      <c r="FS12" s="18">
        <f>'Total Saturday Boardings'!FS12/4</f>
        <v>505</v>
      </c>
      <c r="FT12" s="19">
        <f>'Total Saturday Boardings'!FT12/4</f>
        <v>515.75</v>
      </c>
      <c r="FU12" s="17">
        <f>'Total Saturday Boardings'!FU12/5</f>
        <v>499.6</v>
      </c>
      <c r="FV12" s="18">
        <f>'Total Saturday Boardings'!FV12/4</f>
        <v>485.25</v>
      </c>
      <c r="FW12" s="18">
        <f>'Total Saturday Boardings'!FW12/5</f>
        <v>496.6</v>
      </c>
      <c r="FX12" s="18">
        <f>'Total Saturday Boardings'!FX12/4</f>
        <v>524.5</v>
      </c>
      <c r="FY12" s="18">
        <f>'Total Saturday Boardings'!FY12/4</f>
        <v>508.75</v>
      </c>
      <c r="FZ12" s="18">
        <f>'Total Saturday Boardings'!FZ12/5</f>
        <v>527.79999999999995</v>
      </c>
      <c r="GA12" s="18">
        <f>'Total Saturday Boardings'!GA12/4</f>
        <v>514.75</v>
      </c>
      <c r="GB12" s="18">
        <f>'Total Saturday Boardings'!GB12/4</f>
        <v>573.25</v>
      </c>
      <c r="GC12" s="18">
        <f>'Total Saturday Boardings'!GC12/5</f>
        <v>581.79999999999995</v>
      </c>
      <c r="GD12" s="18">
        <f>'Total Saturday Boardings'!GD12/4</f>
        <v>553</v>
      </c>
      <c r="GE12" s="18">
        <f>'Total Saturday Boardings'!GE12/4</f>
        <v>521.25</v>
      </c>
      <c r="GF12" s="18">
        <f>'Total Saturday Boardings'!GF12/5</f>
        <v>451.6</v>
      </c>
      <c r="GG12" s="18">
        <f>'Total Saturday Boardings'!GG12/4</f>
        <v>489.5</v>
      </c>
      <c r="GH12" s="18">
        <f>'Total Saturday Boardings'!GH12/5</f>
        <v>527</v>
      </c>
      <c r="GI12" s="18">
        <f>'Total Saturday Boardings'!GI12/4</f>
        <v>515.75</v>
      </c>
      <c r="GJ12" s="18">
        <f>'Total Saturday Boardings'!GJ12/4</f>
        <v>473</v>
      </c>
      <c r="GK12" s="18">
        <f>'Total Saturday Boardings'!GK12/5</f>
        <v>433.8</v>
      </c>
      <c r="GL12" s="18">
        <f>'Total Saturday Boardings'!GL12/4</f>
        <v>506.25</v>
      </c>
    </row>
    <row r="13" spans="1:194" x14ac:dyDescent="0.3">
      <c r="A13" s="3" t="s">
        <v>6</v>
      </c>
      <c r="B13" s="17"/>
      <c r="C13" s="18">
        <f>'Total Saturday Boardings'!C13/'Service Days per Month'!C$5</f>
        <v>807.2</v>
      </c>
      <c r="D13" s="18">
        <f>'Total Saturday Boardings'!D13/'Service Days per Month'!D$5</f>
        <v>1354.75</v>
      </c>
      <c r="E13" s="18">
        <f>'Total Saturday Boardings'!E13/'Service Days per Month'!E$5</f>
        <v>1116.25</v>
      </c>
      <c r="F13" s="18">
        <f>'Total Saturday Boardings'!F13/'Service Days per Month'!F$5</f>
        <v>1226.25</v>
      </c>
      <c r="G13" s="18">
        <f>'Total Saturday Boardings'!G13/'Service Days per Month'!G$5</f>
        <v>728</v>
      </c>
      <c r="H13" s="19">
        <f>'Total Saturday Boardings'!H13/'Service Days per Month'!H$5</f>
        <v>781</v>
      </c>
      <c r="I13" s="17">
        <f>'Total Saturday Boardings'!I13/'Service Days per Month'!I$5</f>
        <v>993.66666666666663</v>
      </c>
      <c r="J13" s="18">
        <f>'Total Saturday Boardings'!J13/'Service Days per Month'!J$5</f>
        <v>568.20000000000005</v>
      </c>
      <c r="K13" s="18">
        <f>'Total Saturday Boardings'!K13/'Service Days per Month'!K$5</f>
        <v>917.5</v>
      </c>
      <c r="L13" s="18">
        <f>'Total Saturday Boardings'!L13/'Service Days per Month'!L$5</f>
        <v>837.4</v>
      </c>
      <c r="M13" s="18">
        <f>'Total Saturday Boardings'!M13/'Service Days per Month'!M$5</f>
        <v>948</v>
      </c>
      <c r="N13" s="18">
        <f>'Total Saturday Boardings'!N13/'Service Days per Month'!N$5</f>
        <v>1578.5</v>
      </c>
      <c r="O13" s="62">
        <f>'Total Saturday Boardings'!O13/'Service Days per Month'!O$5</f>
        <v>1225.4000000000001</v>
      </c>
      <c r="P13" s="62">
        <f>'Total Saturday Boardings'!P13/'Service Days per Month'!P$5</f>
        <v>1029.75</v>
      </c>
      <c r="Q13" s="62">
        <f>'Total Saturday Boardings'!Q13/'Service Days per Month'!Q$5</f>
        <v>1110.25</v>
      </c>
      <c r="R13" s="62">
        <f>'Total Saturday Boardings'!R13/'Service Days per Month'!R$5</f>
        <v>1109.5</v>
      </c>
      <c r="S13" s="62">
        <f>'Total Saturday Boardings'!S13/'Service Days per Month'!S$5</f>
        <v>808</v>
      </c>
      <c r="T13" s="63">
        <f>'Total Saturday Boardings'!T13/'Service Days per Month'!T$5</f>
        <v>771.5</v>
      </c>
      <c r="U13" s="64">
        <f>'Total Saturday Boardings'!U13/'Service Days per Month'!U$5</f>
        <v>647.20000000000005</v>
      </c>
      <c r="V13" s="62">
        <f>'Total Saturday Boardings'!V13/'Service Days per Month'!V$5</f>
        <v>763</v>
      </c>
      <c r="W13" s="62">
        <f>'Total Saturday Boardings'!W13/'Service Days per Month'!W$5</f>
        <v>924.75</v>
      </c>
      <c r="X13" s="62">
        <f>'Total Saturday Boardings'!X13/'Service Days per Month'!X$5</f>
        <v>631.79999999999995</v>
      </c>
      <c r="Y13" s="62">
        <f>'Total Saturday Boardings'!Y13/'Service Days per Month'!Y$5</f>
        <v>908.75</v>
      </c>
      <c r="Z13" s="62">
        <f>'Total Saturday Boardings'!Z13/'Service Days per Month'!Z$5</f>
        <v>1457</v>
      </c>
      <c r="AA13" s="18">
        <f>'Total Saturday Boardings'!AA13/'Service Days per Month'!AA$5</f>
        <v>683.6</v>
      </c>
      <c r="AB13" s="18">
        <f>'Total Saturday Boardings'!AB13/'Service Days per Month'!AB$5</f>
        <v>836.25</v>
      </c>
      <c r="AC13" s="18">
        <f>'Total Saturday Boardings'!AC13/'Service Days per Month'!AC$5</f>
        <v>1096</v>
      </c>
      <c r="AD13" s="18">
        <f>'Total Saturday Boardings'!AD13/'Service Days per Month'!AD$5</f>
        <v>1072.2</v>
      </c>
      <c r="AE13" s="18">
        <f>'Total Saturday Boardings'!AE13/'Service Days per Month'!AE$5</f>
        <v>864</v>
      </c>
      <c r="AF13" s="19">
        <f>'Total Saturday Boardings'!AF13/'Service Days per Month'!AF$5</f>
        <v>730.25</v>
      </c>
      <c r="AG13" s="17">
        <f>'Total Saturday Boardings'!AG13/'Service Days per Month'!AG$5</f>
        <v>698.8</v>
      </c>
      <c r="AH13" s="18">
        <f>'Total Saturday Boardings'!AH13/'Service Days per Month'!AH$5</f>
        <v>743.75</v>
      </c>
      <c r="AI13" s="18">
        <f>'Total Saturday Boardings'!AI13/'Service Days per Month'!AI$5</f>
        <v>920.75</v>
      </c>
      <c r="AJ13" s="18">
        <f>'Total Saturday Boardings'!AJ13/'Service Days per Month'!AJ$5</f>
        <v>932.2</v>
      </c>
      <c r="AK13" s="18">
        <f>'Total Saturday Boardings'!AK13/'Service Days per Month'!AK$5</f>
        <v>815.5</v>
      </c>
      <c r="AL13" s="18">
        <f>'Total Saturday Boardings'!AL13/'Service Days per Month'!AL$5</f>
        <v>1732.5</v>
      </c>
      <c r="AM13" s="18">
        <f>'Total Saturday Boardings'!AM13/'Service Days per Month'!AM$5</f>
        <v>870.25</v>
      </c>
      <c r="AN13" s="18">
        <f>'Total Saturday Boardings'!AN13/'Service Days per Month'!AN$5</f>
        <v>994.5</v>
      </c>
      <c r="AO13" s="18">
        <f>'Total Saturday Boardings'!AO13/'Service Days per Month'!AO$5</f>
        <v>976</v>
      </c>
      <c r="AP13" s="18">
        <f>'Total Saturday Boardings'!AP13/'Service Days per Month'!AP$5</f>
        <v>1121.25</v>
      </c>
      <c r="AQ13" s="18">
        <f>'Total Saturday Boardings'!AQ13/'Service Days per Month'!AQ$5</f>
        <v>889.25</v>
      </c>
      <c r="AR13" s="19">
        <f>'Total Saturday Boardings'!AR13/'Service Days per Month'!AR$5</f>
        <v>762.2</v>
      </c>
      <c r="AS13" s="17">
        <f>'Total Saturday Boardings'!AS13/'Service Days per Month'!AS$5</f>
        <v>699</v>
      </c>
      <c r="AT13" s="18">
        <f>'Total Saturday Boardings'!AT13/'Service Days per Month'!AT$5</f>
        <v>720.75</v>
      </c>
      <c r="AU13" s="18">
        <f>'Total Saturday Boardings'!AU13/'Service Days per Month'!AU$5</f>
        <v>852.6</v>
      </c>
      <c r="AV13" s="18">
        <f>'Total Saturday Boardings'!AV13/'Service Days per Month'!AV$5</f>
        <v>986.5</v>
      </c>
      <c r="AW13" s="18">
        <f>'Total Saturday Boardings'!AW13/'Service Days per Month'!AW$5</f>
        <v>897.75</v>
      </c>
      <c r="AX13" s="18">
        <f>'Total Saturday Boardings'!AX13/'Service Days per Month'!AX$5</f>
        <v>1666.4</v>
      </c>
      <c r="AY13" s="18">
        <f>'Total Saturday Boardings'!AY13/'Service Days per Month'!AY$5</f>
        <v>810.25</v>
      </c>
      <c r="AZ13" s="18">
        <f>'Total Saturday Boardings'!AZ13/'Service Days per Month'!AZ$5</f>
        <v>948.5</v>
      </c>
      <c r="BA13" s="18">
        <f>'Total Saturday Boardings'!BA13/'Service Days per Month'!BA$5</f>
        <v>948</v>
      </c>
      <c r="BB13" s="18">
        <f>'Total Saturday Boardings'!BB13/'Service Days per Month'!BB$5</f>
        <v>1205</v>
      </c>
      <c r="BC13" s="18">
        <f>'Total Saturday Boardings'!BC13/'Service Days per Month'!BC$5</f>
        <v>920.25</v>
      </c>
      <c r="BD13" s="19">
        <f>'Total Saturday Boardings'!BD13/'Service Days per Month'!BD$5</f>
        <v>723.6</v>
      </c>
      <c r="BE13" s="17">
        <f>'Total Saturday Boardings'!BE13/'Service Days per Month'!BE$5</f>
        <v>727.75</v>
      </c>
      <c r="BF13" s="18">
        <f>'Total Saturday Boardings'!BF13/'Service Days per Month'!BF$5</f>
        <v>729.2</v>
      </c>
      <c r="BG13" s="18">
        <f>'Total Saturday Boardings'!BG13/'Service Days per Month'!BG$5</f>
        <v>887.25</v>
      </c>
      <c r="BH13" s="18">
        <f>'Total Saturday Boardings'!BH13/'Service Days per Month'!BH$5</f>
        <v>892.25</v>
      </c>
      <c r="BI13" s="18">
        <f>'Total Saturday Boardings'!BI13/'Service Days per Month'!BI$5</f>
        <v>879.96047352288338</v>
      </c>
      <c r="BJ13" s="18">
        <f>'Total Saturday Boardings'!BJ13/'Service Days per Month'!BJ$5</f>
        <v>1623</v>
      </c>
      <c r="BK13" s="18">
        <f>'Total Saturday Boardings'!BK13/'Service Days per Month'!BK$5</f>
        <v>839.5</v>
      </c>
      <c r="BL13" s="18">
        <f>'Total Saturday Boardings'!BL13/'Service Days per Month'!BL$5</f>
        <v>863.25</v>
      </c>
      <c r="BM13" s="18">
        <f>'Total Saturday Boardings'!BM13/'Service Days per Month'!BM$5</f>
        <v>912.2</v>
      </c>
      <c r="BN13" s="18">
        <f>'Total Saturday Boardings'!BN13/'Service Days per Month'!BN$5</f>
        <v>1016.25</v>
      </c>
      <c r="BO13" s="18">
        <f>'Total Saturday Boardings'!BO13/'Service Days per Month'!BO$5</f>
        <v>758</v>
      </c>
      <c r="BP13" s="19">
        <f>'Total Saturday Boardings'!BP13/'Service Days per Month'!BP$5</f>
        <v>816.25</v>
      </c>
      <c r="BQ13" s="17">
        <f>'Total Saturday Boardings'!BQ13/'Service Days per Month'!BQ$5</f>
        <v>611</v>
      </c>
      <c r="BR13" s="18">
        <f>'Total Saturday Boardings'!BR13/'Service Days per Month'!BR$5</f>
        <v>686.6</v>
      </c>
      <c r="BS13" s="18">
        <f>'Total Saturday Boardings'!BS13/'Service Days per Month'!BS$5</f>
        <v>695.5</v>
      </c>
      <c r="BT13" s="18">
        <f>'Total Saturday Boardings'!BT13/'Service Days per Month'!BT$5</f>
        <v>920</v>
      </c>
      <c r="BU13" s="18">
        <f>'Total Saturday Boardings'!BU13/'Service Days per Month'!BU$5</f>
        <v>878.6</v>
      </c>
      <c r="BV13" s="18">
        <f>'Total Saturday Boardings'!BV13/'Service Days per Month'!BV$5</f>
        <v>1534</v>
      </c>
      <c r="BW13" s="18">
        <f>'Total Saturday Boardings'!BW13/'Service Days per Month'!BW$5</f>
        <v>1546.6</v>
      </c>
      <c r="BX13" s="18">
        <f>'Total Saturday Boardings'!BX13/'Service Days per Month'!BX$5</f>
        <v>916.25</v>
      </c>
      <c r="BY13" s="18">
        <f>'Total Saturday Boardings'!BY13/'Service Days per Month'!BY$5</f>
        <v>956</v>
      </c>
      <c r="BZ13" s="18">
        <f>'Total Saturday Boardings'!BZ13/'Service Days per Month'!BZ$5</f>
        <v>996</v>
      </c>
      <c r="CA13" s="18">
        <f>'Total Saturday Boardings'!CA13/'Service Days per Month'!CA$5</f>
        <v>994</v>
      </c>
      <c r="CB13" s="19">
        <f>'Total Saturday Boardings'!CB13/'Service Days per Month'!CB$5</f>
        <v>649.75</v>
      </c>
      <c r="CC13" s="20">
        <f>'Total Saturday Boardings'!CC13/'Service Days per Month'!CC$5</f>
        <v>881</v>
      </c>
      <c r="CD13" s="18">
        <f>'Total Saturday Boardings'!CD13/'Service Days per Month'!CD$5</f>
        <v>602.79999999999995</v>
      </c>
      <c r="CE13" s="18">
        <f>'Total Saturday Boardings'!CE13/'Service Days per Month'!CE$5</f>
        <v>817.25</v>
      </c>
      <c r="CF13" s="18">
        <f>'Total Saturday Boardings'!CF13/'Service Days per Month'!CF$5</f>
        <v>926.2</v>
      </c>
      <c r="CG13" s="18">
        <f>'Total Saturday Boardings'!CG13/'Service Days per Month'!CG$5</f>
        <v>855.5</v>
      </c>
      <c r="CH13" s="18">
        <f>'Total Saturday Boardings'!CH13/'Service Days per Month'!CH$5</f>
        <v>1270</v>
      </c>
      <c r="CI13" s="18">
        <f>'Total Saturday Boardings'!CI13/'Service Days per Month'!CI$5</f>
        <v>1158.4000000000001</v>
      </c>
      <c r="CJ13" s="18">
        <f>'Total Saturday Boardings'!CJ13/'Service Days per Month'!CJ$5</f>
        <v>840.75</v>
      </c>
      <c r="CK13" s="18">
        <f>'Total Saturday Boardings'!CK13/'Service Days per Month'!CK$5</f>
        <v>916.25</v>
      </c>
      <c r="CL13" s="18">
        <f>'Total Saturday Boardings'!CL13/'Service Days per Month'!CL$5</f>
        <v>979.2</v>
      </c>
      <c r="CM13" s="18">
        <f>'Total Saturday Boardings'!CM13/'Service Days per Month'!CM$5</f>
        <v>847</v>
      </c>
      <c r="CN13" s="21">
        <f>'Total Saturday Boardings'!CN13/'Service Days per Month'!CN$5</f>
        <v>727.5</v>
      </c>
      <c r="CO13" s="17">
        <f>'Total Saturday Boardings'!CO13/'Service Days per Month'!CO$5</f>
        <v>663.6</v>
      </c>
      <c r="CP13" s="18">
        <f>'Total Saturday Boardings'!CP13/'Service Days per Month'!CP$5</f>
        <v>689</v>
      </c>
      <c r="CQ13" s="18">
        <f>'Total Saturday Boardings'!CQ13/'Service Days per Month'!CQ$5</f>
        <v>819</v>
      </c>
      <c r="CR13" s="18">
        <f>'Total Saturday Boardings'!CR13/'Service Days per Month'!CR$5</f>
        <v>801</v>
      </c>
      <c r="CS13" s="18">
        <f>'Total Saturday Boardings'!CS13/'Service Days per Month'!CS$5</f>
        <v>728.25</v>
      </c>
      <c r="CT13" s="18">
        <f>'Total Saturday Boardings'!CT13/'Service Days per Month'!CT$5</f>
        <v>1506.25</v>
      </c>
      <c r="CU13" s="18">
        <f>'Total Saturday Boardings'!CU13/'Service Days per Month'!CU$5</f>
        <v>768.25</v>
      </c>
      <c r="CV13" s="18">
        <f>'Total Saturday Boardings'!CV13/'Service Days per Month'!CV$5</f>
        <v>743.25</v>
      </c>
      <c r="CW13" s="18">
        <f>'Total Saturday Boardings'!CW13/'Service Days per Month'!CW$5</f>
        <v>841</v>
      </c>
      <c r="CX13" s="18">
        <f>'Total Saturday Boardings'!CX13/'Service Days per Month'!CX$5</f>
        <v>1100.2</v>
      </c>
      <c r="CY13" s="18">
        <f>'Total Saturday Boardings'!CY13/'Service Days per Month'!CY$5</f>
        <v>831.25</v>
      </c>
      <c r="CZ13" s="19">
        <f>'Total Saturday Boardings'!CZ13/'Service Days per Month'!CZ$5</f>
        <v>652</v>
      </c>
      <c r="DA13" s="17">
        <f>'Total Saturday Boardings'!DA13/'Service Days per Month'!DA$5</f>
        <v>592.79999999999995</v>
      </c>
      <c r="DB13" s="18">
        <f>'Total Saturday Boardings'!DB13/'Service Days per Month'!DB$5</f>
        <v>635</v>
      </c>
      <c r="DC13" s="18">
        <f>'Total Saturday Boardings'!DC13/'Service Days per Month'!DC$5</f>
        <v>669.6</v>
      </c>
      <c r="DD13" s="18">
        <f>'Total Saturday Boardings'!DD13/'Service Days per Month'!DD$5</f>
        <v>940.5</v>
      </c>
      <c r="DE13" s="18">
        <f>'Total Saturday Boardings'!DE13/'Service Days per Month'!DE$5</f>
        <v>874.5</v>
      </c>
      <c r="DF13" s="18">
        <f>'Total Saturday Boardings'!DF13/'Service Days per Month'!DF$5</f>
        <v>1242.5999999999999</v>
      </c>
      <c r="DG13" s="18">
        <f>'Total Saturday Boardings'!DG13/'Service Days per Month'!DG$5</f>
        <v>631.75</v>
      </c>
      <c r="DH13" s="18">
        <f>'Total Saturday Boardings'!DH13/'Service Days per Month'!DH$5</f>
        <v>765.25</v>
      </c>
      <c r="DI13" s="18">
        <f>'Total Saturday Boardings'!DI13/'Service Days per Month'!DI$5</f>
        <v>838.6</v>
      </c>
      <c r="DJ13" s="18">
        <f>'Total Saturday Boardings'!DJ13/'Service Days per Month'!DJ$5</f>
        <v>810.5</v>
      </c>
      <c r="DK13" s="18">
        <f>'Total Saturday Boardings'!DK13/'Service Days per Month'!DK$5</f>
        <v>717.5</v>
      </c>
      <c r="DL13" s="19">
        <f>'Total Saturday Boardings'!DL13/'Service Days per Month'!DL$5</f>
        <v>645.79999999999995</v>
      </c>
      <c r="DM13" s="17">
        <f>'Total Saturday Boardings'!DM13/'Service Days per Month'!DM$5</f>
        <v>532.75</v>
      </c>
      <c r="DN13" s="18">
        <f>'Total Saturday Boardings'!DN13/'Service Days per Month'!DN$5</f>
        <v>544</v>
      </c>
      <c r="DO13" s="18">
        <f>'Total Saturday Boardings'!DO13/'Service Days per Month'!DO$5</f>
        <v>610</v>
      </c>
      <c r="DP13" s="18">
        <f>'Total Saturday Boardings'!DP13/'Service Days per Month'!DP$5</f>
        <v>580.5</v>
      </c>
      <c r="DQ13" s="18">
        <f>'Total Saturday Boardings'!DQ13/'Service Days per Month'!DQ$5</f>
        <v>675.25</v>
      </c>
      <c r="DR13" s="18">
        <f>'Total Saturday Boardings'!DR13/'Service Days per Month'!DR$5</f>
        <v>1196.5999999999999</v>
      </c>
      <c r="DS13" s="18">
        <f>'Total Saturday Boardings'!DS13/'Service Days per Month'!DS$5</f>
        <v>674</v>
      </c>
      <c r="DT13" s="18">
        <f>'Total Saturday Boardings'!DT13/'Service Days per Month'!DT$5</f>
        <v>639.25</v>
      </c>
      <c r="DU13" s="18">
        <f>'Total Saturday Boardings'!DU13/'Service Days per Month'!DU$5</f>
        <v>846</v>
      </c>
      <c r="DV13" s="18">
        <f>'Total Saturday Boardings'!DV13/'Service Days per Month'!DV$5</f>
        <v>805.25</v>
      </c>
      <c r="DW13" s="18">
        <f>'Total Saturday Boardings'!DW13/'Service Days per Month'!DW$5</f>
        <v>688.25</v>
      </c>
      <c r="DX13" s="19">
        <f>'Total Saturday Boardings'!DX13/'Service Days per Month'!DX$5</f>
        <v>610.4</v>
      </c>
      <c r="DY13" s="17">
        <f>'Total Saturday Boardings'!DY13/'Service Days per Month'!DY$5</f>
        <v>494.5</v>
      </c>
      <c r="DZ13" s="18">
        <f>'Total Saturday Boardings'!DZ13/'Service Days per Month'!DZ$5</f>
        <v>537.6</v>
      </c>
      <c r="EA13" s="18">
        <f>'Total Saturday Boardings'!EA13/'Service Days per Month'!EA$5</f>
        <v>612</v>
      </c>
      <c r="EB13" s="18">
        <f>'Total Saturday Boardings'!EB13/'Service Days per Month'!EB$5</f>
        <v>612</v>
      </c>
      <c r="EC13" s="18">
        <f>'Total Saturday Boardings'!EC13/'Service Days per Month'!EC$5</f>
        <v>654.6</v>
      </c>
      <c r="ED13" s="18">
        <f>'Total Saturday Boardings'!ED13/'Service Days per Month'!ED$5</f>
        <v>982.25</v>
      </c>
      <c r="EE13" s="18">
        <f>'Total Saturday Boardings'!EE13/'Service Days per Month'!EE$5</f>
        <v>669.25</v>
      </c>
      <c r="EF13" s="18">
        <f>'Total Saturday Boardings'!EF13/'Service Days per Month'!EF$5</f>
        <v>606.79999999999995</v>
      </c>
      <c r="EG13" s="18">
        <f>'Total Saturday Boardings'!EG13/'Service Days per Month'!EG$5</f>
        <v>450.25</v>
      </c>
      <c r="EH13" s="18">
        <f>'Total Saturday Boardings'!EH13/'Service Days per Month'!EH$5</f>
        <v>255.5</v>
      </c>
      <c r="EI13" s="18">
        <f>'Total Saturday Boardings'!EI13/'Service Days per Month'!EI$5</f>
        <v>243.4</v>
      </c>
      <c r="EJ13" s="19">
        <f>'Total Saturday Boardings'!EJ13/'Service Days per Month'!EJ$5</f>
        <v>249.5</v>
      </c>
      <c r="EK13" s="17">
        <f>'Total Saturday Boardings'!EK13/'Service Days per Month'!EK$5</f>
        <v>164.25</v>
      </c>
      <c r="EL13" s="18">
        <f>'Total Saturday Boardings'!EL13/'Service Days per Month'!EL$5</f>
        <v>229.4</v>
      </c>
      <c r="EM13" s="18">
        <f>'Total Saturday Boardings'!EM13/'Service Days per Month'!EM$5</f>
        <v>263</v>
      </c>
      <c r="EN13" s="18">
        <f>'Total Saturday Boardings'!EN13/'Service Days per Month'!EN$5</f>
        <v>275.60000000000002</v>
      </c>
      <c r="EO13" s="18">
        <f>'Total Saturday Boardings'!EO13/'Service Days per Month'!EO$5</f>
        <v>353.25</v>
      </c>
      <c r="EP13" s="18">
        <f>'Total Saturday Boardings'!EP13/'Service Days per Month'!EP$5</f>
        <v>183.25</v>
      </c>
      <c r="EQ13" s="18">
        <f>'Total Saturday Boardings'!EQ13/'Service Days per Month'!EQ$5</f>
        <v>130.6</v>
      </c>
      <c r="ER13" s="18">
        <f>'Total Saturday Boardings'!ER13/'Service Days per Month'!ER$5</f>
        <v>258.25</v>
      </c>
      <c r="ES13" s="18">
        <f>'Total Saturday Boardings'!ES13/'Service Days per Month'!ES$5</f>
        <v>254.75</v>
      </c>
      <c r="ET13" s="18">
        <f>'Total Saturday Boardings'!ET13/'Service Days per Month'!ET$5</f>
        <v>313.5</v>
      </c>
      <c r="EU13" s="18">
        <f>'Total Saturday Boardings'!EU13/'Service Days per Month'!EU$5</f>
        <v>291.60000000000002</v>
      </c>
      <c r="EV13" s="19">
        <f>'Total Saturday Boardings'!EV13/'Service Days per Month'!EV$5</f>
        <v>286.5</v>
      </c>
      <c r="EW13" s="17">
        <f>'Total Saturday Boardings'!EW13/'Service Days per Month'!EW$5</f>
        <v>282.60000000000002</v>
      </c>
      <c r="EX13" s="18">
        <f>'Total Saturday Boardings'!EX13/'Service Days per Month'!EX$5</f>
        <v>266</v>
      </c>
      <c r="EY13" s="18">
        <f>'Total Saturday Boardings'!EY13/'Service Days per Month'!EY$5</f>
        <v>290</v>
      </c>
      <c r="EZ13" s="18">
        <f>'Total Saturday Boardings'!EZ13/'Service Days per Month'!EZ$5</f>
        <v>337.4</v>
      </c>
      <c r="FA13" s="18">
        <f>'Total Saturday Boardings'!FA13/'Service Days per Month'!FA$5</f>
        <v>412.75</v>
      </c>
      <c r="FB13" s="18">
        <f>'Total Saturday Boardings'!FB13/'Service Days per Month'!FB$5</f>
        <v>637</v>
      </c>
      <c r="FC13" s="18">
        <f>'Total Saturday Boardings'!FC13/'Service Days per Month'!FC$5</f>
        <v>276.60000000000002</v>
      </c>
      <c r="FD13" s="18">
        <f>'Total Saturday Boardings'!FD13/'Service Days per Month'!FD$5</f>
        <v>384.25</v>
      </c>
      <c r="FE13" s="18">
        <f>'Total Saturday Boardings'!FE13/'Service Days per Month'!FE$5</f>
        <v>516.5</v>
      </c>
      <c r="FF13" s="18">
        <f>'Total Saturday Boardings'!FF13/'Service Days per Month'!FF$5</f>
        <v>397.6</v>
      </c>
      <c r="FG13" s="18">
        <f>'Total Saturday Boardings'!FG13/'Service Days per Month'!FG$5</f>
        <v>416</v>
      </c>
      <c r="FH13" s="19">
        <f>'Total Saturday Boardings'!FH13/'Service Days per Month'!FH$5</f>
        <v>291.25</v>
      </c>
      <c r="FI13" s="17">
        <v>290.39999999999998</v>
      </c>
      <c r="FJ13" s="18">
        <v>336.25</v>
      </c>
      <c r="FK13" s="18">
        <v>345.25</v>
      </c>
      <c r="FL13" s="18">
        <v>355</v>
      </c>
      <c r="FM13" s="18">
        <v>350.6</v>
      </c>
      <c r="FN13" s="18">
        <v>491.4</v>
      </c>
      <c r="FO13" s="18">
        <v>310.60000000000002</v>
      </c>
      <c r="FP13" s="18">
        <v>926.75</v>
      </c>
      <c r="FQ13" s="18">
        <v>508</v>
      </c>
      <c r="FR13" s="18">
        <f>'Total Saturday Boardings'!FR13/5</f>
        <v>478.6</v>
      </c>
      <c r="FS13" s="18">
        <f>'Total Saturday Boardings'!FS13/4</f>
        <v>469.75</v>
      </c>
      <c r="FT13" s="19">
        <f>'Total Saturday Boardings'!FT13/4</f>
        <v>487.75</v>
      </c>
      <c r="FU13" s="17">
        <f>'Total Saturday Boardings'!FU13/5</f>
        <v>408</v>
      </c>
      <c r="FV13" s="18">
        <f>'Total Saturday Boardings'!FV13/4</f>
        <v>388</v>
      </c>
      <c r="FW13" s="18">
        <f>'Total Saturday Boardings'!FW13/5</f>
        <v>430.8</v>
      </c>
      <c r="FX13" s="18">
        <f>'Total Saturday Boardings'!FX13/4</f>
        <v>542.5</v>
      </c>
      <c r="FY13" s="18">
        <f>'Total Saturday Boardings'!FY13/4</f>
        <v>475.5</v>
      </c>
      <c r="FZ13" s="18">
        <f>'Total Saturday Boardings'!FZ13/5</f>
        <v>696.6</v>
      </c>
      <c r="GA13" s="18">
        <f>'Total Saturday Boardings'!GA13/4</f>
        <v>462.75</v>
      </c>
      <c r="GB13" s="18">
        <f>'Total Saturday Boardings'!GB13/4</f>
        <v>545.25</v>
      </c>
      <c r="GC13" s="18">
        <f>'Total Saturday Boardings'!GC13/5</f>
        <v>555</v>
      </c>
      <c r="GD13" s="18">
        <f>'Total Saturday Boardings'!GD13/4</f>
        <v>493.75</v>
      </c>
      <c r="GE13" s="18">
        <f>'Total Saturday Boardings'!GE13/4</f>
        <v>528.25</v>
      </c>
      <c r="GF13" s="18">
        <f>'Total Saturday Boardings'!GF13/5</f>
        <v>351.4</v>
      </c>
      <c r="GG13" s="18">
        <f>'Total Saturday Boardings'!GG13/4</f>
        <v>452</v>
      </c>
      <c r="GH13" s="18">
        <f>'Total Saturday Boardings'!GH13/5</f>
        <v>410</v>
      </c>
      <c r="GI13" s="18">
        <f>'Total Saturday Boardings'!GI13/4</f>
        <v>407.5</v>
      </c>
      <c r="GJ13" s="18">
        <f>'Total Saturday Boardings'!GJ13/4</f>
        <v>420</v>
      </c>
      <c r="GK13" s="18">
        <f>'Total Saturday Boardings'!GK13/5</f>
        <v>433.8</v>
      </c>
      <c r="GL13" s="18">
        <f>'Total Saturday Boardings'!GL13/4</f>
        <v>751.5</v>
      </c>
    </row>
    <row r="14" spans="1:194" x14ac:dyDescent="0.3">
      <c r="A14" s="3" t="s">
        <v>7</v>
      </c>
      <c r="B14" s="17"/>
      <c r="C14" s="18">
        <f>'Total Saturday Boardings'!C14/'Service Days per Month'!C$5</f>
        <v>259.2</v>
      </c>
      <c r="D14" s="18">
        <f>'Total Saturday Boardings'!D14/'Service Days per Month'!D$5</f>
        <v>418.25</v>
      </c>
      <c r="E14" s="18">
        <f>'Total Saturday Boardings'!E14/'Service Days per Month'!E$5</f>
        <v>345</v>
      </c>
      <c r="F14" s="18">
        <f>'Total Saturday Boardings'!F14/'Service Days per Month'!F$5</f>
        <v>368.75</v>
      </c>
      <c r="G14" s="18">
        <f>'Total Saturday Boardings'!G14/'Service Days per Month'!G$5</f>
        <v>221</v>
      </c>
      <c r="H14" s="19">
        <f>'Total Saturday Boardings'!H14/'Service Days per Month'!H$5</f>
        <v>192</v>
      </c>
      <c r="I14" s="17">
        <f>'Total Saturday Boardings'!I14/'Service Days per Month'!I$5</f>
        <v>564.66666666666663</v>
      </c>
      <c r="J14" s="18">
        <f>'Total Saturday Boardings'!J14/'Service Days per Month'!J$5</f>
        <v>156.6</v>
      </c>
      <c r="K14" s="18">
        <f>'Total Saturday Boardings'!K14/'Service Days per Month'!K$5</f>
        <v>335</v>
      </c>
      <c r="L14" s="18">
        <f>'Total Saturday Boardings'!L14/'Service Days per Month'!L$5</f>
        <v>358.8</v>
      </c>
      <c r="M14" s="18">
        <f>'Total Saturday Boardings'!M14/'Service Days per Month'!M$5</f>
        <v>314.75</v>
      </c>
      <c r="N14" s="18">
        <f>'Total Saturday Boardings'!N14/'Service Days per Month'!N$5</f>
        <v>450.5</v>
      </c>
      <c r="O14" s="62">
        <f>'Total Saturday Boardings'!O14/'Service Days per Month'!O$5</f>
        <v>293.2</v>
      </c>
      <c r="P14" s="62">
        <f>'Total Saturday Boardings'!P14/'Service Days per Month'!P$5</f>
        <v>377.75</v>
      </c>
      <c r="Q14" s="62">
        <f>'Total Saturday Boardings'!Q14/'Service Days per Month'!Q$5</f>
        <v>313.25</v>
      </c>
      <c r="R14" s="62">
        <f>'Total Saturday Boardings'!R14/'Service Days per Month'!R$5</f>
        <v>346</v>
      </c>
      <c r="S14" s="62">
        <f>'Total Saturday Boardings'!S14/'Service Days per Month'!S$5</f>
        <v>237.8</v>
      </c>
      <c r="T14" s="63">
        <f>'Total Saturday Boardings'!T14/'Service Days per Month'!T$5</f>
        <v>235.5</v>
      </c>
      <c r="U14" s="64">
        <f>'Total Saturday Boardings'!U14/'Service Days per Month'!U$5</f>
        <v>181.2</v>
      </c>
      <c r="V14" s="62">
        <f>'Total Saturday Boardings'!V14/'Service Days per Month'!V$5</f>
        <v>277</v>
      </c>
      <c r="W14" s="62">
        <f>'Total Saturday Boardings'!W14/'Service Days per Month'!W$5</f>
        <v>401.75</v>
      </c>
      <c r="X14" s="62">
        <f>'Total Saturday Boardings'!X14/'Service Days per Month'!X$5</f>
        <v>372.8</v>
      </c>
      <c r="Y14" s="62">
        <f>'Total Saturday Boardings'!Y14/'Service Days per Month'!Y$5</f>
        <v>412</v>
      </c>
      <c r="Z14" s="62">
        <f>'Total Saturday Boardings'!Z14/'Service Days per Month'!Z$5</f>
        <v>523</v>
      </c>
      <c r="AA14" s="18">
        <f>'Total Saturday Boardings'!AA14/'Service Days per Month'!AA$5</f>
        <v>320</v>
      </c>
      <c r="AB14" s="18">
        <f>'Total Saturday Boardings'!AB14/'Service Days per Month'!AB$5</f>
        <v>390.25</v>
      </c>
      <c r="AC14" s="18">
        <f>'Total Saturday Boardings'!AC14/'Service Days per Month'!AC$5</f>
        <v>385</v>
      </c>
      <c r="AD14" s="18">
        <f>'Total Saturday Boardings'!AD14/'Service Days per Month'!AD$5</f>
        <v>391</v>
      </c>
      <c r="AE14" s="18">
        <f>'Total Saturday Boardings'!AE14/'Service Days per Month'!AE$5</f>
        <v>355</v>
      </c>
      <c r="AF14" s="19">
        <f>'Total Saturday Boardings'!AF14/'Service Days per Month'!AF$5</f>
        <v>253.5</v>
      </c>
      <c r="AG14" s="17">
        <f>'Total Saturday Boardings'!AG14/'Service Days per Month'!AG$5</f>
        <v>197</v>
      </c>
      <c r="AH14" s="18">
        <f>'Total Saturday Boardings'!AH14/'Service Days per Month'!AH$5</f>
        <v>260.5</v>
      </c>
      <c r="AI14" s="18">
        <f>'Total Saturday Boardings'!AI14/'Service Days per Month'!AI$5</f>
        <v>339.5</v>
      </c>
      <c r="AJ14" s="18">
        <f>'Total Saturday Boardings'!AJ14/'Service Days per Month'!AJ$5</f>
        <v>460.6</v>
      </c>
      <c r="AK14" s="18">
        <f>'Total Saturday Boardings'!AK14/'Service Days per Month'!AK$5</f>
        <v>342.75</v>
      </c>
      <c r="AL14" s="18">
        <f>'Total Saturday Boardings'!AL14/'Service Days per Month'!AL$5</f>
        <v>492.75</v>
      </c>
      <c r="AM14" s="18">
        <f>'Total Saturday Boardings'!AM14/'Service Days per Month'!AM$5</f>
        <v>352.5</v>
      </c>
      <c r="AN14" s="18">
        <f>'Total Saturday Boardings'!AN14/'Service Days per Month'!AN$5</f>
        <v>439.25</v>
      </c>
      <c r="AO14" s="18">
        <f>'Total Saturday Boardings'!AO14/'Service Days per Month'!AO$5</f>
        <v>380</v>
      </c>
      <c r="AP14" s="18">
        <f>'Total Saturday Boardings'!AP14/'Service Days per Month'!AP$5</f>
        <v>477.5</v>
      </c>
      <c r="AQ14" s="18">
        <f>'Total Saturday Boardings'!AQ14/'Service Days per Month'!AQ$5</f>
        <v>383</v>
      </c>
      <c r="AR14" s="19">
        <f>'Total Saturday Boardings'!AR14/'Service Days per Month'!AR$5</f>
        <v>322</v>
      </c>
      <c r="AS14" s="17">
        <f>'Total Saturday Boardings'!AS14/'Service Days per Month'!AS$5</f>
        <v>287.5</v>
      </c>
      <c r="AT14" s="18">
        <f>'Total Saturday Boardings'!AT14/'Service Days per Month'!AT$5</f>
        <v>355.5</v>
      </c>
      <c r="AU14" s="18">
        <f>'Total Saturday Boardings'!AU14/'Service Days per Month'!AU$5</f>
        <v>381</v>
      </c>
      <c r="AV14" s="18">
        <f>'Total Saturday Boardings'!AV14/'Service Days per Month'!AV$5</f>
        <v>515.5</v>
      </c>
      <c r="AW14" s="18">
        <f>'Total Saturday Boardings'!AW14/'Service Days per Month'!AW$5</f>
        <v>461</v>
      </c>
      <c r="AX14" s="18">
        <f>'Total Saturday Boardings'!AX14/'Service Days per Month'!AX$5</f>
        <v>492</v>
      </c>
      <c r="AY14" s="18">
        <f>'Total Saturday Boardings'!AY14/'Service Days per Month'!AY$5</f>
        <v>362.75</v>
      </c>
      <c r="AZ14" s="18">
        <f>'Total Saturday Boardings'!AZ14/'Service Days per Month'!AZ$5</f>
        <v>521.5</v>
      </c>
      <c r="BA14" s="18">
        <f>'Total Saturday Boardings'!BA14/'Service Days per Month'!BA$5</f>
        <v>416.6</v>
      </c>
      <c r="BB14" s="18">
        <f>'Total Saturday Boardings'!BB14/'Service Days per Month'!BB$5</f>
        <v>528</v>
      </c>
      <c r="BC14" s="18">
        <f>'Total Saturday Boardings'!BC14/'Service Days per Month'!BC$5</f>
        <v>452.25</v>
      </c>
      <c r="BD14" s="19">
        <f>'Total Saturday Boardings'!BD14/'Service Days per Month'!BD$5</f>
        <v>292.60000000000002</v>
      </c>
      <c r="BE14" s="17">
        <f>'Total Saturday Boardings'!BE14/'Service Days per Month'!BE$5</f>
        <v>280.5</v>
      </c>
      <c r="BF14" s="18">
        <f>'Total Saturday Boardings'!BF14/'Service Days per Month'!BF$5</f>
        <v>365.4</v>
      </c>
      <c r="BG14" s="18">
        <f>'Total Saturday Boardings'!BG14/'Service Days per Month'!BG$5</f>
        <v>422</v>
      </c>
      <c r="BH14" s="18">
        <f>'Total Saturday Boardings'!BH14/'Service Days per Month'!BH$5</f>
        <v>462.5</v>
      </c>
      <c r="BI14" s="18">
        <f>'Total Saturday Boardings'!BI14/'Service Days per Month'!BI$5</f>
        <v>443.63521826445412</v>
      </c>
      <c r="BJ14" s="18">
        <f>'Total Saturday Boardings'!BJ14/'Service Days per Month'!BJ$5</f>
        <v>487</v>
      </c>
      <c r="BK14" s="18">
        <f>'Total Saturday Boardings'!BK14/'Service Days per Month'!BK$5</f>
        <v>352.25</v>
      </c>
      <c r="BL14" s="18">
        <f>'Total Saturday Boardings'!BL14/'Service Days per Month'!BL$5</f>
        <v>477.25</v>
      </c>
      <c r="BM14" s="18">
        <f>'Total Saturday Boardings'!BM14/'Service Days per Month'!BM$5</f>
        <v>513.4</v>
      </c>
      <c r="BN14" s="18">
        <f>'Total Saturday Boardings'!BN14/'Service Days per Month'!BN$5</f>
        <v>421.5</v>
      </c>
      <c r="BO14" s="18">
        <f>'Total Saturday Boardings'!BO14/'Service Days per Month'!BO$5</f>
        <v>355.8</v>
      </c>
      <c r="BP14" s="19">
        <f>'Total Saturday Boardings'!BP14/'Service Days per Month'!BP$5</f>
        <v>330.75</v>
      </c>
      <c r="BQ14" s="17">
        <f>'Total Saturday Boardings'!BQ14/'Service Days per Month'!BQ$5</f>
        <v>257</v>
      </c>
      <c r="BR14" s="18">
        <f>'Total Saturday Boardings'!BR14/'Service Days per Month'!BR$5</f>
        <v>319.39999999999998</v>
      </c>
      <c r="BS14" s="18">
        <f>'Total Saturday Boardings'!BS14/'Service Days per Month'!BS$5</f>
        <v>373.75</v>
      </c>
      <c r="BT14" s="18">
        <f>'Total Saturday Boardings'!BT14/'Service Days per Month'!BT$5</f>
        <v>410.25</v>
      </c>
      <c r="BU14" s="18">
        <f>'Total Saturday Boardings'!BU14/'Service Days per Month'!BU$5</f>
        <v>372</v>
      </c>
      <c r="BV14" s="18">
        <f>'Total Saturday Boardings'!BV14/'Service Days per Month'!BV$5</f>
        <v>530.25</v>
      </c>
      <c r="BW14" s="18">
        <f>'Total Saturday Boardings'!BW14/'Service Days per Month'!BW$5</f>
        <v>574.4</v>
      </c>
      <c r="BX14" s="18">
        <f>'Total Saturday Boardings'!BX14/'Service Days per Month'!BX$5</f>
        <v>430.75</v>
      </c>
      <c r="BY14" s="18">
        <f>'Total Saturday Boardings'!BY14/'Service Days per Month'!BY$5</f>
        <v>450.5</v>
      </c>
      <c r="BZ14" s="18">
        <f>'Total Saturday Boardings'!BZ14/'Service Days per Month'!BZ$5</f>
        <v>409</v>
      </c>
      <c r="CA14" s="18">
        <f>'Total Saturday Boardings'!CA14/'Service Days per Month'!CA$5</f>
        <v>520.20000000000005</v>
      </c>
      <c r="CB14" s="19">
        <f>'Total Saturday Boardings'!CB14/'Service Days per Month'!CB$5</f>
        <v>318.25</v>
      </c>
      <c r="CC14" s="20">
        <f>'Total Saturday Boardings'!CC14/'Service Days per Month'!CC$5</f>
        <v>500</v>
      </c>
      <c r="CD14" s="18">
        <f>'Total Saturday Boardings'!CD14/'Service Days per Month'!CD$5</f>
        <v>312.2</v>
      </c>
      <c r="CE14" s="18">
        <f>'Total Saturday Boardings'!CE14/'Service Days per Month'!CE$5</f>
        <v>400</v>
      </c>
      <c r="CF14" s="18">
        <f>'Total Saturday Boardings'!CF14/'Service Days per Month'!CF$5</f>
        <v>413.2</v>
      </c>
      <c r="CG14" s="18">
        <f>'Total Saturday Boardings'!CG14/'Service Days per Month'!CG$5</f>
        <v>415.75</v>
      </c>
      <c r="CH14" s="18">
        <f>'Total Saturday Boardings'!CH14/'Service Days per Month'!CH$5</f>
        <v>469.5</v>
      </c>
      <c r="CI14" s="18">
        <f>'Total Saturday Boardings'!CI14/'Service Days per Month'!CI$5</f>
        <v>370.8</v>
      </c>
      <c r="CJ14" s="18">
        <f>'Total Saturday Boardings'!CJ14/'Service Days per Month'!CJ$5</f>
        <v>409.25</v>
      </c>
      <c r="CK14" s="18">
        <f>'Total Saturday Boardings'!CK14/'Service Days per Month'!CK$5</f>
        <v>394.75</v>
      </c>
      <c r="CL14" s="18">
        <f>'Total Saturday Boardings'!CL14/'Service Days per Month'!CL$5</f>
        <v>479.8</v>
      </c>
      <c r="CM14" s="18">
        <f>'Total Saturday Boardings'!CM14/'Service Days per Month'!CM$5</f>
        <v>341.75</v>
      </c>
      <c r="CN14" s="21">
        <f>'Total Saturday Boardings'!CN14/'Service Days per Month'!CN$5</f>
        <v>294.75</v>
      </c>
      <c r="CO14" s="17">
        <f>'Total Saturday Boardings'!CO14/'Service Days per Month'!CO$5</f>
        <v>290.2</v>
      </c>
      <c r="CP14" s="18">
        <f>'Total Saturday Boardings'!CP14/'Service Days per Month'!CP$5</f>
        <v>360.5</v>
      </c>
      <c r="CQ14" s="18">
        <f>'Total Saturday Boardings'!CQ14/'Service Days per Month'!CQ$5</f>
        <v>438.25</v>
      </c>
      <c r="CR14" s="18">
        <f>'Total Saturday Boardings'!CR14/'Service Days per Month'!CR$5</f>
        <v>377.2</v>
      </c>
      <c r="CS14" s="18">
        <f>'Total Saturday Boardings'!CS14/'Service Days per Month'!CS$5</f>
        <v>346</v>
      </c>
      <c r="CT14" s="18">
        <f>'Total Saturday Boardings'!CT14/'Service Days per Month'!CT$5</f>
        <v>441.5</v>
      </c>
      <c r="CU14" s="18">
        <f>'Total Saturday Boardings'!CU14/'Service Days per Month'!CU$5</f>
        <v>357.5</v>
      </c>
      <c r="CV14" s="18">
        <f>'Total Saturday Boardings'!CV14/'Service Days per Month'!CV$5</f>
        <v>375.25</v>
      </c>
      <c r="CW14" s="18">
        <f>'Total Saturday Boardings'!CW14/'Service Days per Month'!CW$5</f>
        <v>379.25</v>
      </c>
      <c r="CX14" s="18">
        <f>'Total Saturday Boardings'!CX14/'Service Days per Month'!CX$5</f>
        <v>490.2</v>
      </c>
      <c r="CY14" s="18">
        <f>'Total Saturday Boardings'!CY14/'Service Days per Month'!CY$5</f>
        <v>346.5</v>
      </c>
      <c r="CZ14" s="19">
        <f>'Total Saturday Boardings'!CZ14/'Service Days per Month'!CZ$5</f>
        <v>292.5</v>
      </c>
      <c r="DA14" s="17">
        <f>'Total Saturday Boardings'!DA14/'Service Days per Month'!DA$5</f>
        <v>283.39999999999998</v>
      </c>
      <c r="DB14" s="18">
        <f>'Total Saturday Boardings'!DB14/'Service Days per Month'!DB$5</f>
        <v>352.75</v>
      </c>
      <c r="DC14" s="18">
        <f>'Total Saturday Boardings'!DC14/'Service Days per Month'!DC$5</f>
        <v>386.4</v>
      </c>
      <c r="DD14" s="18">
        <f>'Total Saturday Boardings'!DD14/'Service Days per Month'!DD$5</f>
        <v>534.75</v>
      </c>
      <c r="DE14" s="18">
        <f>'Total Saturday Boardings'!DE14/'Service Days per Month'!DE$5</f>
        <v>413.5</v>
      </c>
      <c r="DF14" s="18">
        <f>'Total Saturday Boardings'!DF14/'Service Days per Month'!DF$5</f>
        <v>388.2</v>
      </c>
      <c r="DG14" s="18">
        <f>'Total Saturday Boardings'!DG14/'Service Days per Month'!DG$5</f>
        <v>358.25</v>
      </c>
      <c r="DH14" s="18">
        <f>'Total Saturday Boardings'!DH14/'Service Days per Month'!DH$5</f>
        <v>387</v>
      </c>
      <c r="DI14" s="18">
        <f>'Total Saturday Boardings'!DI14/'Service Days per Month'!DI$5</f>
        <v>400.8</v>
      </c>
      <c r="DJ14" s="18">
        <f>'Total Saturday Boardings'!DJ14/'Service Days per Month'!DJ$5</f>
        <v>388.75</v>
      </c>
      <c r="DK14" s="18">
        <f>'Total Saturday Boardings'!DK14/'Service Days per Month'!DK$5</f>
        <v>408.5</v>
      </c>
      <c r="DL14" s="19">
        <f>'Total Saturday Boardings'!DL14/'Service Days per Month'!DL$5</f>
        <v>326.8</v>
      </c>
      <c r="DM14" s="17">
        <f>'Total Saturday Boardings'!DM14/'Service Days per Month'!DM$5</f>
        <v>245</v>
      </c>
      <c r="DN14" s="18">
        <f>'Total Saturday Boardings'!DN14/'Service Days per Month'!DN$5</f>
        <v>278.75</v>
      </c>
      <c r="DO14" s="18">
        <f>'Total Saturday Boardings'!DO14/'Service Days per Month'!DO$5</f>
        <v>338.2</v>
      </c>
      <c r="DP14" s="18">
        <f>'Total Saturday Boardings'!DP14/'Service Days per Month'!DP$5</f>
        <v>355</v>
      </c>
      <c r="DQ14" s="18">
        <f>'Total Saturday Boardings'!DQ14/'Service Days per Month'!DQ$5</f>
        <v>406</v>
      </c>
      <c r="DR14" s="18">
        <f>'Total Saturday Boardings'!DR14/'Service Days per Month'!DR$5</f>
        <v>410.4</v>
      </c>
      <c r="DS14" s="18">
        <f>'Total Saturday Boardings'!DS14/'Service Days per Month'!DS$5</f>
        <v>361.5</v>
      </c>
      <c r="DT14" s="18">
        <f>'Total Saturday Boardings'!DT14/'Service Days per Month'!DT$5</f>
        <v>334</v>
      </c>
      <c r="DU14" s="18">
        <f>'Total Saturday Boardings'!DU14/'Service Days per Month'!DU$5</f>
        <v>415.4</v>
      </c>
      <c r="DV14" s="18">
        <f>'Total Saturday Boardings'!DV14/'Service Days per Month'!DV$5</f>
        <v>373.25</v>
      </c>
      <c r="DW14" s="18">
        <f>'Total Saturday Boardings'!DW14/'Service Days per Month'!DW$5</f>
        <v>300.25</v>
      </c>
      <c r="DX14" s="19">
        <f>'Total Saturday Boardings'!DX14/'Service Days per Month'!DX$5</f>
        <v>253.8</v>
      </c>
      <c r="DY14" s="17">
        <f>'Total Saturday Boardings'!DY14/'Service Days per Month'!DY$5</f>
        <v>216.5</v>
      </c>
      <c r="DZ14" s="18">
        <f>'Total Saturday Boardings'!DZ14/'Service Days per Month'!DZ$5</f>
        <v>250.4</v>
      </c>
      <c r="EA14" s="18">
        <f>'Total Saturday Boardings'!EA14/'Service Days per Month'!EA$5</f>
        <v>295.25</v>
      </c>
      <c r="EB14" s="18">
        <f>'Total Saturday Boardings'!EB14/'Service Days per Month'!EB$5</f>
        <v>346.25</v>
      </c>
      <c r="EC14" s="18">
        <f>'Total Saturday Boardings'!EC14/'Service Days per Month'!EC$5</f>
        <v>348.8</v>
      </c>
      <c r="ED14" s="18">
        <f>'Total Saturday Boardings'!ED14/'Service Days per Month'!ED$5</f>
        <v>418.25</v>
      </c>
      <c r="EE14" s="18">
        <f>'Total Saturday Boardings'!EE14/'Service Days per Month'!EE$5</f>
        <v>290.25</v>
      </c>
      <c r="EF14" s="18">
        <f>'Total Saturday Boardings'!EF14/'Service Days per Month'!EF$5</f>
        <v>334.2</v>
      </c>
      <c r="EG14" s="18">
        <f>'Total Saturday Boardings'!EG14/'Service Days per Month'!EG$5</f>
        <v>235.75</v>
      </c>
      <c r="EH14" s="18">
        <f>'Total Saturday Boardings'!EH14/'Service Days per Month'!EH$5</f>
        <v>141</v>
      </c>
      <c r="EI14" s="18">
        <f>'Total Saturday Boardings'!EI14/'Service Days per Month'!EI$5</f>
        <v>135.19999999999999</v>
      </c>
      <c r="EJ14" s="19">
        <f>'Total Saturday Boardings'!EJ14/'Service Days per Month'!EJ$5</f>
        <v>128.75</v>
      </c>
      <c r="EK14" s="17">
        <f>'Total Saturday Boardings'!EK14/'Service Days per Month'!EK$5</f>
        <v>78.25</v>
      </c>
      <c r="EL14" s="18">
        <f>'Total Saturday Boardings'!EL14/'Service Days per Month'!EL$5</f>
        <v>130.4</v>
      </c>
      <c r="EM14" s="18">
        <f>'Total Saturday Boardings'!EM14/'Service Days per Month'!EM$5</f>
        <v>128</v>
      </c>
      <c r="EN14" s="18">
        <f>'Total Saturday Boardings'!EN14/'Service Days per Month'!EN$5</f>
        <v>161.6</v>
      </c>
      <c r="EO14" s="18">
        <f>'Total Saturday Boardings'!EO14/'Service Days per Month'!EO$5</f>
        <v>181</v>
      </c>
      <c r="EP14" s="18">
        <f>'Total Saturday Boardings'!EP14/'Service Days per Month'!EP$5</f>
        <v>110.5</v>
      </c>
      <c r="EQ14" s="18">
        <f>'Total Saturday Boardings'!EQ14/'Service Days per Month'!EQ$5</f>
        <v>73.8</v>
      </c>
      <c r="ER14" s="18">
        <f>'Total Saturday Boardings'!ER14/'Service Days per Month'!ER$5</f>
        <v>143.25</v>
      </c>
      <c r="ES14" s="18">
        <f>'Total Saturday Boardings'!ES14/'Service Days per Month'!ES$5</f>
        <v>156.5</v>
      </c>
      <c r="ET14" s="18">
        <f>'Total Saturday Boardings'!ET14/'Service Days per Month'!ET$5</f>
        <v>181.25</v>
      </c>
      <c r="EU14" s="18">
        <f>'Total Saturday Boardings'!EU14/'Service Days per Month'!EU$5</f>
        <v>155.19999999999999</v>
      </c>
      <c r="EV14" s="19">
        <f>'Total Saturday Boardings'!EV14/'Service Days per Month'!EV$5</f>
        <v>150.25</v>
      </c>
      <c r="EW14" s="17">
        <f>'Total Saturday Boardings'!EW14/'Service Days per Month'!EW$5</f>
        <v>144.80000000000001</v>
      </c>
      <c r="EX14" s="18">
        <f>'Total Saturday Boardings'!EX14/'Service Days per Month'!EX$5</f>
        <v>160</v>
      </c>
      <c r="EY14" s="18">
        <f>'Total Saturday Boardings'!EY14/'Service Days per Month'!EY$5</f>
        <v>193</v>
      </c>
      <c r="EZ14" s="18">
        <f>'Total Saturday Boardings'!EZ14/'Service Days per Month'!EZ$5</f>
        <v>186.2</v>
      </c>
      <c r="FA14" s="18">
        <f>'Total Saturday Boardings'!FA14/'Service Days per Month'!FA$5</f>
        <v>221</v>
      </c>
      <c r="FB14" s="18">
        <f>'Total Saturday Boardings'!FB14/'Service Days per Month'!FB$5</f>
        <v>199.75</v>
      </c>
      <c r="FC14" s="18">
        <f>'Total Saturday Boardings'!FC14/'Service Days per Month'!FC$5</f>
        <v>147.4</v>
      </c>
      <c r="FD14" s="18">
        <f>'Total Saturday Boardings'!FD14/'Service Days per Month'!FD$5</f>
        <v>207.75</v>
      </c>
      <c r="FE14" s="18">
        <f>'Total Saturday Boardings'!FE14/'Service Days per Month'!FE$5</f>
        <v>234.75</v>
      </c>
      <c r="FF14" s="18">
        <f>'Total Saturday Boardings'!FF14/'Service Days per Month'!FF$5</f>
        <v>183.4</v>
      </c>
      <c r="FG14" s="18">
        <f>'Total Saturday Boardings'!FG14/'Service Days per Month'!FG$5</f>
        <v>180.5</v>
      </c>
      <c r="FH14" s="19">
        <f>'Total Saturday Boardings'!FH14/'Service Days per Month'!FH$5</f>
        <v>136.75</v>
      </c>
      <c r="FI14" s="17">
        <v>121.8</v>
      </c>
      <c r="FJ14" s="18">
        <v>143.25</v>
      </c>
      <c r="FK14" s="18">
        <v>178.5</v>
      </c>
      <c r="FL14" s="18">
        <v>159.19999999999999</v>
      </c>
      <c r="FM14" s="18">
        <v>139.80000000000001</v>
      </c>
      <c r="FN14" s="18">
        <v>144.4</v>
      </c>
      <c r="FO14" s="18">
        <v>154.80000000000001</v>
      </c>
      <c r="FP14" s="18">
        <v>280.5</v>
      </c>
      <c r="FQ14" s="18">
        <v>210.25</v>
      </c>
      <c r="FR14" s="18">
        <f>'Total Saturday Boardings'!FR14/5</f>
        <v>165.2</v>
      </c>
      <c r="FS14" s="18">
        <f>'Total Saturday Boardings'!FS14/4</f>
        <v>191.5</v>
      </c>
      <c r="FT14" s="19">
        <f>'Total Saturday Boardings'!FT14/4</f>
        <v>189.5</v>
      </c>
      <c r="FU14" s="17">
        <f>'Total Saturday Boardings'!FU14/5</f>
        <v>172</v>
      </c>
      <c r="FV14" s="18">
        <f>'Total Saturday Boardings'!FV14/4</f>
        <v>164.25</v>
      </c>
      <c r="FW14" s="18">
        <f>'Total Saturday Boardings'!FW14/5</f>
        <v>173.4</v>
      </c>
      <c r="FX14" s="18">
        <f>'Total Saturday Boardings'!FX14/4</f>
        <v>177.75</v>
      </c>
      <c r="FY14" s="18">
        <f>'Total Saturday Boardings'!FY14/4</f>
        <v>172.5</v>
      </c>
      <c r="FZ14" s="18">
        <f>'Total Saturday Boardings'!FZ14/5</f>
        <v>195.6</v>
      </c>
      <c r="GA14" s="18">
        <f>'Total Saturday Boardings'!GA14/4</f>
        <v>193.5</v>
      </c>
      <c r="GB14" s="18">
        <f>'Total Saturday Boardings'!GB14/4</f>
        <v>219.75</v>
      </c>
      <c r="GC14" s="18">
        <f>'Total Saturday Boardings'!GC14/5</f>
        <v>231</v>
      </c>
      <c r="GD14" s="18">
        <f>'Total Saturday Boardings'!GD14/4</f>
        <v>207.75</v>
      </c>
      <c r="GE14" s="18">
        <f>'Total Saturday Boardings'!GE14/4</f>
        <v>200.25</v>
      </c>
      <c r="GF14" s="18">
        <f>'Total Saturday Boardings'!GF14/5</f>
        <v>171.4</v>
      </c>
      <c r="GG14" s="18">
        <f>'Total Saturday Boardings'!GG14/4</f>
        <v>189</v>
      </c>
      <c r="GH14" s="18">
        <f>'Total Saturday Boardings'!GH14/5</f>
        <v>188.8</v>
      </c>
      <c r="GI14" s="18">
        <f>'Total Saturday Boardings'!GI14/4</f>
        <v>202.5</v>
      </c>
      <c r="GJ14" s="18">
        <f>'Total Saturday Boardings'!GJ14/4</f>
        <v>178.5</v>
      </c>
      <c r="GK14" s="18">
        <f>'Total Saturday Boardings'!GK14/5</f>
        <v>217.6</v>
      </c>
      <c r="GL14" s="18">
        <f>'Total Saturday Boardings'!GL14/4</f>
        <v>204</v>
      </c>
    </row>
    <row r="15" spans="1:194" x14ac:dyDescent="0.3">
      <c r="A15" s="3" t="s">
        <v>8</v>
      </c>
      <c r="B15" s="17"/>
      <c r="C15" s="18">
        <f>'Total Saturday Boardings'!C15/'Service Days per Month'!C$5</f>
        <v>1028.2</v>
      </c>
      <c r="D15" s="18">
        <f>'Total Saturday Boardings'!D15/'Service Days per Month'!D$5</f>
        <v>1060</v>
      </c>
      <c r="E15" s="18">
        <f>'Total Saturday Boardings'!E15/'Service Days per Month'!E$5</f>
        <v>1012.75</v>
      </c>
      <c r="F15" s="18">
        <f>'Total Saturday Boardings'!F15/'Service Days per Month'!F$5</f>
        <v>1737.5</v>
      </c>
      <c r="G15" s="18">
        <f>'Total Saturday Boardings'!G15/'Service Days per Month'!G$5</f>
        <v>709.2</v>
      </c>
      <c r="H15" s="19">
        <f>'Total Saturday Boardings'!H15/'Service Days per Month'!H$5</f>
        <v>787.25</v>
      </c>
      <c r="I15" s="17">
        <f>'Total Saturday Boardings'!I15/'Service Days per Month'!I$5</f>
        <v>1294.3333333333333</v>
      </c>
      <c r="J15" s="18">
        <f>'Total Saturday Boardings'!J15/'Service Days per Month'!J$5</f>
        <v>619.20000000000005</v>
      </c>
      <c r="K15" s="18">
        <f>'Total Saturday Boardings'!K15/'Service Days per Month'!K$5</f>
        <v>894.25</v>
      </c>
      <c r="L15" s="18">
        <f>'Total Saturday Boardings'!L15/'Service Days per Month'!L$5</f>
        <v>750.4</v>
      </c>
      <c r="M15" s="18">
        <f>'Total Saturday Boardings'!M15/'Service Days per Month'!M$5</f>
        <v>912.5</v>
      </c>
      <c r="N15" s="18">
        <f>'Total Saturday Boardings'!N15/'Service Days per Month'!N$5</f>
        <v>1008.5</v>
      </c>
      <c r="O15" s="62">
        <f>'Total Saturday Boardings'!O15/'Service Days per Month'!O$5</f>
        <v>826.6</v>
      </c>
      <c r="P15" s="62">
        <f>'Total Saturday Boardings'!P15/'Service Days per Month'!P$5</f>
        <v>1065.5</v>
      </c>
      <c r="Q15" s="62">
        <f>'Total Saturday Boardings'!Q15/'Service Days per Month'!Q$5</f>
        <v>1026.75</v>
      </c>
      <c r="R15" s="62">
        <f>'Total Saturday Boardings'!R15/'Service Days per Month'!R$5</f>
        <v>1680.25</v>
      </c>
      <c r="S15" s="62">
        <f>'Total Saturday Boardings'!S15/'Service Days per Month'!S$5</f>
        <v>769.2</v>
      </c>
      <c r="T15" s="63">
        <f>'Total Saturday Boardings'!T15/'Service Days per Month'!T$5</f>
        <v>858</v>
      </c>
      <c r="U15" s="64">
        <f>'Total Saturday Boardings'!U15/'Service Days per Month'!U$5</f>
        <v>796.6</v>
      </c>
      <c r="V15" s="62">
        <f>'Total Saturday Boardings'!V15/'Service Days per Month'!V$5</f>
        <v>826.25</v>
      </c>
      <c r="W15" s="62">
        <f>'Total Saturday Boardings'!W15/'Service Days per Month'!W$5</f>
        <v>979.25</v>
      </c>
      <c r="X15" s="62">
        <f>'Total Saturday Boardings'!X15/'Service Days per Month'!X$5</f>
        <v>770.8</v>
      </c>
      <c r="Y15" s="62">
        <f>'Total Saturday Boardings'!Y15/'Service Days per Month'!Y$5</f>
        <v>986.5</v>
      </c>
      <c r="Z15" s="62">
        <f>'Total Saturday Boardings'!Z15/'Service Days per Month'!Z$5</f>
        <v>1014.3333333333334</v>
      </c>
      <c r="AA15" s="18">
        <f>'Total Saturday Boardings'!AA15/'Service Days per Month'!AA$5</f>
        <v>800</v>
      </c>
      <c r="AB15" s="18">
        <f>'Total Saturday Boardings'!AB15/'Service Days per Month'!AB$5</f>
        <v>1234</v>
      </c>
      <c r="AC15" s="18">
        <f>'Total Saturday Boardings'!AC15/'Service Days per Month'!AC$5</f>
        <v>1068</v>
      </c>
      <c r="AD15" s="18">
        <f>'Total Saturday Boardings'!AD15/'Service Days per Month'!AD$5</f>
        <v>1592.2</v>
      </c>
      <c r="AE15" s="18">
        <f>'Total Saturday Boardings'!AE15/'Service Days per Month'!AE$5</f>
        <v>969.5</v>
      </c>
      <c r="AF15" s="19">
        <f>'Total Saturday Boardings'!AF15/'Service Days per Month'!AF$5</f>
        <v>871</v>
      </c>
      <c r="AG15" s="17">
        <f>'Total Saturday Boardings'!AG15/'Service Days per Month'!AG$5</f>
        <v>906.8</v>
      </c>
      <c r="AH15" s="18">
        <f>'Total Saturday Boardings'!AH15/'Service Days per Month'!AH$5</f>
        <v>906.75</v>
      </c>
      <c r="AI15" s="18">
        <f>'Total Saturday Boardings'!AI15/'Service Days per Month'!AI$5</f>
        <v>1039.75</v>
      </c>
      <c r="AJ15" s="18">
        <f>'Total Saturday Boardings'!AJ15/'Service Days per Month'!AJ$5</f>
        <v>1023.4</v>
      </c>
      <c r="AK15" s="18">
        <f>'Total Saturday Boardings'!AK15/'Service Days per Month'!AK$5</f>
        <v>919.25</v>
      </c>
      <c r="AL15" s="18">
        <f>'Total Saturday Boardings'!AL15/'Service Days per Month'!AL$5</f>
        <v>1246</v>
      </c>
      <c r="AM15" s="18">
        <f>'Total Saturday Boardings'!AM15/'Service Days per Month'!AM$5</f>
        <v>1026.25</v>
      </c>
      <c r="AN15" s="18">
        <f>'Total Saturday Boardings'!AN15/'Service Days per Month'!AN$5</f>
        <v>1492</v>
      </c>
      <c r="AO15" s="18">
        <f>'Total Saturday Boardings'!AO15/'Service Days per Month'!AO$5</f>
        <v>1201.5999999999999</v>
      </c>
      <c r="AP15" s="18">
        <f>'Total Saturday Boardings'!AP15/'Service Days per Month'!AP$5</f>
        <v>1711.5</v>
      </c>
      <c r="AQ15" s="18">
        <f>'Total Saturday Boardings'!AQ15/'Service Days per Month'!AQ$5</f>
        <v>1027</v>
      </c>
      <c r="AR15" s="19">
        <f>'Total Saturday Boardings'!AR15/'Service Days per Month'!AR$5</f>
        <v>979.6</v>
      </c>
      <c r="AS15" s="17">
        <f>'Total Saturday Boardings'!AS15/'Service Days per Month'!AS$5</f>
        <v>875</v>
      </c>
      <c r="AT15" s="18">
        <f>'Total Saturday Boardings'!AT15/'Service Days per Month'!AT$5</f>
        <v>975.75</v>
      </c>
      <c r="AU15" s="18">
        <f>'Total Saturday Boardings'!AU15/'Service Days per Month'!AU$5</f>
        <v>1132.5999999999999</v>
      </c>
      <c r="AV15" s="18">
        <f>'Total Saturday Boardings'!AV15/'Service Days per Month'!AV$5</f>
        <v>1183.25</v>
      </c>
      <c r="AW15" s="18">
        <f>'Total Saturday Boardings'!AW15/'Service Days per Month'!AW$5</f>
        <v>1106.75</v>
      </c>
      <c r="AX15" s="18">
        <f>'Total Saturday Boardings'!AX15/'Service Days per Month'!AX$5</f>
        <v>1131.5999999999999</v>
      </c>
      <c r="AY15" s="18">
        <f>'Total Saturday Boardings'!AY15/'Service Days per Month'!AY$5</f>
        <v>1014.75</v>
      </c>
      <c r="AZ15" s="18">
        <f>'Total Saturday Boardings'!AZ15/'Service Days per Month'!AZ$5</f>
        <v>1385.5</v>
      </c>
      <c r="BA15" s="18">
        <f>'Total Saturday Boardings'!BA15/'Service Days per Month'!BA$5</f>
        <v>1247.8</v>
      </c>
      <c r="BB15" s="18">
        <f>'Total Saturday Boardings'!BB15/'Service Days per Month'!BB$5</f>
        <v>1848.25</v>
      </c>
      <c r="BC15" s="18">
        <f>'Total Saturday Boardings'!BC15/'Service Days per Month'!BC$5</f>
        <v>1118</v>
      </c>
      <c r="BD15" s="19">
        <f>'Total Saturday Boardings'!BD15/'Service Days per Month'!BD$5</f>
        <v>960.4</v>
      </c>
      <c r="BE15" s="17">
        <f>'Total Saturday Boardings'!BE15/'Service Days per Month'!BE$5</f>
        <v>989.75</v>
      </c>
      <c r="BF15" s="18">
        <f>'Total Saturday Boardings'!BF15/'Service Days per Month'!BF$5</f>
        <v>998</v>
      </c>
      <c r="BG15" s="18">
        <f>'Total Saturday Boardings'!BG15/'Service Days per Month'!BG$5</f>
        <v>1121.75</v>
      </c>
      <c r="BH15" s="18">
        <f>'Total Saturday Boardings'!BH15/'Service Days per Month'!BH$5</f>
        <v>1157.5</v>
      </c>
      <c r="BI15" s="18">
        <f>'Total Saturday Boardings'!BI15/'Service Days per Month'!BI$5</f>
        <v>1111.8971144699292</v>
      </c>
      <c r="BJ15" s="18">
        <f>'Total Saturday Boardings'!BJ15/'Service Days per Month'!BJ$5</f>
        <v>1171</v>
      </c>
      <c r="BK15" s="18">
        <f>'Total Saturday Boardings'!BK15/'Service Days per Month'!BK$5</f>
        <v>1121</v>
      </c>
      <c r="BL15" s="18">
        <f>'Total Saturday Boardings'!BL15/'Service Days per Month'!BL$5</f>
        <v>1408.75</v>
      </c>
      <c r="BM15" s="18">
        <f>'Total Saturday Boardings'!BM15/'Service Days per Month'!BM$5</f>
        <v>1297.8</v>
      </c>
      <c r="BN15" s="18">
        <f>'Total Saturday Boardings'!BN15/'Service Days per Month'!BN$5</f>
        <v>1851</v>
      </c>
      <c r="BO15" s="18">
        <f>'Total Saturday Boardings'!BO15/'Service Days per Month'!BO$5</f>
        <v>1046.8</v>
      </c>
      <c r="BP15" s="19">
        <f>'Total Saturday Boardings'!BP15/'Service Days per Month'!BP$5</f>
        <v>1082</v>
      </c>
      <c r="BQ15" s="17">
        <f>'Total Saturday Boardings'!BQ15/'Service Days per Month'!BQ$5</f>
        <v>1003.25</v>
      </c>
      <c r="BR15" s="18">
        <f>'Total Saturday Boardings'!BR15/'Service Days per Month'!BR$5</f>
        <v>1084.4000000000001</v>
      </c>
      <c r="BS15" s="18">
        <f>'Total Saturday Boardings'!BS15/'Service Days per Month'!BS$5</f>
        <v>1020</v>
      </c>
      <c r="BT15" s="18">
        <f>'Total Saturday Boardings'!BT15/'Service Days per Month'!BT$5</f>
        <v>1299.75</v>
      </c>
      <c r="BU15" s="18">
        <f>'Total Saturday Boardings'!BU15/'Service Days per Month'!BU$5</f>
        <v>1157.8</v>
      </c>
      <c r="BV15" s="18">
        <f>'Total Saturday Boardings'!BV15/'Service Days per Month'!BV$5</f>
        <v>1234.5</v>
      </c>
      <c r="BW15" s="18">
        <f>'Total Saturday Boardings'!BW15/'Service Days per Month'!BW$5</f>
        <v>1395.6</v>
      </c>
      <c r="BX15" s="18">
        <f>'Total Saturday Boardings'!BX15/'Service Days per Month'!BX$5</f>
        <v>1458.25</v>
      </c>
      <c r="BY15" s="18">
        <f>'Total Saturday Boardings'!BY15/'Service Days per Month'!BY$5</f>
        <v>1431</v>
      </c>
      <c r="BZ15" s="18">
        <f>'Total Saturday Boardings'!BZ15/'Service Days per Month'!BZ$5</f>
        <v>1623</v>
      </c>
      <c r="CA15" s="18">
        <f>'Total Saturday Boardings'!CA15/'Service Days per Month'!CA$5</f>
        <v>1107.2</v>
      </c>
      <c r="CB15" s="19">
        <f>'Total Saturday Boardings'!CB15/'Service Days per Month'!CB$5</f>
        <v>1074.75</v>
      </c>
      <c r="CC15" s="20">
        <f>'Total Saturday Boardings'!CC15/'Service Days per Month'!CC$5</f>
        <v>1471.75</v>
      </c>
      <c r="CD15" s="18">
        <f>'Total Saturday Boardings'!CD15/'Service Days per Month'!CD$5</f>
        <v>1019.2</v>
      </c>
      <c r="CE15" s="18">
        <f>'Total Saturday Boardings'!CE15/'Service Days per Month'!CE$5</f>
        <v>1124</v>
      </c>
      <c r="CF15" s="18">
        <f>'Total Saturday Boardings'!CF15/'Service Days per Month'!CF$5</f>
        <v>1275.8</v>
      </c>
      <c r="CG15" s="18">
        <f>'Total Saturday Boardings'!CG15/'Service Days per Month'!CG$5</f>
        <v>1150.5</v>
      </c>
      <c r="CH15" s="18">
        <f>'Total Saturday Boardings'!CH15/'Service Days per Month'!CH$5</f>
        <v>1130.5</v>
      </c>
      <c r="CI15" s="18">
        <f>'Total Saturday Boardings'!CI15/'Service Days per Month'!CI$5</f>
        <v>1174.2</v>
      </c>
      <c r="CJ15" s="18">
        <f>'Total Saturday Boardings'!CJ15/'Service Days per Month'!CJ$5</f>
        <v>1509</v>
      </c>
      <c r="CK15" s="18">
        <f>'Total Saturday Boardings'!CK15/'Service Days per Month'!CK$5</f>
        <v>1332.25</v>
      </c>
      <c r="CL15" s="18">
        <f>'Total Saturday Boardings'!CL15/'Service Days per Month'!CL$5</f>
        <v>1635.8</v>
      </c>
      <c r="CM15" s="18">
        <f>'Total Saturday Boardings'!CM15/'Service Days per Month'!CM$5</f>
        <v>1184.25</v>
      </c>
      <c r="CN15" s="21">
        <f>'Total Saturday Boardings'!CN15/'Service Days per Month'!CN$5</f>
        <v>1138.75</v>
      </c>
      <c r="CO15" s="17">
        <f>'Total Saturday Boardings'!CO15/'Service Days per Month'!CO$5</f>
        <v>1150.4000000000001</v>
      </c>
      <c r="CP15" s="18">
        <f>'Total Saturday Boardings'!CP15/'Service Days per Month'!CP$5</f>
        <v>1124</v>
      </c>
      <c r="CQ15" s="18">
        <f>'Total Saturday Boardings'!CQ15/'Service Days per Month'!CQ$5</f>
        <v>1340.75</v>
      </c>
      <c r="CR15" s="18">
        <f>'Total Saturday Boardings'!CR15/'Service Days per Month'!CR$5</f>
        <v>1176.5999999999999</v>
      </c>
      <c r="CS15" s="18">
        <f>'Total Saturday Boardings'!CS15/'Service Days per Month'!CS$5</f>
        <v>1143.5</v>
      </c>
      <c r="CT15" s="18">
        <f>'Total Saturday Boardings'!CT15/'Service Days per Month'!CT$5</f>
        <v>1288.75</v>
      </c>
      <c r="CU15" s="18">
        <f>'Total Saturday Boardings'!CU15/'Service Days per Month'!CU$5</f>
        <v>1117.75</v>
      </c>
      <c r="CV15" s="18">
        <f>'Total Saturday Boardings'!CV15/'Service Days per Month'!CV$5</f>
        <v>1404.25</v>
      </c>
      <c r="CW15" s="18">
        <f>'Total Saturday Boardings'!CW15/'Service Days per Month'!CW$5</f>
        <v>1235.5</v>
      </c>
      <c r="CX15" s="18">
        <f>'Total Saturday Boardings'!CX15/'Service Days per Month'!CX$5</f>
        <v>1570.6</v>
      </c>
      <c r="CY15" s="18">
        <f>'Total Saturday Boardings'!CY15/'Service Days per Month'!CY$5</f>
        <v>1151.75</v>
      </c>
      <c r="CZ15" s="19">
        <f>'Total Saturday Boardings'!CZ15/'Service Days per Month'!CZ$5</f>
        <v>981.25</v>
      </c>
      <c r="DA15" s="17">
        <f>'Total Saturday Boardings'!DA15/'Service Days per Month'!DA$5</f>
        <v>995.4</v>
      </c>
      <c r="DB15" s="18">
        <f>'Total Saturday Boardings'!DB15/'Service Days per Month'!DB$5</f>
        <v>978</v>
      </c>
      <c r="DC15" s="18">
        <f>'Total Saturday Boardings'!DC15/'Service Days per Month'!DC$5</f>
        <v>1013.4</v>
      </c>
      <c r="DD15" s="18">
        <f>'Total Saturday Boardings'!DD15/'Service Days per Month'!DD$5</f>
        <v>2150.75</v>
      </c>
      <c r="DE15" s="18">
        <f>'Total Saturday Boardings'!DE15/'Service Days per Month'!DE$5</f>
        <v>1153</v>
      </c>
      <c r="DF15" s="18">
        <f>'Total Saturday Boardings'!DF15/'Service Days per Month'!DF$5</f>
        <v>1132.5999999999999</v>
      </c>
      <c r="DG15" s="18">
        <f>'Total Saturday Boardings'!DG15/'Service Days per Month'!DG$5</f>
        <v>973.75</v>
      </c>
      <c r="DH15" s="18">
        <f>'Total Saturday Boardings'!DH15/'Service Days per Month'!DH$5</f>
        <v>1263.25</v>
      </c>
      <c r="DI15" s="18">
        <f>'Total Saturday Boardings'!DI15/'Service Days per Month'!DI$5</f>
        <v>1191.2</v>
      </c>
      <c r="DJ15" s="18">
        <f>'Total Saturday Boardings'!DJ15/'Service Days per Month'!DJ$5</f>
        <v>1457.5</v>
      </c>
      <c r="DK15" s="18">
        <f>'Total Saturday Boardings'!DK15/'Service Days per Month'!DK$5</f>
        <v>1033</v>
      </c>
      <c r="DL15" s="19">
        <f>'Total Saturday Boardings'!DL15/'Service Days per Month'!DL$5</f>
        <v>907.4</v>
      </c>
      <c r="DM15" s="17">
        <f>'Total Saturday Boardings'!DM15/'Service Days per Month'!DM$5</f>
        <v>841.5</v>
      </c>
      <c r="DN15" s="18">
        <f>'Total Saturday Boardings'!DN15/'Service Days per Month'!DN$5</f>
        <v>899</v>
      </c>
      <c r="DO15" s="18">
        <f>'Total Saturday Boardings'!DO15/'Service Days per Month'!DO$5</f>
        <v>888.8</v>
      </c>
      <c r="DP15" s="18">
        <f>'Total Saturday Boardings'!DP15/'Service Days per Month'!DP$5</f>
        <v>968</v>
      </c>
      <c r="DQ15" s="18">
        <f>'Total Saturday Boardings'!DQ15/'Service Days per Month'!DQ$5</f>
        <v>1006.75</v>
      </c>
      <c r="DR15" s="18">
        <f>'Total Saturday Boardings'!DR15/'Service Days per Month'!DR$5</f>
        <v>1048.5999999999999</v>
      </c>
      <c r="DS15" s="18">
        <f>'Total Saturday Boardings'!DS15/'Service Days per Month'!DS$5</f>
        <v>926.25</v>
      </c>
      <c r="DT15" s="18">
        <f>'Total Saturday Boardings'!DT15/'Service Days per Month'!DT$5</f>
        <v>1054.75</v>
      </c>
      <c r="DU15" s="18">
        <f>'Total Saturday Boardings'!DU15/'Service Days per Month'!DU$5</f>
        <v>1339.8</v>
      </c>
      <c r="DV15" s="18">
        <f>'Total Saturday Boardings'!DV15/'Service Days per Month'!DV$5</f>
        <v>1357.75</v>
      </c>
      <c r="DW15" s="18">
        <f>'Total Saturday Boardings'!DW15/'Service Days per Month'!DW$5</f>
        <v>896</v>
      </c>
      <c r="DX15" s="19">
        <f>'Total Saturday Boardings'!DX15/'Service Days per Month'!DX$5</f>
        <v>804.4</v>
      </c>
      <c r="DY15" s="17">
        <f>'Total Saturday Boardings'!DY15/'Service Days per Month'!DY$5</f>
        <v>758.75</v>
      </c>
      <c r="DZ15" s="18">
        <f>'Total Saturday Boardings'!DZ15/'Service Days per Month'!DZ$5</f>
        <v>796.4</v>
      </c>
      <c r="EA15" s="18">
        <f>'Total Saturday Boardings'!EA15/'Service Days per Month'!EA$5</f>
        <v>858.5</v>
      </c>
      <c r="EB15" s="18">
        <f>'Total Saturday Boardings'!EB15/'Service Days per Month'!EB$5</f>
        <v>950.25</v>
      </c>
      <c r="EC15" s="18">
        <f>'Total Saturday Boardings'!EC15/'Service Days per Month'!EC$5</f>
        <v>994.4</v>
      </c>
      <c r="ED15" s="18">
        <f>'Total Saturday Boardings'!ED15/'Service Days per Month'!ED$5</f>
        <v>901</v>
      </c>
      <c r="EE15" s="18">
        <f>'Total Saturday Boardings'!EE15/'Service Days per Month'!EE$5</f>
        <v>837.75</v>
      </c>
      <c r="EF15" s="18">
        <f>'Total Saturday Boardings'!EF15/'Service Days per Month'!EF$5</f>
        <v>1157.4000000000001</v>
      </c>
      <c r="EG15" s="18">
        <f>'Total Saturday Boardings'!EG15/'Service Days per Month'!EG$5</f>
        <v>829.75</v>
      </c>
      <c r="EH15" s="18">
        <f>'Total Saturday Boardings'!EH15/'Service Days per Month'!EH$5</f>
        <v>504.75</v>
      </c>
      <c r="EI15" s="18">
        <f>'Total Saturday Boardings'!EI15/'Service Days per Month'!EI$5</f>
        <v>456.2</v>
      </c>
      <c r="EJ15" s="19">
        <f>'Total Saturday Boardings'!EJ15/'Service Days per Month'!EJ$5</f>
        <v>461.75</v>
      </c>
      <c r="EK15" s="17">
        <f>'Total Saturday Boardings'!EK15/'Service Days per Month'!EK$5</f>
        <v>311</v>
      </c>
      <c r="EL15" s="18">
        <f>'Total Saturday Boardings'!EL15/'Service Days per Month'!EL$5</f>
        <v>409</v>
      </c>
      <c r="EM15" s="18">
        <f>'Total Saturday Boardings'!EM15/'Service Days per Month'!EM$5</f>
        <v>440.25</v>
      </c>
      <c r="EN15" s="18">
        <f>'Total Saturday Boardings'!EN15/'Service Days per Month'!EN$5</f>
        <v>450.2</v>
      </c>
      <c r="EO15" s="18">
        <f>'Total Saturday Boardings'!EO15/'Service Days per Month'!EO$5</f>
        <v>504.5</v>
      </c>
      <c r="EP15" s="18">
        <f>'Total Saturday Boardings'!EP15/'Service Days per Month'!EP$5</f>
        <v>298.5</v>
      </c>
      <c r="EQ15" s="18">
        <f>'Total Saturday Boardings'!EQ15/'Service Days per Month'!EQ$5</f>
        <v>197.6</v>
      </c>
      <c r="ER15" s="18">
        <f>'Total Saturday Boardings'!ER15/'Service Days per Month'!ER$5</f>
        <v>403.75</v>
      </c>
      <c r="ES15" s="18">
        <f>'Total Saturday Boardings'!ES15/'Service Days per Month'!ES$5</f>
        <v>410.75</v>
      </c>
      <c r="ET15" s="18">
        <f>'Total Saturday Boardings'!ET15/'Service Days per Month'!ET$5</f>
        <v>436</v>
      </c>
      <c r="EU15" s="18">
        <f>'Total Saturday Boardings'!EU15/'Service Days per Month'!EU$5</f>
        <v>392.8</v>
      </c>
      <c r="EV15" s="19">
        <f>'Total Saturday Boardings'!EV15/'Service Days per Month'!EV$5</f>
        <v>376.25</v>
      </c>
      <c r="EW15" s="17">
        <f>'Total Saturday Boardings'!EW15/'Service Days per Month'!EW$5</f>
        <v>403.6</v>
      </c>
      <c r="EX15" s="18">
        <f>'Total Saturday Boardings'!EX15/'Service Days per Month'!EX$5</f>
        <v>398.25</v>
      </c>
      <c r="EY15" s="18">
        <f>'Total Saturday Boardings'!EY15/'Service Days per Month'!EY$5</f>
        <v>413.5</v>
      </c>
      <c r="EZ15" s="18">
        <f>'Total Saturday Boardings'!EZ15/'Service Days per Month'!EZ$5</f>
        <v>469.2</v>
      </c>
      <c r="FA15" s="18">
        <f>'Total Saturday Boardings'!FA15/'Service Days per Month'!FA$5</f>
        <v>761</v>
      </c>
      <c r="FB15" s="18">
        <f>'Total Saturday Boardings'!FB15/'Service Days per Month'!FB$5</f>
        <v>476.5</v>
      </c>
      <c r="FC15" s="18">
        <f>'Total Saturday Boardings'!FC15/'Service Days per Month'!FC$5</f>
        <v>436.6</v>
      </c>
      <c r="FD15" s="18">
        <f>'Total Saturday Boardings'!FD15/'Service Days per Month'!FD$5</f>
        <v>562.25</v>
      </c>
      <c r="FE15" s="18">
        <f>'Total Saturday Boardings'!FE15/'Service Days per Month'!FE$5</f>
        <v>572</v>
      </c>
      <c r="FF15" s="18">
        <f>'Total Saturday Boardings'!FF15/'Service Days per Month'!FF$5</f>
        <v>565.79999999999995</v>
      </c>
      <c r="FG15" s="18">
        <f>'Total Saturday Boardings'!FG15/'Service Days per Month'!FG$5</f>
        <v>498.75</v>
      </c>
      <c r="FH15" s="19">
        <f>'Total Saturday Boardings'!FH15/'Service Days per Month'!FH$5</f>
        <v>455</v>
      </c>
      <c r="FI15" s="17">
        <v>426</v>
      </c>
      <c r="FJ15" s="18">
        <v>453.5</v>
      </c>
      <c r="FK15" s="18">
        <v>527</v>
      </c>
      <c r="FL15" s="18">
        <v>649.6</v>
      </c>
      <c r="FM15" s="18">
        <v>439.8</v>
      </c>
      <c r="FN15" s="18">
        <v>454.8</v>
      </c>
      <c r="FO15" s="18">
        <v>479.4</v>
      </c>
      <c r="FP15" s="18">
        <v>866.25</v>
      </c>
      <c r="FQ15" s="18">
        <v>695.75</v>
      </c>
      <c r="FR15" s="18">
        <f>'Total Saturday Boardings'!FR15/5</f>
        <v>586.4</v>
      </c>
      <c r="FS15" s="18">
        <f>'Total Saturday Boardings'!FS15/4</f>
        <v>646.5</v>
      </c>
      <c r="FT15" s="19">
        <f>'Total Saturday Boardings'!FT15/4</f>
        <v>606.75</v>
      </c>
      <c r="FU15" s="17">
        <f>'Total Saturday Boardings'!FU15/5</f>
        <v>563</v>
      </c>
      <c r="FV15" s="18">
        <f>'Total Saturday Boardings'!FV15/4</f>
        <v>577.25</v>
      </c>
      <c r="FW15" s="18">
        <f>'Total Saturday Boardings'!FW15/5</f>
        <v>582.6</v>
      </c>
      <c r="FX15" s="18">
        <f>'Total Saturday Boardings'!FX15/4</f>
        <v>770.25</v>
      </c>
      <c r="FY15" s="18">
        <f>'Total Saturday Boardings'!FY15/4</f>
        <v>618.5</v>
      </c>
      <c r="FZ15" s="18">
        <f>'Total Saturday Boardings'!FZ15/5</f>
        <v>626</v>
      </c>
      <c r="GA15" s="18">
        <f>'Total Saturday Boardings'!GA15/4</f>
        <v>667.5</v>
      </c>
      <c r="GB15" s="18">
        <f>'Total Saturday Boardings'!GB15/4</f>
        <v>943</v>
      </c>
      <c r="GC15" s="18">
        <f>'Total Saturday Boardings'!GC15/5</f>
        <v>915.6</v>
      </c>
      <c r="GD15" s="18">
        <f>'Total Saturday Boardings'!GD15/4</f>
        <v>668.25</v>
      </c>
      <c r="GE15" s="18">
        <f>'Total Saturday Boardings'!GE15/4</f>
        <v>681.75</v>
      </c>
      <c r="GF15" s="18">
        <f>'Total Saturday Boardings'!GF15/5</f>
        <v>582.4</v>
      </c>
      <c r="GG15" s="18">
        <f>'Total Saturday Boardings'!GG15/4</f>
        <v>607.75</v>
      </c>
      <c r="GH15" s="18">
        <f>'Total Saturday Boardings'!GH15/5</f>
        <v>630.20000000000005</v>
      </c>
      <c r="GI15" s="18">
        <f>'Total Saturday Boardings'!GI15/4</f>
        <v>622.5</v>
      </c>
      <c r="GJ15" s="18">
        <f>'Total Saturday Boardings'!GJ15/4</f>
        <v>731.5</v>
      </c>
      <c r="GK15" s="18">
        <f>'Total Saturday Boardings'!GK15/5</f>
        <v>605.20000000000005</v>
      </c>
      <c r="GL15" s="18">
        <f>'Total Saturday Boardings'!GL15/4</f>
        <v>624.75</v>
      </c>
    </row>
    <row r="16" spans="1:194" x14ac:dyDescent="0.3">
      <c r="A16" s="3" t="s">
        <v>9</v>
      </c>
      <c r="B16" s="17"/>
      <c r="C16" s="18">
        <f>'Total Saturday Boardings'!C16/'Service Days per Month'!C$5</f>
        <v>1106</v>
      </c>
      <c r="D16" s="18">
        <f>'Total Saturday Boardings'!D16/'Service Days per Month'!D$5</f>
        <v>584.75</v>
      </c>
      <c r="E16" s="18">
        <f>'Total Saturday Boardings'!E16/'Service Days per Month'!E$5</f>
        <v>499.25</v>
      </c>
      <c r="F16" s="18">
        <f>'Total Saturday Boardings'!F16/'Service Days per Month'!F$5</f>
        <v>716</v>
      </c>
      <c r="G16" s="18">
        <f>'Total Saturday Boardings'!G16/'Service Days per Month'!G$5</f>
        <v>414</v>
      </c>
      <c r="H16" s="19">
        <f>'Total Saturday Boardings'!H16/'Service Days per Month'!H$5</f>
        <v>384</v>
      </c>
      <c r="I16" s="17">
        <f>'Total Saturday Boardings'!I16/'Service Days per Month'!I$5</f>
        <v>453.33333333333331</v>
      </c>
      <c r="J16" s="18">
        <f>'Total Saturday Boardings'!J16/'Service Days per Month'!J$5</f>
        <v>317.2</v>
      </c>
      <c r="K16" s="18">
        <f>'Total Saturday Boardings'!K16/'Service Days per Month'!K$5</f>
        <v>509.75</v>
      </c>
      <c r="L16" s="18">
        <f>'Total Saturday Boardings'!L16/'Service Days per Month'!L$5</f>
        <v>445.4</v>
      </c>
      <c r="M16" s="18">
        <f>'Total Saturday Boardings'!M16/'Service Days per Month'!M$5</f>
        <v>488.5</v>
      </c>
      <c r="N16" s="18">
        <f>'Total Saturday Boardings'!N16/'Service Days per Month'!N$5</f>
        <v>556.25</v>
      </c>
      <c r="O16" s="62">
        <f>'Total Saturday Boardings'!O16/'Service Days per Month'!O$5</f>
        <v>499</v>
      </c>
      <c r="P16" s="62">
        <f>'Total Saturday Boardings'!P16/'Service Days per Month'!P$5</f>
        <v>604</v>
      </c>
      <c r="Q16" s="62">
        <f>'Total Saturday Boardings'!Q16/'Service Days per Month'!Q$5</f>
        <v>621</v>
      </c>
      <c r="R16" s="62">
        <f>'Total Saturday Boardings'!R16/'Service Days per Month'!R$5</f>
        <v>746.25</v>
      </c>
      <c r="S16" s="62">
        <f>'Total Saturday Boardings'!S16/'Service Days per Month'!S$5</f>
        <v>442</v>
      </c>
      <c r="T16" s="63">
        <f>'Total Saturday Boardings'!T16/'Service Days per Month'!T$5</f>
        <v>468.75</v>
      </c>
      <c r="U16" s="64">
        <f>'Total Saturday Boardings'!U16/'Service Days per Month'!U$5</f>
        <v>498.6</v>
      </c>
      <c r="V16" s="62">
        <f>'Total Saturday Boardings'!V16/'Service Days per Month'!V$5</f>
        <v>500.25</v>
      </c>
      <c r="W16" s="62">
        <f>'Total Saturday Boardings'!W16/'Service Days per Month'!W$5</f>
        <v>529.75</v>
      </c>
      <c r="X16" s="62">
        <f>'Total Saturday Boardings'!X16/'Service Days per Month'!X$5</f>
        <v>461.8</v>
      </c>
      <c r="Y16" s="62">
        <f>'Total Saturday Boardings'!Y16/'Service Days per Month'!Y$5</f>
        <v>554</v>
      </c>
      <c r="Z16" s="62">
        <f>'Total Saturday Boardings'!Z16/'Service Days per Month'!Z$5</f>
        <v>661.33333333333337</v>
      </c>
      <c r="AA16" s="18">
        <f>'Total Saturday Boardings'!AA16/'Service Days per Month'!AA$5</f>
        <v>462.6</v>
      </c>
      <c r="AB16" s="18">
        <f>'Total Saturday Boardings'!AB16/'Service Days per Month'!AB$5</f>
        <v>619.5</v>
      </c>
      <c r="AC16" s="18">
        <f>'Total Saturday Boardings'!AC16/'Service Days per Month'!AC$5</f>
        <v>661.25</v>
      </c>
      <c r="AD16" s="18">
        <f>'Total Saturday Boardings'!AD16/'Service Days per Month'!AD$5</f>
        <v>769.2</v>
      </c>
      <c r="AE16" s="18">
        <f>'Total Saturday Boardings'!AE16/'Service Days per Month'!AE$5</f>
        <v>568</v>
      </c>
      <c r="AF16" s="19">
        <f>'Total Saturday Boardings'!AF16/'Service Days per Month'!AF$5</f>
        <v>495.5</v>
      </c>
      <c r="AG16" s="17">
        <f>'Total Saturday Boardings'!AG16/'Service Days per Month'!AG$5</f>
        <v>503.2</v>
      </c>
      <c r="AH16" s="18">
        <f>'Total Saturday Boardings'!AH16/'Service Days per Month'!AH$5</f>
        <v>562</v>
      </c>
      <c r="AI16" s="18">
        <f>'Total Saturday Boardings'!AI16/'Service Days per Month'!AI$5</f>
        <v>650.25</v>
      </c>
      <c r="AJ16" s="18">
        <f>'Total Saturday Boardings'!AJ16/'Service Days per Month'!AJ$5</f>
        <v>698.4</v>
      </c>
      <c r="AK16" s="18">
        <f>'Total Saturday Boardings'!AK16/'Service Days per Month'!AK$5</f>
        <v>561.75</v>
      </c>
      <c r="AL16" s="18">
        <f>'Total Saturday Boardings'!AL16/'Service Days per Month'!AL$5</f>
        <v>771</v>
      </c>
      <c r="AM16" s="18">
        <f>'Total Saturday Boardings'!AM16/'Service Days per Month'!AM$5</f>
        <v>587.25</v>
      </c>
      <c r="AN16" s="18">
        <f>'Total Saturday Boardings'!AN16/'Service Days per Month'!AN$5</f>
        <v>581</v>
      </c>
      <c r="AO16" s="18">
        <f>'Total Saturday Boardings'!AO16/'Service Days per Month'!AO$5</f>
        <v>631.4</v>
      </c>
      <c r="AP16" s="18">
        <f>'Total Saturday Boardings'!AP16/'Service Days per Month'!AP$5</f>
        <v>829.5</v>
      </c>
      <c r="AQ16" s="18">
        <f>'Total Saturday Boardings'!AQ16/'Service Days per Month'!AQ$5</f>
        <v>656</v>
      </c>
      <c r="AR16" s="19">
        <f>'Total Saturday Boardings'!AR16/'Service Days per Month'!AR$5</f>
        <v>555.20000000000005</v>
      </c>
      <c r="AS16" s="17">
        <f>'Total Saturday Boardings'!AS16/'Service Days per Month'!AS$5</f>
        <v>501.5</v>
      </c>
      <c r="AT16" s="18">
        <f>'Total Saturday Boardings'!AT16/'Service Days per Month'!AT$5</f>
        <v>541.75</v>
      </c>
      <c r="AU16" s="18">
        <f>'Total Saturday Boardings'!AU16/'Service Days per Month'!AU$5</f>
        <v>554.20000000000005</v>
      </c>
      <c r="AV16" s="18">
        <f>'Total Saturday Boardings'!AV16/'Service Days per Month'!AV$5</f>
        <v>704.5</v>
      </c>
      <c r="AW16" s="18">
        <f>'Total Saturday Boardings'!AW16/'Service Days per Month'!AW$5</f>
        <v>594.5</v>
      </c>
      <c r="AX16" s="18">
        <f>'Total Saturday Boardings'!AX16/'Service Days per Month'!AX$5</f>
        <v>659.2</v>
      </c>
      <c r="AY16" s="18">
        <f>'Total Saturday Boardings'!AY16/'Service Days per Month'!AY$5</f>
        <v>629.5</v>
      </c>
      <c r="AZ16" s="18">
        <f>'Total Saturday Boardings'!AZ16/'Service Days per Month'!AZ$5</f>
        <v>692.25</v>
      </c>
      <c r="BA16" s="18">
        <f>'Total Saturday Boardings'!BA16/'Service Days per Month'!BA$5</f>
        <v>689</v>
      </c>
      <c r="BB16" s="18">
        <f>'Total Saturday Boardings'!BB16/'Service Days per Month'!BB$5</f>
        <v>899</v>
      </c>
      <c r="BC16" s="18">
        <f>'Total Saturday Boardings'!BC16/'Service Days per Month'!BC$5</f>
        <v>664.75</v>
      </c>
      <c r="BD16" s="19">
        <f>'Total Saturday Boardings'!BD16/'Service Days per Month'!BD$5</f>
        <v>543.4</v>
      </c>
      <c r="BE16" s="17">
        <f>'Total Saturday Boardings'!BE16/'Service Days per Month'!BE$5</f>
        <v>546.25</v>
      </c>
      <c r="BF16" s="18">
        <f>'Total Saturday Boardings'!BF16/'Service Days per Month'!BF$5</f>
        <v>567.20000000000005</v>
      </c>
      <c r="BG16" s="18">
        <f>'Total Saturday Boardings'!BG16/'Service Days per Month'!BG$5</f>
        <v>599</v>
      </c>
      <c r="BH16" s="18">
        <f>'Total Saturday Boardings'!BH16/'Service Days per Month'!BH$5</f>
        <v>717.25</v>
      </c>
      <c r="BI16" s="18">
        <f>'Total Saturday Boardings'!BI16/'Service Days per Month'!BI$5</f>
        <v>689.87970827608081</v>
      </c>
      <c r="BJ16" s="18">
        <f>'Total Saturday Boardings'!BJ16/'Service Days per Month'!BJ$5</f>
        <v>666.5</v>
      </c>
      <c r="BK16" s="18">
        <f>'Total Saturday Boardings'!BK16/'Service Days per Month'!BK$5</f>
        <v>646.75</v>
      </c>
      <c r="BL16" s="18">
        <f>'Total Saturday Boardings'!BL16/'Service Days per Month'!BL$5</f>
        <v>661.25</v>
      </c>
      <c r="BM16" s="18">
        <f>'Total Saturday Boardings'!BM16/'Service Days per Month'!BM$5</f>
        <v>665.6</v>
      </c>
      <c r="BN16" s="18">
        <f>'Total Saturday Boardings'!BN16/'Service Days per Month'!BN$5</f>
        <v>795.75</v>
      </c>
      <c r="BO16" s="18">
        <f>'Total Saturday Boardings'!BO16/'Service Days per Month'!BO$5</f>
        <v>558.4</v>
      </c>
      <c r="BP16" s="19">
        <f>'Total Saturday Boardings'!BP16/'Service Days per Month'!BP$5</f>
        <v>688.75</v>
      </c>
      <c r="BQ16" s="17">
        <f>'Total Saturday Boardings'!BQ16/'Service Days per Month'!BQ$5</f>
        <v>489.5</v>
      </c>
      <c r="BR16" s="18">
        <f>'Total Saturday Boardings'!BR16/'Service Days per Month'!BR$5</f>
        <v>526.4</v>
      </c>
      <c r="BS16" s="18">
        <f>'Total Saturday Boardings'!BS16/'Service Days per Month'!BS$5</f>
        <v>528.75</v>
      </c>
      <c r="BT16" s="18">
        <f>'Total Saturday Boardings'!BT16/'Service Days per Month'!BT$5</f>
        <v>818.75</v>
      </c>
      <c r="BU16" s="18">
        <f>'Total Saturday Boardings'!BU16/'Service Days per Month'!BU$5</f>
        <v>637.6</v>
      </c>
      <c r="BV16" s="18">
        <f>'Total Saturday Boardings'!BV16/'Service Days per Month'!BV$5</f>
        <v>714.5</v>
      </c>
      <c r="BW16" s="18">
        <f>'Total Saturday Boardings'!BW16/'Service Days per Month'!BW$5</f>
        <v>1021.8</v>
      </c>
      <c r="BX16" s="18">
        <f>'Total Saturday Boardings'!BX16/'Service Days per Month'!BX$5</f>
        <v>696</v>
      </c>
      <c r="BY16" s="18">
        <f>'Total Saturday Boardings'!BY16/'Service Days per Month'!BY$5</f>
        <v>647.25</v>
      </c>
      <c r="BZ16" s="18">
        <f>'Total Saturday Boardings'!BZ16/'Service Days per Month'!BZ$5</f>
        <v>754</v>
      </c>
      <c r="CA16" s="18">
        <f>'Total Saturday Boardings'!CA16/'Service Days per Month'!CA$5</f>
        <v>715.6</v>
      </c>
      <c r="CB16" s="19">
        <f>'Total Saturday Boardings'!CB16/'Service Days per Month'!CB$5</f>
        <v>543</v>
      </c>
      <c r="CC16" s="20">
        <f>'Total Saturday Boardings'!CC16/'Service Days per Month'!CC$5</f>
        <v>616.5</v>
      </c>
      <c r="CD16" s="18">
        <f>'Total Saturday Boardings'!CD16/'Service Days per Month'!CD$5</f>
        <v>507</v>
      </c>
      <c r="CE16" s="18">
        <f>'Total Saturday Boardings'!CE16/'Service Days per Month'!CE$5</f>
        <v>648.25</v>
      </c>
      <c r="CF16" s="18">
        <f>'Total Saturday Boardings'!CF16/'Service Days per Month'!CF$5</f>
        <v>820.4</v>
      </c>
      <c r="CG16" s="18">
        <f>'Total Saturday Boardings'!CG16/'Service Days per Month'!CG$5</f>
        <v>684.5</v>
      </c>
      <c r="CH16" s="18">
        <f>'Total Saturday Boardings'!CH16/'Service Days per Month'!CH$5</f>
        <v>632</v>
      </c>
      <c r="CI16" s="18">
        <f>'Total Saturday Boardings'!CI16/'Service Days per Month'!CI$5</f>
        <v>687.6</v>
      </c>
      <c r="CJ16" s="18">
        <f>'Total Saturday Boardings'!CJ16/'Service Days per Month'!CJ$5</f>
        <v>712.5</v>
      </c>
      <c r="CK16" s="18">
        <f>'Total Saturday Boardings'!CK16/'Service Days per Month'!CK$5</f>
        <v>716.25</v>
      </c>
      <c r="CL16" s="18">
        <f>'Total Saturday Boardings'!CL16/'Service Days per Month'!CL$5</f>
        <v>839</v>
      </c>
      <c r="CM16" s="18">
        <f>'Total Saturday Boardings'!CM16/'Service Days per Month'!CM$5</f>
        <v>689.5</v>
      </c>
      <c r="CN16" s="21">
        <f>'Total Saturday Boardings'!CN16/'Service Days per Month'!CN$5</f>
        <v>650.75</v>
      </c>
      <c r="CO16" s="17">
        <f>'Total Saturday Boardings'!CO16/'Service Days per Month'!CO$5</f>
        <v>597.79999999999995</v>
      </c>
      <c r="CP16" s="18">
        <f>'Total Saturday Boardings'!CP16/'Service Days per Month'!CP$5</f>
        <v>607.25</v>
      </c>
      <c r="CQ16" s="18">
        <f>'Total Saturday Boardings'!CQ16/'Service Days per Month'!CQ$5</f>
        <v>654.75</v>
      </c>
      <c r="CR16" s="18">
        <f>'Total Saturday Boardings'!CR16/'Service Days per Month'!CR$5</f>
        <v>697.2</v>
      </c>
      <c r="CS16" s="18">
        <f>'Total Saturday Boardings'!CS16/'Service Days per Month'!CS$5</f>
        <v>642.5</v>
      </c>
      <c r="CT16" s="18">
        <f>'Total Saturday Boardings'!CT16/'Service Days per Month'!CT$5</f>
        <v>681.75</v>
      </c>
      <c r="CU16" s="18">
        <f>'Total Saturday Boardings'!CU16/'Service Days per Month'!CU$5</f>
        <v>613.5</v>
      </c>
      <c r="CV16" s="18">
        <f>'Total Saturday Boardings'!CV16/'Service Days per Month'!CV$5</f>
        <v>607</v>
      </c>
      <c r="CW16" s="18">
        <f>'Total Saturday Boardings'!CW16/'Service Days per Month'!CW$5</f>
        <v>684.5</v>
      </c>
      <c r="CX16" s="18">
        <f>'Total Saturday Boardings'!CX16/'Service Days per Month'!CX$5</f>
        <v>750.2</v>
      </c>
      <c r="CY16" s="18">
        <f>'Total Saturday Boardings'!CY16/'Service Days per Month'!CY$5</f>
        <v>636</v>
      </c>
      <c r="CZ16" s="19">
        <f>'Total Saturday Boardings'!CZ16/'Service Days per Month'!CZ$5</f>
        <v>557.25</v>
      </c>
      <c r="DA16" s="17">
        <f>'Total Saturday Boardings'!DA16/'Service Days per Month'!DA$5</f>
        <v>562</v>
      </c>
      <c r="DB16" s="18">
        <f>'Total Saturday Boardings'!DB16/'Service Days per Month'!DB$5</f>
        <v>562.5</v>
      </c>
      <c r="DC16" s="18">
        <f>'Total Saturday Boardings'!DC16/'Service Days per Month'!DC$5</f>
        <v>593.6</v>
      </c>
      <c r="DD16" s="18">
        <f>'Total Saturday Boardings'!DD16/'Service Days per Month'!DD$5</f>
        <v>740.75</v>
      </c>
      <c r="DE16" s="18">
        <f>'Total Saturday Boardings'!DE16/'Service Days per Month'!DE$5</f>
        <v>587.25</v>
      </c>
      <c r="DF16" s="18">
        <f>'Total Saturday Boardings'!DF16/'Service Days per Month'!DF$5</f>
        <v>592.20000000000005</v>
      </c>
      <c r="DG16" s="18">
        <f>'Total Saturday Boardings'!DG16/'Service Days per Month'!DG$5</f>
        <v>603.25</v>
      </c>
      <c r="DH16" s="18">
        <f>'Total Saturday Boardings'!DH16/'Service Days per Month'!DH$5</f>
        <v>625</v>
      </c>
      <c r="DI16" s="18">
        <f>'Total Saturday Boardings'!DI16/'Service Days per Month'!DI$5</f>
        <v>691.8</v>
      </c>
      <c r="DJ16" s="18">
        <f>'Total Saturday Boardings'!DJ16/'Service Days per Month'!DJ$5</f>
        <v>640.25</v>
      </c>
      <c r="DK16" s="18">
        <f>'Total Saturday Boardings'!DK16/'Service Days per Month'!DK$5</f>
        <v>640.25</v>
      </c>
      <c r="DL16" s="19">
        <f>'Total Saturday Boardings'!DL16/'Service Days per Month'!DL$5</f>
        <v>559</v>
      </c>
      <c r="DM16" s="17">
        <f>'Total Saturday Boardings'!DM16/'Service Days per Month'!DM$5</f>
        <v>499.75</v>
      </c>
      <c r="DN16" s="18">
        <f>'Total Saturday Boardings'!DN16/'Service Days per Month'!DN$5</f>
        <v>521</v>
      </c>
      <c r="DO16" s="18">
        <f>'Total Saturday Boardings'!DO16/'Service Days per Month'!DO$5</f>
        <v>556.4</v>
      </c>
      <c r="DP16" s="18">
        <f>'Total Saturday Boardings'!DP16/'Service Days per Month'!DP$5</f>
        <v>544.25</v>
      </c>
      <c r="DQ16" s="18">
        <f>'Total Saturday Boardings'!DQ16/'Service Days per Month'!DQ$5</f>
        <v>600</v>
      </c>
      <c r="DR16" s="18">
        <f>'Total Saturday Boardings'!DR16/'Service Days per Month'!DR$5</f>
        <v>605</v>
      </c>
      <c r="DS16" s="18">
        <f>'Total Saturday Boardings'!DS16/'Service Days per Month'!DS$5</f>
        <v>576</v>
      </c>
      <c r="DT16" s="18">
        <f>'Total Saturday Boardings'!DT16/'Service Days per Month'!DT$5</f>
        <v>596</v>
      </c>
      <c r="DU16" s="18">
        <f>'Total Saturday Boardings'!DU16/'Service Days per Month'!DU$5</f>
        <v>671.8</v>
      </c>
      <c r="DV16" s="18">
        <f>'Total Saturday Boardings'!DV16/'Service Days per Month'!DV$5</f>
        <v>640</v>
      </c>
      <c r="DW16" s="18">
        <f>'Total Saturday Boardings'!DW16/'Service Days per Month'!DW$5</f>
        <v>580.5</v>
      </c>
      <c r="DX16" s="19">
        <f>'Total Saturday Boardings'!DX16/'Service Days per Month'!DX$5</f>
        <v>473.8</v>
      </c>
      <c r="DY16" s="17">
        <f>'Total Saturday Boardings'!DY16/'Service Days per Month'!DY$5</f>
        <v>467</v>
      </c>
      <c r="DZ16" s="18">
        <f>'Total Saturday Boardings'!DZ16/'Service Days per Month'!DZ$5</f>
        <v>507.6</v>
      </c>
      <c r="EA16" s="18">
        <f>'Total Saturday Boardings'!EA16/'Service Days per Month'!EA$5</f>
        <v>526.5</v>
      </c>
      <c r="EB16" s="18">
        <f>'Total Saturday Boardings'!EB16/'Service Days per Month'!EB$5</f>
        <v>561.75</v>
      </c>
      <c r="EC16" s="18">
        <f>'Total Saturday Boardings'!EC16/'Service Days per Month'!EC$5</f>
        <v>567.79999999999995</v>
      </c>
      <c r="ED16" s="18">
        <f>'Total Saturday Boardings'!ED16/'Service Days per Month'!ED$5</f>
        <v>561</v>
      </c>
      <c r="EE16" s="18">
        <f>'Total Saturday Boardings'!EE16/'Service Days per Month'!EE$5</f>
        <v>489.75</v>
      </c>
      <c r="EF16" s="18">
        <f>'Total Saturday Boardings'!EF16/'Service Days per Month'!EF$5</f>
        <v>602.4</v>
      </c>
      <c r="EG16" s="18">
        <f>'Total Saturday Boardings'!EG16/'Service Days per Month'!EG$5</f>
        <v>444.25</v>
      </c>
      <c r="EH16" s="18">
        <f>'Total Saturday Boardings'!EH16/'Service Days per Month'!EH$5</f>
        <v>321</v>
      </c>
      <c r="EI16" s="18">
        <f>'Total Saturday Boardings'!EI16/'Service Days per Month'!EI$5</f>
        <v>340</v>
      </c>
      <c r="EJ16" s="19">
        <f>'Total Saturday Boardings'!EJ16/'Service Days per Month'!EJ$5</f>
        <v>288</v>
      </c>
      <c r="EK16" s="17">
        <f>'Total Saturday Boardings'!EK16/'Service Days per Month'!EK$5</f>
        <v>194.75</v>
      </c>
      <c r="EL16" s="18">
        <f>'Total Saturday Boardings'!EL16/'Service Days per Month'!EL$5</f>
        <v>298</v>
      </c>
      <c r="EM16" s="18">
        <f>'Total Saturday Boardings'!EM16/'Service Days per Month'!EM$5</f>
        <v>295</v>
      </c>
      <c r="EN16" s="18">
        <f>'Total Saturday Boardings'!EN16/'Service Days per Month'!EN$5</f>
        <v>293</v>
      </c>
      <c r="EO16" s="18">
        <f>'Total Saturday Boardings'!EO16/'Service Days per Month'!EO$5</f>
        <v>332.25</v>
      </c>
      <c r="EP16" s="18">
        <f>'Total Saturday Boardings'!EP16/'Service Days per Month'!EP$5</f>
        <v>209</v>
      </c>
      <c r="EQ16" s="18">
        <f>'Total Saturday Boardings'!EQ16/'Service Days per Month'!EQ$5</f>
        <v>126.6</v>
      </c>
      <c r="ER16" s="18">
        <f>'Total Saturday Boardings'!ER16/'Service Days per Month'!ER$5</f>
        <v>242.75</v>
      </c>
      <c r="ES16" s="18">
        <f>'Total Saturday Boardings'!ES16/'Service Days per Month'!ES$5</f>
        <v>262</v>
      </c>
      <c r="ET16" s="18">
        <f>'Total Saturday Boardings'!ET16/'Service Days per Month'!ET$5</f>
        <v>316.75</v>
      </c>
      <c r="EU16" s="18">
        <f>'Total Saturday Boardings'!EU16/'Service Days per Month'!EU$5</f>
        <v>286.39999999999998</v>
      </c>
      <c r="EV16" s="19">
        <f>'Total Saturday Boardings'!EV16/'Service Days per Month'!EV$5</f>
        <v>275.25</v>
      </c>
      <c r="EW16" s="17">
        <f>'Total Saturday Boardings'!EW16/'Service Days per Month'!EW$5</f>
        <v>265.8</v>
      </c>
      <c r="EX16" s="18">
        <f>'Total Saturday Boardings'!EX16/'Service Days per Month'!EX$5</f>
        <v>278.5</v>
      </c>
      <c r="EY16" s="18">
        <f>'Total Saturday Boardings'!EY16/'Service Days per Month'!EY$5</f>
        <v>265.75</v>
      </c>
      <c r="EZ16" s="18">
        <f>'Total Saturday Boardings'!EZ16/'Service Days per Month'!EZ$5</f>
        <v>285.8</v>
      </c>
      <c r="FA16" s="18">
        <f>'Total Saturday Boardings'!FA16/'Service Days per Month'!FA$5</f>
        <v>318.25</v>
      </c>
      <c r="FB16" s="18">
        <f>'Total Saturday Boardings'!FB16/'Service Days per Month'!FB$5</f>
        <v>318</v>
      </c>
      <c r="FC16" s="18">
        <f>'Total Saturday Boardings'!FC16/'Service Days per Month'!FC$5</f>
        <v>305.2</v>
      </c>
      <c r="FD16" s="18">
        <f>'Total Saturday Boardings'!FD16/'Service Days per Month'!FD$5</f>
        <v>315.25</v>
      </c>
      <c r="FE16" s="18">
        <f>'Total Saturday Boardings'!FE16/'Service Days per Month'!FE$5</f>
        <v>363</v>
      </c>
      <c r="FF16" s="18">
        <f>'Total Saturday Boardings'!FF16/'Service Days per Month'!FF$5</f>
        <v>353.2</v>
      </c>
      <c r="FG16" s="18">
        <f>'Total Saturday Boardings'!FG16/'Service Days per Month'!FG$5</f>
        <v>318.5</v>
      </c>
      <c r="FH16" s="19">
        <f>'Total Saturday Boardings'!FH16/'Service Days per Month'!FH$5</f>
        <v>290</v>
      </c>
      <c r="FI16" s="17">
        <v>237.8</v>
      </c>
      <c r="FJ16" s="18">
        <v>273</v>
      </c>
      <c r="FK16" s="18">
        <v>287.75</v>
      </c>
      <c r="FL16" s="18">
        <v>289.8</v>
      </c>
      <c r="FM16" s="18">
        <v>267.8</v>
      </c>
      <c r="FN16" s="18">
        <v>290</v>
      </c>
      <c r="FO16" s="18">
        <v>284</v>
      </c>
      <c r="FP16" s="18">
        <v>488.75</v>
      </c>
      <c r="FQ16" s="18">
        <v>369.25</v>
      </c>
      <c r="FR16" s="18">
        <f>'Total Saturday Boardings'!FR16/5</f>
        <v>337.2</v>
      </c>
      <c r="FS16" s="18">
        <f>'Total Saturday Boardings'!FS16/4</f>
        <v>395.25</v>
      </c>
      <c r="FT16" s="19">
        <f>'Total Saturday Boardings'!FT16/4</f>
        <v>366</v>
      </c>
      <c r="FU16" s="17">
        <f>'Total Saturday Boardings'!FU16/5</f>
        <v>361.2</v>
      </c>
      <c r="FV16" s="18">
        <f>'Total Saturday Boardings'!FV16/4</f>
        <v>370.25</v>
      </c>
      <c r="FW16" s="18">
        <f>'Total Saturday Boardings'!FW16/5</f>
        <v>308.8</v>
      </c>
      <c r="FX16" s="18">
        <f>'Total Saturday Boardings'!FX16/4</f>
        <v>371.75</v>
      </c>
      <c r="FY16" s="18">
        <f>'Total Saturday Boardings'!FY16/4</f>
        <v>325.75</v>
      </c>
      <c r="FZ16" s="18">
        <f>'Total Saturday Boardings'!FZ16/5</f>
        <v>375.2</v>
      </c>
      <c r="GA16" s="18">
        <f>'Total Saturday Boardings'!GA16/4</f>
        <v>376</v>
      </c>
      <c r="GB16" s="18">
        <f>'Total Saturday Boardings'!GB16/4</f>
        <v>373</v>
      </c>
      <c r="GC16" s="18">
        <f>'Total Saturday Boardings'!GC16/5</f>
        <v>391.4</v>
      </c>
      <c r="GD16" s="18">
        <f>'Total Saturday Boardings'!GD16/4</f>
        <v>365</v>
      </c>
      <c r="GE16" s="18">
        <f>'Total Saturday Boardings'!GE16/4</f>
        <v>395.25</v>
      </c>
      <c r="GF16" s="18">
        <f>'Total Saturday Boardings'!GF16/5</f>
        <v>348.4</v>
      </c>
      <c r="GG16" s="18">
        <f>'Total Saturday Boardings'!GG16/4</f>
        <v>364.75</v>
      </c>
      <c r="GH16" s="18">
        <f>'Total Saturday Boardings'!GH16/5</f>
        <v>399.4</v>
      </c>
      <c r="GI16" s="18">
        <f>'Total Saturday Boardings'!GI16/4</f>
        <v>356.5</v>
      </c>
      <c r="GJ16" s="18">
        <f>'Total Saturday Boardings'!GJ16/4</f>
        <v>365.25</v>
      </c>
      <c r="GK16" s="18">
        <f>'Total Saturday Boardings'!GK16/5</f>
        <v>377.6</v>
      </c>
      <c r="GL16" s="18">
        <f>'Total Saturday Boardings'!GL16/4</f>
        <v>327.25</v>
      </c>
    </row>
    <row r="17" spans="1:194" x14ac:dyDescent="0.3">
      <c r="A17" s="3" t="s">
        <v>10</v>
      </c>
      <c r="B17" s="17"/>
      <c r="C17" s="18">
        <f>'Total Saturday Boardings'!C17/'Service Days per Month'!C$5</f>
        <v>669.6</v>
      </c>
      <c r="D17" s="18">
        <f>'Total Saturday Boardings'!D17/'Service Days per Month'!D$5</f>
        <v>1001.5</v>
      </c>
      <c r="E17" s="18">
        <f>'Total Saturday Boardings'!E17/'Service Days per Month'!E$5</f>
        <v>846.5</v>
      </c>
      <c r="F17" s="18">
        <f>'Total Saturday Boardings'!F17/'Service Days per Month'!F$5</f>
        <v>985.5</v>
      </c>
      <c r="G17" s="18">
        <f>'Total Saturday Boardings'!G17/'Service Days per Month'!G$5</f>
        <v>663</v>
      </c>
      <c r="H17" s="19">
        <f>'Total Saturday Boardings'!H17/'Service Days per Month'!H$5</f>
        <v>741.75</v>
      </c>
      <c r="I17" s="17">
        <f>'Total Saturday Boardings'!I17/'Service Days per Month'!I$5</f>
        <v>839.66666666666663</v>
      </c>
      <c r="J17" s="18">
        <f>'Total Saturday Boardings'!J17/'Service Days per Month'!J$5</f>
        <v>568.20000000000005</v>
      </c>
      <c r="K17" s="18">
        <f>'Total Saturday Boardings'!K17/'Service Days per Month'!K$5</f>
        <v>764.5</v>
      </c>
      <c r="L17" s="18">
        <f>'Total Saturday Boardings'!L17/'Service Days per Month'!L$5</f>
        <v>688</v>
      </c>
      <c r="M17" s="18">
        <f>'Total Saturday Boardings'!M17/'Service Days per Month'!M$5</f>
        <v>767.5</v>
      </c>
      <c r="N17" s="18">
        <f>'Total Saturday Boardings'!N17/'Service Days per Month'!N$5</f>
        <v>832.75</v>
      </c>
      <c r="O17" s="62">
        <f>'Total Saturday Boardings'!O17/'Service Days per Month'!O$5</f>
        <v>738.4</v>
      </c>
      <c r="P17" s="62">
        <f>'Total Saturday Boardings'!P17/'Service Days per Month'!P$5</f>
        <v>877</v>
      </c>
      <c r="Q17" s="62">
        <f>'Total Saturday Boardings'!Q17/'Service Days per Month'!Q$5</f>
        <v>845.5</v>
      </c>
      <c r="R17" s="62">
        <f>'Total Saturday Boardings'!R17/'Service Days per Month'!R$5</f>
        <v>947.25</v>
      </c>
      <c r="S17" s="62">
        <f>'Total Saturday Boardings'!S17/'Service Days per Month'!S$5</f>
        <v>623.4</v>
      </c>
      <c r="T17" s="63">
        <f>'Total Saturday Boardings'!T17/'Service Days per Month'!T$5</f>
        <v>706.25</v>
      </c>
      <c r="U17" s="64">
        <f>'Total Saturday Boardings'!U17/'Service Days per Month'!U$5</f>
        <v>741</v>
      </c>
      <c r="V17" s="62">
        <f>'Total Saturday Boardings'!V17/'Service Days per Month'!V$5</f>
        <v>770.75</v>
      </c>
      <c r="W17" s="62">
        <f>'Total Saturday Boardings'!W17/'Service Days per Month'!W$5</f>
        <v>821.5</v>
      </c>
      <c r="X17" s="62">
        <f>'Total Saturday Boardings'!X17/'Service Days per Month'!X$5</f>
        <v>635.79999999999995</v>
      </c>
      <c r="Y17" s="62">
        <f>'Total Saturday Boardings'!Y17/'Service Days per Month'!Y$5</f>
        <v>813.75</v>
      </c>
      <c r="Z17" s="62">
        <f>'Total Saturday Boardings'!Z17/'Service Days per Month'!Z$5</f>
        <v>869.66666666666663</v>
      </c>
      <c r="AA17" s="18">
        <f>'Total Saturday Boardings'!AA17/'Service Days per Month'!AA$5</f>
        <v>709.4</v>
      </c>
      <c r="AB17" s="18">
        <f>'Total Saturday Boardings'!AB17/'Service Days per Month'!AB$5</f>
        <v>861</v>
      </c>
      <c r="AC17" s="18">
        <f>'Total Saturday Boardings'!AC17/'Service Days per Month'!AC$5</f>
        <v>972.75</v>
      </c>
      <c r="AD17" s="18">
        <f>'Total Saturday Boardings'!AD17/'Service Days per Month'!AD$5</f>
        <v>993.2</v>
      </c>
      <c r="AE17" s="18">
        <f>'Total Saturday Boardings'!AE17/'Service Days per Month'!AE$5</f>
        <v>813.75</v>
      </c>
      <c r="AF17" s="19">
        <f>'Total Saturday Boardings'!AF17/'Service Days per Month'!AF$5</f>
        <v>720.25</v>
      </c>
      <c r="AG17" s="17">
        <f>'Total Saturday Boardings'!AG17/'Service Days per Month'!AG$5</f>
        <v>727.2</v>
      </c>
      <c r="AH17" s="18">
        <f>'Total Saturday Boardings'!AH17/'Service Days per Month'!AH$5</f>
        <v>830.75</v>
      </c>
      <c r="AI17" s="18">
        <f>'Total Saturday Boardings'!AI17/'Service Days per Month'!AI$5</f>
        <v>945.5</v>
      </c>
      <c r="AJ17" s="18">
        <f>'Total Saturday Boardings'!AJ17/'Service Days per Month'!AJ$5</f>
        <v>962.4</v>
      </c>
      <c r="AK17" s="18">
        <f>'Total Saturday Boardings'!AK17/'Service Days per Month'!AK$5</f>
        <v>775.75</v>
      </c>
      <c r="AL17" s="18">
        <f>'Total Saturday Boardings'!AL17/'Service Days per Month'!AL$5</f>
        <v>1130.75</v>
      </c>
      <c r="AM17" s="18">
        <f>'Total Saturday Boardings'!AM17/'Service Days per Month'!AM$5</f>
        <v>866.25</v>
      </c>
      <c r="AN17" s="18">
        <f>'Total Saturday Boardings'!AN17/'Service Days per Month'!AN$5</f>
        <v>886</v>
      </c>
      <c r="AO17" s="18">
        <f>'Total Saturday Boardings'!AO17/'Service Days per Month'!AO$5</f>
        <v>958.2</v>
      </c>
      <c r="AP17" s="18">
        <f>'Total Saturday Boardings'!AP17/'Service Days per Month'!AP$5</f>
        <v>1091.25</v>
      </c>
      <c r="AQ17" s="18">
        <f>'Total Saturday Boardings'!AQ17/'Service Days per Month'!AQ$5</f>
        <v>917.75</v>
      </c>
      <c r="AR17" s="19">
        <f>'Total Saturday Boardings'!AR17/'Service Days per Month'!AR$5</f>
        <v>871.4</v>
      </c>
      <c r="AS17" s="17">
        <f>'Total Saturday Boardings'!AS17/'Service Days per Month'!AS$5</f>
        <v>800.75</v>
      </c>
      <c r="AT17" s="18">
        <f>'Total Saturday Boardings'!AT17/'Service Days per Month'!AT$5</f>
        <v>836.75</v>
      </c>
      <c r="AU17" s="18">
        <f>'Total Saturday Boardings'!AU17/'Service Days per Month'!AU$5</f>
        <v>975.4</v>
      </c>
      <c r="AV17" s="18">
        <f>'Total Saturday Boardings'!AV17/'Service Days per Month'!AV$5</f>
        <v>1072.25</v>
      </c>
      <c r="AW17" s="18">
        <f>'Total Saturday Boardings'!AW17/'Service Days per Month'!AW$5</f>
        <v>989.25</v>
      </c>
      <c r="AX17" s="18">
        <f>'Total Saturday Boardings'!AX17/'Service Days per Month'!AX$5</f>
        <v>935.4</v>
      </c>
      <c r="AY17" s="18">
        <f>'Total Saturday Boardings'!AY17/'Service Days per Month'!AY$5</f>
        <v>958.25</v>
      </c>
      <c r="AZ17" s="18">
        <f>'Total Saturday Boardings'!AZ17/'Service Days per Month'!AZ$5</f>
        <v>981.25</v>
      </c>
      <c r="BA17" s="18">
        <f>'Total Saturday Boardings'!BA17/'Service Days per Month'!BA$5</f>
        <v>1005.6</v>
      </c>
      <c r="BB17" s="18">
        <f>'Total Saturday Boardings'!BB17/'Service Days per Month'!BB$5</f>
        <v>1165.75</v>
      </c>
      <c r="BC17" s="18">
        <f>'Total Saturday Boardings'!BC17/'Service Days per Month'!BC$5</f>
        <v>1050.25</v>
      </c>
      <c r="BD17" s="19">
        <f>'Total Saturday Boardings'!BD17/'Service Days per Month'!BD$5</f>
        <v>814.4</v>
      </c>
      <c r="BE17" s="17">
        <f>'Total Saturday Boardings'!BE17/'Service Days per Month'!BE$5</f>
        <v>797</v>
      </c>
      <c r="BF17" s="18">
        <f>'Total Saturday Boardings'!BF17/'Service Days per Month'!BF$5</f>
        <v>916.4</v>
      </c>
      <c r="BG17" s="18">
        <f>'Total Saturday Boardings'!BG17/'Service Days per Month'!BG$5</f>
        <v>946.75</v>
      </c>
      <c r="BH17" s="18">
        <f>'Total Saturday Boardings'!BH17/'Service Days per Month'!BH$5</f>
        <v>972</v>
      </c>
      <c r="BI17" s="18">
        <f>'Total Saturday Boardings'!BI17/'Service Days per Month'!BI$5</f>
        <v>946.49987950533773</v>
      </c>
      <c r="BJ17" s="18">
        <f>'Total Saturday Boardings'!BJ17/'Service Days per Month'!BJ$5</f>
        <v>895.5</v>
      </c>
      <c r="BK17" s="18">
        <f>'Total Saturday Boardings'!BK17/'Service Days per Month'!BK$5</f>
        <v>929.75</v>
      </c>
      <c r="BL17" s="18">
        <f>'Total Saturday Boardings'!BL17/'Service Days per Month'!BL$5</f>
        <v>1019.5</v>
      </c>
      <c r="BM17" s="18">
        <f>'Total Saturday Boardings'!BM17/'Service Days per Month'!BM$5</f>
        <v>1082.2</v>
      </c>
      <c r="BN17" s="18">
        <f>'Total Saturday Boardings'!BN17/'Service Days per Month'!BN$5</f>
        <v>1089.75</v>
      </c>
      <c r="BO17" s="18">
        <f>'Total Saturday Boardings'!BO17/'Service Days per Month'!BO$5</f>
        <v>907.8</v>
      </c>
      <c r="BP17" s="19">
        <f>'Total Saturday Boardings'!BP17/'Service Days per Month'!BP$5</f>
        <v>1034.25</v>
      </c>
      <c r="BQ17" s="17">
        <f>'Total Saturday Boardings'!BQ17/'Service Days per Month'!BQ$5</f>
        <v>770.75</v>
      </c>
      <c r="BR17" s="18">
        <f>'Total Saturday Boardings'!BR17/'Service Days per Month'!BR$5</f>
        <v>847.6</v>
      </c>
      <c r="BS17" s="18">
        <f>'Total Saturday Boardings'!BS17/'Service Days per Month'!BS$5</f>
        <v>846</v>
      </c>
      <c r="BT17" s="18">
        <f>'Total Saturday Boardings'!BT17/'Service Days per Month'!BT$5</f>
        <v>1049.75</v>
      </c>
      <c r="BU17" s="18">
        <f>'Total Saturday Boardings'!BU17/'Service Days per Month'!BU$5</f>
        <v>903.4</v>
      </c>
      <c r="BV17" s="18">
        <f>'Total Saturday Boardings'!BV17/'Service Days per Month'!BV$5</f>
        <v>968</v>
      </c>
      <c r="BW17" s="18">
        <f>'Total Saturday Boardings'!BW17/'Service Days per Month'!BW$5</f>
        <v>1329.8</v>
      </c>
      <c r="BX17" s="18">
        <f>'Total Saturday Boardings'!BX17/'Service Days per Month'!BX$5</f>
        <v>926.75</v>
      </c>
      <c r="BY17" s="18">
        <f>'Total Saturday Boardings'!BY17/'Service Days per Month'!BY$5</f>
        <v>1021.75</v>
      </c>
      <c r="BZ17" s="18">
        <f>'Total Saturday Boardings'!BZ17/'Service Days per Month'!BZ$5</f>
        <v>1014</v>
      </c>
      <c r="CA17" s="18">
        <f>'Total Saturday Boardings'!CA17/'Service Days per Month'!CA$5</f>
        <v>1302.2</v>
      </c>
      <c r="CB17" s="19">
        <f>'Total Saturday Boardings'!CB17/'Service Days per Month'!CB$5</f>
        <v>833.75</v>
      </c>
      <c r="CC17" s="20">
        <f>'Total Saturday Boardings'!CC17/'Service Days per Month'!CC$5</f>
        <v>829.25</v>
      </c>
      <c r="CD17" s="18">
        <f>'Total Saturday Boardings'!CD17/'Service Days per Month'!CD$5</f>
        <v>784.4</v>
      </c>
      <c r="CE17" s="18">
        <f>'Total Saturday Boardings'!CE17/'Service Days per Month'!CE$5</f>
        <v>897.5</v>
      </c>
      <c r="CF17" s="18">
        <f>'Total Saturday Boardings'!CF17/'Service Days per Month'!CF$5</f>
        <v>1068</v>
      </c>
      <c r="CG17" s="18">
        <f>'Total Saturday Boardings'!CG17/'Service Days per Month'!CG$5</f>
        <v>945</v>
      </c>
      <c r="CH17" s="18">
        <f>'Total Saturday Boardings'!CH17/'Service Days per Month'!CH$5</f>
        <v>878.25</v>
      </c>
      <c r="CI17" s="18">
        <f>'Total Saturday Boardings'!CI17/'Service Days per Month'!CI$5</f>
        <v>981.6</v>
      </c>
      <c r="CJ17" s="18">
        <f>'Total Saturday Boardings'!CJ17/'Service Days per Month'!CJ$5</f>
        <v>979.5</v>
      </c>
      <c r="CK17" s="18">
        <f>'Total Saturday Boardings'!CK17/'Service Days per Month'!CK$5</f>
        <v>1003.75</v>
      </c>
      <c r="CL17" s="18">
        <f>'Total Saturday Boardings'!CL17/'Service Days per Month'!CL$5</f>
        <v>1133.2</v>
      </c>
      <c r="CM17" s="18">
        <f>'Total Saturday Boardings'!CM17/'Service Days per Month'!CM$5</f>
        <v>951</v>
      </c>
      <c r="CN17" s="21">
        <f>'Total Saturday Boardings'!CN17/'Service Days per Month'!CN$5</f>
        <v>952</v>
      </c>
      <c r="CO17" s="17">
        <f>'Total Saturday Boardings'!CO17/'Service Days per Month'!CO$5</f>
        <v>933.4</v>
      </c>
      <c r="CP17" s="18">
        <f>'Total Saturday Boardings'!CP17/'Service Days per Month'!CP$5</f>
        <v>900.25</v>
      </c>
      <c r="CQ17" s="18">
        <f>'Total Saturday Boardings'!CQ17/'Service Days per Month'!CQ$5</f>
        <v>985.5</v>
      </c>
      <c r="CR17" s="18">
        <f>'Total Saturday Boardings'!CR17/'Service Days per Month'!CR$5</f>
        <v>1021.4</v>
      </c>
      <c r="CS17" s="18">
        <f>'Total Saturday Boardings'!CS17/'Service Days per Month'!CS$5</f>
        <v>936.5</v>
      </c>
      <c r="CT17" s="18">
        <f>'Total Saturday Boardings'!CT17/'Service Days per Month'!CT$5</f>
        <v>1038</v>
      </c>
      <c r="CU17" s="18">
        <f>'Total Saturday Boardings'!CU17/'Service Days per Month'!CU$5</f>
        <v>952.25</v>
      </c>
      <c r="CV17" s="18">
        <f>'Total Saturday Boardings'!CV17/'Service Days per Month'!CV$5</f>
        <v>1060.5</v>
      </c>
      <c r="CW17" s="18">
        <f>'Total Saturday Boardings'!CW17/'Service Days per Month'!CW$5</f>
        <v>1010.25</v>
      </c>
      <c r="CX17" s="18">
        <f>'Total Saturday Boardings'!CX17/'Service Days per Month'!CX$5</f>
        <v>1109.8</v>
      </c>
      <c r="CY17" s="18">
        <f>'Total Saturday Boardings'!CY17/'Service Days per Month'!CY$5</f>
        <v>1015.5</v>
      </c>
      <c r="CZ17" s="19">
        <f>'Total Saturday Boardings'!CZ17/'Service Days per Month'!CZ$5</f>
        <v>870.25</v>
      </c>
      <c r="DA17" s="17">
        <f>'Total Saturday Boardings'!DA17/'Service Days per Month'!DA$5</f>
        <v>826.6</v>
      </c>
      <c r="DB17" s="18">
        <f>'Total Saturday Boardings'!DB17/'Service Days per Month'!DB$5</f>
        <v>848</v>
      </c>
      <c r="DC17" s="18">
        <f>'Total Saturday Boardings'!DC17/'Service Days per Month'!DC$5</f>
        <v>901.4</v>
      </c>
      <c r="DD17" s="18">
        <f>'Total Saturday Boardings'!DD17/'Service Days per Month'!DD$5</f>
        <v>986.5</v>
      </c>
      <c r="DE17" s="18">
        <f>'Total Saturday Boardings'!DE17/'Service Days per Month'!DE$5</f>
        <v>917</v>
      </c>
      <c r="DF17" s="18">
        <f>'Total Saturday Boardings'!DF17/'Service Days per Month'!DF$5</f>
        <v>886.6</v>
      </c>
      <c r="DG17" s="18">
        <f>'Total Saturday Boardings'!DG17/'Service Days per Month'!DG$5</f>
        <v>925.75</v>
      </c>
      <c r="DH17" s="18">
        <f>'Total Saturday Boardings'!DH17/'Service Days per Month'!DH$5</f>
        <v>1028.25</v>
      </c>
      <c r="DI17" s="18">
        <f>'Total Saturday Boardings'!DI17/'Service Days per Month'!DI$5</f>
        <v>1014.8</v>
      </c>
      <c r="DJ17" s="18">
        <f>'Total Saturday Boardings'!DJ17/'Service Days per Month'!DJ$5</f>
        <v>991.25</v>
      </c>
      <c r="DK17" s="18">
        <f>'Total Saturday Boardings'!DK17/'Service Days per Month'!DK$5</f>
        <v>964</v>
      </c>
      <c r="DL17" s="19">
        <f>'Total Saturday Boardings'!DL17/'Service Days per Month'!DL$5</f>
        <v>822.6</v>
      </c>
      <c r="DM17" s="17">
        <f>'Total Saturday Boardings'!DM17/'Service Days per Month'!DM$5</f>
        <v>829.25</v>
      </c>
      <c r="DN17" s="18">
        <f>'Total Saturday Boardings'!DN17/'Service Days per Month'!DN$5</f>
        <v>832.75</v>
      </c>
      <c r="DO17" s="18">
        <f>'Total Saturday Boardings'!DO17/'Service Days per Month'!DO$5</f>
        <v>845.4</v>
      </c>
      <c r="DP17" s="18">
        <f>'Total Saturday Boardings'!DP17/'Service Days per Month'!DP$5</f>
        <v>873.25</v>
      </c>
      <c r="DQ17" s="18">
        <f>'Total Saturday Boardings'!DQ17/'Service Days per Month'!DQ$5</f>
        <v>917.25</v>
      </c>
      <c r="DR17" s="18">
        <f>'Total Saturday Boardings'!DR17/'Service Days per Month'!DR$5</f>
        <v>940.6</v>
      </c>
      <c r="DS17" s="18">
        <f>'Total Saturday Boardings'!DS17/'Service Days per Month'!DS$5</f>
        <v>870</v>
      </c>
      <c r="DT17" s="18">
        <f>'Total Saturday Boardings'!DT17/'Service Days per Month'!DT$5</f>
        <v>888.75</v>
      </c>
      <c r="DU17" s="18">
        <f>'Total Saturday Boardings'!DU17/'Service Days per Month'!DU$5</f>
        <v>1010</v>
      </c>
      <c r="DV17" s="18">
        <f>'Total Saturday Boardings'!DV17/'Service Days per Month'!DV$5</f>
        <v>931.25</v>
      </c>
      <c r="DW17" s="18">
        <f>'Total Saturday Boardings'!DW17/'Service Days per Month'!DW$5</f>
        <v>940.25</v>
      </c>
      <c r="DX17" s="19">
        <f>'Total Saturday Boardings'!DX17/'Service Days per Month'!DX$5</f>
        <v>827.4</v>
      </c>
      <c r="DY17" s="17">
        <f>'Total Saturday Boardings'!DY17/'Service Days per Month'!DY$5</f>
        <v>759.75</v>
      </c>
      <c r="DZ17" s="18">
        <f>'Total Saturday Boardings'!DZ17/'Service Days per Month'!DZ$5</f>
        <v>896</v>
      </c>
      <c r="EA17" s="18">
        <f>'Total Saturday Boardings'!EA17/'Service Days per Month'!EA$5</f>
        <v>800.75</v>
      </c>
      <c r="EB17" s="18">
        <f>'Total Saturday Boardings'!EB17/'Service Days per Month'!EB$5</f>
        <v>859.5</v>
      </c>
      <c r="EC17" s="18">
        <f>'Total Saturday Boardings'!EC17/'Service Days per Month'!EC$5</f>
        <v>927.8</v>
      </c>
      <c r="ED17" s="18">
        <f>'Total Saturday Boardings'!ED17/'Service Days per Month'!ED$5</f>
        <v>767</v>
      </c>
      <c r="EE17" s="18">
        <f>'Total Saturday Boardings'!EE17/'Service Days per Month'!EE$5</f>
        <v>763.25</v>
      </c>
      <c r="EF17" s="18">
        <f>'Total Saturday Boardings'!EF17/'Service Days per Month'!EF$5</f>
        <v>885.8</v>
      </c>
      <c r="EG17" s="18">
        <f>'Total Saturday Boardings'!EG17/'Service Days per Month'!EG$5</f>
        <v>757.75</v>
      </c>
      <c r="EH17" s="18">
        <f>'Total Saturday Boardings'!EH17/'Service Days per Month'!EH$5</f>
        <v>462</v>
      </c>
      <c r="EI17" s="18">
        <f>'Total Saturday Boardings'!EI17/'Service Days per Month'!EI$5</f>
        <v>430.4</v>
      </c>
      <c r="EJ17" s="19">
        <f>'Total Saturday Boardings'!EJ17/'Service Days per Month'!EJ$5</f>
        <v>459.75</v>
      </c>
      <c r="EK17" s="17">
        <f>'Total Saturday Boardings'!EK17/'Service Days per Month'!EK$5</f>
        <v>294.25</v>
      </c>
      <c r="EL17" s="18">
        <f>'Total Saturday Boardings'!EL17/'Service Days per Month'!EL$5</f>
        <v>390.4</v>
      </c>
      <c r="EM17" s="18">
        <f>'Total Saturday Boardings'!EM17/'Service Days per Month'!EM$5</f>
        <v>415.75</v>
      </c>
      <c r="EN17" s="18">
        <f>'Total Saturday Boardings'!EN17/'Service Days per Month'!EN$5</f>
        <v>430.8</v>
      </c>
      <c r="EO17" s="18">
        <f>'Total Saturday Boardings'!EO17/'Service Days per Month'!EO$5</f>
        <v>553.25</v>
      </c>
      <c r="EP17" s="18">
        <f>'Total Saturday Boardings'!EP17/'Service Days per Month'!EP$5</f>
        <v>302</v>
      </c>
      <c r="EQ17" s="18">
        <f>'Total Saturday Boardings'!EQ17/'Service Days per Month'!EQ$5</f>
        <v>217</v>
      </c>
      <c r="ER17" s="18">
        <f>'Total Saturday Boardings'!ER17/'Service Days per Month'!ER$5</f>
        <v>402.25</v>
      </c>
      <c r="ES17" s="18">
        <f>'Total Saturday Boardings'!ES17/'Service Days per Month'!ES$5</f>
        <v>398</v>
      </c>
      <c r="ET17" s="18">
        <f>'Total Saturday Boardings'!ET17/'Service Days per Month'!ET$5</f>
        <v>474.5</v>
      </c>
      <c r="EU17" s="18">
        <f>'Total Saturday Boardings'!EU17/'Service Days per Month'!EU$5</f>
        <v>418</v>
      </c>
      <c r="EV17" s="19">
        <f>'Total Saturday Boardings'!EV17/'Service Days per Month'!EV$5</f>
        <v>449.5</v>
      </c>
      <c r="EW17" s="17">
        <f>'Total Saturday Boardings'!EW17/'Service Days per Month'!EW$5</f>
        <v>442.6</v>
      </c>
      <c r="EX17" s="18">
        <f>'Total Saturday Boardings'!EX17/'Service Days per Month'!EX$5</f>
        <v>512</v>
      </c>
      <c r="EY17" s="18">
        <f>'Total Saturday Boardings'!EY17/'Service Days per Month'!EY$5</f>
        <v>475.75</v>
      </c>
      <c r="EZ17" s="18">
        <f>'Total Saturday Boardings'!EZ17/'Service Days per Month'!EZ$5</f>
        <v>517.79999999999995</v>
      </c>
      <c r="FA17" s="18">
        <f>'Total Saturday Boardings'!FA17/'Service Days per Month'!FA$5</f>
        <v>582</v>
      </c>
      <c r="FB17" s="18">
        <f>'Total Saturday Boardings'!FB17/'Service Days per Month'!FB$5</f>
        <v>499.25</v>
      </c>
      <c r="FC17" s="18">
        <f>'Total Saturday Boardings'!FC17/'Service Days per Month'!FC$5</f>
        <v>461.4</v>
      </c>
      <c r="FD17" s="18">
        <f>'Total Saturday Boardings'!FD17/'Service Days per Month'!FD$5</f>
        <v>575.5</v>
      </c>
      <c r="FE17" s="18">
        <f>'Total Saturday Boardings'!FE17/'Service Days per Month'!FE$5</f>
        <v>738.25</v>
      </c>
      <c r="FF17" s="18">
        <f>'Total Saturday Boardings'!FF17/'Service Days per Month'!FF$5</f>
        <v>655.4</v>
      </c>
      <c r="FG17" s="18">
        <f>'Total Saturday Boardings'!FG17/'Service Days per Month'!FG$5</f>
        <v>604.5</v>
      </c>
      <c r="FH17" s="19">
        <f>'Total Saturday Boardings'!FH17/'Service Days per Month'!FH$5</f>
        <v>447</v>
      </c>
      <c r="FI17" s="17">
        <v>472.6</v>
      </c>
      <c r="FJ17" s="18">
        <v>523.75</v>
      </c>
      <c r="FK17" s="18">
        <v>554.25</v>
      </c>
      <c r="FL17" s="18">
        <v>550.79999999999995</v>
      </c>
      <c r="FM17" s="18">
        <v>523.79999999999995</v>
      </c>
      <c r="FN17" s="18">
        <v>510.2</v>
      </c>
      <c r="FO17" s="18">
        <v>476.2</v>
      </c>
      <c r="FP17" s="18">
        <v>811.5</v>
      </c>
      <c r="FQ17" s="18">
        <v>742.25</v>
      </c>
      <c r="FR17" s="18">
        <f>'Total Saturday Boardings'!FR17/5</f>
        <v>610.20000000000005</v>
      </c>
      <c r="FS17" s="18">
        <f>'Total Saturday Boardings'!FS17/4</f>
        <v>613.75</v>
      </c>
      <c r="FT17" s="19">
        <f>'Total Saturday Boardings'!FT17/4</f>
        <v>647.25</v>
      </c>
      <c r="FU17" s="17">
        <f>'Total Saturday Boardings'!FU17/5</f>
        <v>547.6</v>
      </c>
      <c r="FV17" s="18">
        <f>'Total Saturday Boardings'!FV17/4</f>
        <v>563.75</v>
      </c>
      <c r="FW17" s="18">
        <f>'Total Saturday Boardings'!FW17/5</f>
        <v>575.79999999999995</v>
      </c>
      <c r="FX17" s="18">
        <f>'Total Saturday Boardings'!FX17/4</f>
        <v>681.25</v>
      </c>
      <c r="FY17" s="18">
        <f>'Total Saturday Boardings'!FY17/4</f>
        <v>648.25</v>
      </c>
      <c r="FZ17" s="18">
        <f>'Total Saturday Boardings'!FZ17/5</f>
        <v>613</v>
      </c>
      <c r="GA17" s="18">
        <f>'Total Saturday Boardings'!GA17/4</f>
        <v>661.25</v>
      </c>
      <c r="GB17" s="18">
        <f>'Total Saturday Boardings'!GB17/4</f>
        <v>718.5</v>
      </c>
      <c r="GC17" s="18">
        <f>'Total Saturday Boardings'!GC17/5</f>
        <v>748</v>
      </c>
      <c r="GD17" s="18">
        <f>'Total Saturday Boardings'!GD17/4</f>
        <v>731.25</v>
      </c>
      <c r="GE17" s="18">
        <f>'Total Saturday Boardings'!GE17/4</f>
        <v>738.25</v>
      </c>
      <c r="GF17" s="18">
        <f>'Total Saturday Boardings'!GF17/5</f>
        <v>642.6</v>
      </c>
      <c r="GG17" s="18">
        <f>'Total Saturday Boardings'!GG17/4</f>
        <v>633.25</v>
      </c>
      <c r="GH17" s="18">
        <f>'Total Saturday Boardings'!GH17/5</f>
        <v>719.4</v>
      </c>
      <c r="GI17" s="18">
        <f>'Total Saturday Boardings'!GI17/4</f>
        <v>699</v>
      </c>
      <c r="GJ17" s="18">
        <f>'Total Saturday Boardings'!GJ17/4</f>
        <v>656.25</v>
      </c>
      <c r="GK17" s="18">
        <f>'Total Saturday Boardings'!GK17/5</f>
        <v>606.6</v>
      </c>
      <c r="GL17" s="18">
        <f>'Total Saturday Boardings'!GL17/4</f>
        <v>598.75</v>
      </c>
    </row>
    <row r="18" spans="1:194" x14ac:dyDescent="0.3">
      <c r="A18" s="3" t="s">
        <v>11</v>
      </c>
      <c r="B18" s="17"/>
      <c r="C18" s="18">
        <f>'Total Saturday Boardings'!C18/'Service Days per Month'!C$5</f>
        <v>334.4</v>
      </c>
      <c r="D18" s="18">
        <f>'Total Saturday Boardings'!D18/'Service Days per Month'!D$5</f>
        <v>729.5</v>
      </c>
      <c r="E18" s="18">
        <f>'Total Saturday Boardings'!E18/'Service Days per Month'!E$5</f>
        <v>797</v>
      </c>
      <c r="F18" s="18">
        <f>'Total Saturday Boardings'!F18/'Service Days per Month'!F$5</f>
        <v>578.5</v>
      </c>
      <c r="G18" s="18">
        <f>'Total Saturday Boardings'!G18/'Service Days per Month'!G$5</f>
        <v>326.8</v>
      </c>
      <c r="H18" s="19">
        <f>'Total Saturday Boardings'!H18/'Service Days per Month'!H$5</f>
        <v>328.75</v>
      </c>
      <c r="I18" s="17">
        <f>'Total Saturday Boardings'!I18/'Service Days per Month'!I$5</f>
        <v>430.66666666666669</v>
      </c>
      <c r="J18" s="18">
        <f>'Total Saturday Boardings'!J18/'Service Days per Month'!J$5</f>
        <v>271.60000000000002</v>
      </c>
      <c r="K18" s="18">
        <f>'Total Saturday Boardings'!K18/'Service Days per Month'!K$5</f>
        <v>362.25</v>
      </c>
      <c r="L18" s="18">
        <f>'Total Saturday Boardings'!L18/'Service Days per Month'!L$5</f>
        <v>352.8</v>
      </c>
      <c r="M18" s="18">
        <f>'Total Saturday Boardings'!M18/'Service Days per Month'!M$5</f>
        <v>460</v>
      </c>
      <c r="N18" s="18">
        <f>'Total Saturday Boardings'!N18/'Service Days per Month'!N$5</f>
        <v>409</v>
      </c>
      <c r="O18" s="62">
        <f>'Total Saturday Boardings'!O18/'Service Days per Month'!O$5</f>
        <v>339.2</v>
      </c>
      <c r="P18" s="62">
        <f>'Total Saturday Boardings'!P18/'Service Days per Month'!P$5</f>
        <v>587</v>
      </c>
      <c r="Q18" s="62">
        <f>'Total Saturday Boardings'!Q18/'Service Days per Month'!Q$5</f>
        <v>764</v>
      </c>
      <c r="R18" s="62">
        <f>'Total Saturday Boardings'!R18/'Service Days per Month'!R$5</f>
        <v>468.5</v>
      </c>
      <c r="S18" s="62">
        <f>'Total Saturday Boardings'!S18/'Service Days per Month'!S$5</f>
        <v>312.2</v>
      </c>
      <c r="T18" s="63">
        <f>'Total Saturday Boardings'!T18/'Service Days per Month'!T$5</f>
        <v>314.5</v>
      </c>
      <c r="U18" s="64">
        <f>'Total Saturday Boardings'!U18/'Service Days per Month'!U$5</f>
        <v>387</v>
      </c>
      <c r="V18" s="62">
        <f>'Total Saturday Boardings'!V18/'Service Days per Month'!V$5</f>
        <v>339.5</v>
      </c>
      <c r="W18" s="62">
        <f>'Total Saturday Boardings'!W18/'Service Days per Month'!W$5</f>
        <v>375.25</v>
      </c>
      <c r="X18" s="62">
        <f>'Total Saturday Boardings'!X18/'Service Days per Month'!X$5</f>
        <v>295.2</v>
      </c>
      <c r="Y18" s="62">
        <f>'Total Saturday Boardings'!Y18/'Service Days per Month'!Y$5</f>
        <v>445</v>
      </c>
      <c r="Z18" s="62">
        <f>'Total Saturday Boardings'!Z18/'Service Days per Month'!Z$5</f>
        <v>310.33333333333331</v>
      </c>
      <c r="AA18" s="18">
        <f>'Total Saturday Boardings'!AA18/'Service Days per Month'!AA$5</f>
        <v>293.60000000000002</v>
      </c>
      <c r="AB18" s="18">
        <f>'Total Saturday Boardings'!AB18/'Service Days per Month'!AB$5</f>
        <v>479.75</v>
      </c>
      <c r="AC18" s="18">
        <f>'Total Saturday Boardings'!AC18/'Service Days per Month'!AC$5</f>
        <v>690.25</v>
      </c>
      <c r="AD18" s="18">
        <f>'Total Saturday Boardings'!AD18/'Service Days per Month'!AD$5</f>
        <v>424.2</v>
      </c>
      <c r="AE18" s="18">
        <f>'Total Saturday Boardings'!AE18/'Service Days per Month'!AE$5</f>
        <v>332.5</v>
      </c>
      <c r="AF18" s="19">
        <f>'Total Saturday Boardings'!AF18/'Service Days per Month'!AF$5</f>
        <v>326</v>
      </c>
      <c r="AG18" s="17">
        <f>'Total Saturday Boardings'!AG18/'Service Days per Month'!AG$5</f>
        <v>315</v>
      </c>
      <c r="AH18" s="18">
        <f>'Total Saturday Boardings'!AH18/'Service Days per Month'!AH$5</f>
        <v>343.5</v>
      </c>
      <c r="AI18" s="18">
        <f>'Total Saturday Boardings'!AI18/'Service Days per Month'!AI$5</f>
        <v>412.25</v>
      </c>
      <c r="AJ18" s="18">
        <f>'Total Saturday Boardings'!AJ18/'Service Days per Month'!AJ$5</f>
        <v>402.6</v>
      </c>
      <c r="AK18" s="18">
        <f>'Total Saturday Boardings'!AK18/'Service Days per Month'!AK$5</f>
        <v>389.75</v>
      </c>
      <c r="AL18" s="18">
        <f>'Total Saturday Boardings'!AL18/'Service Days per Month'!AL$5</f>
        <v>487.25</v>
      </c>
      <c r="AM18" s="18">
        <f>'Total Saturday Boardings'!AM18/'Service Days per Month'!AM$5</f>
        <v>395.25</v>
      </c>
      <c r="AN18" s="18">
        <f>'Total Saturday Boardings'!AN18/'Service Days per Month'!AN$5</f>
        <v>502.75</v>
      </c>
      <c r="AO18" s="18">
        <f>'Total Saturday Boardings'!AO18/'Service Days per Month'!AO$5</f>
        <v>609.79999999999995</v>
      </c>
      <c r="AP18" s="18">
        <f>'Total Saturday Boardings'!AP18/'Service Days per Month'!AP$5</f>
        <v>541.25</v>
      </c>
      <c r="AQ18" s="18">
        <f>'Total Saturday Boardings'!AQ18/'Service Days per Month'!AQ$5</f>
        <v>461.5</v>
      </c>
      <c r="AR18" s="19">
        <f>'Total Saturday Boardings'!AR18/'Service Days per Month'!AR$5</f>
        <v>383.4</v>
      </c>
      <c r="AS18" s="17">
        <f>'Total Saturday Boardings'!AS18/'Service Days per Month'!AS$5</f>
        <v>388.5</v>
      </c>
      <c r="AT18" s="18">
        <f>'Total Saturday Boardings'!AT18/'Service Days per Month'!AT$5</f>
        <v>365.5</v>
      </c>
      <c r="AU18" s="18">
        <f>'Total Saturday Boardings'!AU18/'Service Days per Month'!AU$5</f>
        <v>432.2</v>
      </c>
      <c r="AV18" s="18">
        <f>'Total Saturday Boardings'!AV18/'Service Days per Month'!AV$5</f>
        <v>490</v>
      </c>
      <c r="AW18" s="18">
        <f>'Total Saturday Boardings'!AW18/'Service Days per Month'!AW$5</f>
        <v>508.5</v>
      </c>
      <c r="AX18" s="18">
        <f>'Total Saturday Boardings'!AX18/'Service Days per Month'!AX$5</f>
        <v>453.2</v>
      </c>
      <c r="AY18" s="18">
        <f>'Total Saturday Boardings'!AY18/'Service Days per Month'!AY$5</f>
        <v>403.75</v>
      </c>
      <c r="AZ18" s="18">
        <f>'Total Saturday Boardings'!AZ18/'Service Days per Month'!AZ$5</f>
        <v>525.5</v>
      </c>
      <c r="BA18" s="18">
        <f>'Total Saturday Boardings'!BA18/'Service Days per Month'!BA$5</f>
        <v>631</v>
      </c>
      <c r="BB18" s="18">
        <f>'Total Saturday Boardings'!BB18/'Service Days per Month'!BB$5</f>
        <v>569.75</v>
      </c>
      <c r="BC18" s="18">
        <f>'Total Saturday Boardings'!BC18/'Service Days per Month'!BC$5</f>
        <v>449.75</v>
      </c>
      <c r="BD18" s="19">
        <f>'Total Saturday Boardings'!BD18/'Service Days per Month'!BD$5</f>
        <v>414.4</v>
      </c>
      <c r="BE18" s="17">
        <f>'Total Saturday Boardings'!BE18/'Service Days per Month'!BE$5</f>
        <v>422</v>
      </c>
      <c r="BF18" s="18">
        <f>'Total Saturday Boardings'!BF18/'Service Days per Month'!BF$5</f>
        <v>404.2</v>
      </c>
      <c r="BG18" s="18">
        <f>'Total Saturday Boardings'!BG18/'Service Days per Month'!BG$5</f>
        <v>436.75</v>
      </c>
      <c r="BH18" s="18">
        <f>'Total Saturday Boardings'!BH18/'Service Days per Month'!BH$5</f>
        <v>529.5</v>
      </c>
      <c r="BI18" s="18">
        <f>'Total Saturday Boardings'!BI18/'Service Days per Month'!BI$5</f>
        <v>490.4369263291407</v>
      </c>
      <c r="BJ18" s="18">
        <f>'Total Saturday Boardings'!BJ18/'Service Days per Month'!BJ$5</f>
        <v>457.25</v>
      </c>
      <c r="BK18" s="18">
        <f>'Total Saturday Boardings'!BK18/'Service Days per Month'!BK$5</f>
        <v>431.5</v>
      </c>
      <c r="BL18" s="18">
        <f>'Total Saturday Boardings'!BL18/'Service Days per Month'!BL$5</f>
        <v>503.5</v>
      </c>
      <c r="BM18" s="18">
        <f>'Total Saturday Boardings'!BM18/'Service Days per Month'!BM$5</f>
        <v>553.4</v>
      </c>
      <c r="BN18" s="18">
        <f>'Total Saturday Boardings'!BN18/'Service Days per Month'!BN$5</f>
        <v>503</v>
      </c>
      <c r="BO18" s="18">
        <f>'Total Saturday Boardings'!BO18/'Service Days per Month'!BO$5</f>
        <v>376.6</v>
      </c>
      <c r="BP18" s="19">
        <f>'Total Saturday Boardings'!BP18/'Service Days per Month'!BP$5</f>
        <v>430</v>
      </c>
      <c r="BQ18" s="17">
        <f>'Total Saturday Boardings'!BQ18/'Service Days per Month'!BQ$5</f>
        <v>361.25</v>
      </c>
      <c r="BR18" s="18">
        <f>'Total Saturday Boardings'!BR18/'Service Days per Month'!BR$5</f>
        <v>331.2</v>
      </c>
      <c r="BS18" s="18">
        <f>'Total Saturday Boardings'!BS18/'Service Days per Month'!BS$5</f>
        <v>366</v>
      </c>
      <c r="BT18" s="18">
        <f>'Total Saturday Boardings'!BT18/'Service Days per Month'!BT$5</f>
        <v>501.25</v>
      </c>
      <c r="BU18" s="18">
        <f>'Total Saturday Boardings'!BU18/'Service Days per Month'!BU$5</f>
        <v>557.79999999999995</v>
      </c>
      <c r="BV18" s="18">
        <f>'Total Saturday Boardings'!BV18/'Service Days per Month'!BV$5</f>
        <v>468.5</v>
      </c>
      <c r="BW18" s="18">
        <f>'Total Saturday Boardings'!BW18/'Service Days per Month'!BW$5</f>
        <v>716.8</v>
      </c>
      <c r="BX18" s="18">
        <f>'Total Saturday Boardings'!BX18/'Service Days per Month'!BX$5</f>
        <v>549.25</v>
      </c>
      <c r="BY18" s="18">
        <f>'Total Saturday Boardings'!BY18/'Service Days per Month'!BY$5</f>
        <v>689.75</v>
      </c>
      <c r="BZ18" s="18">
        <f>'Total Saturday Boardings'!BZ18/'Service Days per Month'!BZ$5</f>
        <v>489.25</v>
      </c>
      <c r="CA18" s="18">
        <f>'Total Saturday Boardings'!CA18/'Service Days per Month'!CA$5</f>
        <v>473.8</v>
      </c>
      <c r="CB18" s="19">
        <f>'Total Saturday Boardings'!CB18/'Service Days per Month'!CB$5</f>
        <v>374.25</v>
      </c>
      <c r="CC18" s="20">
        <f>'Total Saturday Boardings'!CC18/'Service Days per Month'!CC$5</f>
        <v>419</v>
      </c>
      <c r="CD18" s="18">
        <f>'Total Saturday Boardings'!CD18/'Service Days per Month'!CD$5</f>
        <v>355.4</v>
      </c>
      <c r="CE18" s="18">
        <f>'Total Saturday Boardings'!CE18/'Service Days per Month'!CE$5</f>
        <v>424.5</v>
      </c>
      <c r="CF18" s="18">
        <f>'Total Saturday Boardings'!CF18/'Service Days per Month'!CF$5</f>
        <v>524</v>
      </c>
      <c r="CG18" s="18">
        <f>'Total Saturday Boardings'!CG18/'Service Days per Month'!CG$5</f>
        <v>518</v>
      </c>
      <c r="CH18" s="18">
        <f>'Total Saturday Boardings'!CH18/'Service Days per Month'!CH$5</f>
        <v>456</v>
      </c>
      <c r="CI18" s="18">
        <f>'Total Saturday Boardings'!CI18/'Service Days per Month'!CI$5</f>
        <v>533</v>
      </c>
      <c r="CJ18" s="18">
        <f>'Total Saturday Boardings'!CJ18/'Service Days per Month'!CJ$5</f>
        <v>560.25</v>
      </c>
      <c r="CK18" s="18">
        <f>'Total Saturday Boardings'!CK18/'Service Days per Month'!CK$5</f>
        <v>665.75</v>
      </c>
      <c r="CL18" s="18">
        <f>'Total Saturday Boardings'!CL18/'Service Days per Month'!CL$5</f>
        <v>620.20000000000005</v>
      </c>
      <c r="CM18" s="18">
        <f>'Total Saturday Boardings'!CM18/'Service Days per Month'!CM$5</f>
        <v>415</v>
      </c>
      <c r="CN18" s="21">
        <f>'Total Saturday Boardings'!CN18/'Service Days per Month'!CN$5</f>
        <v>414.25</v>
      </c>
      <c r="CO18" s="17">
        <f>'Total Saturday Boardings'!CO18/'Service Days per Month'!CO$5</f>
        <v>374.6</v>
      </c>
      <c r="CP18" s="18">
        <f>'Total Saturday Boardings'!CP18/'Service Days per Month'!CP$5</f>
        <v>416</v>
      </c>
      <c r="CQ18" s="18">
        <f>'Total Saturday Boardings'!CQ18/'Service Days per Month'!CQ$5</f>
        <v>434.5</v>
      </c>
      <c r="CR18" s="18">
        <f>'Total Saturday Boardings'!CR18/'Service Days per Month'!CR$5</f>
        <v>405.6</v>
      </c>
      <c r="CS18" s="18">
        <f>'Total Saturday Boardings'!CS18/'Service Days per Month'!CS$5</f>
        <v>427.25</v>
      </c>
      <c r="CT18" s="18">
        <f>'Total Saturday Boardings'!CT18/'Service Days per Month'!CT$5</f>
        <v>451.75</v>
      </c>
      <c r="CU18" s="18">
        <f>'Total Saturday Boardings'!CU18/'Service Days per Month'!CU$5</f>
        <v>448.25</v>
      </c>
      <c r="CV18" s="18">
        <f>'Total Saturday Boardings'!CV18/'Service Days per Month'!CV$5</f>
        <v>471.5</v>
      </c>
      <c r="CW18" s="18">
        <f>'Total Saturday Boardings'!CW18/'Service Days per Month'!CW$5</f>
        <v>666</v>
      </c>
      <c r="CX18" s="18">
        <f>'Total Saturday Boardings'!CX18/'Service Days per Month'!CX$5</f>
        <v>576.79999999999995</v>
      </c>
      <c r="CY18" s="18">
        <f>'Total Saturday Boardings'!CY18/'Service Days per Month'!CY$5</f>
        <v>461.75</v>
      </c>
      <c r="CZ18" s="19">
        <f>'Total Saturday Boardings'!CZ18/'Service Days per Month'!CZ$5</f>
        <v>388.5</v>
      </c>
      <c r="DA18" s="17">
        <f>'Total Saturday Boardings'!DA18/'Service Days per Month'!DA$5</f>
        <v>351.2</v>
      </c>
      <c r="DB18" s="18">
        <f>'Total Saturday Boardings'!DB18/'Service Days per Month'!DB$5</f>
        <v>390.5</v>
      </c>
      <c r="DC18" s="18">
        <f>'Total Saturday Boardings'!DC18/'Service Days per Month'!DC$5</f>
        <v>390.8</v>
      </c>
      <c r="DD18" s="18">
        <f>'Total Saturday Boardings'!DD18/'Service Days per Month'!DD$5</f>
        <v>435.5</v>
      </c>
      <c r="DE18" s="18">
        <f>'Total Saturday Boardings'!DE18/'Service Days per Month'!DE$5</f>
        <v>413.75</v>
      </c>
      <c r="DF18" s="18">
        <f>'Total Saturday Boardings'!DF18/'Service Days per Month'!DF$5</f>
        <v>350.4</v>
      </c>
      <c r="DG18" s="18">
        <f>'Total Saturday Boardings'!DG18/'Service Days per Month'!DG$5</f>
        <v>356</v>
      </c>
      <c r="DH18" s="18">
        <f>'Total Saturday Boardings'!DH18/'Service Days per Month'!DH$5</f>
        <v>463</v>
      </c>
      <c r="DI18" s="18">
        <f>'Total Saturday Boardings'!DI18/'Service Days per Month'!DI$5</f>
        <v>545.79999999999995</v>
      </c>
      <c r="DJ18" s="18">
        <f>'Total Saturday Boardings'!DJ18/'Service Days per Month'!DJ$5</f>
        <v>414.75</v>
      </c>
      <c r="DK18" s="18">
        <f>'Total Saturday Boardings'!DK18/'Service Days per Month'!DK$5</f>
        <v>354.5</v>
      </c>
      <c r="DL18" s="19">
        <f>'Total Saturday Boardings'!DL18/'Service Days per Month'!DL$5</f>
        <v>358.4</v>
      </c>
      <c r="DM18" s="17">
        <f>'Total Saturday Boardings'!DM18/'Service Days per Month'!DM$5</f>
        <v>317.5</v>
      </c>
      <c r="DN18" s="18">
        <f>'Total Saturday Boardings'!DN18/'Service Days per Month'!DN$5</f>
        <v>314.25</v>
      </c>
      <c r="DO18" s="18">
        <f>'Total Saturday Boardings'!DO18/'Service Days per Month'!DO$5</f>
        <v>373.8</v>
      </c>
      <c r="DP18" s="18">
        <f>'Total Saturday Boardings'!DP18/'Service Days per Month'!DP$5</f>
        <v>352.75</v>
      </c>
      <c r="DQ18" s="18">
        <f>'Total Saturday Boardings'!DQ18/'Service Days per Month'!DQ$5</f>
        <v>380.25</v>
      </c>
      <c r="DR18" s="18">
        <f>'Total Saturday Boardings'!DR18/'Service Days per Month'!DR$5</f>
        <v>367.2</v>
      </c>
      <c r="DS18" s="18">
        <f>'Total Saturday Boardings'!DS18/'Service Days per Month'!DS$5</f>
        <v>370.5</v>
      </c>
      <c r="DT18" s="18">
        <f>'Total Saturday Boardings'!DT18/'Service Days per Month'!DT$5</f>
        <v>412.75</v>
      </c>
      <c r="DU18" s="18">
        <f>'Total Saturday Boardings'!DU18/'Service Days per Month'!DU$5</f>
        <v>522.79999999999995</v>
      </c>
      <c r="DV18" s="18">
        <f>'Total Saturday Boardings'!DV18/'Service Days per Month'!DV$5</f>
        <v>114.25</v>
      </c>
      <c r="DW18" s="18">
        <f>'Total Saturday Boardings'!DW18/'Service Days per Month'!DW$5</f>
        <v>360.75</v>
      </c>
      <c r="DX18" s="19">
        <f>'Total Saturday Boardings'!DX18/'Service Days per Month'!DX$5</f>
        <v>297.39999999999998</v>
      </c>
      <c r="DY18" s="17">
        <f>'Total Saturday Boardings'!DY18/'Service Days per Month'!DY$5</f>
        <v>257.25</v>
      </c>
      <c r="DZ18" s="18">
        <f>'Total Saturday Boardings'!DZ18/'Service Days per Month'!DZ$5</f>
        <v>285.60000000000002</v>
      </c>
      <c r="EA18" s="18">
        <f>'Total Saturday Boardings'!EA18/'Service Days per Month'!EA$5</f>
        <v>366.25</v>
      </c>
      <c r="EB18" s="18">
        <f>'Total Saturday Boardings'!EB18/'Service Days per Month'!EB$5</f>
        <v>386.75</v>
      </c>
      <c r="EC18" s="18">
        <f>'Total Saturday Boardings'!EC18/'Service Days per Month'!EC$5</f>
        <v>380</v>
      </c>
      <c r="ED18" s="18">
        <f>'Total Saturday Boardings'!ED18/'Service Days per Month'!ED$5</f>
        <v>320.5</v>
      </c>
      <c r="EE18" s="18">
        <f>'Total Saturday Boardings'!EE18/'Service Days per Month'!EE$5</f>
        <v>368.25</v>
      </c>
      <c r="EF18" s="18">
        <f>'Total Saturday Boardings'!EF18/'Service Days per Month'!EF$5</f>
        <v>396.2</v>
      </c>
      <c r="EG18" s="18">
        <f>'Total Saturday Boardings'!EG18/'Service Days per Month'!EG$5</f>
        <v>406.25</v>
      </c>
      <c r="EH18" s="18">
        <f>'Total Saturday Boardings'!EH18/'Service Days per Month'!EH$5</f>
        <v>155.5</v>
      </c>
      <c r="EI18" s="18">
        <f>'Total Saturday Boardings'!EI18/'Service Days per Month'!EI$5</f>
        <v>176</v>
      </c>
      <c r="EJ18" s="19">
        <f>'Total Saturday Boardings'!EJ18/'Service Days per Month'!EJ$5</f>
        <v>137.75</v>
      </c>
      <c r="EK18" s="17">
        <f>'Total Saturday Boardings'!EK18/'Service Days per Month'!EK$5</f>
        <v>96.25</v>
      </c>
      <c r="EL18" s="18">
        <f>'Total Saturday Boardings'!EL18/'Service Days per Month'!EL$5</f>
        <v>147</v>
      </c>
      <c r="EM18" s="18">
        <f>'Total Saturday Boardings'!EM18/'Service Days per Month'!EM$5</f>
        <v>170.5</v>
      </c>
      <c r="EN18" s="18">
        <f>'Total Saturday Boardings'!EN18/'Service Days per Month'!EN$5</f>
        <v>175.8</v>
      </c>
      <c r="EO18" s="18">
        <f>'Total Saturday Boardings'!EO18/'Service Days per Month'!EO$5</f>
        <v>225.75</v>
      </c>
      <c r="EP18" s="18">
        <f>'Total Saturday Boardings'!EP18/'Service Days per Month'!EP$5</f>
        <v>122.75</v>
      </c>
      <c r="EQ18" s="18">
        <f>'Total Saturday Boardings'!EQ18/'Service Days per Month'!EQ$5</f>
        <v>83.8</v>
      </c>
      <c r="ER18" s="18">
        <f>'Total Saturday Boardings'!ER18/'Service Days per Month'!ER$5</f>
        <v>169.5</v>
      </c>
      <c r="ES18" s="18">
        <f>'Total Saturday Boardings'!ES18/'Service Days per Month'!ES$5</f>
        <v>172</v>
      </c>
      <c r="ET18" s="18">
        <f>'Total Saturday Boardings'!ET18/'Service Days per Month'!ET$5</f>
        <v>209.25</v>
      </c>
      <c r="EU18" s="18">
        <f>'Total Saturday Boardings'!EU18/'Service Days per Month'!EU$5</f>
        <v>168</v>
      </c>
      <c r="EV18" s="19">
        <f>'Total Saturday Boardings'!EV18/'Service Days per Month'!EV$5</f>
        <v>185.75</v>
      </c>
      <c r="EW18" s="17">
        <f>'Total Saturday Boardings'!EW18/'Service Days per Month'!EW$5</f>
        <v>180.6</v>
      </c>
      <c r="EX18" s="18">
        <f>'Total Saturday Boardings'!EX18/'Service Days per Month'!EX$5</f>
        <v>158.5</v>
      </c>
      <c r="EY18" s="18">
        <f>'Total Saturday Boardings'!EY18/'Service Days per Month'!EY$5</f>
        <v>189.25</v>
      </c>
      <c r="EZ18" s="18">
        <f>'Total Saturday Boardings'!EZ18/'Service Days per Month'!EZ$5</f>
        <v>200</v>
      </c>
      <c r="FA18" s="18">
        <f>'Total Saturday Boardings'!FA18/'Service Days per Month'!FA$5</f>
        <v>220.25</v>
      </c>
      <c r="FB18" s="18">
        <f>'Total Saturday Boardings'!FB18/'Service Days per Month'!FB$5</f>
        <v>192.5</v>
      </c>
      <c r="FC18" s="18">
        <f>'Total Saturday Boardings'!FC18/'Service Days per Month'!FC$5</f>
        <v>163.4</v>
      </c>
      <c r="FD18" s="18">
        <f>'Total Saturday Boardings'!FD18/'Service Days per Month'!FD$5</f>
        <v>223</v>
      </c>
      <c r="FE18" s="18">
        <f>'Total Saturday Boardings'!FE18/'Service Days per Month'!FE$5</f>
        <v>378.25</v>
      </c>
      <c r="FF18" s="18">
        <f>'Total Saturday Boardings'!FF18/'Service Days per Month'!FF$5</f>
        <v>220.8</v>
      </c>
      <c r="FG18" s="18">
        <f>'Total Saturday Boardings'!FG18/'Service Days per Month'!FG$5</f>
        <v>206.5</v>
      </c>
      <c r="FH18" s="19">
        <f>'Total Saturday Boardings'!FH18/'Service Days per Month'!FH$5</f>
        <v>167.25</v>
      </c>
      <c r="FI18" s="17">
        <v>142.19999999999999</v>
      </c>
      <c r="FJ18" s="18">
        <v>170.75</v>
      </c>
      <c r="FK18" s="18">
        <v>187.5</v>
      </c>
      <c r="FL18" s="18">
        <v>155.19999999999999</v>
      </c>
      <c r="FM18" s="18">
        <v>198.8</v>
      </c>
      <c r="FN18" s="18">
        <v>180.8</v>
      </c>
      <c r="FO18" s="18">
        <v>175.4</v>
      </c>
      <c r="FP18" s="18">
        <v>363</v>
      </c>
      <c r="FQ18" s="18">
        <v>380.25</v>
      </c>
      <c r="FR18" s="18">
        <f>'Total Saturday Boardings'!FR18/5</f>
        <v>256</v>
      </c>
      <c r="FS18" s="18">
        <f>'Total Saturday Boardings'!FS18/4</f>
        <v>251</v>
      </c>
      <c r="FT18" s="19">
        <f>'Total Saturday Boardings'!FT18/4</f>
        <v>266.25</v>
      </c>
      <c r="FU18" s="17">
        <f>'Total Saturday Boardings'!FU18/5</f>
        <v>219.4</v>
      </c>
      <c r="FV18" s="18">
        <f>'Total Saturday Boardings'!FV18/4</f>
        <v>234.75</v>
      </c>
      <c r="FW18" s="18">
        <f>'Total Saturday Boardings'!FW18/5</f>
        <v>203</v>
      </c>
      <c r="FX18" s="18">
        <f>'Total Saturday Boardings'!FX18/4</f>
        <v>277</v>
      </c>
      <c r="FY18" s="18">
        <f>'Total Saturday Boardings'!FY18/4</f>
        <v>230.75</v>
      </c>
      <c r="FZ18" s="18">
        <f>'Total Saturday Boardings'!FZ18/5</f>
        <v>237.6</v>
      </c>
      <c r="GA18" s="18">
        <f>'Total Saturday Boardings'!GA18/4</f>
        <v>254.5</v>
      </c>
      <c r="GB18" s="18">
        <f>'Total Saturday Boardings'!GB18/4</f>
        <v>312</v>
      </c>
      <c r="GC18" s="18">
        <f>'Total Saturday Boardings'!GC18/5</f>
        <v>345.8</v>
      </c>
      <c r="GD18" s="18">
        <f>'Total Saturday Boardings'!GD18/4</f>
        <v>263.25</v>
      </c>
      <c r="GE18" s="18">
        <f>'Total Saturday Boardings'!GE18/4</f>
        <v>251</v>
      </c>
      <c r="GF18" s="18">
        <f>'Total Saturday Boardings'!GF18/5</f>
        <v>210</v>
      </c>
      <c r="GG18" s="18">
        <f>'Total Saturday Boardings'!GG18/4</f>
        <v>231.5</v>
      </c>
      <c r="GH18" s="18">
        <f>'Total Saturday Boardings'!GH18/5</f>
        <v>210.4</v>
      </c>
      <c r="GI18" s="18">
        <f>'Total Saturday Boardings'!GI18/4</f>
        <v>239.5</v>
      </c>
      <c r="GJ18" s="18">
        <f>'Total Saturday Boardings'!GJ18/4</f>
        <v>236.25</v>
      </c>
      <c r="GK18" s="18">
        <f>'Total Saturday Boardings'!GK18/5</f>
        <v>244.8</v>
      </c>
      <c r="GL18" s="18">
        <f>'Total Saturday Boardings'!GL18/4</f>
        <v>217</v>
      </c>
    </row>
    <row r="19" spans="1:194" x14ac:dyDescent="0.3">
      <c r="A19" s="3" t="s">
        <v>12</v>
      </c>
      <c r="B19" s="17"/>
      <c r="C19" s="18">
        <f>'Total Saturday Boardings'!C19/'Service Days per Month'!C$5</f>
        <v>854</v>
      </c>
      <c r="D19" s="18">
        <f>'Total Saturday Boardings'!D19/'Service Days per Month'!D$5</f>
        <v>1693.75</v>
      </c>
      <c r="E19" s="18">
        <f>'Total Saturday Boardings'!E19/'Service Days per Month'!E$5</f>
        <v>1364.75</v>
      </c>
      <c r="F19" s="18">
        <f>'Total Saturday Boardings'!F19/'Service Days per Month'!F$5</f>
        <v>1380.5</v>
      </c>
      <c r="G19" s="18">
        <f>'Total Saturday Boardings'!G19/'Service Days per Month'!G$5</f>
        <v>1036.5999999999999</v>
      </c>
      <c r="H19" s="19">
        <f>'Total Saturday Boardings'!H19/'Service Days per Month'!H$5</f>
        <v>1020.75</v>
      </c>
      <c r="I19" s="17">
        <f>'Total Saturday Boardings'!I19/'Service Days per Month'!I$5</f>
        <v>1037.3333333333333</v>
      </c>
      <c r="J19" s="18">
        <f>'Total Saturday Boardings'!J19/'Service Days per Month'!J$5</f>
        <v>818.8</v>
      </c>
      <c r="K19" s="18">
        <f>'Total Saturday Boardings'!K19/'Service Days per Month'!K$5</f>
        <v>1177.75</v>
      </c>
      <c r="L19" s="18">
        <f>'Total Saturday Boardings'!L19/'Service Days per Month'!L$5</f>
        <v>1012</v>
      </c>
      <c r="M19" s="18">
        <f>'Total Saturday Boardings'!M19/'Service Days per Month'!M$5</f>
        <v>1275</v>
      </c>
      <c r="N19" s="18">
        <f>'Total Saturday Boardings'!N19/'Service Days per Month'!N$5</f>
        <v>1146.75</v>
      </c>
      <c r="O19" s="62">
        <f>'Total Saturday Boardings'!O19/'Service Days per Month'!O$5</f>
        <v>1073.2</v>
      </c>
      <c r="P19" s="62">
        <f>'Total Saturday Boardings'!P19/'Service Days per Month'!P$5</f>
        <v>1425.75</v>
      </c>
      <c r="Q19" s="62">
        <f>'Total Saturday Boardings'!Q19/'Service Days per Month'!Q$5</f>
        <v>1368</v>
      </c>
      <c r="R19" s="62">
        <f>'Total Saturday Boardings'!R19/'Service Days per Month'!R$5</f>
        <v>1306.75</v>
      </c>
      <c r="S19" s="62">
        <f>'Total Saturday Boardings'!S19/'Service Days per Month'!S$5</f>
        <v>939</v>
      </c>
      <c r="T19" s="63">
        <f>'Total Saturday Boardings'!T19/'Service Days per Month'!T$5</f>
        <v>1113</v>
      </c>
      <c r="U19" s="64">
        <f>'Total Saturday Boardings'!U19/'Service Days per Month'!U$5</f>
        <v>1052.8</v>
      </c>
      <c r="V19" s="62">
        <f>'Total Saturday Boardings'!V19/'Service Days per Month'!V$5</f>
        <v>1070</v>
      </c>
      <c r="W19" s="62">
        <f>'Total Saturday Boardings'!W19/'Service Days per Month'!W$5</f>
        <v>1244.5</v>
      </c>
      <c r="X19" s="62">
        <f>'Total Saturday Boardings'!X19/'Service Days per Month'!X$5</f>
        <v>974.2</v>
      </c>
      <c r="Y19" s="62">
        <f>'Total Saturday Boardings'!Y19/'Service Days per Month'!Y$5</f>
        <v>1170.25</v>
      </c>
      <c r="Z19" s="62">
        <f>'Total Saturday Boardings'!Z19/'Service Days per Month'!Z$5</f>
        <v>1143.6666666666667</v>
      </c>
      <c r="AA19" s="18">
        <f>'Total Saturday Boardings'!AA19/'Service Days per Month'!AA$5</f>
        <v>954.8</v>
      </c>
      <c r="AB19" s="18">
        <f>'Total Saturday Boardings'!AB19/'Service Days per Month'!AB$5</f>
        <v>1236.75</v>
      </c>
      <c r="AC19" s="18">
        <f>'Total Saturday Boardings'!AC19/'Service Days per Month'!AC$5</f>
        <v>1317.75</v>
      </c>
      <c r="AD19" s="18">
        <f>'Total Saturday Boardings'!AD19/'Service Days per Month'!AD$5</f>
        <v>1251.2</v>
      </c>
      <c r="AE19" s="18">
        <f>'Total Saturday Boardings'!AE19/'Service Days per Month'!AE$5</f>
        <v>1135</v>
      </c>
      <c r="AF19" s="19">
        <f>'Total Saturday Boardings'!AF19/'Service Days per Month'!AF$5</f>
        <v>1107.75</v>
      </c>
      <c r="AG19" s="17">
        <f>'Total Saturday Boardings'!AG19/'Service Days per Month'!AG$5</f>
        <v>1039.8</v>
      </c>
      <c r="AH19" s="18">
        <f>'Total Saturday Boardings'!AH19/'Service Days per Month'!AH$5</f>
        <v>1107.75</v>
      </c>
      <c r="AI19" s="18">
        <f>'Total Saturday Boardings'!AI19/'Service Days per Month'!AI$5</f>
        <v>1182.5</v>
      </c>
      <c r="AJ19" s="18">
        <f>'Total Saturday Boardings'!AJ19/'Service Days per Month'!AJ$5</f>
        <v>1444.6</v>
      </c>
      <c r="AK19" s="18">
        <f>'Total Saturday Boardings'!AK19/'Service Days per Month'!AK$5</f>
        <v>1106.25</v>
      </c>
      <c r="AL19" s="18">
        <f>'Total Saturday Boardings'!AL19/'Service Days per Month'!AL$5</f>
        <v>1399.25</v>
      </c>
      <c r="AM19" s="18">
        <f>'Total Saturday Boardings'!AM19/'Service Days per Month'!AM$5</f>
        <v>1236.5</v>
      </c>
      <c r="AN19" s="18">
        <f>'Total Saturday Boardings'!AN19/'Service Days per Month'!AN$5</f>
        <v>1365.75</v>
      </c>
      <c r="AO19" s="18">
        <f>'Total Saturday Boardings'!AO19/'Service Days per Month'!AO$5</f>
        <v>1299.8</v>
      </c>
      <c r="AP19" s="18">
        <f>'Total Saturday Boardings'!AP19/'Service Days per Month'!AP$5</f>
        <v>1288.25</v>
      </c>
      <c r="AQ19" s="18">
        <f>'Total Saturday Boardings'!AQ19/'Service Days per Month'!AQ$5</f>
        <v>1220.5</v>
      </c>
      <c r="AR19" s="19">
        <f>'Total Saturday Boardings'!AR19/'Service Days per Month'!AR$5</f>
        <v>1180.4000000000001</v>
      </c>
      <c r="AS19" s="17">
        <f>'Total Saturday Boardings'!AS19/'Service Days per Month'!AS$5</f>
        <v>1116.75</v>
      </c>
      <c r="AT19" s="18">
        <f>'Total Saturday Boardings'!AT19/'Service Days per Month'!AT$5</f>
        <v>1162.25</v>
      </c>
      <c r="AU19" s="18">
        <f>'Total Saturday Boardings'!AU19/'Service Days per Month'!AU$5</f>
        <v>1288.8</v>
      </c>
      <c r="AV19" s="18">
        <f>'Total Saturday Boardings'!AV19/'Service Days per Month'!AV$5</f>
        <v>1476.75</v>
      </c>
      <c r="AW19" s="18">
        <f>'Total Saturday Boardings'!AW19/'Service Days per Month'!AW$5</f>
        <v>1369.75</v>
      </c>
      <c r="AX19" s="18">
        <f>'Total Saturday Boardings'!AX19/'Service Days per Month'!AX$5</f>
        <v>1245</v>
      </c>
      <c r="AY19" s="18">
        <f>'Total Saturday Boardings'!AY19/'Service Days per Month'!AY$5</f>
        <v>1170.75</v>
      </c>
      <c r="AZ19" s="18">
        <f>'Total Saturday Boardings'!AZ19/'Service Days per Month'!AZ$5</f>
        <v>1313.5</v>
      </c>
      <c r="BA19" s="18">
        <f>'Total Saturday Boardings'!BA19/'Service Days per Month'!BA$5</f>
        <v>1393.4</v>
      </c>
      <c r="BB19" s="18">
        <f>'Total Saturday Boardings'!BB19/'Service Days per Month'!BB$5</f>
        <v>1446.5</v>
      </c>
      <c r="BC19" s="18">
        <f>'Total Saturday Boardings'!BC19/'Service Days per Month'!BC$5</f>
        <v>1228.75</v>
      </c>
      <c r="BD19" s="19">
        <f>'Total Saturday Boardings'!BD19/'Service Days per Month'!BD$5</f>
        <v>1126</v>
      </c>
      <c r="BE19" s="17">
        <f>'Total Saturday Boardings'!BE19/'Service Days per Month'!BE$5</f>
        <v>1184.25</v>
      </c>
      <c r="BF19" s="18">
        <f>'Total Saturday Boardings'!BF19/'Service Days per Month'!BF$5</f>
        <v>1203.2</v>
      </c>
      <c r="BG19" s="18">
        <f>'Total Saturday Boardings'!BG19/'Service Days per Month'!BG$5</f>
        <v>1276.75</v>
      </c>
      <c r="BH19" s="18">
        <f>'Total Saturday Boardings'!BH19/'Service Days per Month'!BH$5</f>
        <v>1456.75</v>
      </c>
      <c r="BI19" s="18">
        <f>'Total Saturday Boardings'!BI19/'Service Days per Month'!BI$5</f>
        <v>1310.8553091639362</v>
      </c>
      <c r="BJ19" s="18">
        <f>'Total Saturday Boardings'!BJ19/'Service Days per Month'!BJ$5</f>
        <v>1288.75</v>
      </c>
      <c r="BK19" s="18">
        <f>'Total Saturday Boardings'!BK19/'Service Days per Month'!BK$5</f>
        <v>1358.5</v>
      </c>
      <c r="BL19" s="18">
        <f>'Total Saturday Boardings'!BL19/'Service Days per Month'!BL$5</f>
        <v>1483.25</v>
      </c>
      <c r="BM19" s="18">
        <f>'Total Saturday Boardings'!BM19/'Service Days per Month'!BM$5</f>
        <v>1440.4</v>
      </c>
      <c r="BN19" s="18">
        <f>'Total Saturday Boardings'!BN19/'Service Days per Month'!BN$5</f>
        <v>1419.75</v>
      </c>
      <c r="BO19" s="18">
        <f>'Total Saturday Boardings'!BO19/'Service Days per Month'!BO$5</f>
        <v>1251.5999999999999</v>
      </c>
      <c r="BP19" s="19">
        <f>'Total Saturday Boardings'!BP19/'Service Days per Month'!BP$5</f>
        <v>1329.5</v>
      </c>
      <c r="BQ19" s="17">
        <f>'Total Saturday Boardings'!BQ19/'Service Days per Month'!BQ$5</f>
        <v>1134.75</v>
      </c>
      <c r="BR19" s="18">
        <f>'Total Saturday Boardings'!BR19/'Service Days per Month'!BR$5</f>
        <v>1255</v>
      </c>
      <c r="BS19" s="18">
        <f>'Total Saturday Boardings'!BS19/'Service Days per Month'!BS$5</f>
        <v>1212</v>
      </c>
      <c r="BT19" s="18">
        <f>'Total Saturday Boardings'!BT19/'Service Days per Month'!BT$5</f>
        <v>1537</v>
      </c>
      <c r="BU19" s="18">
        <f>'Total Saturday Boardings'!BU19/'Service Days per Month'!BU$5</f>
        <v>1368.4</v>
      </c>
      <c r="BV19" s="18">
        <f>'Total Saturday Boardings'!BV19/'Service Days per Month'!BV$5</f>
        <v>1376.5</v>
      </c>
      <c r="BW19" s="18">
        <f>'Total Saturday Boardings'!BW19/'Service Days per Month'!BW$5</f>
        <v>1661.8</v>
      </c>
      <c r="BX19" s="18">
        <f>'Total Saturday Boardings'!BX19/'Service Days per Month'!BX$5</f>
        <v>1443.5</v>
      </c>
      <c r="BY19" s="18">
        <f>'Total Saturday Boardings'!BY19/'Service Days per Month'!BY$5</f>
        <v>1470.5</v>
      </c>
      <c r="BZ19" s="18">
        <f>'Total Saturday Boardings'!BZ19/'Service Days per Month'!BZ$5</f>
        <v>1339.75</v>
      </c>
      <c r="CA19" s="18">
        <f>'Total Saturday Boardings'!CA19/'Service Days per Month'!CA$5</f>
        <v>1332.6</v>
      </c>
      <c r="CB19" s="19">
        <f>'Total Saturday Boardings'!CB19/'Service Days per Month'!CB$5</f>
        <v>1217.75</v>
      </c>
      <c r="CC19" s="20">
        <f>'Total Saturday Boardings'!CC19/'Service Days per Month'!CC$5</f>
        <v>1189.5</v>
      </c>
      <c r="CD19" s="18">
        <f>'Total Saturday Boardings'!CD19/'Service Days per Month'!CD$5</f>
        <v>1300.8</v>
      </c>
      <c r="CE19" s="18">
        <f>'Total Saturday Boardings'!CE19/'Service Days per Month'!CE$5</f>
        <v>1344.75</v>
      </c>
      <c r="CF19" s="18">
        <f>'Total Saturday Boardings'!CF19/'Service Days per Month'!CF$5</f>
        <v>1531.4</v>
      </c>
      <c r="CG19" s="18">
        <f>'Total Saturday Boardings'!CG19/'Service Days per Month'!CG$5</f>
        <v>1468</v>
      </c>
      <c r="CH19" s="18">
        <f>'Total Saturday Boardings'!CH19/'Service Days per Month'!CH$5</f>
        <v>1250.5</v>
      </c>
      <c r="CI19" s="18">
        <f>'Total Saturday Boardings'!CI19/'Service Days per Month'!CI$5</f>
        <v>1421.8</v>
      </c>
      <c r="CJ19" s="18">
        <f>'Total Saturday Boardings'!CJ19/'Service Days per Month'!CJ$5</f>
        <v>1498.25</v>
      </c>
      <c r="CK19" s="18">
        <f>'Total Saturday Boardings'!CK19/'Service Days per Month'!CK$5</f>
        <v>1567</v>
      </c>
      <c r="CL19" s="18">
        <f>'Total Saturday Boardings'!CL19/'Service Days per Month'!CL$5</f>
        <v>1667.6</v>
      </c>
      <c r="CM19" s="18">
        <f>'Total Saturday Boardings'!CM19/'Service Days per Month'!CM$5</f>
        <v>1354.5</v>
      </c>
      <c r="CN19" s="21">
        <f>'Total Saturday Boardings'!CN19/'Service Days per Month'!CN$5</f>
        <v>1309</v>
      </c>
      <c r="CO19" s="17">
        <f>'Total Saturday Boardings'!CO19/'Service Days per Month'!CO$5</f>
        <v>1238.2</v>
      </c>
      <c r="CP19" s="18">
        <f>'Total Saturday Boardings'!CP19/'Service Days per Month'!CP$5</f>
        <v>1339.5</v>
      </c>
      <c r="CQ19" s="18">
        <f>'Total Saturday Boardings'!CQ19/'Service Days per Month'!CQ$5</f>
        <v>1358.5</v>
      </c>
      <c r="CR19" s="18">
        <f>'Total Saturday Boardings'!CR19/'Service Days per Month'!CR$5</f>
        <v>1398.6</v>
      </c>
      <c r="CS19" s="18">
        <f>'Total Saturday Boardings'!CS19/'Service Days per Month'!CS$5</f>
        <v>1336.25</v>
      </c>
      <c r="CT19" s="18">
        <f>'Total Saturday Boardings'!CT19/'Service Days per Month'!CT$5</f>
        <v>1265.25</v>
      </c>
      <c r="CU19" s="18">
        <f>'Total Saturday Boardings'!CU19/'Service Days per Month'!CU$5</f>
        <v>1331</v>
      </c>
      <c r="CV19" s="18">
        <f>'Total Saturday Boardings'!CV19/'Service Days per Month'!CV$5</f>
        <v>1628.75</v>
      </c>
      <c r="CW19" s="18">
        <f>'Total Saturday Boardings'!CW19/'Service Days per Month'!CW$5</f>
        <v>1505.25</v>
      </c>
      <c r="CX19" s="18">
        <f>'Total Saturday Boardings'!CX19/'Service Days per Month'!CX$5</f>
        <v>1979.6</v>
      </c>
      <c r="CY19" s="18">
        <f>'Total Saturday Boardings'!CY19/'Service Days per Month'!CY$5</f>
        <v>1390.5</v>
      </c>
      <c r="CZ19" s="19">
        <f>'Total Saturday Boardings'!CZ19/'Service Days per Month'!CZ$5</f>
        <v>1291.25</v>
      </c>
      <c r="DA19" s="17">
        <f>'Total Saturday Boardings'!DA19/'Service Days per Month'!DA$5</f>
        <v>1002.8</v>
      </c>
      <c r="DB19" s="18">
        <f>'Total Saturday Boardings'!DB19/'Service Days per Month'!DB$5</f>
        <v>840.5</v>
      </c>
      <c r="DC19" s="18">
        <f>'Total Saturday Boardings'!DC19/'Service Days per Month'!DC$5</f>
        <v>909.8</v>
      </c>
      <c r="DD19" s="18">
        <f>'Total Saturday Boardings'!DD19/'Service Days per Month'!DD$5</f>
        <v>1049.75</v>
      </c>
      <c r="DE19" s="18">
        <f>'Total Saturday Boardings'!DE19/'Service Days per Month'!DE$5</f>
        <v>986.75</v>
      </c>
      <c r="DF19" s="18">
        <f>'Total Saturday Boardings'!DF19/'Service Days per Month'!DF$5</f>
        <v>893.8</v>
      </c>
      <c r="DG19" s="18">
        <f>'Total Saturday Boardings'!DG19/'Service Days per Month'!DG$5</f>
        <v>830.5</v>
      </c>
      <c r="DH19" s="18">
        <f>'Total Saturday Boardings'!DH19/'Service Days per Month'!DH$5</f>
        <v>974.5</v>
      </c>
      <c r="DI19" s="18">
        <f>'Total Saturday Boardings'!DI19/'Service Days per Month'!DI$5</f>
        <v>999.2</v>
      </c>
      <c r="DJ19" s="18">
        <f>'Total Saturday Boardings'!DJ19/'Service Days per Month'!DJ$5</f>
        <v>960.25</v>
      </c>
      <c r="DK19" s="18">
        <f>'Total Saturday Boardings'!DK19/'Service Days per Month'!DK$5</f>
        <v>847.5</v>
      </c>
      <c r="DL19" s="19">
        <f>'Total Saturday Boardings'!DL19/'Service Days per Month'!DL$5</f>
        <v>944.4</v>
      </c>
      <c r="DM19" s="17">
        <f>'Total Saturday Boardings'!DM19/'Service Days per Month'!DM$5</f>
        <v>1006.75</v>
      </c>
      <c r="DN19" s="18">
        <f>'Total Saturday Boardings'!DN19/'Service Days per Month'!DN$5</f>
        <v>1133</v>
      </c>
      <c r="DO19" s="18">
        <f>'Total Saturday Boardings'!DO19/'Service Days per Month'!DO$5</f>
        <v>1198</v>
      </c>
      <c r="DP19" s="18">
        <f>'Total Saturday Boardings'!DP19/'Service Days per Month'!DP$5</f>
        <v>1225.75</v>
      </c>
      <c r="DQ19" s="18">
        <f>'Total Saturday Boardings'!DQ19/'Service Days per Month'!DQ$5</f>
        <v>1198.25</v>
      </c>
      <c r="DR19" s="18">
        <f>'Total Saturday Boardings'!DR19/'Service Days per Month'!DR$5</f>
        <v>1150.8</v>
      </c>
      <c r="DS19" s="18">
        <f>'Total Saturday Boardings'!DS19/'Service Days per Month'!DS$5</f>
        <v>1170</v>
      </c>
      <c r="DT19" s="18">
        <f>'Total Saturday Boardings'!DT19/'Service Days per Month'!DT$5</f>
        <v>1181.25</v>
      </c>
      <c r="DU19" s="18">
        <f>'Total Saturday Boardings'!DU19/'Service Days per Month'!DU$5</f>
        <v>1223.8</v>
      </c>
      <c r="DV19" s="18">
        <f>'Total Saturday Boardings'!DV19/'Service Days per Month'!DV$5</f>
        <v>1195.75</v>
      </c>
      <c r="DW19" s="18">
        <f>'Total Saturday Boardings'!DW19/'Service Days per Month'!DW$5</f>
        <v>1113.25</v>
      </c>
      <c r="DX19" s="19">
        <f>'Total Saturday Boardings'!DX19/'Service Days per Month'!DX$5</f>
        <v>1078</v>
      </c>
      <c r="DY19" s="17">
        <f>'Total Saturday Boardings'!DY19/'Service Days per Month'!DY$5</f>
        <v>940</v>
      </c>
      <c r="DZ19" s="18">
        <f>'Total Saturday Boardings'!DZ19/'Service Days per Month'!DZ$5</f>
        <v>1039.5999999999999</v>
      </c>
      <c r="EA19" s="18">
        <f>'Total Saturday Boardings'!EA19/'Service Days per Month'!EA$5</f>
        <v>1144</v>
      </c>
      <c r="EB19" s="18">
        <f>'Total Saturday Boardings'!EB19/'Service Days per Month'!EB$5</f>
        <v>1200</v>
      </c>
      <c r="EC19" s="18">
        <f>'Total Saturday Boardings'!EC19/'Service Days per Month'!EC$5</f>
        <v>1167.2</v>
      </c>
      <c r="ED19" s="18">
        <f>'Total Saturday Boardings'!ED19/'Service Days per Month'!ED$5</f>
        <v>997.25</v>
      </c>
      <c r="EE19" s="18">
        <f>'Total Saturday Boardings'!EE19/'Service Days per Month'!EE$5</f>
        <v>1001.25</v>
      </c>
      <c r="EF19" s="18">
        <f>'Total Saturday Boardings'!EF19/'Service Days per Month'!EF$5</f>
        <v>1122.5999999999999</v>
      </c>
      <c r="EG19" s="18">
        <f>'Total Saturday Boardings'!EG19/'Service Days per Month'!EG$5</f>
        <v>764.75</v>
      </c>
      <c r="EH19" s="18">
        <f>'Total Saturday Boardings'!EH19/'Service Days per Month'!EH$5</f>
        <v>406.75</v>
      </c>
      <c r="EI19" s="18">
        <f>'Total Saturday Boardings'!EI19/'Service Days per Month'!EI$5</f>
        <v>419.4</v>
      </c>
      <c r="EJ19" s="19">
        <f>'Total Saturday Boardings'!EJ19/'Service Days per Month'!EJ$5</f>
        <v>371.75</v>
      </c>
      <c r="EK19" s="17">
        <f>'Total Saturday Boardings'!EK19/'Service Days per Month'!EK$5</f>
        <v>264.5</v>
      </c>
      <c r="EL19" s="18">
        <f>'Total Saturday Boardings'!EL19/'Service Days per Month'!EL$5</f>
        <v>387.8</v>
      </c>
      <c r="EM19" s="18">
        <f>'Total Saturday Boardings'!EM19/'Service Days per Month'!EM$5</f>
        <v>369</v>
      </c>
      <c r="EN19" s="18">
        <f>'Total Saturday Boardings'!EN19/'Service Days per Month'!EN$5</f>
        <v>405.4</v>
      </c>
      <c r="EO19" s="18">
        <f>'Total Saturday Boardings'!EO19/'Service Days per Month'!EO$5</f>
        <v>558</v>
      </c>
      <c r="EP19" s="18">
        <f>'Total Saturday Boardings'!EP19/'Service Days per Month'!EP$5</f>
        <v>300.25</v>
      </c>
      <c r="EQ19" s="18">
        <f>'Total Saturday Boardings'!EQ19/'Service Days per Month'!EQ$5</f>
        <v>183.6</v>
      </c>
      <c r="ER19" s="18">
        <f>'Total Saturday Boardings'!ER19/'Service Days per Month'!ER$5</f>
        <v>441</v>
      </c>
      <c r="ES19" s="18">
        <f>'Total Saturday Boardings'!ES19/'Service Days per Month'!ES$5</f>
        <v>428</v>
      </c>
      <c r="ET19" s="18">
        <f>'Total Saturday Boardings'!ET19/'Service Days per Month'!ET$5</f>
        <v>419.5</v>
      </c>
      <c r="EU19" s="18">
        <f>'Total Saturday Boardings'!EU19/'Service Days per Month'!EU$5</f>
        <v>402.6</v>
      </c>
      <c r="EV19" s="19">
        <f>'Total Saturday Boardings'!EV19/'Service Days per Month'!EV$5</f>
        <v>453</v>
      </c>
      <c r="EW19" s="17">
        <f>'Total Saturday Boardings'!EW19/'Service Days per Month'!EW$5</f>
        <v>446.4</v>
      </c>
      <c r="EX19" s="18">
        <f>'Total Saturday Boardings'!EX19/'Service Days per Month'!EX$5</f>
        <v>564.25</v>
      </c>
      <c r="EY19" s="18">
        <f>'Total Saturday Boardings'!EY19/'Service Days per Month'!EY$5</f>
        <v>562.5</v>
      </c>
      <c r="EZ19" s="18">
        <f>'Total Saturday Boardings'!EZ19/'Service Days per Month'!EZ$5</f>
        <v>581.6</v>
      </c>
      <c r="FA19" s="18">
        <f>'Total Saturday Boardings'!FA19/'Service Days per Month'!FA$5</f>
        <v>567</v>
      </c>
      <c r="FB19" s="18">
        <f>'Total Saturday Boardings'!FB19/'Service Days per Month'!FB$5</f>
        <v>571.5</v>
      </c>
      <c r="FC19" s="18">
        <f>'Total Saturday Boardings'!FC19/'Service Days per Month'!FC$5</f>
        <v>470.8</v>
      </c>
      <c r="FD19" s="18">
        <f>'Total Saturday Boardings'!FD19/'Service Days per Month'!FD$5</f>
        <v>671</v>
      </c>
      <c r="FE19" s="18">
        <f>'Total Saturday Boardings'!FE19/'Service Days per Month'!FE$5</f>
        <v>741</v>
      </c>
      <c r="FF19" s="18">
        <f>'Total Saturday Boardings'!FF19/'Service Days per Month'!FF$5</f>
        <v>716.4</v>
      </c>
      <c r="FG19" s="18">
        <f>'Total Saturday Boardings'!FG19/'Service Days per Month'!FG$5</f>
        <v>656.75</v>
      </c>
      <c r="FH19" s="19">
        <f>'Total Saturday Boardings'!FH19/'Service Days per Month'!FH$5</f>
        <v>532.75</v>
      </c>
      <c r="FI19" s="17">
        <v>531.20000000000005</v>
      </c>
      <c r="FJ19" s="18">
        <v>604.75</v>
      </c>
      <c r="FK19" s="18">
        <v>625</v>
      </c>
      <c r="FL19" s="18">
        <v>659.4</v>
      </c>
      <c r="FM19" s="18">
        <v>556.4</v>
      </c>
      <c r="FN19" s="18">
        <v>568</v>
      </c>
      <c r="FO19" s="18">
        <v>540.4</v>
      </c>
      <c r="FP19" s="18">
        <v>1181.25</v>
      </c>
      <c r="FQ19" s="18">
        <v>782.75</v>
      </c>
      <c r="FR19" s="18">
        <f>'Total Saturday Boardings'!FR19/5</f>
        <v>696.6</v>
      </c>
      <c r="FS19" s="18">
        <f>'Total Saturday Boardings'!FS19/4</f>
        <v>704.5</v>
      </c>
      <c r="FT19" s="19">
        <f>'Total Saturday Boardings'!FT19/4</f>
        <v>731.25</v>
      </c>
      <c r="FU19" s="17">
        <f>'Total Saturday Boardings'!FU19/5</f>
        <v>687.6</v>
      </c>
      <c r="FV19" s="18">
        <f>'Total Saturday Boardings'!FV19/4</f>
        <v>719</v>
      </c>
      <c r="FW19" s="18">
        <f>'Total Saturday Boardings'!FW19/5</f>
        <v>730.6</v>
      </c>
      <c r="FX19" s="18">
        <f>'Total Saturday Boardings'!FX19/4</f>
        <v>796.5</v>
      </c>
      <c r="FY19" s="18">
        <f>'Total Saturday Boardings'!FY19/4</f>
        <v>776.25</v>
      </c>
      <c r="FZ19" s="18">
        <f>'Total Saturday Boardings'!FZ19/5</f>
        <v>697.8</v>
      </c>
      <c r="GA19" s="18">
        <f>'Total Saturday Boardings'!GA19/4</f>
        <v>741</v>
      </c>
      <c r="GB19" s="18">
        <f>'Total Saturday Boardings'!GB19/4</f>
        <v>846.25</v>
      </c>
      <c r="GC19" s="18">
        <f>'Total Saturday Boardings'!GC19/5</f>
        <v>868.8</v>
      </c>
      <c r="GD19" s="18">
        <f>'Total Saturday Boardings'!GD19/4</f>
        <v>1002.25</v>
      </c>
      <c r="GE19" s="18">
        <f>'Total Saturday Boardings'!GE19/4</f>
        <v>865</v>
      </c>
      <c r="GF19" s="18">
        <f>'Total Saturday Boardings'!GF19/5</f>
        <v>840.2</v>
      </c>
      <c r="GG19" s="18">
        <f>'Total Saturday Boardings'!GG19/4</f>
        <v>927</v>
      </c>
      <c r="GH19" s="18">
        <f>'Total Saturday Boardings'!GH19/5</f>
        <v>940.4</v>
      </c>
      <c r="GI19" s="18">
        <f>'Total Saturday Boardings'!GI19/4</f>
        <v>900.5</v>
      </c>
      <c r="GJ19" s="18">
        <f>'Total Saturday Boardings'!GJ19/4</f>
        <v>807</v>
      </c>
      <c r="GK19" s="18">
        <f>'Total Saturday Boardings'!GK19/5</f>
        <v>716.8</v>
      </c>
      <c r="GL19" s="18">
        <f>'Total Saturday Boardings'!GL19/4</f>
        <v>655</v>
      </c>
    </row>
    <row r="20" spans="1:194" x14ac:dyDescent="0.3">
      <c r="A20" s="3" t="s">
        <v>13</v>
      </c>
      <c r="B20" s="17"/>
      <c r="C20" s="18">
        <f>'Total Saturday Boardings'!C20/'Service Days per Month'!C$5</f>
        <v>834</v>
      </c>
      <c r="D20" s="18">
        <f>'Total Saturday Boardings'!D20/'Service Days per Month'!D$5</f>
        <v>1058.5</v>
      </c>
      <c r="E20" s="18">
        <f>'Total Saturday Boardings'!E20/'Service Days per Month'!E$5</f>
        <v>941.25</v>
      </c>
      <c r="F20" s="18">
        <f>'Total Saturday Boardings'!F20/'Service Days per Month'!F$5</f>
        <v>851.75</v>
      </c>
      <c r="G20" s="18">
        <f>'Total Saturday Boardings'!G20/'Service Days per Month'!G$5</f>
        <v>500</v>
      </c>
      <c r="H20" s="19">
        <f>'Total Saturday Boardings'!H20/'Service Days per Month'!H$5</f>
        <v>563.25</v>
      </c>
      <c r="I20" s="17">
        <f>'Total Saturday Boardings'!I20/'Service Days per Month'!I$5</f>
        <v>695</v>
      </c>
      <c r="J20" s="18">
        <f>'Total Saturday Boardings'!J20/'Service Days per Month'!J$5</f>
        <v>501</v>
      </c>
      <c r="K20" s="18">
        <f>'Total Saturday Boardings'!K20/'Service Days per Month'!K$5</f>
        <v>693.25</v>
      </c>
      <c r="L20" s="18">
        <f>'Total Saturday Boardings'!L20/'Service Days per Month'!L$5</f>
        <v>684.8</v>
      </c>
      <c r="M20" s="18">
        <f>'Total Saturday Boardings'!M20/'Service Days per Month'!M$5</f>
        <v>728.25</v>
      </c>
      <c r="N20" s="18">
        <f>'Total Saturday Boardings'!N20/'Service Days per Month'!N$5</f>
        <v>659</v>
      </c>
      <c r="O20" s="62">
        <f>'Total Saturday Boardings'!O20/'Service Days per Month'!O$5</f>
        <v>588.79999999999995</v>
      </c>
      <c r="P20" s="62">
        <f>'Total Saturday Boardings'!P20/'Service Days per Month'!P$5</f>
        <v>974.25</v>
      </c>
      <c r="Q20" s="62">
        <f>'Total Saturday Boardings'!Q20/'Service Days per Month'!Q$5</f>
        <v>985</v>
      </c>
      <c r="R20" s="62">
        <f>'Total Saturday Boardings'!R20/'Service Days per Month'!R$5</f>
        <v>858.5</v>
      </c>
      <c r="S20" s="62">
        <f>'Total Saturday Boardings'!S20/'Service Days per Month'!S$5</f>
        <v>603.20000000000005</v>
      </c>
      <c r="T20" s="63">
        <f>'Total Saturday Boardings'!T20/'Service Days per Month'!T$5</f>
        <v>708</v>
      </c>
      <c r="U20" s="64">
        <f>'Total Saturday Boardings'!U20/'Service Days per Month'!U$5</f>
        <v>588.6</v>
      </c>
      <c r="V20" s="62">
        <f>'Total Saturday Boardings'!V20/'Service Days per Month'!V$5</f>
        <v>663.5</v>
      </c>
      <c r="W20" s="62">
        <f>'Total Saturday Boardings'!W20/'Service Days per Month'!W$5</f>
        <v>725.25</v>
      </c>
      <c r="X20" s="62">
        <f>'Total Saturday Boardings'!X20/'Service Days per Month'!X$5</f>
        <v>621.4</v>
      </c>
      <c r="Y20" s="62">
        <f>'Total Saturday Boardings'!Y20/'Service Days per Month'!Y$5</f>
        <v>717</v>
      </c>
      <c r="Z20" s="62">
        <f>'Total Saturday Boardings'!Z20/'Service Days per Month'!Z$5</f>
        <v>778.66666666666663</v>
      </c>
      <c r="AA20" s="18">
        <f>'Total Saturday Boardings'!AA20/'Service Days per Month'!AA$5</f>
        <v>571.4</v>
      </c>
      <c r="AB20" s="18">
        <f>'Total Saturday Boardings'!AB20/'Service Days per Month'!AB$5</f>
        <v>733.75</v>
      </c>
      <c r="AC20" s="18">
        <f>'Total Saturday Boardings'!AC20/'Service Days per Month'!AC$5</f>
        <v>1059</v>
      </c>
      <c r="AD20" s="18">
        <f>'Total Saturday Boardings'!AD20/'Service Days per Month'!AD$5</f>
        <v>896.2</v>
      </c>
      <c r="AE20" s="18">
        <f>'Total Saturday Boardings'!AE20/'Service Days per Month'!AE$5</f>
        <v>735.75</v>
      </c>
      <c r="AF20" s="19">
        <f>'Total Saturday Boardings'!AF20/'Service Days per Month'!AF$5</f>
        <v>729.25</v>
      </c>
      <c r="AG20" s="17">
        <f>'Total Saturday Boardings'!AG20/'Service Days per Month'!AG$5</f>
        <v>648.79999999999995</v>
      </c>
      <c r="AH20" s="18">
        <f>'Total Saturday Boardings'!AH20/'Service Days per Month'!AH$5</f>
        <v>698.75</v>
      </c>
      <c r="AI20" s="18">
        <f>'Total Saturday Boardings'!AI20/'Service Days per Month'!AI$5</f>
        <v>736.25</v>
      </c>
      <c r="AJ20" s="18">
        <f>'Total Saturday Boardings'!AJ20/'Service Days per Month'!AJ$5</f>
        <v>960.4</v>
      </c>
      <c r="AK20" s="18">
        <f>'Total Saturday Boardings'!AK20/'Service Days per Month'!AK$5</f>
        <v>646.75</v>
      </c>
      <c r="AL20" s="18">
        <f>'Total Saturday Boardings'!AL20/'Service Days per Month'!AL$5</f>
        <v>881.75</v>
      </c>
      <c r="AM20" s="18">
        <f>'Total Saturday Boardings'!AM20/'Service Days per Month'!AM$5</f>
        <v>750</v>
      </c>
      <c r="AN20" s="18">
        <f>'Total Saturday Boardings'!AN20/'Service Days per Month'!AN$5</f>
        <v>796</v>
      </c>
      <c r="AO20" s="18">
        <f>'Total Saturday Boardings'!AO20/'Service Days per Month'!AO$5</f>
        <v>944.2</v>
      </c>
      <c r="AP20" s="18">
        <f>'Total Saturday Boardings'!AP20/'Service Days per Month'!AP$5</f>
        <v>864.25</v>
      </c>
      <c r="AQ20" s="18">
        <f>'Total Saturday Boardings'!AQ20/'Service Days per Month'!AQ$5</f>
        <v>717.25</v>
      </c>
      <c r="AR20" s="19">
        <f>'Total Saturday Boardings'!AR20/'Service Days per Month'!AR$5</f>
        <v>655.8</v>
      </c>
      <c r="AS20" s="17">
        <f>'Total Saturday Boardings'!AS20/'Service Days per Month'!AS$5</f>
        <v>604.75</v>
      </c>
      <c r="AT20" s="18">
        <f>'Total Saturday Boardings'!AT20/'Service Days per Month'!AT$5</f>
        <v>636.25</v>
      </c>
      <c r="AU20" s="18">
        <f>'Total Saturday Boardings'!AU20/'Service Days per Month'!AU$5</f>
        <v>791.6</v>
      </c>
      <c r="AV20" s="18">
        <f>'Total Saturday Boardings'!AV20/'Service Days per Month'!AV$5</f>
        <v>906.75</v>
      </c>
      <c r="AW20" s="18">
        <f>'Total Saturday Boardings'!AW20/'Service Days per Month'!AW$5</f>
        <v>969.5</v>
      </c>
      <c r="AX20" s="18">
        <f>'Total Saturday Boardings'!AX20/'Service Days per Month'!AX$5</f>
        <v>790.6</v>
      </c>
      <c r="AY20" s="18">
        <f>'Total Saturday Boardings'!AY20/'Service Days per Month'!AY$5</f>
        <v>676</v>
      </c>
      <c r="AZ20" s="18">
        <f>'Total Saturday Boardings'!AZ20/'Service Days per Month'!AZ$5</f>
        <v>817.75</v>
      </c>
      <c r="BA20" s="18">
        <f>'Total Saturday Boardings'!BA20/'Service Days per Month'!BA$5</f>
        <v>1018.4</v>
      </c>
      <c r="BB20" s="18">
        <f>'Total Saturday Boardings'!BB20/'Service Days per Month'!BB$5</f>
        <v>1087</v>
      </c>
      <c r="BC20" s="18">
        <f>'Total Saturday Boardings'!BC20/'Service Days per Month'!BC$5</f>
        <v>804.5</v>
      </c>
      <c r="BD20" s="19">
        <f>'Total Saturday Boardings'!BD20/'Service Days per Month'!BD$5</f>
        <v>675.4</v>
      </c>
      <c r="BE20" s="17">
        <f>'Total Saturday Boardings'!BE20/'Service Days per Month'!BE$5</f>
        <v>630.25</v>
      </c>
      <c r="BF20" s="18">
        <f>'Total Saturday Boardings'!BF20/'Service Days per Month'!BF$5</f>
        <v>687.6</v>
      </c>
      <c r="BG20" s="18">
        <f>'Total Saturday Boardings'!BG20/'Service Days per Month'!BG$5</f>
        <v>815.5</v>
      </c>
      <c r="BH20" s="18">
        <f>'Total Saturday Boardings'!BH20/'Service Days per Month'!BH$5</f>
        <v>902.75</v>
      </c>
      <c r="BI20" s="18">
        <f>'Total Saturday Boardings'!BI20/'Service Days per Month'!BI$5</f>
        <v>927.24920832892929</v>
      </c>
      <c r="BJ20" s="18">
        <f>'Total Saturday Boardings'!BJ20/'Service Days per Month'!BJ$5</f>
        <v>765</v>
      </c>
      <c r="BK20" s="18">
        <f>'Total Saturday Boardings'!BK20/'Service Days per Month'!BK$5</f>
        <v>824.75</v>
      </c>
      <c r="BL20" s="18">
        <f>'Total Saturday Boardings'!BL20/'Service Days per Month'!BL$5</f>
        <v>920.25</v>
      </c>
      <c r="BM20" s="18">
        <f>'Total Saturday Boardings'!BM20/'Service Days per Month'!BM$5</f>
        <v>1057.4000000000001</v>
      </c>
      <c r="BN20" s="18">
        <f>'Total Saturday Boardings'!BN20/'Service Days per Month'!BN$5</f>
        <v>959.75</v>
      </c>
      <c r="BO20" s="18">
        <f>'Total Saturday Boardings'!BO20/'Service Days per Month'!BO$5</f>
        <v>807.8</v>
      </c>
      <c r="BP20" s="19">
        <f>'Total Saturday Boardings'!BP20/'Service Days per Month'!BP$5</f>
        <v>785.25</v>
      </c>
      <c r="BQ20" s="17">
        <f>'Total Saturday Boardings'!BQ20/'Service Days per Month'!BQ$5</f>
        <v>622</v>
      </c>
      <c r="BR20" s="18">
        <f>'Total Saturday Boardings'!BR20/'Service Days per Month'!BR$5</f>
        <v>724.4</v>
      </c>
      <c r="BS20" s="18">
        <f>'Total Saturday Boardings'!BS20/'Service Days per Month'!BS$5</f>
        <v>807.5</v>
      </c>
      <c r="BT20" s="18">
        <f>'Total Saturday Boardings'!BT20/'Service Days per Month'!BT$5</f>
        <v>990.25</v>
      </c>
      <c r="BU20" s="18">
        <f>'Total Saturday Boardings'!BU20/'Service Days per Month'!BU$5</f>
        <v>1029.2</v>
      </c>
      <c r="BV20" s="18">
        <f>'Total Saturday Boardings'!BV20/'Service Days per Month'!BV$5</f>
        <v>763</v>
      </c>
      <c r="BW20" s="18">
        <f>'Total Saturday Boardings'!BW20/'Service Days per Month'!BW$5</f>
        <v>1207.2</v>
      </c>
      <c r="BX20" s="18">
        <f>'Total Saturday Boardings'!BX20/'Service Days per Month'!BX$5</f>
        <v>963.25</v>
      </c>
      <c r="BY20" s="18">
        <f>'Total Saturday Boardings'!BY20/'Service Days per Month'!BY$5</f>
        <v>1231.5</v>
      </c>
      <c r="BZ20" s="18">
        <f>'Total Saturday Boardings'!BZ20/'Service Days per Month'!BZ$5</f>
        <v>1047.75</v>
      </c>
      <c r="CA20" s="18">
        <f>'Total Saturday Boardings'!CA20/'Service Days per Month'!CA$5</f>
        <v>1056.8</v>
      </c>
      <c r="CB20" s="19">
        <f>'Total Saturday Boardings'!CB20/'Service Days per Month'!CB$5</f>
        <v>765</v>
      </c>
      <c r="CC20" s="20">
        <f>'Total Saturday Boardings'!CC20/'Service Days per Month'!CC$5</f>
        <v>845</v>
      </c>
      <c r="CD20" s="18">
        <f>'Total Saturday Boardings'!CD20/'Service Days per Month'!CD$5</f>
        <v>769.4</v>
      </c>
      <c r="CE20" s="18">
        <f>'Total Saturday Boardings'!CE20/'Service Days per Month'!CE$5</f>
        <v>1048.75</v>
      </c>
      <c r="CF20" s="18">
        <f>'Total Saturday Boardings'!CF20/'Service Days per Month'!CF$5</f>
        <v>996.2</v>
      </c>
      <c r="CG20" s="18">
        <f>'Total Saturday Boardings'!CG20/'Service Days per Month'!CG$5</f>
        <v>1083.75</v>
      </c>
      <c r="CH20" s="18">
        <f>'Total Saturday Boardings'!CH20/'Service Days per Month'!CH$5</f>
        <v>813</v>
      </c>
      <c r="CI20" s="18">
        <f>'Total Saturday Boardings'!CI20/'Service Days per Month'!CI$5</f>
        <v>923.6</v>
      </c>
      <c r="CJ20" s="18">
        <f>'Total Saturday Boardings'!CJ20/'Service Days per Month'!CJ$5</f>
        <v>1031.75</v>
      </c>
      <c r="CK20" s="18">
        <f>'Total Saturday Boardings'!CK20/'Service Days per Month'!CK$5</f>
        <v>1263.25</v>
      </c>
      <c r="CL20" s="18">
        <f>'Total Saturday Boardings'!CL20/'Service Days per Month'!CL$5</f>
        <v>1203.5999999999999</v>
      </c>
      <c r="CM20" s="18">
        <f>'Total Saturday Boardings'!CM20/'Service Days per Month'!CM$5</f>
        <v>881</v>
      </c>
      <c r="CN20" s="21">
        <f>'Total Saturday Boardings'!CN20/'Service Days per Month'!CN$5</f>
        <v>760</v>
      </c>
      <c r="CO20" s="17">
        <f>'Total Saturday Boardings'!CO20/'Service Days per Month'!CO$5</f>
        <v>741.8</v>
      </c>
      <c r="CP20" s="18">
        <f>'Total Saturday Boardings'!CP20/'Service Days per Month'!CP$5</f>
        <v>775.75</v>
      </c>
      <c r="CQ20" s="18">
        <f>'Total Saturday Boardings'!CQ20/'Service Days per Month'!CQ$5</f>
        <v>906</v>
      </c>
      <c r="CR20" s="18">
        <f>'Total Saturday Boardings'!CR20/'Service Days per Month'!CR$5</f>
        <v>920.4</v>
      </c>
      <c r="CS20" s="18">
        <f>'Total Saturday Boardings'!CS20/'Service Days per Month'!CS$5</f>
        <v>889.25</v>
      </c>
      <c r="CT20" s="18">
        <f>'Total Saturday Boardings'!CT20/'Service Days per Month'!CT$5</f>
        <v>888.5</v>
      </c>
      <c r="CU20" s="18">
        <f>'Total Saturday Boardings'!CU20/'Service Days per Month'!CU$5</f>
        <v>826.75</v>
      </c>
      <c r="CV20" s="18">
        <f>'Total Saturday Boardings'!CV20/'Service Days per Month'!CV$5</f>
        <v>979.75</v>
      </c>
      <c r="CW20" s="18">
        <f>'Total Saturday Boardings'!CW20/'Service Days per Month'!CW$5</f>
        <v>1140</v>
      </c>
      <c r="CX20" s="18">
        <f>'Total Saturday Boardings'!CX20/'Service Days per Month'!CX$5</f>
        <v>1968.2</v>
      </c>
      <c r="CY20" s="18">
        <f>'Total Saturday Boardings'!CY20/'Service Days per Month'!CY$5</f>
        <v>973.25</v>
      </c>
      <c r="CZ20" s="19">
        <f>'Total Saturday Boardings'!CZ20/'Service Days per Month'!CZ$5</f>
        <v>803.25</v>
      </c>
      <c r="DA20" s="17">
        <f>'Total Saturday Boardings'!DA20/'Service Days per Month'!DA$5</f>
        <v>739.8</v>
      </c>
      <c r="DB20" s="18">
        <f>'Total Saturday Boardings'!DB20/'Service Days per Month'!DB$5</f>
        <v>784</v>
      </c>
      <c r="DC20" s="18">
        <f>'Total Saturday Boardings'!DC20/'Service Days per Month'!DC$5</f>
        <v>826.4</v>
      </c>
      <c r="DD20" s="18">
        <f>'Total Saturday Boardings'!DD20/'Service Days per Month'!DD$5</f>
        <v>1043.25</v>
      </c>
      <c r="DE20" s="18">
        <f>'Total Saturday Boardings'!DE20/'Service Days per Month'!DE$5</f>
        <v>923.75</v>
      </c>
      <c r="DF20" s="18">
        <f>'Total Saturday Boardings'!DF20/'Service Days per Month'!DF$5</f>
        <v>792.4</v>
      </c>
      <c r="DG20" s="18">
        <f>'Total Saturday Boardings'!DG20/'Service Days per Month'!DG$5</f>
        <v>802</v>
      </c>
      <c r="DH20" s="18">
        <f>'Total Saturday Boardings'!DH20/'Service Days per Month'!DH$5</f>
        <v>915.75</v>
      </c>
      <c r="DI20" s="18">
        <f>'Total Saturday Boardings'!DI20/'Service Days per Month'!DI$5</f>
        <v>1082</v>
      </c>
      <c r="DJ20" s="18">
        <f>'Total Saturday Boardings'!DJ20/'Service Days per Month'!DJ$5</f>
        <v>1040</v>
      </c>
      <c r="DK20" s="18">
        <f>'Total Saturday Boardings'!DK20/'Service Days per Month'!DK$5</f>
        <v>822.25</v>
      </c>
      <c r="DL20" s="19">
        <f>'Total Saturday Boardings'!DL20/'Service Days per Month'!DL$5</f>
        <v>745</v>
      </c>
      <c r="DM20" s="17">
        <f>'Total Saturday Boardings'!DM20/'Service Days per Month'!DM$5</f>
        <v>646.25</v>
      </c>
      <c r="DN20" s="18">
        <f>'Total Saturday Boardings'!DN20/'Service Days per Month'!DN$5</f>
        <v>692.25</v>
      </c>
      <c r="DO20" s="18">
        <f>'Total Saturday Boardings'!DO20/'Service Days per Month'!DO$5</f>
        <v>765.4</v>
      </c>
      <c r="DP20" s="18">
        <f>'Total Saturday Boardings'!DP20/'Service Days per Month'!DP$5</f>
        <v>741</v>
      </c>
      <c r="DQ20" s="18">
        <f>'Total Saturday Boardings'!DQ20/'Service Days per Month'!DQ$5</f>
        <v>816.75</v>
      </c>
      <c r="DR20" s="18">
        <f>'Total Saturday Boardings'!DR20/'Service Days per Month'!DR$5</f>
        <v>775.4</v>
      </c>
      <c r="DS20" s="18">
        <f>'Total Saturday Boardings'!DS20/'Service Days per Month'!DS$5</f>
        <v>728.25</v>
      </c>
      <c r="DT20" s="18">
        <f>'Total Saturday Boardings'!DT20/'Service Days per Month'!DT$5</f>
        <v>787.75</v>
      </c>
      <c r="DU20" s="18">
        <f>'Total Saturday Boardings'!DU20/'Service Days per Month'!DU$5</f>
        <v>1073.8</v>
      </c>
      <c r="DV20" s="18">
        <f>'Total Saturday Boardings'!DV20/'Service Days per Month'!DV$5</f>
        <v>882.25</v>
      </c>
      <c r="DW20" s="18">
        <f>'Total Saturday Boardings'!DW20/'Service Days per Month'!DW$5</f>
        <v>815.25</v>
      </c>
      <c r="DX20" s="19">
        <f>'Total Saturday Boardings'!DX20/'Service Days per Month'!DX$5</f>
        <v>676</v>
      </c>
      <c r="DY20" s="17">
        <f>'Total Saturday Boardings'!DY20/'Service Days per Month'!DY$5</f>
        <v>562</v>
      </c>
      <c r="DZ20" s="18">
        <f>'Total Saturday Boardings'!DZ20/'Service Days per Month'!DZ$5</f>
        <v>653.6</v>
      </c>
      <c r="EA20" s="18">
        <f>'Total Saturday Boardings'!EA20/'Service Days per Month'!EA$5</f>
        <v>780.25</v>
      </c>
      <c r="EB20" s="18">
        <f>'Total Saturday Boardings'!EB20/'Service Days per Month'!EB$5</f>
        <v>776.75</v>
      </c>
      <c r="EC20" s="18">
        <f>'Total Saturday Boardings'!EC20/'Service Days per Month'!EC$5</f>
        <v>873</v>
      </c>
      <c r="ED20" s="18">
        <f>'Total Saturday Boardings'!ED20/'Service Days per Month'!ED$5</f>
        <v>767.25</v>
      </c>
      <c r="EE20" s="18">
        <f>'Total Saturday Boardings'!EE20/'Service Days per Month'!EE$5</f>
        <v>731.25</v>
      </c>
      <c r="EF20" s="18">
        <f>'Total Saturday Boardings'!EF20/'Service Days per Month'!EF$5</f>
        <v>835.6</v>
      </c>
      <c r="EG20" s="18">
        <f>'Total Saturday Boardings'!EG20/'Service Days per Month'!EG$5</f>
        <v>718</v>
      </c>
      <c r="EH20" s="18">
        <f>'Total Saturday Boardings'!EH20/'Service Days per Month'!EH$5</f>
        <v>330</v>
      </c>
      <c r="EI20" s="18">
        <f>'Total Saturday Boardings'!EI20/'Service Days per Month'!EI$5</f>
        <v>354.2</v>
      </c>
      <c r="EJ20" s="19">
        <f>'Total Saturday Boardings'!EJ20/'Service Days per Month'!EJ$5</f>
        <v>309.75</v>
      </c>
      <c r="EK20" s="17">
        <f>'Total Saturday Boardings'!EK20/'Service Days per Month'!EK$5</f>
        <v>192</v>
      </c>
      <c r="EL20" s="18">
        <f>'Total Saturday Boardings'!EL20/'Service Days per Month'!EL$5</f>
        <v>320.2</v>
      </c>
      <c r="EM20" s="18">
        <f>'Total Saturday Boardings'!EM20/'Service Days per Month'!EM$5</f>
        <v>332.25</v>
      </c>
      <c r="EN20" s="18">
        <f>'Total Saturday Boardings'!EN20/'Service Days per Month'!EN$5</f>
        <v>362.2</v>
      </c>
      <c r="EO20" s="18">
        <f>'Total Saturday Boardings'!EO20/'Service Days per Month'!EO$5</f>
        <v>500</v>
      </c>
      <c r="EP20" s="18">
        <f>'Total Saturday Boardings'!EP20/'Service Days per Month'!EP$5</f>
        <v>315.75</v>
      </c>
      <c r="EQ20" s="18">
        <f>'Total Saturday Boardings'!EQ20/'Service Days per Month'!EQ$5</f>
        <v>171.4</v>
      </c>
      <c r="ER20" s="18">
        <f>'Total Saturday Boardings'!ER20/'Service Days per Month'!ER$5</f>
        <v>350.25</v>
      </c>
      <c r="ES20" s="18">
        <f>'Total Saturday Boardings'!ES20/'Service Days per Month'!ES$5</f>
        <v>363</v>
      </c>
      <c r="ET20" s="18">
        <f>'Total Saturday Boardings'!ET20/'Service Days per Month'!ET$5</f>
        <v>437.25</v>
      </c>
      <c r="EU20" s="18">
        <f>'Total Saturday Boardings'!EU20/'Service Days per Month'!EU$5</f>
        <v>408.6</v>
      </c>
      <c r="EV20" s="19">
        <f>'Total Saturday Boardings'!EV20/'Service Days per Month'!EV$5</f>
        <v>372.5</v>
      </c>
      <c r="EW20" s="17">
        <f>'Total Saturday Boardings'!EW20/'Service Days per Month'!EW$5</f>
        <v>400</v>
      </c>
      <c r="EX20" s="18">
        <f>'Total Saturday Boardings'!EX20/'Service Days per Month'!EX$5</f>
        <v>390.75</v>
      </c>
      <c r="EY20" s="18">
        <f>'Total Saturday Boardings'!EY20/'Service Days per Month'!EY$5</f>
        <v>445.75</v>
      </c>
      <c r="EZ20" s="18">
        <f>'Total Saturday Boardings'!EZ20/'Service Days per Month'!EZ$5</f>
        <v>486.8</v>
      </c>
      <c r="FA20" s="18">
        <f>'Total Saturday Boardings'!FA20/'Service Days per Month'!FA$5</f>
        <v>529.5</v>
      </c>
      <c r="FB20" s="18">
        <f>'Total Saturday Boardings'!FB20/'Service Days per Month'!FB$5</f>
        <v>462</v>
      </c>
      <c r="FC20" s="18">
        <f>'Total Saturday Boardings'!FC20/'Service Days per Month'!FC$5</f>
        <v>415.8</v>
      </c>
      <c r="FD20" s="18">
        <f>'Total Saturday Boardings'!FD20/'Service Days per Month'!FD$5</f>
        <v>571.75</v>
      </c>
      <c r="FE20" s="18">
        <f>'Total Saturday Boardings'!FE20/'Service Days per Month'!FE$5</f>
        <v>901.25</v>
      </c>
      <c r="FF20" s="18">
        <f>'Total Saturday Boardings'!FF20/'Service Days per Month'!FF$5</f>
        <v>753</v>
      </c>
      <c r="FG20" s="18">
        <f>'Total Saturday Boardings'!FG20/'Service Days per Month'!FG$5</f>
        <v>692.75</v>
      </c>
      <c r="FH20" s="19">
        <f>'Total Saturday Boardings'!FH20/'Service Days per Month'!FH$5</f>
        <v>422</v>
      </c>
      <c r="FI20" s="17">
        <v>385.8</v>
      </c>
      <c r="FJ20" s="18">
        <v>429.5</v>
      </c>
      <c r="FK20" s="18">
        <v>498.75</v>
      </c>
      <c r="FL20" s="18">
        <v>463.4</v>
      </c>
      <c r="FM20" s="18">
        <v>500</v>
      </c>
      <c r="FN20" s="18">
        <v>490.8</v>
      </c>
      <c r="FO20" s="18">
        <v>418.2</v>
      </c>
      <c r="FP20" s="18">
        <v>1737.25</v>
      </c>
      <c r="FQ20" s="18">
        <v>810.5</v>
      </c>
      <c r="FR20" s="18">
        <f>'Total Saturday Boardings'!FR20/5</f>
        <v>625.79999999999995</v>
      </c>
      <c r="FS20" s="18">
        <f>'Total Saturday Boardings'!FS20/4</f>
        <v>607.25</v>
      </c>
      <c r="FT20" s="19">
        <f>'Total Saturday Boardings'!FT20/4</f>
        <v>625.5</v>
      </c>
      <c r="FU20" s="17">
        <f>'Total Saturday Boardings'!FU20/5</f>
        <v>511.6</v>
      </c>
      <c r="FV20" s="18">
        <f>'Total Saturday Boardings'!FV20/4</f>
        <v>536.25</v>
      </c>
      <c r="FW20" s="18">
        <f>'Total Saturday Boardings'!FW20/5</f>
        <v>582</v>
      </c>
      <c r="FX20" s="18">
        <f>'Total Saturday Boardings'!FX20/4</f>
        <v>687.25</v>
      </c>
      <c r="FY20" s="18">
        <f>'Total Saturday Boardings'!FY20/4</f>
        <v>738</v>
      </c>
      <c r="FZ20" s="18">
        <f>'Total Saturday Boardings'!FZ20/5</f>
        <v>604.4</v>
      </c>
      <c r="GA20" s="18">
        <f>'Total Saturday Boardings'!GA20/4</f>
        <v>675</v>
      </c>
      <c r="GB20" s="18">
        <f>'Total Saturday Boardings'!GB20/4</f>
        <v>640.5</v>
      </c>
      <c r="GC20" s="18">
        <f>'Total Saturday Boardings'!GC20/5</f>
        <v>793</v>
      </c>
      <c r="GD20" s="18">
        <f>'Total Saturday Boardings'!GD20/4</f>
        <v>967.5</v>
      </c>
      <c r="GE20" s="18">
        <f>'Total Saturday Boardings'!GE20/4</f>
        <v>612.75</v>
      </c>
      <c r="GF20" s="18">
        <f>'Total Saturday Boardings'!GF20/5</f>
        <v>547.6</v>
      </c>
      <c r="GG20" s="18">
        <f>'Total Saturday Boardings'!GG20/4</f>
        <v>589.75</v>
      </c>
      <c r="GH20" s="18">
        <f>'Total Saturday Boardings'!GH20/5</f>
        <v>585</v>
      </c>
      <c r="GI20" s="18">
        <f>'Total Saturday Boardings'!GI20/4</f>
        <v>619</v>
      </c>
      <c r="GJ20" s="18">
        <f>'Total Saturday Boardings'!GJ20/4</f>
        <v>588.25</v>
      </c>
      <c r="GK20" s="18">
        <f>'Total Saturday Boardings'!GK20/5</f>
        <v>591.79999999999995</v>
      </c>
      <c r="GL20" s="18">
        <f>'Total Saturday Boardings'!GL20/4</f>
        <v>527.75</v>
      </c>
    </row>
    <row r="21" spans="1:194" x14ac:dyDescent="0.3">
      <c r="A21" s="3" t="s">
        <v>34</v>
      </c>
      <c r="B21" s="17"/>
      <c r="C21" s="18">
        <f>'Total Saturday Boardings'!C21/'Service Days per Month'!C$5</f>
        <v>745.4</v>
      </c>
      <c r="D21" s="18">
        <f>'Total Saturday Boardings'!D21/'Service Days per Month'!D$5</f>
        <v>1371.5</v>
      </c>
      <c r="E21" s="18">
        <f>'Total Saturday Boardings'!E21/'Service Days per Month'!E$5</f>
        <v>1124.75</v>
      </c>
      <c r="F21" s="18">
        <f>'Total Saturday Boardings'!F21/'Service Days per Month'!F$5</f>
        <v>1177.5</v>
      </c>
      <c r="G21" s="18">
        <f>'Total Saturday Boardings'!G21/'Service Days per Month'!G$5</f>
        <v>886.2</v>
      </c>
      <c r="H21" s="19">
        <f>'Total Saturday Boardings'!H21/'Service Days per Month'!H$5</f>
        <v>952.5</v>
      </c>
      <c r="I21" s="17">
        <f>'Total Saturday Boardings'!I21/'Service Days per Month'!I$5</f>
        <v>1009</v>
      </c>
      <c r="J21" s="18">
        <f>'Total Saturday Boardings'!J21/'Service Days per Month'!J$5</f>
        <v>783.2</v>
      </c>
      <c r="K21" s="18">
        <f>'Total Saturday Boardings'!K21/'Service Days per Month'!K$5</f>
        <v>1094.75</v>
      </c>
      <c r="L21" s="18">
        <f>'Total Saturday Boardings'!L21/'Service Days per Month'!L$5</f>
        <v>915.2</v>
      </c>
      <c r="M21" s="18">
        <f>'Total Saturday Boardings'!M21/'Service Days per Month'!M$5</f>
        <v>1242.5</v>
      </c>
      <c r="N21" s="18">
        <f>'Total Saturday Boardings'!N21/'Service Days per Month'!N$5</f>
        <v>1109.5</v>
      </c>
      <c r="O21" s="62">
        <f>'Total Saturday Boardings'!O21/'Service Days per Month'!O$5</f>
        <v>901.6</v>
      </c>
      <c r="P21" s="62">
        <f>'Total Saturday Boardings'!P21/'Service Days per Month'!P$5</f>
        <v>1254.25</v>
      </c>
      <c r="Q21" s="62">
        <f>'Total Saturday Boardings'!Q21/'Service Days per Month'!Q$5</f>
        <v>1263</v>
      </c>
      <c r="R21" s="62">
        <f>'Total Saturday Boardings'!R21/'Service Days per Month'!R$5</f>
        <v>1191.5</v>
      </c>
      <c r="S21" s="62">
        <f>'Total Saturday Boardings'!S21/'Service Days per Month'!S$5</f>
        <v>855.8</v>
      </c>
      <c r="T21" s="63">
        <f>'Total Saturday Boardings'!T21/'Service Days per Month'!T$5</f>
        <v>832</v>
      </c>
      <c r="U21" s="64">
        <f>'Total Saturday Boardings'!U21/'Service Days per Month'!U$5</f>
        <v>937</v>
      </c>
      <c r="V21" s="62">
        <f>'Total Saturday Boardings'!V21/'Service Days per Month'!V$5</f>
        <v>1007</v>
      </c>
      <c r="W21" s="62">
        <f>'Total Saturday Boardings'!W21/'Service Days per Month'!W$5</f>
        <v>1099.75</v>
      </c>
      <c r="X21" s="62">
        <f>'Total Saturday Boardings'!X21/'Service Days per Month'!X$5</f>
        <v>898</v>
      </c>
      <c r="Y21" s="62">
        <f>'Total Saturday Boardings'!Y21/'Service Days per Month'!Y$5</f>
        <v>1055.5</v>
      </c>
      <c r="Z21" s="62">
        <f>'Total Saturday Boardings'!Z21/'Service Days per Month'!Z$5</f>
        <v>1043</v>
      </c>
      <c r="AA21" s="18">
        <f>'Total Saturday Boardings'!AA21/'Service Days per Month'!AA$5</f>
        <v>806.2</v>
      </c>
      <c r="AB21" s="18">
        <f>'Total Saturday Boardings'!AB21/'Service Days per Month'!AB$5</f>
        <v>1046.5</v>
      </c>
      <c r="AC21" s="18">
        <f>'Total Saturday Boardings'!AC21/'Service Days per Month'!AC$5</f>
        <v>1027</v>
      </c>
      <c r="AD21" s="18">
        <f>'Total Saturday Boardings'!AD21/'Service Days per Month'!AD$5</f>
        <v>1008.2</v>
      </c>
      <c r="AE21" s="18">
        <f>'Total Saturday Boardings'!AE21/'Service Days per Month'!AE$5</f>
        <v>902.75</v>
      </c>
      <c r="AF21" s="19">
        <f>'Total Saturday Boardings'!AF21/'Service Days per Month'!AF$5</f>
        <v>851</v>
      </c>
      <c r="AG21" s="17">
        <f>'Total Saturday Boardings'!AG21/'Service Days per Month'!AG$5</f>
        <v>865.8</v>
      </c>
      <c r="AH21" s="18">
        <f>'Total Saturday Boardings'!AH21/'Service Days per Month'!AH$5</f>
        <v>982</v>
      </c>
      <c r="AI21" s="18">
        <f>'Total Saturday Boardings'!AI21/'Service Days per Month'!AI$5</f>
        <v>1061</v>
      </c>
      <c r="AJ21" s="18">
        <f>'Total Saturday Boardings'!AJ21/'Service Days per Month'!AJ$5</f>
        <v>1083.4000000000001</v>
      </c>
      <c r="AK21" s="18">
        <f>'Total Saturday Boardings'!AK21/'Service Days per Month'!AK$5</f>
        <v>1027.25</v>
      </c>
      <c r="AL21" s="18">
        <f>'Total Saturday Boardings'!AL21/'Service Days per Month'!AL$5</f>
        <v>1308.25</v>
      </c>
      <c r="AM21" s="18">
        <f>'Total Saturday Boardings'!AM21/'Service Days per Month'!AM$5</f>
        <v>1076.5</v>
      </c>
      <c r="AN21" s="18">
        <f>'Total Saturday Boardings'!AN21/'Service Days per Month'!AN$5</f>
        <v>1221</v>
      </c>
      <c r="AO21" s="18">
        <f>'Total Saturday Boardings'!AO21/'Service Days per Month'!AO$5</f>
        <v>1093.2</v>
      </c>
      <c r="AP21" s="18">
        <f>'Total Saturday Boardings'!AP21/'Service Days per Month'!AP$5</f>
        <v>1198.5</v>
      </c>
      <c r="AQ21" s="18">
        <f>'Total Saturday Boardings'!AQ21/'Service Days per Month'!AQ$5</f>
        <v>1161.75</v>
      </c>
      <c r="AR21" s="19">
        <f>'Total Saturday Boardings'!AR21/'Service Days per Month'!AR$5</f>
        <v>1030.8</v>
      </c>
      <c r="AS21" s="17">
        <f>'Total Saturday Boardings'!AS21/'Service Days per Month'!AS$5</f>
        <v>1013.25</v>
      </c>
      <c r="AT21" s="18">
        <f>'Total Saturday Boardings'!AT21/'Service Days per Month'!AT$5</f>
        <v>1091.25</v>
      </c>
      <c r="AU21" s="18">
        <f>'Total Saturday Boardings'!AU21/'Service Days per Month'!AU$5</f>
        <v>1159.5999999999999</v>
      </c>
      <c r="AV21" s="18">
        <f>'Total Saturday Boardings'!AV21/'Service Days per Month'!AV$5</f>
        <v>1307.25</v>
      </c>
      <c r="AW21" s="18">
        <f>'Total Saturday Boardings'!AW21/'Service Days per Month'!AW$5</f>
        <v>1231</v>
      </c>
      <c r="AX21" s="18">
        <f>'Total Saturday Boardings'!AX21/'Service Days per Month'!AX$5</f>
        <v>1142</v>
      </c>
      <c r="AY21" s="18">
        <f>'Total Saturday Boardings'!AY21/'Service Days per Month'!AY$5</f>
        <v>1051.25</v>
      </c>
      <c r="AZ21" s="18">
        <f>'Total Saturday Boardings'!AZ21/'Service Days per Month'!AZ$5</f>
        <v>1294.75</v>
      </c>
      <c r="BA21" s="18">
        <f>'Total Saturday Boardings'!BA21/'Service Days per Month'!BA$5</f>
        <v>1203.2</v>
      </c>
      <c r="BB21" s="18">
        <f>'Total Saturday Boardings'!BB21/'Service Days per Month'!BB$5</f>
        <v>1210</v>
      </c>
      <c r="BC21" s="18">
        <f>'Total Saturday Boardings'!BC21/'Service Days per Month'!BC$5</f>
        <v>1256.5</v>
      </c>
      <c r="BD21" s="19">
        <f>'Total Saturday Boardings'!BD21/'Service Days per Month'!BD$5</f>
        <v>1022.4</v>
      </c>
      <c r="BE21" s="17">
        <f>'Total Saturday Boardings'!BE21/'Service Days per Month'!BE$5</f>
        <v>999</v>
      </c>
      <c r="BF21" s="18">
        <f>'Total Saturday Boardings'!BF21/'Service Days per Month'!BF$5</f>
        <v>1128.2</v>
      </c>
      <c r="BG21" s="18">
        <f>'Total Saturday Boardings'!BG21/'Service Days per Month'!BG$5</f>
        <v>1148.25</v>
      </c>
      <c r="BH21" s="18">
        <f>'Total Saturday Boardings'!BH21/'Service Days per Month'!BH$5</f>
        <v>1307.5</v>
      </c>
      <c r="BI21" s="18">
        <f>'Total Saturday Boardings'!BI21/'Service Days per Month'!BI$5</f>
        <v>1192.830664834584</v>
      </c>
      <c r="BJ21" s="18">
        <f>'Total Saturday Boardings'!BJ21/'Service Days per Month'!BJ$5</f>
        <v>1094.25</v>
      </c>
      <c r="BK21" s="18">
        <f>'Total Saturday Boardings'!BK21/'Service Days per Month'!BK$5</f>
        <v>1144</v>
      </c>
      <c r="BL21" s="18">
        <f>'Total Saturday Boardings'!BL21/'Service Days per Month'!BL$5</f>
        <v>1307.25</v>
      </c>
      <c r="BM21" s="18">
        <f>'Total Saturday Boardings'!BM21/'Service Days per Month'!BM$5</f>
        <v>1236.4000000000001</v>
      </c>
      <c r="BN21" s="18">
        <f>'Total Saturday Boardings'!BN21/'Service Days per Month'!BN$5</f>
        <v>1230.75</v>
      </c>
      <c r="BO21" s="18">
        <f>'Total Saturday Boardings'!BO21/'Service Days per Month'!BO$5</f>
        <v>1189.4000000000001</v>
      </c>
      <c r="BP21" s="19">
        <f>'Total Saturday Boardings'!BP21/'Service Days per Month'!BP$5</f>
        <v>1085.5</v>
      </c>
      <c r="BQ21" s="17">
        <f>'Total Saturday Boardings'!BQ21/'Service Days per Month'!BQ$5</f>
        <v>989.75</v>
      </c>
      <c r="BR21" s="18">
        <f>'Total Saturday Boardings'!BR21/'Service Days per Month'!BR$5</f>
        <v>1093.4000000000001</v>
      </c>
      <c r="BS21" s="18">
        <f>'Total Saturday Boardings'!BS21/'Service Days per Month'!BS$5</f>
        <v>1178</v>
      </c>
      <c r="BT21" s="18">
        <f>'Total Saturday Boardings'!BT21/'Service Days per Month'!BT$5</f>
        <v>1403</v>
      </c>
      <c r="BU21" s="18">
        <f>'Total Saturday Boardings'!BU21/'Service Days per Month'!BU$5</f>
        <v>1283.8</v>
      </c>
      <c r="BV21" s="18">
        <f>'Total Saturday Boardings'!BV21/'Service Days per Month'!BV$5</f>
        <v>1171.25</v>
      </c>
      <c r="BW21" s="18">
        <f>'Total Saturday Boardings'!BW21/'Service Days per Month'!BW$5</f>
        <v>1946.6</v>
      </c>
      <c r="BX21" s="18">
        <f>'Total Saturday Boardings'!BX21/'Service Days per Month'!BX$5</f>
        <v>1285.5</v>
      </c>
      <c r="BY21" s="18">
        <f>'Total Saturday Boardings'!BY21/'Service Days per Month'!BY$5</f>
        <v>1213.75</v>
      </c>
      <c r="BZ21" s="18">
        <f>'Total Saturday Boardings'!BZ21/'Service Days per Month'!BZ$5</f>
        <v>1179.75</v>
      </c>
      <c r="CA21" s="18">
        <f>'Total Saturday Boardings'!CA21/'Service Days per Month'!CA$5</f>
        <v>1187.5999999999999</v>
      </c>
      <c r="CB21" s="19">
        <f>'Total Saturday Boardings'!CB21/'Service Days per Month'!CB$5</f>
        <v>1085.25</v>
      </c>
      <c r="CC21" s="20">
        <f>'Total Saturday Boardings'!CC21/'Service Days per Month'!CC$5</f>
        <v>1032.75</v>
      </c>
      <c r="CD21" s="18">
        <f>'Total Saturday Boardings'!CD21/'Service Days per Month'!CD$5</f>
        <v>1118.5999999999999</v>
      </c>
      <c r="CE21" s="18">
        <f>'Total Saturday Boardings'!CE21/'Service Days per Month'!CE$5</f>
        <v>1337.5</v>
      </c>
      <c r="CF21" s="18">
        <f>'Total Saturday Boardings'!CF21/'Service Days per Month'!CF$5</f>
        <v>1351</v>
      </c>
      <c r="CG21" s="18">
        <f>'Total Saturday Boardings'!CG21/'Service Days per Month'!CG$5</f>
        <v>1287.25</v>
      </c>
      <c r="CH21" s="18">
        <f>'Total Saturday Boardings'!CH21/'Service Days per Month'!CH$5</f>
        <v>1159.25</v>
      </c>
      <c r="CI21" s="18">
        <f>'Total Saturday Boardings'!CI21/'Service Days per Month'!CI$5</f>
        <v>1280.2</v>
      </c>
      <c r="CJ21" s="18">
        <f>'Total Saturday Boardings'!CJ21/'Service Days per Month'!CJ$5</f>
        <v>1290</v>
      </c>
      <c r="CK21" s="18">
        <f>'Total Saturday Boardings'!CK21/'Service Days per Month'!CK$5</f>
        <v>1294</v>
      </c>
      <c r="CL21" s="18">
        <f>'Total Saturday Boardings'!CL21/'Service Days per Month'!CL$5</f>
        <v>1374.4</v>
      </c>
      <c r="CM21" s="18">
        <f>'Total Saturday Boardings'!CM21/'Service Days per Month'!CM$5</f>
        <v>1241.75</v>
      </c>
      <c r="CN21" s="21">
        <f>'Total Saturday Boardings'!CN21/'Service Days per Month'!CN$5</f>
        <v>1225</v>
      </c>
      <c r="CO21" s="17">
        <f>'Total Saturday Boardings'!CO21/'Service Days per Month'!CO$5</f>
        <v>1181.8</v>
      </c>
      <c r="CP21" s="18">
        <f>'Total Saturday Boardings'!CP21/'Service Days per Month'!CP$5</f>
        <v>1250</v>
      </c>
      <c r="CQ21" s="18">
        <f>'Total Saturday Boardings'!CQ21/'Service Days per Month'!CQ$5</f>
        <v>1351.5</v>
      </c>
      <c r="CR21" s="18">
        <f>'Total Saturday Boardings'!CR21/'Service Days per Month'!CR$5</f>
        <v>1343.4</v>
      </c>
      <c r="CS21" s="18">
        <f>'Total Saturday Boardings'!CS21/'Service Days per Month'!CS$5</f>
        <v>1319.25</v>
      </c>
      <c r="CT21" s="18">
        <f>'Total Saturday Boardings'!CT21/'Service Days per Month'!CT$5</f>
        <v>1283.25</v>
      </c>
      <c r="CU21" s="18">
        <f>'Total Saturday Boardings'!CU21/'Service Days per Month'!CU$5</f>
        <v>1318.75</v>
      </c>
      <c r="CV21" s="18">
        <f>'Total Saturday Boardings'!CV21/'Service Days per Month'!CV$5</f>
        <v>1325</v>
      </c>
      <c r="CW21" s="18">
        <f>'Total Saturday Boardings'!CW21/'Service Days per Month'!CW$5</f>
        <v>1354</v>
      </c>
      <c r="CX21" s="18">
        <f>'Total Saturday Boardings'!CX21/'Service Days per Month'!CX$5</f>
        <v>1466.2</v>
      </c>
      <c r="CY21" s="18">
        <f>'Total Saturday Boardings'!CY21/'Service Days per Month'!CY$5</f>
        <v>1281.75</v>
      </c>
      <c r="CZ21" s="19">
        <f>'Total Saturday Boardings'!CZ21/'Service Days per Month'!CZ$5</f>
        <v>1154.5</v>
      </c>
      <c r="DA21" s="17">
        <f>'Total Saturday Boardings'!DA21/'Service Days per Month'!DA$5</f>
        <v>1063.2</v>
      </c>
      <c r="DB21" s="18">
        <f>'Total Saturday Boardings'!DB21/'Service Days per Month'!DB$5</f>
        <v>1168</v>
      </c>
      <c r="DC21" s="18">
        <f>'Total Saturday Boardings'!DC21/'Service Days per Month'!DC$5</f>
        <v>1149.8</v>
      </c>
      <c r="DD21" s="18">
        <f>'Total Saturday Boardings'!DD21/'Service Days per Month'!DD$5</f>
        <v>1309.75</v>
      </c>
      <c r="DE21" s="18">
        <f>'Total Saturday Boardings'!DE21/'Service Days per Month'!DE$5</f>
        <v>1199.25</v>
      </c>
      <c r="DF21" s="18">
        <f>'Total Saturday Boardings'!DF21/'Service Days per Month'!DF$5</f>
        <v>1217.4000000000001</v>
      </c>
      <c r="DG21" s="18">
        <f>'Total Saturday Boardings'!DG21/'Service Days per Month'!DG$5</f>
        <v>1152.5</v>
      </c>
      <c r="DH21" s="18">
        <f>'Total Saturday Boardings'!DH21/'Service Days per Month'!DH$5</f>
        <v>1287.75</v>
      </c>
      <c r="DI21" s="18">
        <f>'Total Saturday Boardings'!DI21/'Service Days per Month'!DI$5</f>
        <v>1255.4000000000001</v>
      </c>
      <c r="DJ21" s="18">
        <f>'Total Saturday Boardings'!DJ21/'Service Days per Month'!DJ$5</f>
        <v>1232.75</v>
      </c>
      <c r="DK21" s="18">
        <f>'Total Saturday Boardings'!DK21/'Service Days per Month'!DK$5</f>
        <v>1185.25</v>
      </c>
      <c r="DL21" s="19">
        <f>'Total Saturday Boardings'!DL21/'Service Days per Month'!DL$5</f>
        <v>1107.4000000000001</v>
      </c>
      <c r="DM21" s="17">
        <f>'Total Saturday Boardings'!DM21/'Service Days per Month'!DM$5</f>
        <v>1013</v>
      </c>
      <c r="DN21" s="18">
        <f>'Total Saturday Boardings'!DN21/'Service Days per Month'!DN$5</f>
        <v>1094.75</v>
      </c>
      <c r="DO21" s="18">
        <f>'Total Saturday Boardings'!DO21/'Service Days per Month'!DO$5</f>
        <v>1141.4000000000001</v>
      </c>
      <c r="DP21" s="18">
        <f>'Total Saturday Boardings'!DP21/'Service Days per Month'!DP$5</f>
        <v>1082.25</v>
      </c>
      <c r="DQ21" s="18">
        <f>'Total Saturday Boardings'!DQ21/'Service Days per Month'!DQ$5</f>
        <v>1185.5</v>
      </c>
      <c r="DR21" s="18">
        <f>'Total Saturday Boardings'!DR21/'Service Days per Month'!DR$5</f>
        <v>1086</v>
      </c>
      <c r="DS21" s="18">
        <f>'Total Saturday Boardings'!DS21/'Service Days per Month'!DS$5</f>
        <v>1141.75</v>
      </c>
      <c r="DT21" s="18">
        <f>'Total Saturday Boardings'!DT21/'Service Days per Month'!DT$5</f>
        <v>1231.75</v>
      </c>
      <c r="DU21" s="18">
        <f>'Total Saturday Boardings'!DU21/'Service Days per Month'!DU$5</f>
        <v>1200</v>
      </c>
      <c r="DV21" s="18">
        <f>'Total Saturday Boardings'!DV21/'Service Days per Month'!DV$5</f>
        <v>783.25</v>
      </c>
      <c r="DW21" s="18">
        <f>'Total Saturday Boardings'!DW21/'Service Days per Month'!DW$5</f>
        <v>1058.25</v>
      </c>
      <c r="DX21" s="19">
        <f>'Total Saturday Boardings'!DX21/'Service Days per Month'!DX$5</f>
        <v>1000.2</v>
      </c>
      <c r="DY21" s="17">
        <f>'Total Saturday Boardings'!DY21/'Service Days per Month'!DY$5</f>
        <v>928.5</v>
      </c>
      <c r="DZ21" s="18">
        <f>'Total Saturday Boardings'!DZ21/'Service Days per Month'!DZ$5</f>
        <v>1115.5999999999999</v>
      </c>
      <c r="EA21" s="18">
        <f>'Total Saturday Boardings'!EA21/'Service Days per Month'!EA$5</f>
        <v>1088.75</v>
      </c>
      <c r="EB21" s="18">
        <f>'Total Saturday Boardings'!EB21/'Service Days per Month'!EB$5</f>
        <v>1063.75</v>
      </c>
      <c r="EC21" s="18">
        <f>'Total Saturday Boardings'!EC21/'Service Days per Month'!EC$5</f>
        <v>1110</v>
      </c>
      <c r="ED21" s="18">
        <f>'Total Saturday Boardings'!ED21/'Service Days per Month'!ED$5</f>
        <v>938.25</v>
      </c>
      <c r="EE21" s="18">
        <f>'Total Saturday Boardings'!EE21/'Service Days per Month'!EE$5</f>
        <v>876</v>
      </c>
      <c r="EF21" s="18">
        <f>'Total Saturday Boardings'!EF21/'Service Days per Month'!EF$5</f>
        <v>978.4</v>
      </c>
      <c r="EG21" s="18">
        <f>'Total Saturday Boardings'!EG21/'Service Days per Month'!EG$5</f>
        <v>806.5</v>
      </c>
      <c r="EH21" s="18">
        <f>'Total Saturday Boardings'!EH21/'Service Days per Month'!EH$5</f>
        <v>511</v>
      </c>
      <c r="EI21" s="18">
        <f>'Total Saturday Boardings'!EI21/'Service Days per Month'!EI$5</f>
        <v>516.6</v>
      </c>
      <c r="EJ21" s="19">
        <f>'Total Saturday Boardings'!EJ21/'Service Days per Month'!EJ$5</f>
        <v>419.75</v>
      </c>
      <c r="EK21" s="17">
        <f>'Total Saturday Boardings'!EK21/'Service Days per Month'!EK$5</f>
        <v>318</v>
      </c>
      <c r="EL21" s="18">
        <f>'Total Saturday Boardings'!EL21/'Service Days per Month'!EL$5</f>
        <v>452.2</v>
      </c>
      <c r="EM21" s="18">
        <f>'Total Saturday Boardings'!EM21/'Service Days per Month'!EM$5</f>
        <v>436.5</v>
      </c>
      <c r="EN21" s="18">
        <f>'Total Saturday Boardings'!EN21/'Service Days per Month'!EN$5</f>
        <v>477.4</v>
      </c>
      <c r="EO21" s="18">
        <f>'Total Saturday Boardings'!EO21/'Service Days per Month'!EO$5</f>
        <v>594.25</v>
      </c>
      <c r="EP21" s="18">
        <f>'Total Saturday Boardings'!EP21/'Service Days per Month'!EP$5</f>
        <v>310.75</v>
      </c>
      <c r="EQ21" s="18">
        <f>'Total Saturday Boardings'!EQ21/'Service Days per Month'!EQ$5</f>
        <v>200.6</v>
      </c>
      <c r="ER21" s="18">
        <f>'Total Saturday Boardings'!ER21/'Service Days per Month'!ER$5</f>
        <v>188.75</v>
      </c>
      <c r="ES21" s="18">
        <f>'Total Saturday Boardings'!ES21/'Service Days per Month'!ES$5</f>
        <v>524</v>
      </c>
      <c r="ET21" s="18">
        <f>'Total Saturday Boardings'!ET21/'Service Days per Month'!ET$5</f>
        <v>459</v>
      </c>
      <c r="EU21" s="18">
        <f>'Total Saturday Boardings'!EU21/'Service Days per Month'!EU$5</f>
        <v>433.2</v>
      </c>
      <c r="EV21" s="19">
        <f>'Total Saturday Boardings'!EV21/'Service Days per Month'!EV$5</f>
        <v>432</v>
      </c>
      <c r="EW21" s="17">
        <f>'Total Saturday Boardings'!EW21/'Service Days per Month'!EW$5</f>
        <v>475.4</v>
      </c>
      <c r="EX21" s="18">
        <f>'Total Saturday Boardings'!EX21/'Service Days per Month'!EX$5</f>
        <v>485</v>
      </c>
      <c r="EY21" s="18">
        <f>'Total Saturday Boardings'!EY21/'Service Days per Month'!EY$5</f>
        <v>521.25</v>
      </c>
      <c r="EZ21" s="18">
        <f>'Total Saturday Boardings'!EZ21/'Service Days per Month'!EZ$5</f>
        <v>537.79999999999995</v>
      </c>
      <c r="FA21" s="18">
        <f>'Total Saturday Boardings'!FA21/'Service Days per Month'!FA$5</f>
        <v>570.5</v>
      </c>
      <c r="FB21" s="18">
        <f>'Total Saturday Boardings'!FB21/'Service Days per Month'!FB$5</f>
        <v>492.5</v>
      </c>
      <c r="FC21" s="18">
        <f>'Total Saturday Boardings'!FC21/'Service Days per Month'!FC$5</f>
        <v>455.8</v>
      </c>
      <c r="FD21" s="18">
        <f>'Total Saturday Boardings'!FD21/'Service Days per Month'!FD$5</f>
        <v>569.75</v>
      </c>
      <c r="FE21" s="18">
        <f>'Total Saturday Boardings'!FE21/'Service Days per Month'!FE$5</f>
        <v>652.5</v>
      </c>
      <c r="FF21" s="18">
        <f>'Total Saturday Boardings'!FF21/'Service Days per Month'!FF$5</f>
        <v>387.6</v>
      </c>
      <c r="FG21" s="18">
        <f>'Total Saturday Boardings'!FG21/'Service Days per Month'!FG$5</f>
        <v>610.75</v>
      </c>
      <c r="FH21" s="19">
        <f>'Total Saturday Boardings'!FH21/'Service Days per Month'!FH$5</f>
        <v>739.5</v>
      </c>
      <c r="FI21" s="17">
        <v>455.8</v>
      </c>
      <c r="FJ21" s="18">
        <v>387.75</v>
      </c>
      <c r="FK21" s="18">
        <v>482.25</v>
      </c>
      <c r="FL21" s="18">
        <v>479.8</v>
      </c>
      <c r="FM21" s="18">
        <v>412.6</v>
      </c>
      <c r="FN21" s="18">
        <v>314.8</v>
      </c>
      <c r="FO21" s="18">
        <v>389.4</v>
      </c>
      <c r="FP21" s="18">
        <v>486.5</v>
      </c>
      <c r="FQ21" s="18">
        <v>452.75</v>
      </c>
      <c r="FR21" s="18">
        <f>'Total Saturday Boardings'!FR21/5</f>
        <v>425.2</v>
      </c>
      <c r="FS21" s="18">
        <f>'Total Saturday Boardings'!FS21/4</f>
        <v>382.75</v>
      </c>
      <c r="FT21" s="19">
        <f>'Total Saturday Boardings'!FT21/4</f>
        <v>404.5</v>
      </c>
      <c r="FU21" s="17">
        <f>'Total Saturday Boardings'!FU21/5</f>
        <v>364</v>
      </c>
      <c r="FV21" s="18">
        <f>'Total Saturday Boardings'!FV21/4</f>
        <v>434.25</v>
      </c>
      <c r="FW21" s="18">
        <f>'Total Saturday Boardings'!FW21/5</f>
        <v>527.6</v>
      </c>
      <c r="FX21" s="18">
        <f>'Total Saturday Boardings'!FX21/4</f>
        <v>495.75</v>
      </c>
      <c r="FY21" s="18">
        <f>'Total Saturday Boardings'!FY21/4</f>
        <v>503.25</v>
      </c>
      <c r="FZ21" s="18">
        <f>'Total Saturday Boardings'!FZ21/5</f>
        <v>402.8</v>
      </c>
      <c r="GA21" s="18">
        <f>'Total Saturday Boardings'!GA21/4</f>
        <v>380.25</v>
      </c>
      <c r="GB21" s="18">
        <f>'Total Saturday Boardings'!GB21/4</f>
        <v>472.75</v>
      </c>
      <c r="GC21" s="18">
        <f>'Total Saturday Boardings'!GC21/5</f>
        <v>484</v>
      </c>
      <c r="GD21" s="18">
        <f>'Total Saturday Boardings'!GD21/4</f>
        <v>456.25</v>
      </c>
      <c r="GE21" s="18">
        <f>'Total Saturday Boardings'!GE21/4</f>
        <v>400.25</v>
      </c>
      <c r="GF21" s="18">
        <f>'Total Saturday Boardings'!GF21/5</f>
        <v>371</v>
      </c>
      <c r="GG21" s="18">
        <f>'Total Saturday Boardings'!GG21/4</f>
        <v>377</v>
      </c>
      <c r="GH21" s="18">
        <f>'Total Saturday Boardings'!GH21/5</f>
        <v>484.4</v>
      </c>
      <c r="GI21" s="18">
        <f>'Total Saturday Boardings'!GI21/4</f>
        <v>535.25</v>
      </c>
      <c r="GJ21" s="18">
        <f>'Total Saturday Boardings'!GJ21/4</f>
        <v>476.25</v>
      </c>
      <c r="GK21" s="18">
        <f>'Total Saturday Boardings'!GK21/5</f>
        <v>437.8</v>
      </c>
      <c r="GL21" s="18">
        <f>'Total Saturday Boardings'!GL21/4</f>
        <v>376.5</v>
      </c>
    </row>
    <row r="22" spans="1:194" x14ac:dyDescent="0.3">
      <c r="A22" s="3" t="s">
        <v>35</v>
      </c>
      <c r="B22" s="17"/>
      <c r="C22" s="18">
        <f>'Total Saturday Boardings'!C22/'Service Days per Month'!C$5</f>
        <v>721.2</v>
      </c>
      <c r="D22" s="18">
        <f>'Total Saturday Boardings'!D22/'Service Days per Month'!D$5</f>
        <v>878.25</v>
      </c>
      <c r="E22" s="18">
        <f>'Total Saturday Boardings'!E22/'Service Days per Month'!E$5</f>
        <v>752</v>
      </c>
      <c r="F22" s="18">
        <f>'Total Saturday Boardings'!F22/'Service Days per Month'!F$5</f>
        <v>831.75</v>
      </c>
      <c r="G22" s="18">
        <f>'Total Saturday Boardings'!G22/'Service Days per Month'!G$5</f>
        <v>568.4</v>
      </c>
      <c r="H22" s="19">
        <f>'Total Saturday Boardings'!H22/'Service Days per Month'!H$5</f>
        <v>569.25</v>
      </c>
      <c r="I22" s="17">
        <f>'Total Saturday Boardings'!I22/'Service Days per Month'!I$5</f>
        <v>624.33333333333337</v>
      </c>
      <c r="J22" s="18">
        <f>'Total Saturday Boardings'!J22/'Service Days per Month'!J$5</f>
        <v>523</v>
      </c>
      <c r="K22" s="18">
        <f>'Total Saturday Boardings'!K22/'Service Days per Month'!K$5</f>
        <v>887</v>
      </c>
      <c r="L22" s="18">
        <f>'Total Saturday Boardings'!L22/'Service Days per Month'!L$5</f>
        <v>734.4</v>
      </c>
      <c r="M22" s="18">
        <f>'Total Saturday Boardings'!M22/'Service Days per Month'!M$5</f>
        <v>840</v>
      </c>
      <c r="N22" s="18">
        <f>'Total Saturday Boardings'!N22/'Service Days per Month'!N$5</f>
        <v>721.5</v>
      </c>
      <c r="O22" s="62">
        <f>'Total Saturday Boardings'!O22/'Service Days per Month'!O$5</f>
        <v>633.4</v>
      </c>
      <c r="P22" s="62">
        <f>'Total Saturday Boardings'!P22/'Service Days per Month'!P$5</f>
        <v>917.25</v>
      </c>
      <c r="Q22" s="62">
        <f>'Total Saturday Boardings'!Q22/'Service Days per Month'!Q$5</f>
        <v>885.75</v>
      </c>
      <c r="R22" s="62">
        <f>'Total Saturday Boardings'!R22/'Service Days per Month'!R$5</f>
        <v>816.75</v>
      </c>
      <c r="S22" s="62">
        <f>'Total Saturday Boardings'!S22/'Service Days per Month'!S$5</f>
        <v>569.79999999999995</v>
      </c>
      <c r="T22" s="63">
        <f>'Total Saturday Boardings'!T22/'Service Days per Month'!T$5</f>
        <v>544.5</v>
      </c>
      <c r="U22" s="64">
        <f>'Total Saturday Boardings'!U22/'Service Days per Month'!U$5</f>
        <v>597</v>
      </c>
      <c r="V22" s="62">
        <f>'Total Saturday Boardings'!V22/'Service Days per Month'!V$5</f>
        <v>682.5</v>
      </c>
      <c r="W22" s="62">
        <f>'Total Saturday Boardings'!W22/'Service Days per Month'!W$5</f>
        <v>1169</v>
      </c>
      <c r="X22" s="62">
        <f>'Total Saturday Boardings'!X22/'Service Days per Month'!X$5</f>
        <v>731.2</v>
      </c>
      <c r="Y22" s="62">
        <f>'Total Saturday Boardings'!Y22/'Service Days per Month'!Y$5</f>
        <v>791.25</v>
      </c>
      <c r="Z22" s="62">
        <f>'Total Saturday Boardings'!Z22/'Service Days per Month'!Z$5</f>
        <v>718.66666666666663</v>
      </c>
      <c r="AA22" s="18">
        <f>'Total Saturday Boardings'!AA22/'Service Days per Month'!AA$5</f>
        <v>668.6</v>
      </c>
      <c r="AB22" s="18">
        <f>'Total Saturday Boardings'!AB22/'Service Days per Month'!AB$5</f>
        <v>748</v>
      </c>
      <c r="AC22" s="18">
        <f>'Total Saturday Boardings'!AC22/'Service Days per Month'!AC$5</f>
        <v>843</v>
      </c>
      <c r="AD22" s="18">
        <f>'Total Saturday Boardings'!AD22/'Service Days per Month'!AD$5</f>
        <v>885</v>
      </c>
      <c r="AE22" s="18">
        <f>'Total Saturday Boardings'!AE22/'Service Days per Month'!AE$5</f>
        <v>633.25</v>
      </c>
      <c r="AF22" s="19">
        <f>'Total Saturday Boardings'!AF22/'Service Days per Month'!AF$5</f>
        <v>671.25</v>
      </c>
      <c r="AG22" s="17">
        <f>'Total Saturday Boardings'!AG22/'Service Days per Month'!AG$5</f>
        <v>670.6</v>
      </c>
      <c r="AH22" s="18">
        <f>'Total Saturday Boardings'!AH22/'Service Days per Month'!AH$5</f>
        <v>903</v>
      </c>
      <c r="AI22" s="18">
        <f>'Total Saturday Boardings'!AI22/'Service Days per Month'!AI$5</f>
        <v>994.75</v>
      </c>
      <c r="AJ22" s="18">
        <f>'Total Saturday Boardings'!AJ22/'Service Days per Month'!AJ$5</f>
        <v>1087.4000000000001</v>
      </c>
      <c r="AK22" s="18">
        <f>'Total Saturday Boardings'!AK22/'Service Days per Month'!AK$5</f>
        <v>952</v>
      </c>
      <c r="AL22" s="18">
        <f>'Total Saturday Boardings'!AL22/'Service Days per Month'!AL$5</f>
        <v>888.75</v>
      </c>
      <c r="AM22" s="18">
        <f>'Total Saturday Boardings'!AM22/'Service Days per Month'!AM$5</f>
        <v>870</v>
      </c>
      <c r="AN22" s="18">
        <f>'Total Saturday Boardings'!AN22/'Service Days per Month'!AN$5</f>
        <v>1038</v>
      </c>
      <c r="AO22" s="18">
        <f>'Total Saturday Boardings'!AO22/'Service Days per Month'!AO$5</f>
        <v>887.2</v>
      </c>
      <c r="AP22" s="18">
        <f>'Total Saturday Boardings'!AP22/'Service Days per Month'!AP$5</f>
        <v>934</v>
      </c>
      <c r="AQ22" s="18">
        <f>'Total Saturday Boardings'!AQ22/'Service Days per Month'!AQ$5</f>
        <v>794.75</v>
      </c>
      <c r="AR22" s="19">
        <f>'Total Saturday Boardings'!AR22/'Service Days per Month'!AR$5</f>
        <v>712</v>
      </c>
      <c r="AS22" s="17">
        <f>'Total Saturday Boardings'!AS22/'Service Days per Month'!AS$5</f>
        <v>673</v>
      </c>
      <c r="AT22" s="18">
        <f>'Total Saturday Boardings'!AT22/'Service Days per Month'!AT$5</f>
        <v>873.75</v>
      </c>
      <c r="AU22" s="18">
        <f>'Total Saturday Boardings'!AU22/'Service Days per Month'!AU$5</f>
        <v>1106.4000000000001</v>
      </c>
      <c r="AV22" s="18">
        <f>'Total Saturday Boardings'!AV22/'Service Days per Month'!AV$5</f>
        <v>1129</v>
      </c>
      <c r="AW22" s="18">
        <f>'Total Saturday Boardings'!AW22/'Service Days per Month'!AW$5</f>
        <v>949.25</v>
      </c>
      <c r="AX22" s="18">
        <f>'Total Saturday Boardings'!AX22/'Service Days per Month'!AX$5</f>
        <v>792.8</v>
      </c>
      <c r="AY22" s="18">
        <f>'Total Saturday Boardings'!AY22/'Service Days per Month'!AY$5</f>
        <v>832.5</v>
      </c>
      <c r="AZ22" s="18">
        <f>'Total Saturday Boardings'!AZ22/'Service Days per Month'!AZ$5</f>
        <v>893.25</v>
      </c>
      <c r="BA22" s="18">
        <f>'Total Saturday Boardings'!BA22/'Service Days per Month'!BA$5</f>
        <v>906</v>
      </c>
      <c r="BB22" s="18">
        <f>'Total Saturday Boardings'!BB22/'Service Days per Month'!BB$5</f>
        <v>1102</v>
      </c>
      <c r="BC22" s="18">
        <f>'Total Saturday Boardings'!BC22/'Service Days per Month'!BC$5</f>
        <v>844.25</v>
      </c>
      <c r="BD22" s="19">
        <f>'Total Saturday Boardings'!BD22/'Service Days per Month'!BD$5</f>
        <v>692</v>
      </c>
      <c r="BE22" s="17">
        <f>'Total Saturday Boardings'!BE22/'Service Days per Month'!BE$5</f>
        <v>775.75</v>
      </c>
      <c r="BF22" s="18">
        <f>'Total Saturday Boardings'!BF22/'Service Days per Month'!BF$5</f>
        <v>845.6</v>
      </c>
      <c r="BG22" s="18">
        <f>'Total Saturday Boardings'!BG22/'Service Days per Month'!BG$5</f>
        <v>1260.75</v>
      </c>
      <c r="BH22" s="18">
        <f>'Total Saturday Boardings'!BH22/'Service Days per Month'!BH$5</f>
        <v>1127.5</v>
      </c>
      <c r="BI22" s="18">
        <f>'Total Saturday Boardings'!BI22/'Service Days per Month'!BI$5</f>
        <v>1068.1313560934364</v>
      </c>
      <c r="BJ22" s="18">
        <f>'Total Saturday Boardings'!BJ22/'Service Days per Month'!BJ$5</f>
        <v>948.5</v>
      </c>
      <c r="BK22" s="18">
        <f>'Total Saturday Boardings'!BK22/'Service Days per Month'!BK$5</f>
        <v>936.25</v>
      </c>
      <c r="BL22" s="18">
        <f>'Total Saturday Boardings'!BL22/'Service Days per Month'!BL$5</f>
        <v>989</v>
      </c>
      <c r="BM22" s="18">
        <f>'Total Saturday Boardings'!BM22/'Service Days per Month'!BM$5</f>
        <v>1025</v>
      </c>
      <c r="BN22" s="18">
        <f>'Total Saturday Boardings'!BN22/'Service Days per Month'!BN$5</f>
        <v>974.75</v>
      </c>
      <c r="BO22" s="18">
        <f>'Total Saturday Boardings'!BO22/'Service Days per Month'!BO$5</f>
        <v>780.8</v>
      </c>
      <c r="BP22" s="19">
        <f>'Total Saturday Boardings'!BP22/'Service Days per Month'!BP$5</f>
        <v>785.75</v>
      </c>
      <c r="BQ22" s="17">
        <f>'Total Saturday Boardings'!BQ22/'Service Days per Month'!BQ$5</f>
        <v>681.75</v>
      </c>
      <c r="BR22" s="18">
        <f>'Total Saturday Boardings'!BR22/'Service Days per Month'!BR$5</f>
        <v>889</v>
      </c>
      <c r="BS22" s="18">
        <f>'Total Saturday Boardings'!BS22/'Service Days per Month'!BS$5</f>
        <v>1006.25</v>
      </c>
      <c r="BT22" s="18">
        <f>'Total Saturday Boardings'!BT22/'Service Days per Month'!BT$5</f>
        <v>1165.75</v>
      </c>
      <c r="BU22" s="18">
        <f>'Total Saturday Boardings'!BU22/'Service Days per Month'!BU$5</f>
        <v>1180</v>
      </c>
      <c r="BV22" s="18">
        <f>'Total Saturday Boardings'!BV22/'Service Days per Month'!BV$5</f>
        <v>729</v>
      </c>
      <c r="BW22" s="18">
        <f>'Total Saturday Boardings'!BW22/'Service Days per Month'!BW$5</f>
        <v>1434.2</v>
      </c>
      <c r="BX22" s="18">
        <f>'Total Saturday Boardings'!BX22/'Service Days per Month'!BX$5</f>
        <v>966.5</v>
      </c>
      <c r="BY22" s="18">
        <f>'Total Saturday Boardings'!BY22/'Service Days per Month'!BY$5</f>
        <v>920.25</v>
      </c>
      <c r="BZ22" s="18">
        <f>'Total Saturday Boardings'!BZ22/'Service Days per Month'!BZ$5</f>
        <v>930</v>
      </c>
      <c r="CA22" s="18">
        <f>'Total Saturday Boardings'!CA22/'Service Days per Month'!CA$5</f>
        <v>918.6</v>
      </c>
      <c r="CB22" s="19">
        <f>'Total Saturday Boardings'!CB22/'Service Days per Month'!CB$5</f>
        <v>777.75</v>
      </c>
      <c r="CC22" s="20">
        <f>'Total Saturday Boardings'!CC22/'Service Days per Month'!CC$5</f>
        <v>846</v>
      </c>
      <c r="CD22" s="18">
        <f>'Total Saturday Boardings'!CD22/'Service Days per Month'!CD$5</f>
        <v>912.4</v>
      </c>
      <c r="CE22" s="18">
        <f>'Total Saturday Boardings'!CE22/'Service Days per Month'!CE$5</f>
        <v>1318.5</v>
      </c>
      <c r="CF22" s="18">
        <f>'Total Saturday Boardings'!CF22/'Service Days per Month'!CF$5</f>
        <v>1010</v>
      </c>
      <c r="CG22" s="18">
        <f>'Total Saturday Boardings'!CG22/'Service Days per Month'!CG$5</f>
        <v>1104.75</v>
      </c>
      <c r="CH22" s="18">
        <f>'Total Saturday Boardings'!CH22/'Service Days per Month'!CH$5</f>
        <v>731.25</v>
      </c>
      <c r="CI22" s="18">
        <f>'Total Saturday Boardings'!CI22/'Service Days per Month'!CI$5</f>
        <v>936</v>
      </c>
      <c r="CJ22" s="18">
        <f>'Total Saturday Boardings'!CJ22/'Service Days per Month'!CJ$5</f>
        <v>968.75</v>
      </c>
      <c r="CK22" s="18">
        <f>'Total Saturday Boardings'!CK22/'Service Days per Month'!CK$5</f>
        <v>916</v>
      </c>
      <c r="CL22" s="18">
        <f>'Total Saturday Boardings'!CL22/'Service Days per Month'!CL$5</f>
        <v>961</v>
      </c>
      <c r="CM22" s="18">
        <f>'Total Saturday Boardings'!CM22/'Service Days per Month'!CM$5</f>
        <v>713.5</v>
      </c>
      <c r="CN22" s="21">
        <f>'Total Saturday Boardings'!CN22/'Service Days per Month'!CN$5</f>
        <v>703.25</v>
      </c>
      <c r="CO22" s="17">
        <f>'Total Saturday Boardings'!CO22/'Service Days per Month'!CO$5</f>
        <v>710.4</v>
      </c>
      <c r="CP22" s="18">
        <f>'Total Saturday Boardings'!CP22/'Service Days per Month'!CP$5</f>
        <v>850</v>
      </c>
      <c r="CQ22" s="18">
        <f>'Total Saturday Boardings'!CQ22/'Service Days per Month'!CQ$5</f>
        <v>1185.5</v>
      </c>
      <c r="CR22" s="18">
        <f>'Total Saturday Boardings'!CR22/'Service Days per Month'!CR$5</f>
        <v>921.8</v>
      </c>
      <c r="CS22" s="18">
        <f>'Total Saturday Boardings'!CS22/'Service Days per Month'!CS$5</f>
        <v>757.25</v>
      </c>
      <c r="CT22" s="18">
        <f>'Total Saturday Boardings'!CT22/'Service Days per Month'!CT$5</f>
        <v>750.25</v>
      </c>
      <c r="CU22" s="18">
        <f>'Total Saturday Boardings'!CU22/'Service Days per Month'!CU$5</f>
        <v>909.5</v>
      </c>
      <c r="CV22" s="18">
        <f>'Total Saturday Boardings'!CV22/'Service Days per Month'!CV$5</f>
        <v>871.5</v>
      </c>
      <c r="CW22" s="18">
        <f>'Total Saturday Boardings'!CW22/'Service Days per Month'!CW$5</f>
        <v>883</v>
      </c>
      <c r="CX22" s="18">
        <f>'Total Saturday Boardings'!CX22/'Service Days per Month'!CX$5</f>
        <v>936.2</v>
      </c>
      <c r="CY22" s="18">
        <f>'Total Saturday Boardings'!CY22/'Service Days per Month'!CY$5</f>
        <v>779.5</v>
      </c>
      <c r="CZ22" s="19">
        <f>'Total Saturday Boardings'!CZ22/'Service Days per Month'!CZ$5</f>
        <v>777</v>
      </c>
      <c r="DA22" s="17">
        <f>'Total Saturday Boardings'!DA22/'Service Days per Month'!DA$5</f>
        <v>731.4</v>
      </c>
      <c r="DB22" s="18">
        <f>'Total Saturday Boardings'!DB22/'Service Days per Month'!DB$5</f>
        <v>947.25</v>
      </c>
      <c r="DC22" s="18">
        <f>'Total Saturday Boardings'!DC22/'Service Days per Month'!DC$5</f>
        <v>1009.8</v>
      </c>
      <c r="DD22" s="18">
        <f>'Total Saturday Boardings'!DD22/'Service Days per Month'!DD$5</f>
        <v>1112.75</v>
      </c>
      <c r="DE22" s="18">
        <f>'Total Saturday Boardings'!DE22/'Service Days per Month'!DE$5</f>
        <v>898</v>
      </c>
      <c r="DF22" s="18">
        <f>'Total Saturday Boardings'!DF22/'Service Days per Month'!DF$5</f>
        <v>786.8</v>
      </c>
      <c r="DG22" s="18">
        <f>'Total Saturday Boardings'!DG22/'Service Days per Month'!DG$5</f>
        <v>838.25</v>
      </c>
      <c r="DH22" s="18">
        <f>'Total Saturday Boardings'!DH22/'Service Days per Month'!DH$5</f>
        <v>911.75</v>
      </c>
      <c r="DI22" s="18">
        <f>'Total Saturday Boardings'!DI22/'Service Days per Month'!DI$5</f>
        <v>849.2</v>
      </c>
      <c r="DJ22" s="18">
        <f>'Total Saturday Boardings'!DJ22/'Service Days per Month'!DJ$5</f>
        <v>891.5</v>
      </c>
      <c r="DK22" s="18">
        <f>'Total Saturday Boardings'!DK22/'Service Days per Month'!DK$5</f>
        <v>726</v>
      </c>
      <c r="DL22" s="19">
        <f>'Total Saturday Boardings'!DL22/'Service Days per Month'!DL$5</f>
        <v>703.4</v>
      </c>
      <c r="DM22" s="17">
        <f>'Total Saturday Boardings'!DM22/'Service Days per Month'!DM$5</f>
        <v>719.5</v>
      </c>
      <c r="DN22" s="18">
        <f>'Total Saturday Boardings'!DN22/'Service Days per Month'!DN$5</f>
        <v>768.5</v>
      </c>
      <c r="DO22" s="18">
        <f>'Total Saturday Boardings'!DO22/'Service Days per Month'!DO$5</f>
        <v>1146.4000000000001</v>
      </c>
      <c r="DP22" s="18">
        <f>'Total Saturday Boardings'!DP22/'Service Days per Month'!DP$5</f>
        <v>793.25</v>
      </c>
      <c r="DQ22" s="18">
        <f>'Total Saturday Boardings'!DQ22/'Service Days per Month'!DQ$5</f>
        <v>923.25</v>
      </c>
      <c r="DR22" s="18">
        <f>'Total Saturday Boardings'!DR22/'Service Days per Month'!DR$5</f>
        <v>767.6</v>
      </c>
      <c r="DS22" s="18">
        <f>'Total Saturday Boardings'!DS22/'Service Days per Month'!DS$5</f>
        <v>818.25</v>
      </c>
      <c r="DT22" s="18">
        <f>'Total Saturday Boardings'!DT22/'Service Days per Month'!DT$5</f>
        <v>833</v>
      </c>
      <c r="DU22" s="18">
        <f>'Total Saturday Boardings'!DU22/'Service Days per Month'!DU$5</f>
        <v>811.4</v>
      </c>
      <c r="DV22" s="18">
        <f>'Total Saturday Boardings'!DV22/'Service Days per Month'!DV$5</f>
        <v>1112.75</v>
      </c>
      <c r="DW22" s="18">
        <f>'Total Saturday Boardings'!DW22/'Service Days per Month'!DW$5</f>
        <v>669.25</v>
      </c>
      <c r="DX22" s="19">
        <f>'Total Saturday Boardings'!DX22/'Service Days per Month'!DX$5</f>
        <v>684.2</v>
      </c>
      <c r="DY22" s="17">
        <f>'Total Saturday Boardings'!DY22/'Service Days per Month'!DY$5</f>
        <v>596</v>
      </c>
      <c r="DZ22" s="18">
        <f>'Total Saturday Boardings'!DZ22/'Service Days per Month'!DZ$5</f>
        <v>746</v>
      </c>
      <c r="EA22" s="18">
        <f>'Total Saturday Boardings'!EA22/'Service Days per Month'!EA$5</f>
        <v>866.25</v>
      </c>
      <c r="EB22" s="18">
        <f>'Total Saturday Boardings'!EB22/'Service Days per Month'!EB$5</f>
        <v>812.5</v>
      </c>
      <c r="EC22" s="18">
        <f>'Total Saturday Boardings'!EC22/'Service Days per Month'!EC$5</f>
        <v>912.6</v>
      </c>
      <c r="ED22" s="18">
        <f>'Total Saturday Boardings'!ED22/'Service Days per Month'!ED$5</f>
        <v>726.5</v>
      </c>
      <c r="EE22" s="18">
        <f>'Total Saturday Boardings'!EE22/'Service Days per Month'!EE$5</f>
        <v>680.75</v>
      </c>
      <c r="EF22" s="18">
        <f>'Total Saturday Boardings'!EF22/'Service Days per Month'!EF$5</f>
        <v>807.8</v>
      </c>
      <c r="EG22" s="18">
        <f>'Total Saturday Boardings'!EG22/'Service Days per Month'!EG$5</f>
        <v>532.5</v>
      </c>
      <c r="EH22" s="18">
        <f>'Total Saturday Boardings'!EH22/'Service Days per Month'!EH$5</f>
        <v>400.5</v>
      </c>
      <c r="EI22" s="18">
        <f>'Total Saturday Boardings'!EI22/'Service Days per Month'!EI$5</f>
        <v>367.6</v>
      </c>
      <c r="EJ22" s="19">
        <f>'Total Saturday Boardings'!EJ22/'Service Days per Month'!EJ$5</f>
        <v>380.25</v>
      </c>
      <c r="EK22" s="17">
        <f>'Total Saturday Boardings'!EK22/'Service Days per Month'!EK$5</f>
        <v>281.75</v>
      </c>
      <c r="EL22" s="18">
        <f>'Total Saturday Boardings'!EL22/'Service Days per Month'!EL$5</f>
        <v>420</v>
      </c>
      <c r="EM22" s="18">
        <f>'Total Saturday Boardings'!EM22/'Service Days per Month'!EM$5</f>
        <v>413.5</v>
      </c>
      <c r="EN22" s="18">
        <f>'Total Saturday Boardings'!EN22/'Service Days per Month'!EN$5</f>
        <v>432</v>
      </c>
      <c r="EO22" s="18">
        <f>'Total Saturday Boardings'!EO22/'Service Days per Month'!EO$5</f>
        <v>365.25</v>
      </c>
      <c r="EP22" s="18">
        <f>'Total Saturday Boardings'!EP22/'Service Days per Month'!EP$5</f>
        <v>272.25</v>
      </c>
      <c r="EQ22" s="18">
        <f>'Total Saturday Boardings'!EQ22/'Service Days per Month'!EQ$5</f>
        <v>153.80000000000001</v>
      </c>
      <c r="ER22" s="18">
        <f>'Total Saturday Boardings'!ER22/'Service Days per Month'!ER$5</f>
        <v>446.5</v>
      </c>
      <c r="ES22" s="18">
        <f>'Total Saturday Boardings'!ES22/'Service Days per Month'!ES$5</f>
        <v>210.75</v>
      </c>
      <c r="ET22" s="18">
        <f>'Total Saturday Boardings'!ET22/'Service Days per Month'!ET$5</f>
        <v>347.75</v>
      </c>
      <c r="EU22" s="18">
        <f>'Total Saturday Boardings'!EU22/'Service Days per Month'!EU$5</f>
        <v>282.39999999999998</v>
      </c>
      <c r="EV22" s="19">
        <f>'Total Saturday Boardings'!EV22/'Service Days per Month'!EV$5</f>
        <v>300.25</v>
      </c>
      <c r="EW22" s="17">
        <f>'Total Saturday Boardings'!EW22/'Service Days per Month'!EW$5</f>
        <v>292.2</v>
      </c>
      <c r="EX22" s="18">
        <f>'Total Saturday Boardings'!EX22/'Service Days per Month'!EX$5</f>
        <v>386.5</v>
      </c>
      <c r="EY22" s="18">
        <f>'Total Saturday Boardings'!EY22/'Service Days per Month'!EY$5</f>
        <v>513.75</v>
      </c>
      <c r="EZ22" s="18">
        <f>'Total Saturday Boardings'!EZ22/'Service Days per Month'!EZ$5</f>
        <v>441.6</v>
      </c>
      <c r="FA22" s="18">
        <f>'Total Saturday Boardings'!FA22/'Service Days per Month'!FA$5</f>
        <v>540.5</v>
      </c>
      <c r="FB22" s="18">
        <f>'Total Saturday Boardings'!FB22/'Service Days per Month'!FB$5</f>
        <v>400.5</v>
      </c>
      <c r="FC22" s="18">
        <f>'Total Saturday Boardings'!FC22/'Service Days per Month'!FC$5</f>
        <v>354.8</v>
      </c>
      <c r="FD22" s="18">
        <f>'Total Saturday Boardings'!FD22/'Service Days per Month'!FD$5</f>
        <v>510</v>
      </c>
      <c r="FE22" s="18">
        <f>'Total Saturday Boardings'!FE22/'Service Days per Month'!FE$5</f>
        <v>498.75</v>
      </c>
      <c r="FF22" s="18">
        <f>'Total Saturday Boardings'!FF22/'Service Days per Month'!FF$5</f>
        <v>640.79999999999995</v>
      </c>
      <c r="FG22" s="18">
        <f>'Total Saturday Boardings'!FG22/'Service Days per Month'!FG$5</f>
        <v>218.5</v>
      </c>
      <c r="FH22" s="19">
        <f>'Total Saturday Boardings'!FH22/'Service Days per Month'!FH$5</f>
        <v>0</v>
      </c>
      <c r="FI22" s="17">
        <v>304.39999999999998</v>
      </c>
      <c r="FJ22" s="18">
        <v>495.5</v>
      </c>
      <c r="FK22" s="18">
        <v>523.25</v>
      </c>
      <c r="FL22" s="18">
        <v>539</v>
      </c>
      <c r="FM22" s="18">
        <v>443.4</v>
      </c>
      <c r="FN22" s="18">
        <v>457</v>
      </c>
      <c r="FO22" s="18">
        <v>420.6</v>
      </c>
      <c r="FP22" s="18">
        <v>778</v>
      </c>
      <c r="FQ22" s="18">
        <v>601.75</v>
      </c>
      <c r="FR22" s="18">
        <f>'Total Saturday Boardings'!FR22/5</f>
        <v>575.6</v>
      </c>
      <c r="FS22" s="18">
        <f>'Total Saturday Boardings'!FS22/4</f>
        <v>568.5</v>
      </c>
      <c r="FT22" s="19">
        <f>'Total Saturday Boardings'!FT22/4</f>
        <v>558.25</v>
      </c>
      <c r="FU22" s="17">
        <f>'Total Saturday Boardings'!FU22/5</f>
        <v>531.4</v>
      </c>
      <c r="FV22" s="18">
        <f>'Total Saturday Boardings'!FV22/4</f>
        <v>542.25</v>
      </c>
      <c r="FW22" s="18">
        <f>'Total Saturday Boardings'!FW22/5</f>
        <v>540</v>
      </c>
      <c r="FX22" s="18">
        <f>'Total Saturday Boardings'!FX22/4</f>
        <v>530.75</v>
      </c>
      <c r="FY22" s="18">
        <f>'Total Saturday Boardings'!FY22/4</f>
        <v>589</v>
      </c>
      <c r="FZ22" s="18">
        <f>'Total Saturday Boardings'!FZ22/5</f>
        <v>576</v>
      </c>
      <c r="GA22" s="18">
        <f>'Total Saturday Boardings'!GA22/4</f>
        <v>623.5</v>
      </c>
      <c r="GB22" s="18">
        <f>'Total Saturday Boardings'!GB22/4</f>
        <v>577.75</v>
      </c>
      <c r="GC22" s="18">
        <f>'Total Saturday Boardings'!GC22/5</f>
        <v>620.6</v>
      </c>
      <c r="GD22" s="18">
        <f>'Total Saturday Boardings'!GD22/4</f>
        <v>592.75</v>
      </c>
      <c r="GE22" s="18">
        <f>'Total Saturday Boardings'!GE22/4</f>
        <v>577.5</v>
      </c>
      <c r="GF22" s="18">
        <f>'Total Saturday Boardings'!GF22/5</f>
        <v>544.6</v>
      </c>
      <c r="GG22" s="18">
        <f>'Total Saturday Boardings'!GG22/4</f>
        <v>557.5</v>
      </c>
      <c r="GH22" s="18">
        <f>'Total Saturday Boardings'!GH22/5</f>
        <v>613.6</v>
      </c>
      <c r="GI22" s="18">
        <f>'Total Saturday Boardings'!GI22/4</f>
        <v>581</v>
      </c>
      <c r="GJ22" s="18">
        <f>'Total Saturday Boardings'!GJ22/4</f>
        <v>585.5</v>
      </c>
      <c r="GK22" s="18">
        <f>'Total Saturday Boardings'!GK22/5</f>
        <v>487.4</v>
      </c>
      <c r="GL22" s="18">
        <f>'Total Saturday Boardings'!GL22/4</f>
        <v>464.25</v>
      </c>
    </row>
    <row r="23" spans="1:194" x14ac:dyDescent="0.3">
      <c r="A23" s="3" t="s">
        <v>36</v>
      </c>
      <c r="B23" s="17"/>
      <c r="C23" s="18">
        <f>'Total Saturday Boardings'!C23/'Service Days per Month'!C$5</f>
        <v>275.39999999999998</v>
      </c>
      <c r="D23" s="18">
        <f>'Total Saturday Boardings'!D23/'Service Days per Month'!D$5</f>
        <v>593.75</v>
      </c>
      <c r="E23" s="18">
        <f>'Total Saturday Boardings'!E23/'Service Days per Month'!E$5</f>
        <v>314.25</v>
      </c>
      <c r="F23" s="18">
        <f>'Total Saturday Boardings'!F23/'Service Days per Month'!F$5</f>
        <v>379.75</v>
      </c>
      <c r="G23" s="18">
        <f>'Total Saturday Boardings'!G23/'Service Days per Month'!G$5</f>
        <v>253.2</v>
      </c>
      <c r="H23" s="19">
        <f>'Total Saturday Boardings'!H23/'Service Days per Month'!H$5</f>
        <v>230</v>
      </c>
      <c r="I23" s="17">
        <f>'Total Saturday Boardings'!I23/'Service Days per Month'!I$5</f>
        <v>229.33333333333334</v>
      </c>
      <c r="J23" s="18">
        <f>'Total Saturday Boardings'!J23/'Service Days per Month'!J$5</f>
        <v>150.80000000000001</v>
      </c>
      <c r="K23" s="18">
        <f>'Total Saturday Boardings'!K23/'Service Days per Month'!K$5</f>
        <v>268.25</v>
      </c>
      <c r="L23" s="18">
        <f>'Total Saturday Boardings'!L23/'Service Days per Month'!L$5</f>
        <v>219.8</v>
      </c>
      <c r="M23" s="18">
        <f>'Total Saturday Boardings'!M23/'Service Days per Month'!M$5</f>
        <v>291.5</v>
      </c>
      <c r="N23" s="18">
        <f>'Total Saturday Boardings'!N23/'Service Days per Month'!N$5</f>
        <v>327.5</v>
      </c>
      <c r="O23" s="62">
        <f>'Total Saturday Boardings'!O23/'Service Days per Month'!O$5</f>
        <v>246.4</v>
      </c>
      <c r="P23" s="62">
        <f>'Total Saturday Boardings'!P23/'Service Days per Month'!P$5</f>
        <v>462</v>
      </c>
      <c r="Q23" s="62">
        <f>'Total Saturday Boardings'!Q23/'Service Days per Month'!Q$5</f>
        <v>277.5</v>
      </c>
      <c r="R23" s="62">
        <f>'Total Saturday Boardings'!R23/'Service Days per Month'!R$5</f>
        <v>324.5</v>
      </c>
      <c r="S23" s="62">
        <f>'Total Saturday Boardings'!S23/'Service Days per Month'!S$5</f>
        <v>303.2</v>
      </c>
      <c r="T23" s="63">
        <f>'Total Saturday Boardings'!T23/'Service Days per Month'!T$5</f>
        <v>287.75</v>
      </c>
      <c r="U23" s="64">
        <f>'Total Saturday Boardings'!U23/'Service Days per Month'!U$5</f>
        <v>257.2</v>
      </c>
      <c r="V23" s="62">
        <f>'Total Saturday Boardings'!V23/'Service Days per Month'!V$5</f>
        <v>275.5</v>
      </c>
      <c r="W23" s="62">
        <f>'Total Saturday Boardings'!W23/'Service Days per Month'!W$5</f>
        <v>365.5</v>
      </c>
      <c r="X23" s="62">
        <f>'Total Saturday Boardings'!X23/'Service Days per Month'!X$5</f>
        <v>327.39999999999998</v>
      </c>
      <c r="Y23" s="62">
        <f>'Total Saturday Boardings'!Y23/'Service Days per Month'!Y$5</f>
        <v>496.25</v>
      </c>
      <c r="Z23" s="62">
        <f>'Total Saturday Boardings'!Z23/'Service Days per Month'!Z$5</f>
        <v>530.33333333333337</v>
      </c>
      <c r="AA23" s="18">
        <f>'Total Saturday Boardings'!AA23/'Service Days per Month'!AA$5</f>
        <v>299.39999999999998</v>
      </c>
      <c r="AB23" s="18">
        <f>'Total Saturday Boardings'!AB23/'Service Days per Month'!AB$5</f>
        <v>383.5</v>
      </c>
      <c r="AC23" s="18">
        <f>'Total Saturday Boardings'!AC23/'Service Days per Month'!AC$5</f>
        <v>415.5</v>
      </c>
      <c r="AD23" s="18">
        <f>'Total Saturday Boardings'!AD23/'Service Days per Month'!AD$5</f>
        <v>476.2</v>
      </c>
      <c r="AE23" s="18">
        <f>'Total Saturday Boardings'!AE23/'Service Days per Month'!AE$5</f>
        <v>411.25</v>
      </c>
      <c r="AF23" s="19">
        <f>'Total Saturday Boardings'!AF23/'Service Days per Month'!AF$5</f>
        <v>405.5</v>
      </c>
      <c r="AG23" s="17">
        <f>'Total Saturday Boardings'!AG23/'Service Days per Month'!AG$5</f>
        <v>363.8</v>
      </c>
      <c r="AH23" s="18">
        <f>'Total Saturday Boardings'!AH23/'Service Days per Month'!AH$5</f>
        <v>400.25</v>
      </c>
      <c r="AI23" s="18">
        <f>'Total Saturday Boardings'!AI23/'Service Days per Month'!AI$5</f>
        <v>516.25</v>
      </c>
      <c r="AJ23" s="18">
        <f>'Total Saturday Boardings'!AJ23/'Service Days per Month'!AJ$5</f>
        <v>590</v>
      </c>
      <c r="AK23" s="18">
        <f>'Total Saturday Boardings'!AK23/'Service Days per Month'!AK$5</f>
        <v>417</v>
      </c>
      <c r="AL23" s="18">
        <f>'Total Saturday Boardings'!AL23/'Service Days per Month'!AL$5</f>
        <v>581</v>
      </c>
      <c r="AM23" s="18">
        <f>'Total Saturday Boardings'!AM23/'Service Days per Month'!AM$5</f>
        <v>456.75</v>
      </c>
      <c r="AN23" s="18">
        <f>'Total Saturday Boardings'!AN23/'Service Days per Month'!AN$5</f>
        <v>704.25</v>
      </c>
      <c r="AO23" s="18">
        <f>'Total Saturday Boardings'!AO23/'Service Days per Month'!AO$5</f>
        <v>491.8</v>
      </c>
      <c r="AP23" s="18">
        <f>'Total Saturday Boardings'!AP23/'Service Days per Month'!AP$5</f>
        <v>497</v>
      </c>
      <c r="AQ23" s="18">
        <f>'Total Saturday Boardings'!AQ23/'Service Days per Month'!AQ$5</f>
        <v>440</v>
      </c>
      <c r="AR23" s="19">
        <f>'Total Saturday Boardings'!AR23/'Service Days per Month'!AR$5</f>
        <v>392.6</v>
      </c>
      <c r="AS23" s="17">
        <f>'Total Saturday Boardings'!AS23/'Service Days per Month'!AS$5</f>
        <v>418.5</v>
      </c>
      <c r="AT23" s="18">
        <f>'Total Saturday Boardings'!AT23/'Service Days per Month'!AT$5</f>
        <v>373.25</v>
      </c>
      <c r="AU23" s="18">
        <f>'Total Saturday Boardings'!AU23/'Service Days per Month'!AU$5</f>
        <v>480</v>
      </c>
      <c r="AV23" s="18">
        <f>'Total Saturday Boardings'!AV23/'Service Days per Month'!AV$5</f>
        <v>500.75</v>
      </c>
      <c r="AW23" s="18">
        <f>'Total Saturday Boardings'!AW23/'Service Days per Month'!AW$5</f>
        <v>447.5</v>
      </c>
      <c r="AX23" s="18">
        <f>'Total Saturday Boardings'!AX23/'Service Days per Month'!AX$5</f>
        <v>495.6</v>
      </c>
      <c r="AY23" s="18">
        <f>'Total Saturday Boardings'!AY23/'Service Days per Month'!AY$5</f>
        <v>452.25</v>
      </c>
      <c r="AZ23" s="18">
        <f>'Total Saturday Boardings'!AZ23/'Service Days per Month'!AZ$5</f>
        <v>475</v>
      </c>
      <c r="BA23" s="18">
        <f>'Total Saturday Boardings'!BA23/'Service Days per Month'!BA$5</f>
        <v>505.8</v>
      </c>
      <c r="BB23" s="18">
        <f>'Total Saturday Boardings'!BB23/'Service Days per Month'!BB$5</f>
        <v>500.75</v>
      </c>
      <c r="BC23" s="18">
        <f>'Total Saturday Boardings'!BC23/'Service Days per Month'!BC$5</f>
        <v>502.5</v>
      </c>
      <c r="BD23" s="19">
        <f>'Total Saturday Boardings'!BD23/'Service Days per Month'!BD$5</f>
        <v>366.6</v>
      </c>
      <c r="BE23" s="17">
        <f>'Total Saturday Boardings'!BE23/'Service Days per Month'!BE$5</f>
        <v>431.25</v>
      </c>
      <c r="BF23" s="18">
        <f>'Total Saturday Boardings'!BF23/'Service Days per Month'!BF$5</f>
        <v>390.8</v>
      </c>
      <c r="BG23" s="18">
        <f>'Total Saturday Boardings'!BG23/'Service Days per Month'!BG$5</f>
        <v>463.25</v>
      </c>
      <c r="BH23" s="18">
        <f>'Total Saturday Boardings'!BH23/'Service Days per Month'!BH$5</f>
        <v>513</v>
      </c>
      <c r="BI23" s="18">
        <f>'Total Saturday Boardings'!BI23/'Service Days per Month'!BI$5</f>
        <v>503.65848007610185</v>
      </c>
      <c r="BJ23" s="18">
        <f>'Total Saturday Boardings'!BJ23/'Service Days per Month'!BJ$5</f>
        <v>549</v>
      </c>
      <c r="BK23" s="18">
        <f>'Total Saturday Boardings'!BK23/'Service Days per Month'!BK$5</f>
        <v>505.5</v>
      </c>
      <c r="BL23" s="18">
        <f>'Total Saturday Boardings'!BL23/'Service Days per Month'!BL$5</f>
        <v>576</v>
      </c>
      <c r="BM23" s="18">
        <f>'Total Saturday Boardings'!BM23/'Service Days per Month'!BM$5</f>
        <v>557.4</v>
      </c>
      <c r="BN23" s="18">
        <f>'Total Saturday Boardings'!BN23/'Service Days per Month'!BN$5</f>
        <v>541.75</v>
      </c>
      <c r="BO23" s="18">
        <f>'Total Saturday Boardings'!BO23/'Service Days per Month'!BO$5</f>
        <v>484.6</v>
      </c>
      <c r="BP23" s="19">
        <f>'Total Saturday Boardings'!BP23/'Service Days per Month'!BP$5</f>
        <v>504.5</v>
      </c>
      <c r="BQ23" s="17">
        <f>'Total Saturday Boardings'!BQ23/'Service Days per Month'!BQ$5</f>
        <v>431.75</v>
      </c>
      <c r="BR23" s="18">
        <f>'Total Saturday Boardings'!BR23/'Service Days per Month'!BR$5</f>
        <v>429</v>
      </c>
      <c r="BS23" s="18">
        <f>'Total Saturday Boardings'!BS23/'Service Days per Month'!BS$5</f>
        <v>423.5</v>
      </c>
      <c r="BT23" s="18">
        <f>'Total Saturday Boardings'!BT23/'Service Days per Month'!BT$5</f>
        <v>595.5</v>
      </c>
      <c r="BU23" s="18">
        <f>'Total Saturday Boardings'!BU23/'Service Days per Month'!BU$5</f>
        <v>512.20000000000005</v>
      </c>
      <c r="BV23" s="18">
        <f>'Total Saturday Boardings'!BV23/'Service Days per Month'!BV$5</f>
        <v>507.75</v>
      </c>
      <c r="BW23" s="18">
        <f>'Total Saturday Boardings'!BW23/'Service Days per Month'!BW$5</f>
        <v>717.4</v>
      </c>
      <c r="BX23" s="18">
        <f>'Total Saturday Boardings'!BX23/'Service Days per Month'!BX$5</f>
        <v>462.5</v>
      </c>
      <c r="BY23" s="18">
        <f>'Total Saturday Boardings'!BY23/'Service Days per Month'!BY$5</f>
        <v>500.5</v>
      </c>
      <c r="BZ23" s="18">
        <f>'Total Saturday Boardings'!BZ23/'Service Days per Month'!BZ$5</f>
        <v>483.75</v>
      </c>
      <c r="CA23" s="18">
        <f>'Total Saturday Boardings'!CA23/'Service Days per Month'!CA$5</f>
        <v>552.79999999999995</v>
      </c>
      <c r="CB23" s="19">
        <f>'Total Saturday Boardings'!CB23/'Service Days per Month'!CB$5</f>
        <v>412.75</v>
      </c>
      <c r="CC23" s="20">
        <f>'Total Saturday Boardings'!CC23/'Service Days per Month'!CC$5</f>
        <v>509.5</v>
      </c>
      <c r="CD23" s="18">
        <f>'Total Saturday Boardings'!CD23/'Service Days per Month'!CD$5</f>
        <v>493.4</v>
      </c>
      <c r="CE23" s="18">
        <f>'Total Saturday Boardings'!CE23/'Service Days per Month'!CE$5</f>
        <v>592.75</v>
      </c>
      <c r="CF23" s="18">
        <f>'Total Saturday Boardings'!CF23/'Service Days per Month'!CF$5</f>
        <v>615.20000000000005</v>
      </c>
      <c r="CG23" s="18">
        <f>'Total Saturday Boardings'!CG23/'Service Days per Month'!CG$5</f>
        <v>566.25</v>
      </c>
      <c r="CH23" s="18">
        <f>'Total Saturday Boardings'!CH23/'Service Days per Month'!CH$5</f>
        <v>510</v>
      </c>
      <c r="CI23" s="18">
        <f>'Total Saturday Boardings'!CI23/'Service Days per Month'!CI$5</f>
        <v>632.6</v>
      </c>
      <c r="CJ23" s="18">
        <f>'Total Saturday Boardings'!CJ23/'Service Days per Month'!CJ$5</f>
        <v>594</v>
      </c>
      <c r="CK23" s="18">
        <f>'Total Saturday Boardings'!CK23/'Service Days per Month'!CK$5</f>
        <v>877.5</v>
      </c>
      <c r="CL23" s="18">
        <f>'Total Saturday Boardings'!CL23/'Service Days per Month'!CL$5</f>
        <v>893.8</v>
      </c>
      <c r="CM23" s="18">
        <f>'Total Saturday Boardings'!CM23/'Service Days per Month'!CM$5</f>
        <v>819.5</v>
      </c>
      <c r="CN23" s="21">
        <f>'Total Saturday Boardings'!CN23/'Service Days per Month'!CN$5</f>
        <v>720.5</v>
      </c>
      <c r="CO23" s="17">
        <f>'Total Saturday Boardings'!CO23/'Service Days per Month'!CO$5</f>
        <v>425</v>
      </c>
      <c r="CP23" s="18">
        <f>'Total Saturday Boardings'!CP23/'Service Days per Month'!CP$5</f>
        <v>460</v>
      </c>
      <c r="CQ23" s="18">
        <f>'Total Saturday Boardings'!CQ23/'Service Days per Month'!CQ$5</f>
        <v>469.5</v>
      </c>
      <c r="CR23" s="18">
        <f>'Total Saturday Boardings'!CR23/'Service Days per Month'!CR$5</f>
        <v>533.4</v>
      </c>
      <c r="CS23" s="18">
        <f>'Total Saturday Boardings'!CS23/'Service Days per Month'!CS$5</f>
        <v>476</v>
      </c>
      <c r="CT23" s="18">
        <f>'Total Saturday Boardings'!CT23/'Service Days per Month'!CT$5</f>
        <v>539.5</v>
      </c>
      <c r="CU23" s="18">
        <f>'Total Saturday Boardings'!CU23/'Service Days per Month'!CU$5</f>
        <v>625</v>
      </c>
      <c r="CV23" s="18">
        <f>'Total Saturday Boardings'!CV23/'Service Days per Month'!CV$5</f>
        <v>483.5</v>
      </c>
      <c r="CW23" s="18">
        <f>'Total Saturday Boardings'!CW23/'Service Days per Month'!CW$5</f>
        <v>602.75</v>
      </c>
      <c r="CX23" s="18">
        <f>'Total Saturday Boardings'!CX23/'Service Days per Month'!CX$5</f>
        <v>768.4</v>
      </c>
      <c r="CY23" s="18">
        <f>'Total Saturday Boardings'!CY23/'Service Days per Month'!CY$5</f>
        <v>525.25</v>
      </c>
      <c r="CZ23" s="19">
        <f>'Total Saturday Boardings'!CZ23/'Service Days per Month'!CZ$5</f>
        <v>411.5</v>
      </c>
      <c r="DA23" s="17">
        <f>'Total Saturday Boardings'!DA23/'Service Days per Month'!DA$5</f>
        <v>393.4</v>
      </c>
      <c r="DB23" s="18">
        <f>'Total Saturday Boardings'!DB23/'Service Days per Month'!DB$5</f>
        <v>436</v>
      </c>
      <c r="DC23" s="18">
        <f>'Total Saturday Boardings'!DC23/'Service Days per Month'!DC$5</f>
        <v>450.8</v>
      </c>
      <c r="DD23" s="18">
        <f>'Total Saturday Boardings'!DD23/'Service Days per Month'!DD$5</f>
        <v>495</v>
      </c>
      <c r="DE23" s="18">
        <f>'Total Saturday Boardings'!DE23/'Service Days per Month'!DE$5</f>
        <v>485.75</v>
      </c>
      <c r="DF23" s="18">
        <f>'Total Saturday Boardings'!DF23/'Service Days per Month'!DF$5</f>
        <v>467.8</v>
      </c>
      <c r="DG23" s="18">
        <f>'Total Saturday Boardings'!DG23/'Service Days per Month'!DG$5</f>
        <v>649.5</v>
      </c>
      <c r="DH23" s="18">
        <f>'Total Saturday Boardings'!DH23/'Service Days per Month'!DH$5</f>
        <v>654</v>
      </c>
      <c r="DI23" s="18">
        <f>'Total Saturday Boardings'!DI23/'Service Days per Month'!DI$5</f>
        <v>733.4</v>
      </c>
      <c r="DJ23" s="18">
        <f>'Total Saturday Boardings'!DJ23/'Service Days per Month'!DJ$5</f>
        <v>755.75</v>
      </c>
      <c r="DK23" s="18">
        <f>'Total Saturday Boardings'!DK23/'Service Days per Month'!DK$5</f>
        <v>766.5</v>
      </c>
      <c r="DL23" s="19">
        <f>'Total Saturday Boardings'!DL23/'Service Days per Month'!DL$5</f>
        <v>584.79999999999995</v>
      </c>
      <c r="DM23" s="17">
        <f>'Total Saturday Boardings'!DM23/'Service Days per Month'!DM$5</f>
        <v>551.75</v>
      </c>
      <c r="DN23" s="18">
        <f>'Total Saturday Boardings'!DN23/'Service Days per Month'!DN$5</f>
        <v>537.25</v>
      </c>
      <c r="DO23" s="18">
        <f>'Total Saturday Boardings'!DO23/'Service Days per Month'!DO$5</f>
        <v>618.4</v>
      </c>
      <c r="DP23" s="18">
        <f>'Total Saturday Boardings'!DP23/'Service Days per Month'!DP$5</f>
        <v>547</v>
      </c>
      <c r="DQ23" s="18">
        <f>'Total Saturday Boardings'!DQ23/'Service Days per Month'!DQ$5</f>
        <v>682</v>
      </c>
      <c r="DR23" s="18">
        <f>'Total Saturday Boardings'!DR23/'Service Days per Month'!DR$5</f>
        <v>661.8</v>
      </c>
      <c r="DS23" s="18">
        <f>'Total Saturday Boardings'!DS23/'Service Days per Month'!DS$5</f>
        <v>590.5</v>
      </c>
      <c r="DT23" s="18">
        <f>'Total Saturday Boardings'!DT23/'Service Days per Month'!DT$5</f>
        <v>575.5</v>
      </c>
      <c r="DU23" s="18">
        <f>'Total Saturday Boardings'!DU23/'Service Days per Month'!DU$5</f>
        <v>677.4</v>
      </c>
      <c r="DV23" s="18">
        <f>'Total Saturday Boardings'!DV23/'Service Days per Month'!DV$5</f>
        <v>413.5</v>
      </c>
      <c r="DW23" s="18">
        <f>'Total Saturday Boardings'!DW23/'Service Days per Month'!DW$5</f>
        <v>683</v>
      </c>
      <c r="DX23" s="19">
        <f>'Total Saturday Boardings'!DX23/'Service Days per Month'!DX$5</f>
        <v>565</v>
      </c>
      <c r="DY23" s="17">
        <f>'Total Saturday Boardings'!DY23/'Service Days per Month'!DY$5</f>
        <v>490</v>
      </c>
      <c r="DZ23" s="18">
        <f>'Total Saturday Boardings'!DZ23/'Service Days per Month'!DZ$5</f>
        <v>553.79999999999995</v>
      </c>
      <c r="EA23" s="18">
        <f>'Total Saturday Boardings'!EA23/'Service Days per Month'!EA$5</f>
        <v>630.75</v>
      </c>
      <c r="EB23" s="18">
        <f>'Total Saturday Boardings'!EB23/'Service Days per Month'!EB$5</f>
        <v>600.5</v>
      </c>
      <c r="EC23" s="18">
        <f>'Total Saturday Boardings'!EC23/'Service Days per Month'!EC$5</f>
        <v>714</v>
      </c>
      <c r="ED23" s="18">
        <f>'Total Saturday Boardings'!ED23/'Service Days per Month'!ED$5</f>
        <v>628.25</v>
      </c>
      <c r="EE23" s="18">
        <f>'Total Saturday Boardings'!EE23/'Service Days per Month'!EE$5</f>
        <v>657.25</v>
      </c>
      <c r="EF23" s="18">
        <f>'Total Saturday Boardings'!EF23/'Service Days per Month'!EF$5</f>
        <v>696</v>
      </c>
      <c r="EG23" s="18">
        <f>'Total Saturday Boardings'!EG23/'Service Days per Month'!EG$5</f>
        <v>507.75</v>
      </c>
      <c r="EH23" s="18">
        <f>'Total Saturday Boardings'!EH23/'Service Days per Month'!EH$5</f>
        <v>289</v>
      </c>
      <c r="EI23" s="18">
        <f>'Total Saturday Boardings'!EI23/'Service Days per Month'!EI$5</f>
        <v>263.8</v>
      </c>
      <c r="EJ23" s="19">
        <f>'Total Saturday Boardings'!EJ23/'Service Days per Month'!EJ$5</f>
        <v>257</v>
      </c>
      <c r="EK23" s="17">
        <f>'Total Saturday Boardings'!EK23/'Service Days per Month'!EK$5</f>
        <v>197.5</v>
      </c>
      <c r="EL23" s="18">
        <f>'Total Saturday Boardings'!EL23/'Service Days per Month'!EL$5</f>
        <v>285</v>
      </c>
      <c r="EM23" s="18">
        <f>'Total Saturday Boardings'!EM23/'Service Days per Month'!EM$5</f>
        <v>286</v>
      </c>
      <c r="EN23" s="18">
        <f>'Total Saturday Boardings'!EN23/'Service Days per Month'!EN$5</f>
        <v>308.2</v>
      </c>
      <c r="EO23" s="18">
        <f>'Total Saturday Boardings'!EO23/'Service Days per Month'!EO$5</f>
        <v>446.25</v>
      </c>
      <c r="EP23" s="18">
        <f>'Total Saturday Boardings'!EP23/'Service Days per Month'!EP$5</f>
        <v>133.75</v>
      </c>
      <c r="EQ23" s="18">
        <f>'Total Saturday Boardings'!EQ23/'Service Days per Month'!EQ$5</f>
        <v>131.6</v>
      </c>
      <c r="ER23" s="18">
        <f>'Total Saturday Boardings'!ER23/'Service Days per Month'!ER$5</f>
        <v>128.75</v>
      </c>
      <c r="ES23" s="18">
        <f>'Total Saturday Boardings'!ES23/'Service Days per Month'!ES$5</f>
        <v>90.25</v>
      </c>
      <c r="ET23" s="18">
        <f>'Total Saturday Boardings'!ET23/'Service Days per Month'!ET$5</f>
        <v>285</v>
      </c>
      <c r="EU23" s="18">
        <f>'Total Saturday Boardings'!EU23/'Service Days per Month'!EU$5</f>
        <v>284</v>
      </c>
      <c r="EV23" s="19">
        <f>'Total Saturday Boardings'!EV23/'Service Days per Month'!EV$5</f>
        <v>313.5</v>
      </c>
      <c r="EW23" s="17">
        <f>'Total Saturday Boardings'!EW23/'Service Days per Month'!EW$5</f>
        <v>357</v>
      </c>
      <c r="EX23" s="18">
        <f>'Total Saturday Boardings'!EX23/'Service Days per Month'!EX$5</f>
        <v>214</v>
      </c>
      <c r="EY23" s="18">
        <f>'Total Saturday Boardings'!EY23/'Service Days per Month'!EY$5</f>
        <v>325.5</v>
      </c>
      <c r="EZ23" s="18">
        <f>'Total Saturday Boardings'!EZ23/'Service Days per Month'!EZ$5</f>
        <v>337.2</v>
      </c>
      <c r="FA23" s="18">
        <f>'Total Saturday Boardings'!FA23/'Service Days per Month'!FA$5</f>
        <v>380.75</v>
      </c>
      <c r="FB23" s="18">
        <f>'Total Saturday Boardings'!FB23/'Service Days per Month'!FB$5</f>
        <v>363.5</v>
      </c>
      <c r="FC23" s="18">
        <f>'Total Saturday Boardings'!FC23/'Service Days per Month'!FC$5</f>
        <v>305</v>
      </c>
      <c r="FD23" s="18">
        <f>'Total Saturday Boardings'!FD23/'Service Days per Month'!FD$5</f>
        <v>416.75</v>
      </c>
      <c r="FE23" s="18">
        <f>'Total Saturday Boardings'!FE23/'Service Days per Month'!FE$5</f>
        <v>461.25</v>
      </c>
      <c r="FF23" s="18">
        <f>'Total Saturday Boardings'!FF23/'Service Days per Month'!FF$5</f>
        <v>248</v>
      </c>
      <c r="FG23" s="18">
        <f>'Total Saturday Boardings'!FG23/'Service Days per Month'!FG$5</f>
        <v>484</v>
      </c>
      <c r="FH23" s="19">
        <f>'Total Saturday Boardings'!FH23/'Service Days per Month'!FH$5</f>
        <v>553.75</v>
      </c>
      <c r="FI23" s="17">
        <v>304.60000000000002</v>
      </c>
      <c r="FJ23" s="18">
        <v>193.5</v>
      </c>
      <c r="FK23" s="18">
        <v>219.25</v>
      </c>
      <c r="FL23" s="18">
        <v>220.2</v>
      </c>
      <c r="FM23" s="18">
        <v>211.6</v>
      </c>
      <c r="FN23" s="18">
        <v>191.6</v>
      </c>
      <c r="FO23" s="18">
        <v>182.2</v>
      </c>
      <c r="FP23" s="18">
        <v>340.5</v>
      </c>
      <c r="FQ23" s="18">
        <v>304</v>
      </c>
      <c r="FR23" s="18">
        <f>'Total Saturday Boardings'!FR23/5</f>
        <v>262.8</v>
      </c>
      <c r="FS23" s="18">
        <f>'Total Saturday Boardings'!FS23/4</f>
        <v>284.75</v>
      </c>
      <c r="FT23" s="19">
        <f>'Total Saturday Boardings'!FT23/4</f>
        <v>267.75</v>
      </c>
      <c r="FU23" s="17">
        <f>'Total Saturday Boardings'!FU23/5</f>
        <v>236.6</v>
      </c>
      <c r="FV23" s="18">
        <f>'Total Saturday Boardings'!FV23/4</f>
        <v>227</v>
      </c>
      <c r="FW23" s="18">
        <f>'Total Saturday Boardings'!FW23/5</f>
        <v>263.39999999999998</v>
      </c>
      <c r="FX23" s="18">
        <f>'Total Saturday Boardings'!FX23/4</f>
        <v>269.75</v>
      </c>
      <c r="FY23" s="18">
        <f>'Total Saturday Boardings'!FY23/4</f>
        <v>289</v>
      </c>
      <c r="FZ23" s="18">
        <f>'Total Saturday Boardings'!FZ23/5</f>
        <v>240.6</v>
      </c>
      <c r="GA23" s="18">
        <f>'Total Saturday Boardings'!GA23/4</f>
        <v>193.25</v>
      </c>
      <c r="GB23" s="18">
        <f>'Total Saturday Boardings'!GB23/4</f>
        <v>240.25</v>
      </c>
      <c r="GC23" s="18">
        <f>'Total Saturday Boardings'!GC23/5</f>
        <v>311.2</v>
      </c>
      <c r="GD23" s="18">
        <f>'Total Saturday Boardings'!GD23/4</f>
        <v>276</v>
      </c>
      <c r="GE23" s="18">
        <f>'Total Saturday Boardings'!GE23/4</f>
        <v>261.5</v>
      </c>
      <c r="GF23" s="18">
        <f>'Total Saturday Boardings'!GF23/5</f>
        <v>201</v>
      </c>
      <c r="GG23" s="18">
        <f>'Total Saturday Boardings'!GG23/4</f>
        <v>219.75</v>
      </c>
      <c r="GH23" s="18">
        <f>'Total Saturday Boardings'!GH23/5</f>
        <v>230</v>
      </c>
      <c r="GI23" s="18">
        <f>'Total Saturday Boardings'!GI23/4</f>
        <v>260</v>
      </c>
      <c r="GJ23" s="18">
        <f>'Total Saturday Boardings'!GJ23/4</f>
        <v>214</v>
      </c>
      <c r="GK23" s="18">
        <f>'Total Saturday Boardings'!GK23/5</f>
        <v>244.8</v>
      </c>
      <c r="GL23" s="18">
        <f>'Total Saturday Boardings'!GL23/4</f>
        <v>201.75</v>
      </c>
    </row>
    <row r="24" spans="1:194" x14ac:dyDescent="0.3">
      <c r="A24" s="3" t="s">
        <v>37</v>
      </c>
      <c r="B24" s="17"/>
      <c r="C24" s="18">
        <f>'Total Saturday Boardings'!C24/'Service Days per Month'!C$5</f>
        <v>279.2</v>
      </c>
      <c r="D24" s="18">
        <f>'Total Saturday Boardings'!D24/'Service Days per Month'!D$5</f>
        <v>687</v>
      </c>
      <c r="E24" s="18">
        <f>'Total Saturday Boardings'!E24/'Service Days per Month'!E$5</f>
        <v>338.75</v>
      </c>
      <c r="F24" s="18">
        <f>'Total Saturday Boardings'!F24/'Service Days per Month'!F$5</f>
        <v>397.75</v>
      </c>
      <c r="G24" s="18">
        <f>'Total Saturday Boardings'!G24/'Service Days per Month'!G$5</f>
        <v>285.60000000000002</v>
      </c>
      <c r="H24" s="19">
        <f>'Total Saturday Boardings'!H24/'Service Days per Month'!H$5</f>
        <v>242</v>
      </c>
      <c r="I24" s="17">
        <f>'Total Saturday Boardings'!I24/'Service Days per Month'!I$5</f>
        <v>266.33333333333331</v>
      </c>
      <c r="J24" s="18">
        <f>'Total Saturday Boardings'!J24/'Service Days per Month'!J$5</f>
        <v>187.2</v>
      </c>
      <c r="K24" s="18">
        <f>'Total Saturday Boardings'!K24/'Service Days per Month'!K$5</f>
        <v>297</v>
      </c>
      <c r="L24" s="18">
        <f>'Total Saturday Boardings'!L24/'Service Days per Month'!L$5</f>
        <v>222.4</v>
      </c>
      <c r="M24" s="18">
        <f>'Total Saturday Boardings'!M24/'Service Days per Month'!M$5</f>
        <v>332</v>
      </c>
      <c r="N24" s="18">
        <f>'Total Saturday Boardings'!N24/'Service Days per Month'!N$5</f>
        <v>423.5</v>
      </c>
      <c r="O24" s="62">
        <f>'Total Saturday Boardings'!O24/'Service Days per Month'!O$5</f>
        <v>304.60000000000002</v>
      </c>
      <c r="P24" s="62">
        <f>'Total Saturday Boardings'!P24/'Service Days per Month'!P$5</f>
        <v>465.25</v>
      </c>
      <c r="Q24" s="62">
        <f>'Total Saturday Boardings'!Q24/'Service Days per Month'!Q$5</f>
        <v>364.75</v>
      </c>
      <c r="R24" s="62">
        <f>'Total Saturday Boardings'!R24/'Service Days per Month'!R$5</f>
        <v>374</v>
      </c>
      <c r="S24" s="62">
        <f>'Total Saturday Boardings'!S24/'Service Days per Month'!S$5</f>
        <v>343.6</v>
      </c>
      <c r="T24" s="63">
        <f>'Total Saturday Boardings'!T24/'Service Days per Month'!T$5</f>
        <v>343.75</v>
      </c>
      <c r="U24" s="64">
        <f>'Total Saturday Boardings'!U24/'Service Days per Month'!U$5</f>
        <v>357.4</v>
      </c>
      <c r="V24" s="62">
        <f>'Total Saturday Boardings'!V24/'Service Days per Month'!V$5</f>
        <v>316.75</v>
      </c>
      <c r="W24" s="62">
        <f>'Total Saturday Boardings'!W24/'Service Days per Month'!W$5</f>
        <v>464</v>
      </c>
      <c r="X24" s="62">
        <f>'Total Saturday Boardings'!X24/'Service Days per Month'!X$5</f>
        <v>346</v>
      </c>
      <c r="Y24" s="62">
        <f>'Total Saturday Boardings'!Y24/'Service Days per Month'!Y$5</f>
        <v>644</v>
      </c>
      <c r="Z24" s="62">
        <f>'Total Saturday Boardings'!Z24/'Service Days per Month'!Z$5</f>
        <v>548.66666666666663</v>
      </c>
      <c r="AA24" s="18">
        <f>'Total Saturday Boardings'!AA24/'Service Days per Month'!AA$5</f>
        <v>426</v>
      </c>
      <c r="AB24" s="18">
        <f>'Total Saturday Boardings'!AB24/'Service Days per Month'!AB$5</f>
        <v>541.75</v>
      </c>
      <c r="AC24" s="18">
        <f>'Total Saturday Boardings'!AC24/'Service Days per Month'!AC$5</f>
        <v>562.25</v>
      </c>
      <c r="AD24" s="18">
        <f>'Total Saturday Boardings'!AD24/'Service Days per Month'!AD$5</f>
        <v>589</v>
      </c>
      <c r="AE24" s="18">
        <f>'Total Saturday Boardings'!AE24/'Service Days per Month'!AE$5</f>
        <v>514.75</v>
      </c>
      <c r="AF24" s="19">
        <f>'Total Saturday Boardings'!AF24/'Service Days per Month'!AF$5</f>
        <v>578.5</v>
      </c>
      <c r="AG24" s="17">
        <f>'Total Saturday Boardings'!AG24/'Service Days per Month'!AG$5</f>
        <v>535.6</v>
      </c>
      <c r="AH24" s="18">
        <f>'Total Saturday Boardings'!AH24/'Service Days per Month'!AH$5</f>
        <v>515.75</v>
      </c>
      <c r="AI24" s="18">
        <f>'Total Saturday Boardings'!AI24/'Service Days per Month'!AI$5</f>
        <v>608.75</v>
      </c>
      <c r="AJ24" s="18">
        <f>'Total Saturday Boardings'!AJ24/'Service Days per Month'!AJ$5</f>
        <v>655.6</v>
      </c>
      <c r="AK24" s="18">
        <f>'Total Saturday Boardings'!AK24/'Service Days per Month'!AK$5</f>
        <v>565</v>
      </c>
      <c r="AL24" s="18">
        <f>'Total Saturday Boardings'!AL24/'Service Days per Month'!AL$5</f>
        <v>736.75</v>
      </c>
      <c r="AM24" s="18">
        <f>'Total Saturday Boardings'!AM24/'Service Days per Month'!AM$5</f>
        <v>625.75</v>
      </c>
      <c r="AN24" s="18">
        <f>'Total Saturday Boardings'!AN24/'Service Days per Month'!AN$5</f>
        <v>846</v>
      </c>
      <c r="AO24" s="18">
        <f>'Total Saturday Boardings'!AO24/'Service Days per Month'!AO$5</f>
        <v>676.2</v>
      </c>
      <c r="AP24" s="18">
        <f>'Total Saturday Boardings'!AP24/'Service Days per Month'!AP$5</f>
        <v>699</v>
      </c>
      <c r="AQ24" s="18">
        <f>'Total Saturday Boardings'!AQ24/'Service Days per Month'!AQ$5</f>
        <v>650.25</v>
      </c>
      <c r="AR24" s="19">
        <f>'Total Saturday Boardings'!AR24/'Service Days per Month'!AR$5</f>
        <v>615.20000000000005</v>
      </c>
      <c r="AS24" s="17">
        <f>'Total Saturday Boardings'!AS24/'Service Days per Month'!AS$5</f>
        <v>568</v>
      </c>
      <c r="AT24" s="18">
        <f>'Total Saturday Boardings'!AT24/'Service Days per Month'!AT$5</f>
        <v>548.75</v>
      </c>
      <c r="AU24" s="18">
        <f>'Total Saturday Boardings'!AU24/'Service Days per Month'!AU$5</f>
        <v>599.20000000000005</v>
      </c>
      <c r="AV24" s="18">
        <f>'Total Saturday Boardings'!AV24/'Service Days per Month'!AV$5</f>
        <v>601.25</v>
      </c>
      <c r="AW24" s="18">
        <f>'Total Saturday Boardings'!AW24/'Service Days per Month'!AW$5</f>
        <v>663</v>
      </c>
      <c r="AX24" s="18">
        <f>'Total Saturday Boardings'!AX24/'Service Days per Month'!AX$5</f>
        <v>671.2</v>
      </c>
      <c r="AY24" s="18">
        <f>'Total Saturday Boardings'!AY24/'Service Days per Month'!AY$5</f>
        <v>516.25</v>
      </c>
      <c r="AZ24" s="18">
        <f>'Total Saturday Boardings'!AZ24/'Service Days per Month'!AZ$5</f>
        <v>655.25</v>
      </c>
      <c r="BA24" s="18">
        <f>'Total Saturday Boardings'!BA24/'Service Days per Month'!BA$5</f>
        <v>687.6</v>
      </c>
      <c r="BB24" s="18">
        <f>'Total Saturday Boardings'!BB24/'Service Days per Month'!BB$5</f>
        <v>708.75</v>
      </c>
      <c r="BC24" s="18">
        <f>'Total Saturday Boardings'!BC24/'Service Days per Month'!BC$5</f>
        <v>646</v>
      </c>
      <c r="BD24" s="19">
        <f>'Total Saturday Boardings'!BD24/'Service Days per Month'!BD$5</f>
        <v>543.20000000000005</v>
      </c>
      <c r="BE24" s="17">
        <f>'Total Saturday Boardings'!BE24/'Service Days per Month'!BE$5</f>
        <v>539.5</v>
      </c>
      <c r="BF24" s="18">
        <f>'Total Saturday Boardings'!BF24/'Service Days per Month'!BF$5</f>
        <v>551.4</v>
      </c>
      <c r="BG24" s="18">
        <f>'Total Saturday Boardings'!BG24/'Service Days per Month'!BG$5</f>
        <v>632.5</v>
      </c>
      <c r="BH24" s="18">
        <f>'Total Saturday Boardings'!BH24/'Service Days per Month'!BH$5</f>
        <v>688.5</v>
      </c>
      <c r="BI24" s="18">
        <f>'Total Saturday Boardings'!BI24/'Service Days per Month'!BI$5</f>
        <v>675.19373850544343</v>
      </c>
      <c r="BJ24" s="18">
        <f>'Total Saturday Boardings'!BJ24/'Service Days per Month'!BJ$5</f>
        <v>759.5</v>
      </c>
      <c r="BK24" s="18">
        <f>'Total Saturday Boardings'!BK24/'Service Days per Month'!BK$5</f>
        <v>816</v>
      </c>
      <c r="BL24" s="18">
        <f>'Total Saturday Boardings'!BL24/'Service Days per Month'!BL$5</f>
        <v>810</v>
      </c>
      <c r="BM24" s="18">
        <f>'Total Saturday Boardings'!BM24/'Service Days per Month'!BM$5</f>
        <v>764.8</v>
      </c>
      <c r="BN24" s="18">
        <f>'Total Saturday Boardings'!BN24/'Service Days per Month'!BN$5</f>
        <v>775</v>
      </c>
      <c r="BO24" s="18">
        <f>'Total Saturday Boardings'!BO24/'Service Days per Month'!BO$5</f>
        <v>710</v>
      </c>
      <c r="BP24" s="19">
        <f>'Total Saturday Boardings'!BP24/'Service Days per Month'!BP$5</f>
        <v>752</v>
      </c>
      <c r="BQ24" s="17">
        <f>'Total Saturday Boardings'!BQ24/'Service Days per Month'!BQ$5</f>
        <v>620.25</v>
      </c>
      <c r="BR24" s="18">
        <f>'Total Saturday Boardings'!BR24/'Service Days per Month'!BR$5</f>
        <v>659.6</v>
      </c>
      <c r="BS24" s="18">
        <f>'Total Saturday Boardings'!BS24/'Service Days per Month'!BS$5</f>
        <v>637</v>
      </c>
      <c r="BT24" s="18">
        <f>'Total Saturday Boardings'!BT24/'Service Days per Month'!BT$5</f>
        <v>868.25</v>
      </c>
      <c r="BU24" s="18">
        <f>'Total Saturday Boardings'!BU24/'Service Days per Month'!BU$5</f>
        <v>707.2</v>
      </c>
      <c r="BV24" s="18">
        <f>'Total Saturday Boardings'!BV24/'Service Days per Month'!BV$5</f>
        <v>812.5</v>
      </c>
      <c r="BW24" s="18">
        <f>'Total Saturday Boardings'!BW24/'Service Days per Month'!BW$5</f>
        <v>3622</v>
      </c>
      <c r="BX24" s="18">
        <f>'Total Saturday Boardings'!BX24/'Service Days per Month'!BX$5</f>
        <v>750.5</v>
      </c>
      <c r="BY24" s="18">
        <f>'Total Saturday Boardings'!BY24/'Service Days per Month'!BY$5</f>
        <v>839.75</v>
      </c>
      <c r="BZ24" s="18">
        <f>'Total Saturday Boardings'!BZ24/'Service Days per Month'!BZ$5</f>
        <v>786.75</v>
      </c>
      <c r="CA24" s="18">
        <f>'Total Saturday Boardings'!CA24/'Service Days per Month'!CA$5</f>
        <v>867.8</v>
      </c>
      <c r="CB24" s="19">
        <f>'Total Saturday Boardings'!CB24/'Service Days per Month'!CB$5</f>
        <v>658.25</v>
      </c>
      <c r="CC24" s="20">
        <f>'Total Saturday Boardings'!CC24/'Service Days per Month'!CC$5</f>
        <v>777.75</v>
      </c>
      <c r="CD24" s="18">
        <f>'Total Saturday Boardings'!CD24/'Service Days per Month'!CD$5</f>
        <v>649</v>
      </c>
      <c r="CE24" s="18">
        <f>'Total Saturday Boardings'!CE24/'Service Days per Month'!CE$5</f>
        <v>673</v>
      </c>
      <c r="CF24" s="18">
        <f>'Total Saturday Boardings'!CF24/'Service Days per Month'!CF$5</f>
        <v>768.6</v>
      </c>
      <c r="CG24" s="18">
        <f>'Total Saturday Boardings'!CG24/'Service Days per Month'!CG$5</f>
        <v>716</v>
      </c>
      <c r="CH24" s="18">
        <f>'Total Saturday Boardings'!CH24/'Service Days per Month'!CH$5</f>
        <v>694.5</v>
      </c>
      <c r="CI24" s="18">
        <f>'Total Saturday Boardings'!CI24/'Service Days per Month'!CI$5</f>
        <v>922.8</v>
      </c>
      <c r="CJ24" s="18">
        <f>'Total Saturday Boardings'!CJ24/'Service Days per Month'!CJ$5</f>
        <v>719.25</v>
      </c>
      <c r="CK24" s="18">
        <f>'Total Saturday Boardings'!CK24/'Service Days per Month'!CK$5</f>
        <v>544.25</v>
      </c>
      <c r="CL24" s="18">
        <f>'Total Saturday Boardings'!CL24/'Service Days per Month'!CL$5</f>
        <v>635.4</v>
      </c>
      <c r="CM24" s="18">
        <f>'Total Saturday Boardings'!CM24/'Service Days per Month'!CM$5</f>
        <v>610.5</v>
      </c>
      <c r="CN24" s="21">
        <f>'Total Saturday Boardings'!CN24/'Service Days per Month'!CN$5</f>
        <v>501</v>
      </c>
      <c r="CO24" s="17">
        <f>'Total Saturday Boardings'!CO24/'Service Days per Month'!CO$5</f>
        <v>614</v>
      </c>
      <c r="CP24" s="18">
        <f>'Total Saturday Boardings'!CP24/'Service Days per Month'!CP$5</f>
        <v>642.25</v>
      </c>
      <c r="CQ24" s="18">
        <f>'Total Saturday Boardings'!CQ24/'Service Days per Month'!CQ$5</f>
        <v>703.25</v>
      </c>
      <c r="CR24" s="18">
        <f>'Total Saturday Boardings'!CR24/'Service Days per Month'!CR$5</f>
        <v>651.4</v>
      </c>
      <c r="CS24" s="18">
        <f>'Total Saturday Boardings'!CS24/'Service Days per Month'!CS$5</f>
        <v>701</v>
      </c>
      <c r="CT24" s="18">
        <f>'Total Saturday Boardings'!CT24/'Service Days per Month'!CT$5</f>
        <v>726.5</v>
      </c>
      <c r="CU24" s="18">
        <f>'Total Saturday Boardings'!CU24/'Service Days per Month'!CU$5</f>
        <v>745.75</v>
      </c>
      <c r="CV24" s="18">
        <f>'Total Saturday Boardings'!CV24/'Service Days per Month'!CV$5</f>
        <v>630.25</v>
      </c>
      <c r="CW24" s="18">
        <f>'Total Saturday Boardings'!CW24/'Service Days per Month'!CW$5</f>
        <v>844.5</v>
      </c>
      <c r="CX24" s="18">
        <f>'Total Saturday Boardings'!CX24/'Service Days per Month'!CX$5</f>
        <v>973.4</v>
      </c>
      <c r="CY24" s="18">
        <f>'Total Saturday Boardings'!CY24/'Service Days per Month'!CY$5</f>
        <v>814</v>
      </c>
      <c r="CZ24" s="19">
        <f>'Total Saturday Boardings'!CZ24/'Service Days per Month'!CZ$5</f>
        <v>665</v>
      </c>
      <c r="DA24" s="17">
        <f>'Total Saturday Boardings'!DA24/'Service Days per Month'!DA$5</f>
        <v>585.4</v>
      </c>
      <c r="DB24" s="18">
        <f>'Total Saturday Boardings'!DB24/'Service Days per Month'!DB$5</f>
        <v>677.5</v>
      </c>
      <c r="DC24" s="18">
        <f>'Total Saturday Boardings'!DC24/'Service Days per Month'!DC$5</f>
        <v>572.6</v>
      </c>
      <c r="DD24" s="18">
        <f>'Total Saturday Boardings'!DD24/'Service Days per Month'!DD$5</f>
        <v>642.5</v>
      </c>
      <c r="DE24" s="18">
        <f>'Total Saturday Boardings'!DE24/'Service Days per Month'!DE$5</f>
        <v>730</v>
      </c>
      <c r="DF24" s="18">
        <f>'Total Saturday Boardings'!DF24/'Service Days per Month'!DF$5</f>
        <v>709.4</v>
      </c>
      <c r="DG24" s="18">
        <f>'Total Saturday Boardings'!DG24/'Service Days per Month'!DG$5</f>
        <v>461.25</v>
      </c>
      <c r="DH24" s="18">
        <f>'Total Saturday Boardings'!DH24/'Service Days per Month'!DH$5</f>
        <v>467.75</v>
      </c>
      <c r="DI24" s="18">
        <f>'Total Saturday Boardings'!DI24/'Service Days per Month'!DI$5</f>
        <v>585</v>
      </c>
      <c r="DJ24" s="18">
        <f>'Total Saturday Boardings'!DJ24/'Service Days per Month'!DJ$5</f>
        <v>501.5</v>
      </c>
      <c r="DK24" s="18">
        <f>'Total Saturday Boardings'!DK24/'Service Days per Month'!DK$5</f>
        <v>454</v>
      </c>
      <c r="DL24" s="19">
        <f>'Total Saturday Boardings'!DL24/'Service Days per Month'!DL$5</f>
        <v>434.8</v>
      </c>
      <c r="DM24" s="17">
        <f>'Total Saturday Boardings'!DM24/'Service Days per Month'!DM$5</f>
        <v>344.75</v>
      </c>
      <c r="DN24" s="18">
        <f>'Total Saturday Boardings'!DN24/'Service Days per Month'!DN$5</f>
        <v>373.75</v>
      </c>
      <c r="DO24" s="18">
        <f>'Total Saturday Boardings'!DO24/'Service Days per Month'!DO$5</f>
        <v>416.8</v>
      </c>
      <c r="DP24" s="18">
        <f>'Total Saturday Boardings'!DP24/'Service Days per Month'!DP$5</f>
        <v>419.25</v>
      </c>
      <c r="DQ24" s="18">
        <f>'Total Saturday Boardings'!DQ24/'Service Days per Month'!DQ$5</f>
        <v>465.75</v>
      </c>
      <c r="DR24" s="18">
        <f>'Total Saturday Boardings'!DR24/'Service Days per Month'!DR$5</f>
        <v>436.8</v>
      </c>
      <c r="DS24" s="18">
        <f>'Total Saturday Boardings'!DS24/'Service Days per Month'!DS$5</f>
        <v>422.5</v>
      </c>
      <c r="DT24" s="18">
        <f>'Total Saturday Boardings'!DT24/'Service Days per Month'!DT$5</f>
        <v>430.75</v>
      </c>
      <c r="DU24" s="18">
        <f>'Total Saturday Boardings'!DU24/'Service Days per Month'!DU$5</f>
        <v>479.2</v>
      </c>
      <c r="DV24" s="18">
        <f>'Total Saturday Boardings'!DV24/'Service Days per Month'!DV$5</f>
        <v>601.75</v>
      </c>
      <c r="DW24" s="18">
        <f>'Total Saturday Boardings'!DW24/'Service Days per Month'!DW$5</f>
        <v>432.75</v>
      </c>
      <c r="DX24" s="19">
        <f>'Total Saturday Boardings'!DX24/'Service Days per Month'!DX$5</f>
        <v>398.4</v>
      </c>
      <c r="DY24" s="17">
        <f>'Total Saturday Boardings'!DY24/'Service Days per Month'!DY$5</f>
        <v>306.5</v>
      </c>
      <c r="DZ24" s="18">
        <f>'Total Saturday Boardings'!DZ24/'Service Days per Month'!DZ$5</f>
        <v>399.4</v>
      </c>
      <c r="EA24" s="18">
        <f>'Total Saturday Boardings'!EA24/'Service Days per Month'!EA$5</f>
        <v>373.75</v>
      </c>
      <c r="EB24" s="18">
        <f>'Total Saturday Boardings'!EB24/'Service Days per Month'!EB$5</f>
        <v>432</v>
      </c>
      <c r="EC24" s="18">
        <f>'Total Saturday Boardings'!EC24/'Service Days per Month'!EC$5</f>
        <v>428.4</v>
      </c>
      <c r="ED24" s="18">
        <f>'Total Saturday Boardings'!ED24/'Service Days per Month'!ED$5</f>
        <v>406.25</v>
      </c>
      <c r="EE24" s="18">
        <f>'Total Saturday Boardings'!EE24/'Service Days per Month'!EE$5</f>
        <v>405.75</v>
      </c>
      <c r="EF24" s="18">
        <f>'Total Saturday Boardings'!EF24/'Service Days per Month'!EF$5</f>
        <v>381</v>
      </c>
      <c r="EG24" s="18">
        <f>'Total Saturday Boardings'!EG24/'Service Days per Month'!EG$5</f>
        <v>300.75</v>
      </c>
      <c r="EH24" s="18">
        <f>'Total Saturday Boardings'!EH24/'Service Days per Month'!EH$5</f>
        <v>181.5</v>
      </c>
      <c r="EI24" s="18">
        <f>'Total Saturday Boardings'!EI24/'Service Days per Month'!EI$5</f>
        <v>171.6</v>
      </c>
      <c r="EJ24" s="19">
        <f>'Total Saturday Boardings'!EJ24/'Service Days per Month'!EJ$5</f>
        <v>155.25</v>
      </c>
      <c r="EK24" s="17">
        <f>'Total Saturday Boardings'!EK24/'Service Days per Month'!EK$5</f>
        <v>125.5</v>
      </c>
      <c r="EL24" s="18">
        <f>'Total Saturday Boardings'!EL24/'Service Days per Month'!EL$5</f>
        <v>163.6</v>
      </c>
      <c r="EM24" s="18">
        <f>'Total Saturday Boardings'!EM24/'Service Days per Month'!EM$5</f>
        <v>188.5</v>
      </c>
      <c r="EN24" s="18">
        <f>'Total Saturday Boardings'!EN24/'Service Days per Month'!EN$5</f>
        <v>193</v>
      </c>
      <c r="EO24" s="18">
        <f>'Total Saturday Boardings'!EO24/'Service Days per Month'!EO$5</f>
        <v>206.25</v>
      </c>
      <c r="EP24" s="18">
        <f>'Total Saturday Boardings'!EP24/'Service Days per Month'!EP$5</f>
        <v>209.75</v>
      </c>
      <c r="EQ24" s="18">
        <f>'Total Saturday Boardings'!EQ24/'Service Days per Month'!EQ$5</f>
        <v>77.2</v>
      </c>
      <c r="ER24" s="18">
        <f>'Total Saturday Boardings'!ER24/'Service Days per Month'!ER$5</f>
        <v>242.75</v>
      </c>
      <c r="ES24" s="18">
        <f>'Total Saturday Boardings'!ES24/'Service Days per Month'!ES$5</f>
        <v>384</v>
      </c>
      <c r="ET24" s="18">
        <f>'Total Saturday Boardings'!ET24/'Service Days per Month'!ET$5</f>
        <v>179.5</v>
      </c>
      <c r="EU24" s="18">
        <f>'Total Saturday Boardings'!EU24/'Service Days per Month'!EU$5</f>
        <v>159.80000000000001</v>
      </c>
      <c r="EV24" s="19">
        <f>'Total Saturday Boardings'!EV24/'Service Days per Month'!EV$5</f>
        <v>151</v>
      </c>
      <c r="EW24" s="17">
        <f>'Total Saturday Boardings'!EW24/'Service Days per Month'!EW$5</f>
        <v>165</v>
      </c>
      <c r="EX24" s="18">
        <f>'Total Saturday Boardings'!EX24/'Service Days per Month'!EX$5</f>
        <v>149.25</v>
      </c>
      <c r="EY24" s="18">
        <f>'Total Saturday Boardings'!EY24/'Service Days per Month'!EY$5</f>
        <v>182.5</v>
      </c>
      <c r="EZ24" s="18">
        <f>'Total Saturday Boardings'!EZ24/'Service Days per Month'!EZ$5</f>
        <v>184.6</v>
      </c>
      <c r="FA24" s="18">
        <f>'Total Saturday Boardings'!FA24/'Service Days per Month'!FA$5</f>
        <v>209.5</v>
      </c>
      <c r="FB24" s="18">
        <f>'Total Saturday Boardings'!FB24/'Service Days per Month'!FB$5</f>
        <v>213.5</v>
      </c>
      <c r="FC24" s="18">
        <f>'Total Saturday Boardings'!FC24/'Service Days per Month'!FC$5</f>
        <v>186</v>
      </c>
      <c r="FD24" s="18">
        <f>'Total Saturday Boardings'!FD24/'Service Days per Month'!FD$5</f>
        <v>245.25</v>
      </c>
      <c r="FE24" s="18">
        <f>'Total Saturday Boardings'!FE24/'Service Days per Month'!FE$5</f>
        <v>275.75</v>
      </c>
      <c r="FF24" s="18">
        <f>'Total Saturday Boardings'!FF24/'Service Days per Month'!FF$5</f>
        <v>390.2</v>
      </c>
      <c r="FG24" s="18">
        <f>'Total Saturday Boardings'!FG24/'Service Days per Month'!FG$5</f>
        <v>153.25</v>
      </c>
      <c r="FH24" s="19">
        <f>'Total Saturday Boardings'!FH24/'Service Days per Month'!FH$5</f>
        <v>0</v>
      </c>
      <c r="FI24" s="17">
        <v>173</v>
      </c>
      <c r="FJ24" s="18">
        <v>304</v>
      </c>
      <c r="FK24" s="18">
        <v>380</v>
      </c>
      <c r="FL24" s="18">
        <v>362</v>
      </c>
      <c r="FM24" s="18">
        <v>377.4</v>
      </c>
      <c r="FN24" s="18">
        <v>366.6</v>
      </c>
      <c r="FO24" s="18">
        <v>349.8</v>
      </c>
      <c r="FP24" s="18">
        <v>1008.25</v>
      </c>
      <c r="FQ24" s="18">
        <v>565</v>
      </c>
      <c r="FR24" s="18">
        <f>'Total Saturday Boardings'!FR24/5</f>
        <v>459</v>
      </c>
      <c r="FS24" s="18">
        <f>'Total Saturday Boardings'!FS24/4</f>
        <v>485.75</v>
      </c>
      <c r="FT24" s="19">
        <f>'Total Saturday Boardings'!FT24/4</f>
        <v>478.25</v>
      </c>
      <c r="FU24" s="17">
        <f>'Total Saturday Boardings'!FU24/5</f>
        <v>424.2</v>
      </c>
      <c r="FV24" s="18">
        <f>'Total Saturday Boardings'!FV24/4</f>
        <v>476</v>
      </c>
      <c r="FW24" s="18">
        <f>'Total Saturday Boardings'!FW24/5</f>
        <v>441</v>
      </c>
      <c r="FX24" s="18">
        <f>'Total Saturday Boardings'!FX24/4</f>
        <v>500.25</v>
      </c>
      <c r="FY24" s="18">
        <f>'Total Saturday Boardings'!FY24/4</f>
        <v>468</v>
      </c>
      <c r="FZ24" s="18">
        <f>'Total Saturday Boardings'!FZ24/5</f>
        <v>467.2</v>
      </c>
      <c r="GA24" s="18">
        <f>'Total Saturday Boardings'!GA24/4</f>
        <v>518.25</v>
      </c>
      <c r="GB24" s="18">
        <f>'Total Saturday Boardings'!GB24/4</f>
        <v>509.25</v>
      </c>
      <c r="GC24" s="18">
        <f>'Total Saturday Boardings'!GC24/5</f>
        <v>521.6</v>
      </c>
      <c r="GD24" s="18">
        <f>'Total Saturday Boardings'!GD24/4</f>
        <v>620.75</v>
      </c>
      <c r="GE24" s="18">
        <f>'Total Saturday Boardings'!GE24/4</f>
        <v>499.25</v>
      </c>
      <c r="GF24" s="18">
        <f>'Total Saturday Boardings'!GF24/5</f>
        <v>490.2</v>
      </c>
      <c r="GG24" s="18">
        <f>'Total Saturday Boardings'!GG24/4</f>
        <v>497.5</v>
      </c>
      <c r="GH24" s="18">
        <f>'Total Saturday Boardings'!GH24/5</f>
        <v>456.6</v>
      </c>
      <c r="GI24" s="18">
        <f>'Total Saturday Boardings'!GI24/4</f>
        <v>446.5</v>
      </c>
      <c r="GJ24" s="18">
        <f>'Total Saturday Boardings'!GJ24/4</f>
        <v>442</v>
      </c>
      <c r="GK24" s="18">
        <f>'Total Saturday Boardings'!GK24/5</f>
        <v>420.6</v>
      </c>
      <c r="GL24" s="18">
        <f>'Total Saturday Boardings'!GL24/4</f>
        <v>405.25</v>
      </c>
    </row>
    <row r="25" spans="1:194" x14ac:dyDescent="0.3">
      <c r="A25" s="3" t="s">
        <v>38</v>
      </c>
      <c r="B25" s="17"/>
      <c r="C25" s="18">
        <f>'Total Saturday Boardings'!C25/'Service Days per Month'!C$5</f>
        <v>2005.8</v>
      </c>
      <c r="D25" s="18">
        <f>'Total Saturday Boardings'!D25/'Service Days per Month'!D$5</f>
        <v>2817.25</v>
      </c>
      <c r="E25" s="18">
        <f>'Total Saturday Boardings'!E25/'Service Days per Month'!E$5</f>
        <v>1375.75</v>
      </c>
      <c r="F25" s="18">
        <f>'Total Saturday Boardings'!F25/'Service Days per Month'!F$5</f>
        <v>2751</v>
      </c>
      <c r="G25" s="18">
        <f>'Total Saturday Boardings'!G25/'Service Days per Month'!G$5</f>
        <v>1257.8</v>
      </c>
      <c r="H25" s="19">
        <f>'Total Saturday Boardings'!H25/'Service Days per Month'!H$5</f>
        <v>1705</v>
      </c>
      <c r="I25" s="17">
        <f>'Total Saturday Boardings'!I25/'Service Days per Month'!I$5</f>
        <v>1257</v>
      </c>
      <c r="J25" s="18">
        <f>'Total Saturday Boardings'!J25/'Service Days per Month'!J$5</f>
        <v>873.6</v>
      </c>
      <c r="K25" s="18">
        <f>'Total Saturday Boardings'!K25/'Service Days per Month'!K$5</f>
        <v>1751.25</v>
      </c>
      <c r="L25" s="18">
        <f>'Total Saturday Boardings'!L25/'Service Days per Month'!L$5</f>
        <v>772.6</v>
      </c>
      <c r="M25" s="18">
        <f>'Total Saturday Boardings'!M25/'Service Days per Month'!M$5</f>
        <v>771.75</v>
      </c>
      <c r="N25" s="18">
        <f>'Total Saturday Boardings'!N25/'Service Days per Month'!N$5</f>
        <v>884</v>
      </c>
      <c r="O25" s="62">
        <f>'Total Saturday Boardings'!O25/'Service Days per Month'!O$5</f>
        <v>1660</v>
      </c>
      <c r="P25" s="62">
        <f>'Total Saturday Boardings'!P25/'Service Days per Month'!P$5</f>
        <v>1340.5</v>
      </c>
      <c r="Q25" s="62">
        <f>'Total Saturday Boardings'!Q25/'Service Days per Month'!Q$5</f>
        <v>1354.25</v>
      </c>
      <c r="R25" s="62">
        <f>'Total Saturday Boardings'!R25/'Service Days per Month'!R$5</f>
        <v>1982</v>
      </c>
      <c r="S25" s="62">
        <f>'Total Saturday Boardings'!S25/'Service Days per Month'!S$5</f>
        <v>1356</v>
      </c>
      <c r="T25" s="63">
        <f>'Total Saturday Boardings'!T25/'Service Days per Month'!T$5</f>
        <v>1515.25</v>
      </c>
      <c r="U25" s="64">
        <f>'Total Saturday Boardings'!U25/'Service Days per Month'!U$5</f>
        <v>1447.8</v>
      </c>
      <c r="V25" s="62">
        <f>'Total Saturday Boardings'!V25/'Service Days per Month'!V$5</f>
        <v>1711</v>
      </c>
      <c r="W25" s="62">
        <f>'Total Saturday Boardings'!W25/'Service Days per Month'!W$5</f>
        <v>1190.75</v>
      </c>
      <c r="X25" s="62">
        <f>'Total Saturday Boardings'!X25/'Service Days per Month'!X$5</f>
        <v>593.4</v>
      </c>
      <c r="Y25" s="62">
        <f>'Total Saturday Boardings'!Y25/'Service Days per Month'!Y$5</f>
        <v>1097.5</v>
      </c>
      <c r="Z25" s="62">
        <f>'Total Saturday Boardings'!Z25/'Service Days per Month'!Z$5</f>
        <v>634</v>
      </c>
      <c r="AA25" s="18">
        <f>'Total Saturday Boardings'!AA25/'Service Days per Month'!AA$5</f>
        <v>1589.8</v>
      </c>
      <c r="AB25" s="18">
        <f>'Total Saturday Boardings'!AB25/'Service Days per Month'!AB$5</f>
        <v>1136.5</v>
      </c>
      <c r="AC25" s="18">
        <f>'Total Saturday Boardings'!AC25/'Service Days per Month'!AC$5</f>
        <v>1143.75</v>
      </c>
      <c r="AD25" s="18">
        <f>'Total Saturday Boardings'!AD25/'Service Days per Month'!AD$5</f>
        <v>1742.6</v>
      </c>
      <c r="AE25" s="18">
        <f>'Total Saturday Boardings'!AE25/'Service Days per Month'!AE$5</f>
        <v>1666</v>
      </c>
      <c r="AF25" s="19">
        <f>'Total Saturday Boardings'!AF25/'Service Days per Month'!AF$5</f>
        <v>1524.75</v>
      </c>
      <c r="AG25" s="17">
        <f>'Total Saturday Boardings'!AG25/'Service Days per Month'!AG$5</f>
        <v>1427.8</v>
      </c>
      <c r="AH25" s="18">
        <f>'Total Saturday Boardings'!AH25/'Service Days per Month'!AH$5</f>
        <v>1629.5</v>
      </c>
      <c r="AI25" s="18">
        <f>'Total Saturday Boardings'!AI25/'Service Days per Month'!AI$5</f>
        <v>1858.25</v>
      </c>
      <c r="AJ25" s="18">
        <f>'Total Saturday Boardings'!AJ25/'Service Days per Month'!AJ$5</f>
        <v>785.4</v>
      </c>
      <c r="AK25" s="18">
        <f>'Total Saturday Boardings'!AK25/'Service Days per Month'!AK$5</f>
        <v>595.5</v>
      </c>
      <c r="AL25" s="18">
        <f>'Total Saturday Boardings'!AL25/'Service Days per Month'!AL$5</f>
        <v>894.25</v>
      </c>
      <c r="AM25" s="18">
        <f>'Total Saturday Boardings'!AM25/'Service Days per Month'!AM$5</f>
        <v>1691.75</v>
      </c>
      <c r="AN25" s="18">
        <f>'Total Saturday Boardings'!AN25/'Service Days per Month'!AN$5</f>
        <v>1497.25</v>
      </c>
      <c r="AO25" s="18">
        <f>'Total Saturday Boardings'!AO25/'Service Days per Month'!AO$5</f>
        <v>1067</v>
      </c>
      <c r="AP25" s="18">
        <f>'Total Saturday Boardings'!AP25/'Service Days per Month'!AP$5</f>
        <v>2180.25</v>
      </c>
      <c r="AQ25" s="18">
        <f>'Total Saturday Boardings'!AQ25/'Service Days per Month'!AQ$5</f>
        <v>2043</v>
      </c>
      <c r="AR25" s="19">
        <f>'Total Saturday Boardings'!AR25/'Service Days per Month'!AR$5</f>
        <v>1621.4</v>
      </c>
      <c r="AS25" s="17">
        <f>'Total Saturday Boardings'!AS25/'Service Days per Month'!AS$5</f>
        <v>1720.5</v>
      </c>
      <c r="AT25" s="18">
        <f>'Total Saturday Boardings'!AT25/'Service Days per Month'!AT$5</f>
        <v>1259</v>
      </c>
      <c r="AU25" s="18">
        <f>'Total Saturday Boardings'!AU25/'Service Days per Month'!AU$5</f>
        <v>1143.5999999999999</v>
      </c>
      <c r="AV25" s="18">
        <f>'Total Saturday Boardings'!AV25/'Service Days per Month'!AV$5</f>
        <v>968.25</v>
      </c>
      <c r="AW25" s="18">
        <f>'Total Saturday Boardings'!AW25/'Service Days per Month'!AW$5</f>
        <v>914.25</v>
      </c>
      <c r="AX25" s="18">
        <f>'Total Saturday Boardings'!AX25/'Service Days per Month'!AX$5</f>
        <v>729</v>
      </c>
      <c r="AY25" s="18">
        <f>'Total Saturday Boardings'!AY25/'Service Days per Month'!AY$5</f>
        <v>1548.25</v>
      </c>
      <c r="AZ25" s="18">
        <f>'Total Saturday Boardings'!AZ25/'Service Days per Month'!AZ$5</f>
        <v>1157.75</v>
      </c>
      <c r="BA25" s="18">
        <f>'Total Saturday Boardings'!BA25/'Service Days per Month'!BA$5</f>
        <v>1457.4</v>
      </c>
      <c r="BB25" s="18">
        <f>'Total Saturday Boardings'!BB25/'Service Days per Month'!BB$5</f>
        <v>1910.75</v>
      </c>
      <c r="BC25" s="18">
        <f>'Total Saturday Boardings'!BC25/'Service Days per Month'!BC$5</f>
        <v>1862.75</v>
      </c>
      <c r="BD25" s="19">
        <f>'Total Saturday Boardings'!BD25/'Service Days per Month'!BD$5</f>
        <v>1143.2</v>
      </c>
      <c r="BE25" s="17">
        <f>'Total Saturday Boardings'!BE25/'Service Days per Month'!BE$5</f>
        <v>1658</v>
      </c>
      <c r="BF25" s="18">
        <f>'Total Saturday Boardings'!BF25/'Service Days per Month'!BF$5</f>
        <v>1123.2</v>
      </c>
      <c r="BG25" s="18">
        <f>'Total Saturday Boardings'!BG25/'Service Days per Month'!BG$5</f>
        <v>1176.25</v>
      </c>
      <c r="BH25" s="18">
        <f>'Total Saturday Boardings'!BH25/'Service Days per Month'!BH$5</f>
        <v>722.5</v>
      </c>
      <c r="BI25" s="18">
        <f>'Total Saturday Boardings'!BI25/'Service Days per Month'!BI$5</f>
        <v>948.21488637564744</v>
      </c>
      <c r="BJ25" s="18">
        <f>'Total Saturday Boardings'!BJ25/'Service Days per Month'!BJ$5</f>
        <v>984</v>
      </c>
      <c r="BK25" s="18">
        <f>'Total Saturday Boardings'!BK25/'Service Days per Month'!BK$5</f>
        <v>1873</v>
      </c>
      <c r="BL25" s="18">
        <f>'Total Saturday Boardings'!BL25/'Service Days per Month'!BL$5</f>
        <v>1526</v>
      </c>
      <c r="BM25" s="18">
        <f>'Total Saturday Boardings'!BM25/'Service Days per Month'!BM$5</f>
        <v>999.4</v>
      </c>
      <c r="BN25" s="18">
        <f>'Total Saturday Boardings'!BN25/'Service Days per Month'!BN$5</f>
        <v>1779.25</v>
      </c>
      <c r="BO25" s="18">
        <f>'Total Saturday Boardings'!BO25/'Service Days per Month'!BO$5</f>
        <v>1085.2</v>
      </c>
      <c r="BP25" s="19">
        <f>'Total Saturday Boardings'!BP25/'Service Days per Month'!BP$5</f>
        <v>2207.75</v>
      </c>
      <c r="BQ25" s="17">
        <f>'Total Saturday Boardings'!BQ25/'Service Days per Month'!BQ$5</f>
        <v>933.25</v>
      </c>
      <c r="BR25" s="18">
        <f>'Total Saturday Boardings'!BR25/'Service Days per Month'!BR$5</f>
        <v>1243.8</v>
      </c>
      <c r="BS25" s="18">
        <f>'Total Saturday Boardings'!BS25/'Service Days per Month'!BS$5</f>
        <v>1028.75</v>
      </c>
      <c r="BT25" s="18">
        <f>'Total Saturday Boardings'!BT25/'Service Days per Month'!BT$5</f>
        <v>996</v>
      </c>
      <c r="BU25" s="18">
        <f>'Total Saturday Boardings'!BU25/'Service Days per Month'!BU$5</f>
        <v>691.8</v>
      </c>
      <c r="BV25" s="18">
        <f>'Total Saturday Boardings'!BV25/'Service Days per Month'!BV$5</f>
        <v>770.25</v>
      </c>
      <c r="BW25" s="18">
        <f>'Total Saturday Boardings'!BW25/'Service Days per Month'!BW$5</f>
        <v>4779</v>
      </c>
      <c r="BX25" s="18">
        <f>'Total Saturday Boardings'!BX25/'Service Days per Month'!BX$5</f>
        <v>1250</v>
      </c>
      <c r="BY25" s="18">
        <f>'Total Saturday Boardings'!BY25/'Service Days per Month'!BY$5</f>
        <v>894.75</v>
      </c>
      <c r="BZ25" s="18">
        <f>'Total Saturday Boardings'!BZ25/'Service Days per Month'!BZ$5</f>
        <v>1893.75</v>
      </c>
      <c r="CA25" s="18">
        <f>'Total Saturday Boardings'!CA25/'Service Days per Month'!CA$5</f>
        <v>1971.2</v>
      </c>
      <c r="CB25" s="19">
        <f>'Total Saturday Boardings'!CB25/'Service Days per Month'!CB$5</f>
        <v>1211.75</v>
      </c>
      <c r="CC25" s="20">
        <f>'Total Saturday Boardings'!CC25/'Service Days per Month'!CC$5</f>
        <v>1963</v>
      </c>
      <c r="CD25" s="18">
        <f>'Total Saturday Boardings'!CD25/'Service Days per Month'!CD$5</f>
        <v>1014.8</v>
      </c>
      <c r="CE25" s="18">
        <f>'Total Saturday Boardings'!CE25/'Service Days per Month'!CE$5</f>
        <v>1021.25</v>
      </c>
      <c r="CF25" s="18">
        <f>'Total Saturday Boardings'!CF25/'Service Days per Month'!CF$5</f>
        <v>1691.2</v>
      </c>
      <c r="CG25" s="18">
        <f>'Total Saturday Boardings'!CG25/'Service Days per Month'!CG$5</f>
        <v>940.75</v>
      </c>
      <c r="CH25" s="18">
        <f>'Total Saturday Boardings'!CH25/'Service Days per Month'!CH$5</f>
        <v>820.5</v>
      </c>
      <c r="CI25" s="18">
        <f>'Total Saturday Boardings'!CI25/'Service Days per Month'!CI$5</f>
        <v>1509.2</v>
      </c>
      <c r="CJ25" s="18">
        <f>'Total Saturday Boardings'!CJ25/'Service Days per Month'!CJ$5</f>
        <v>1293.5</v>
      </c>
      <c r="CK25" s="18">
        <f>'Total Saturday Boardings'!CK25/'Service Days per Month'!CK$5</f>
        <v>908.5</v>
      </c>
      <c r="CL25" s="18">
        <f>'Total Saturday Boardings'!CL25/'Service Days per Month'!CL$5</f>
        <v>1963.4</v>
      </c>
      <c r="CM25" s="18">
        <f>'Total Saturday Boardings'!CM25/'Service Days per Month'!CM$5</f>
        <v>1739.5</v>
      </c>
      <c r="CN25" s="21">
        <f>'Total Saturday Boardings'!CN25/'Service Days per Month'!CN$5</f>
        <v>1858.25</v>
      </c>
      <c r="CO25" s="17">
        <f>'Total Saturday Boardings'!CO25/'Service Days per Month'!CO$5</f>
        <v>940.6</v>
      </c>
      <c r="CP25" s="18">
        <f>'Total Saturday Boardings'!CP25/'Service Days per Month'!CP$5</f>
        <v>1091</v>
      </c>
      <c r="CQ25" s="18">
        <f>'Total Saturday Boardings'!CQ25/'Service Days per Month'!CQ$5</f>
        <v>1079.25</v>
      </c>
      <c r="CR25" s="18">
        <f>'Total Saturday Boardings'!CR25/'Service Days per Month'!CR$5</f>
        <v>1048.8</v>
      </c>
      <c r="CS25" s="18">
        <f>'Total Saturday Boardings'!CS25/'Service Days per Month'!CS$5</f>
        <v>729</v>
      </c>
      <c r="CT25" s="18">
        <f>'Total Saturday Boardings'!CT25/'Service Days per Month'!CT$5</f>
        <v>520.5</v>
      </c>
      <c r="CU25" s="18">
        <f>'Total Saturday Boardings'!CU25/'Service Days per Month'!CU$5</f>
        <v>898</v>
      </c>
      <c r="CV25" s="18">
        <f>'Total Saturday Boardings'!CV25/'Service Days per Month'!CV$5</f>
        <v>954.75</v>
      </c>
      <c r="CW25" s="18">
        <f>'Total Saturday Boardings'!CW25/'Service Days per Month'!CW$5</f>
        <v>830</v>
      </c>
      <c r="CX25" s="18">
        <f>'Total Saturday Boardings'!CX25/'Service Days per Month'!CX$5</f>
        <v>2049.8000000000002</v>
      </c>
      <c r="CY25" s="18">
        <f>'Total Saturday Boardings'!CY25/'Service Days per Month'!CY$5</f>
        <v>1785.25</v>
      </c>
      <c r="CZ25" s="19">
        <f>'Total Saturday Boardings'!CZ25/'Service Days per Month'!CZ$5</f>
        <v>1051.5</v>
      </c>
      <c r="DA25" s="17">
        <f>'Total Saturday Boardings'!DA25/'Service Days per Month'!DA$5</f>
        <v>1049.5999999999999</v>
      </c>
      <c r="DB25" s="18">
        <f>'Total Saturday Boardings'!DB25/'Service Days per Month'!DB$5</f>
        <v>1029</v>
      </c>
      <c r="DC25" s="18">
        <f>'Total Saturday Boardings'!DC25/'Service Days per Month'!DC$5</f>
        <v>834.8</v>
      </c>
      <c r="DD25" s="18">
        <f>'Total Saturday Boardings'!DD25/'Service Days per Month'!DD$5</f>
        <v>615.75</v>
      </c>
      <c r="DE25" s="18">
        <f>'Total Saturday Boardings'!DE25/'Service Days per Month'!DE$5</f>
        <v>866.25</v>
      </c>
      <c r="DF25" s="18">
        <f>'Total Saturday Boardings'!DF25/'Service Days per Month'!DF$5</f>
        <v>564.4</v>
      </c>
      <c r="DG25" s="18">
        <f>'Total Saturday Boardings'!DG25/'Service Days per Month'!DG$5</f>
        <v>401.25</v>
      </c>
      <c r="DH25" s="18">
        <f>'Total Saturday Boardings'!DH25/'Service Days per Month'!DH$5</f>
        <v>572.5</v>
      </c>
      <c r="DI25" s="18">
        <f>'Total Saturday Boardings'!DI25/'Service Days per Month'!DI$5</f>
        <v>682</v>
      </c>
      <c r="DJ25" s="18">
        <f>'Total Saturday Boardings'!DJ25/'Service Days per Month'!DJ$5</f>
        <v>757.5</v>
      </c>
      <c r="DK25" s="18">
        <f>'Total Saturday Boardings'!DK25/'Service Days per Month'!DK$5</f>
        <v>872.25</v>
      </c>
      <c r="DL25" s="19">
        <f>'Total Saturday Boardings'!DL25/'Service Days per Month'!DL$5</f>
        <v>952</v>
      </c>
      <c r="DM25" s="17">
        <f>'Total Saturday Boardings'!DM25/'Service Days per Month'!DM$5</f>
        <v>588.5</v>
      </c>
      <c r="DN25" s="18">
        <f>'Total Saturday Boardings'!DN25/'Service Days per Month'!DN$5</f>
        <v>627.75</v>
      </c>
      <c r="DO25" s="18">
        <f>'Total Saturday Boardings'!DO25/'Service Days per Month'!DO$5</f>
        <v>632.6</v>
      </c>
      <c r="DP25" s="18">
        <f>'Total Saturday Boardings'!DP25/'Service Days per Month'!DP$5</f>
        <v>394.5</v>
      </c>
      <c r="DQ25" s="18">
        <f>'Total Saturday Boardings'!DQ25/'Service Days per Month'!DQ$5</f>
        <v>488.5</v>
      </c>
      <c r="DR25" s="18">
        <f>'Total Saturday Boardings'!DR25/'Service Days per Month'!DR$5</f>
        <v>416.2</v>
      </c>
      <c r="DS25" s="18">
        <f>'Total Saturday Boardings'!DS25/'Service Days per Month'!DS$5</f>
        <v>518.25</v>
      </c>
      <c r="DT25" s="18">
        <f>'Total Saturday Boardings'!DT25/'Service Days per Month'!DT$5</f>
        <v>509.5</v>
      </c>
      <c r="DU25" s="18">
        <f>'Total Saturday Boardings'!DU25/'Service Days per Month'!DU$5</f>
        <v>713.4</v>
      </c>
      <c r="DV25" s="18">
        <f>'Total Saturday Boardings'!DV25/'Service Days per Month'!DV$5</f>
        <v>990</v>
      </c>
      <c r="DW25" s="18">
        <f>'Total Saturday Boardings'!DW25/'Service Days per Month'!DW$5</f>
        <v>1440.25</v>
      </c>
      <c r="DX25" s="19">
        <f>'Total Saturday Boardings'!DX25/'Service Days per Month'!DX$5</f>
        <v>923.8</v>
      </c>
      <c r="DY25" s="17">
        <f>'Total Saturday Boardings'!DY25/'Service Days per Month'!DY$5</f>
        <v>709</v>
      </c>
      <c r="DZ25" s="18">
        <f>'Total Saturday Boardings'!DZ25/'Service Days per Month'!DZ$5</f>
        <v>1233.8</v>
      </c>
      <c r="EA25" s="18">
        <f>'Total Saturday Boardings'!EA25/'Service Days per Month'!EA$5</f>
        <v>890.5</v>
      </c>
      <c r="EB25" s="18">
        <f>'Total Saturday Boardings'!EB25/'Service Days per Month'!EB$5</f>
        <v>643</v>
      </c>
      <c r="EC25" s="18">
        <f>'Total Saturday Boardings'!EC25/'Service Days per Month'!EC$5</f>
        <v>860.8</v>
      </c>
      <c r="ED25" s="18">
        <f>'Total Saturday Boardings'!ED25/'Service Days per Month'!ED$5</f>
        <v>465.5</v>
      </c>
      <c r="EE25" s="18">
        <f>'Total Saturday Boardings'!EE25/'Service Days per Month'!EE$5</f>
        <v>545</v>
      </c>
      <c r="EF25" s="18">
        <f>'Total Saturday Boardings'!EF25/'Service Days per Month'!EF$5</f>
        <v>751.8</v>
      </c>
      <c r="EG25" s="18">
        <f>'Total Saturday Boardings'!EG25/'Service Days per Month'!EG$5</f>
        <v>222.25</v>
      </c>
      <c r="EH25" s="18">
        <f>'Total Saturday Boardings'!EH25/'Service Days per Month'!EH$5</f>
        <v>118.75</v>
      </c>
      <c r="EI25" s="18">
        <f>'Total Saturday Boardings'!EI25/'Service Days per Month'!EI$5</f>
        <v>129.80000000000001</v>
      </c>
      <c r="EJ25" s="19">
        <f>'Total Saturday Boardings'!EJ25/'Service Days per Month'!EJ$5</f>
        <v>148.5</v>
      </c>
      <c r="EK25" s="17">
        <f>'Total Saturday Boardings'!EK25/'Service Days per Month'!EK$5</f>
        <v>119.5</v>
      </c>
      <c r="EL25" s="18">
        <f>'Total Saturday Boardings'!EL25/'Service Days per Month'!EL$5</f>
        <v>191.6</v>
      </c>
      <c r="EM25" s="18">
        <f>'Total Saturday Boardings'!EM25/'Service Days per Month'!EM$5</f>
        <v>213.25</v>
      </c>
      <c r="EN25" s="18">
        <f>'Total Saturday Boardings'!EN25/'Service Days per Month'!EN$5</f>
        <v>135</v>
      </c>
      <c r="EO25" s="18">
        <f>'Total Saturday Boardings'!EO25/'Service Days per Month'!EO$5</f>
        <v>860.5</v>
      </c>
      <c r="EP25" s="18">
        <f>'Total Saturday Boardings'!EP25/'Service Days per Month'!EP$5</f>
        <v>140.75</v>
      </c>
      <c r="EQ25" s="18">
        <f>'Total Saturday Boardings'!EQ25/'Service Days per Month'!EQ$5</f>
        <v>39.799999999999997</v>
      </c>
      <c r="ER25" s="18">
        <f>'Total Saturday Boardings'!ER25/'Service Days per Month'!ER$5</f>
        <v>59.75</v>
      </c>
      <c r="ES25" s="18">
        <f>'Total Saturday Boardings'!ES25/'Service Days per Month'!ES$5</f>
        <v>119.25</v>
      </c>
      <c r="ET25" s="18">
        <f>'Total Saturday Boardings'!ET25/'Service Days per Month'!ET$5</f>
        <v>339.75</v>
      </c>
      <c r="EU25" s="18">
        <f>'Total Saturday Boardings'!EU25/'Service Days per Month'!EU$5</f>
        <v>373</v>
      </c>
      <c r="EV25" s="19">
        <f>'Total Saturday Boardings'!EV25/'Service Days per Month'!EV$5</f>
        <v>436</v>
      </c>
      <c r="EW25" s="17">
        <f>'Total Saturday Boardings'!EW25/'Service Days per Month'!EW$5</f>
        <v>688.4</v>
      </c>
      <c r="EX25" s="18">
        <f>'Total Saturday Boardings'!EX25/'Service Days per Month'!EX$5</f>
        <v>159.5</v>
      </c>
      <c r="EY25" s="18">
        <f>'Total Saturday Boardings'!EY25/'Service Days per Month'!EY$5</f>
        <v>525.75</v>
      </c>
      <c r="EZ25" s="18">
        <f>'Total Saturday Boardings'!EZ25/'Service Days per Month'!EZ$5</f>
        <v>416.2</v>
      </c>
      <c r="FA25" s="18">
        <f>'Total Saturday Boardings'!FA25/'Service Days per Month'!FA$5</f>
        <v>416</v>
      </c>
      <c r="FB25" s="18">
        <f>'Total Saturday Boardings'!FB25/'Service Days per Month'!FB$5</f>
        <v>420.25</v>
      </c>
      <c r="FC25" s="18">
        <f>'Total Saturday Boardings'!FC25/'Service Days per Month'!FC$5</f>
        <v>393.2</v>
      </c>
      <c r="FD25" s="18">
        <f>'Total Saturday Boardings'!FD25/'Service Days per Month'!FD$5</f>
        <v>500.25</v>
      </c>
      <c r="FE25" s="18">
        <f>'Total Saturday Boardings'!FE25/'Service Days per Month'!FE$5</f>
        <v>439.5</v>
      </c>
      <c r="FF25" s="18">
        <f>'Total Saturday Boardings'!FF25/'Service Days per Month'!FF$5</f>
        <v>763.6</v>
      </c>
      <c r="FG25" s="18">
        <f>'Total Saturday Boardings'!FG25/'Service Days per Month'!FG$5</f>
        <v>323.75</v>
      </c>
      <c r="FH25" s="19">
        <f>'Total Saturday Boardings'!FH25/'Service Days per Month'!FH$5</f>
        <v>0</v>
      </c>
      <c r="FI25" s="17">
        <v>391</v>
      </c>
      <c r="FJ25" s="18">
        <v>495.25</v>
      </c>
      <c r="FK25" s="18">
        <v>648</v>
      </c>
      <c r="FL25" s="18">
        <v>329.8</v>
      </c>
      <c r="FM25" s="18">
        <v>803.2</v>
      </c>
      <c r="FN25" s="18">
        <v>338.8</v>
      </c>
      <c r="FO25" s="18">
        <v>380.8</v>
      </c>
      <c r="FP25" s="18">
        <v>1596.25</v>
      </c>
      <c r="FQ25" s="18">
        <v>859.75</v>
      </c>
      <c r="FR25" s="18">
        <f>'Total Saturday Boardings'!FR25/5</f>
        <v>745.8</v>
      </c>
      <c r="FS25" s="18">
        <f>'Total Saturday Boardings'!FS25/4</f>
        <v>805.75</v>
      </c>
      <c r="FT25" s="19">
        <f>'Total Saturday Boardings'!FT25/4</f>
        <v>959.25</v>
      </c>
      <c r="FU25" s="17">
        <f>'Total Saturday Boardings'!FU25/5</f>
        <v>609.6</v>
      </c>
      <c r="FV25" s="18">
        <f>'Total Saturday Boardings'!FV25/4</f>
        <v>675</v>
      </c>
      <c r="FW25" s="18">
        <f>'Total Saturday Boardings'!FW25/5</f>
        <v>691.6</v>
      </c>
      <c r="FX25" s="18">
        <f>'Total Saturday Boardings'!FX25/4</f>
        <v>985.5</v>
      </c>
      <c r="FY25" s="18">
        <f>'Total Saturday Boardings'!FY25/4</f>
        <v>468.25</v>
      </c>
      <c r="FZ25" s="18">
        <f>'Total Saturday Boardings'!FZ25/5</f>
        <v>421.6</v>
      </c>
      <c r="GA25" s="18">
        <f>'Total Saturday Boardings'!GA25/4</f>
        <v>576.5</v>
      </c>
      <c r="GB25" s="18">
        <f>'Total Saturday Boardings'!GB25/4</f>
        <v>369.5</v>
      </c>
      <c r="GC25" s="18">
        <f>'Total Saturday Boardings'!GC25/5</f>
        <v>782.4</v>
      </c>
      <c r="GD25" s="18">
        <f>'Total Saturday Boardings'!GD25/4</f>
        <v>838</v>
      </c>
      <c r="GE25" s="18">
        <f>'Total Saturday Boardings'!GE25/4</f>
        <v>1318.75</v>
      </c>
      <c r="GF25" s="18">
        <f>'Total Saturday Boardings'!GF25/5</f>
        <v>667</v>
      </c>
      <c r="GG25" s="18">
        <f>'Total Saturday Boardings'!GG25/4</f>
        <v>917.75</v>
      </c>
      <c r="GH25" s="18">
        <f>'Total Saturday Boardings'!GH25/5</f>
        <v>633</v>
      </c>
      <c r="GI25" s="18">
        <f>'Total Saturday Boardings'!GI25/4</f>
        <v>810</v>
      </c>
      <c r="GJ25" s="18">
        <f>'Total Saturday Boardings'!GJ25/4</f>
        <v>477.5</v>
      </c>
      <c r="GK25" s="18">
        <f>'Total Saturday Boardings'!GK25/5</f>
        <v>744.4</v>
      </c>
      <c r="GL25" s="18">
        <f>'Total Saturday Boardings'!GL25/4</f>
        <v>464.75</v>
      </c>
    </row>
    <row r="26" spans="1:194" x14ac:dyDescent="0.3">
      <c r="A26" s="3" t="s">
        <v>39</v>
      </c>
      <c r="B26" s="17"/>
      <c r="C26" s="18">
        <f>'Total Saturday Boardings'!C26/'Service Days per Month'!C$5</f>
        <v>817.8</v>
      </c>
      <c r="D26" s="18">
        <f>'Total Saturday Boardings'!D26/'Service Days per Month'!D$5</f>
        <v>1780.75</v>
      </c>
      <c r="E26" s="18">
        <f>'Total Saturday Boardings'!E26/'Service Days per Month'!E$5</f>
        <v>736.75</v>
      </c>
      <c r="F26" s="18">
        <f>'Total Saturday Boardings'!F26/'Service Days per Month'!F$5</f>
        <v>1516.75</v>
      </c>
      <c r="G26" s="18">
        <f>'Total Saturday Boardings'!G26/'Service Days per Month'!G$5</f>
        <v>975.6</v>
      </c>
      <c r="H26" s="19">
        <f>'Total Saturday Boardings'!H26/'Service Days per Month'!H$5</f>
        <v>1026.75</v>
      </c>
      <c r="I26" s="17">
        <f>'Total Saturday Boardings'!I26/'Service Days per Month'!I$5</f>
        <v>772</v>
      </c>
      <c r="J26" s="18">
        <f>'Total Saturday Boardings'!J26/'Service Days per Month'!J$5</f>
        <v>564</v>
      </c>
      <c r="K26" s="18">
        <f>'Total Saturday Boardings'!K26/'Service Days per Month'!K$5</f>
        <v>1310.5</v>
      </c>
      <c r="L26" s="18">
        <f>'Total Saturday Boardings'!L26/'Service Days per Month'!L$5</f>
        <v>593.20000000000005</v>
      </c>
      <c r="M26" s="18">
        <f>'Total Saturday Boardings'!M26/'Service Days per Month'!M$5</f>
        <v>411.75</v>
      </c>
      <c r="N26" s="18">
        <f>'Total Saturday Boardings'!N26/'Service Days per Month'!N$5</f>
        <v>476.25</v>
      </c>
      <c r="O26" s="62">
        <f>'Total Saturday Boardings'!O26/'Service Days per Month'!O$5</f>
        <v>953.8</v>
      </c>
      <c r="P26" s="62">
        <f>'Total Saturday Boardings'!P26/'Service Days per Month'!P$5</f>
        <v>786.75</v>
      </c>
      <c r="Q26" s="62">
        <f>'Total Saturday Boardings'!Q26/'Service Days per Month'!Q$5</f>
        <v>834.25</v>
      </c>
      <c r="R26" s="62">
        <f>'Total Saturday Boardings'!R26/'Service Days per Month'!R$5</f>
        <v>1237.5</v>
      </c>
      <c r="S26" s="62">
        <f>'Total Saturday Boardings'!S26/'Service Days per Month'!S$5</f>
        <v>885</v>
      </c>
      <c r="T26" s="63">
        <f>'Total Saturday Boardings'!T26/'Service Days per Month'!T$5</f>
        <v>1085.5</v>
      </c>
      <c r="U26" s="64">
        <f>'Total Saturday Boardings'!U26/'Service Days per Month'!U$5</f>
        <v>1008.8</v>
      </c>
      <c r="V26" s="62">
        <f>'Total Saturday Boardings'!V26/'Service Days per Month'!V$5</f>
        <v>1134.5</v>
      </c>
      <c r="W26" s="62">
        <f>'Total Saturday Boardings'!W26/'Service Days per Month'!W$5</f>
        <v>774.25</v>
      </c>
      <c r="X26" s="62">
        <f>'Total Saturday Boardings'!X26/'Service Days per Month'!X$5</f>
        <v>457.4</v>
      </c>
      <c r="Y26" s="62">
        <f>'Total Saturday Boardings'!Y26/'Service Days per Month'!Y$5</f>
        <v>653.25</v>
      </c>
      <c r="Z26" s="62">
        <f>'Total Saturday Boardings'!Z26/'Service Days per Month'!Z$5</f>
        <v>439.66666666666669</v>
      </c>
      <c r="AA26" s="18">
        <f>'Total Saturday Boardings'!AA26/'Service Days per Month'!AA$5</f>
        <v>858.6</v>
      </c>
      <c r="AB26" s="18">
        <f>'Total Saturday Boardings'!AB26/'Service Days per Month'!AB$5</f>
        <v>607.25</v>
      </c>
      <c r="AC26" s="18">
        <f>'Total Saturday Boardings'!AC26/'Service Days per Month'!AC$5</f>
        <v>599.25</v>
      </c>
      <c r="AD26" s="18">
        <f>'Total Saturday Boardings'!AD26/'Service Days per Month'!AD$5</f>
        <v>938.2</v>
      </c>
      <c r="AE26" s="18">
        <f>'Total Saturday Boardings'!AE26/'Service Days per Month'!AE$5</f>
        <v>913.75</v>
      </c>
      <c r="AF26" s="19">
        <f>'Total Saturday Boardings'!AF26/'Service Days per Month'!AF$5</f>
        <v>948.75</v>
      </c>
      <c r="AG26" s="17">
        <f>'Total Saturday Boardings'!AG26/'Service Days per Month'!AG$5</f>
        <v>866.2</v>
      </c>
      <c r="AH26" s="18">
        <f>'Total Saturday Boardings'!AH26/'Service Days per Month'!AH$5</f>
        <v>1022</v>
      </c>
      <c r="AI26" s="18">
        <f>'Total Saturday Boardings'!AI26/'Service Days per Month'!AI$5</f>
        <v>1339.5</v>
      </c>
      <c r="AJ26" s="18">
        <f>'Total Saturday Boardings'!AJ26/'Service Days per Month'!AJ$5</f>
        <v>661.6</v>
      </c>
      <c r="AK26" s="18">
        <f>'Total Saturday Boardings'!AK26/'Service Days per Month'!AK$5</f>
        <v>367.75</v>
      </c>
      <c r="AL26" s="18">
        <f>'Total Saturday Boardings'!AL26/'Service Days per Month'!AL$5</f>
        <v>487.75</v>
      </c>
      <c r="AM26" s="18">
        <f>'Total Saturday Boardings'!AM26/'Service Days per Month'!AM$5</f>
        <v>1024.5</v>
      </c>
      <c r="AN26" s="18">
        <f>'Total Saturday Boardings'!AN26/'Service Days per Month'!AN$5</f>
        <v>805</v>
      </c>
      <c r="AO26" s="18">
        <f>'Total Saturday Boardings'!AO26/'Service Days per Month'!AO$5</f>
        <v>721.8</v>
      </c>
      <c r="AP26" s="18">
        <f>'Total Saturday Boardings'!AP26/'Service Days per Month'!AP$5</f>
        <v>1280.25</v>
      </c>
      <c r="AQ26" s="18">
        <f>'Total Saturday Boardings'!AQ26/'Service Days per Month'!AQ$5</f>
        <v>1218.75</v>
      </c>
      <c r="AR26" s="19">
        <f>'Total Saturday Boardings'!AR26/'Service Days per Month'!AR$5</f>
        <v>940</v>
      </c>
      <c r="AS26" s="17">
        <f>'Total Saturday Boardings'!AS26/'Service Days per Month'!AS$5</f>
        <v>1035</v>
      </c>
      <c r="AT26" s="18">
        <f>'Total Saturday Boardings'!AT26/'Service Days per Month'!AT$5</f>
        <v>739.5</v>
      </c>
      <c r="AU26" s="18">
        <f>'Total Saturday Boardings'!AU26/'Service Days per Month'!AU$5</f>
        <v>608.4</v>
      </c>
      <c r="AV26" s="18">
        <f>'Total Saturday Boardings'!AV26/'Service Days per Month'!AV$5</f>
        <v>586</v>
      </c>
      <c r="AW26" s="18">
        <f>'Total Saturday Boardings'!AW26/'Service Days per Month'!AW$5</f>
        <v>450.75</v>
      </c>
      <c r="AX26" s="18">
        <f>'Total Saturday Boardings'!AX26/'Service Days per Month'!AX$5</f>
        <v>369</v>
      </c>
      <c r="AY26" s="18">
        <f>'Total Saturday Boardings'!AY26/'Service Days per Month'!AY$5</f>
        <v>770</v>
      </c>
      <c r="AZ26" s="18">
        <f>'Total Saturday Boardings'!AZ26/'Service Days per Month'!AZ$5</f>
        <v>619.5</v>
      </c>
      <c r="BA26" s="18">
        <f>'Total Saturday Boardings'!BA26/'Service Days per Month'!BA$5</f>
        <v>696.8</v>
      </c>
      <c r="BB26" s="18">
        <f>'Total Saturday Boardings'!BB26/'Service Days per Month'!BB$5</f>
        <v>1169</v>
      </c>
      <c r="BC26" s="18">
        <f>'Total Saturday Boardings'!BC26/'Service Days per Month'!BC$5</f>
        <v>1105.5</v>
      </c>
      <c r="BD26" s="19">
        <f>'Total Saturday Boardings'!BD26/'Service Days per Month'!BD$5</f>
        <v>636.6</v>
      </c>
      <c r="BE26" s="17">
        <f>'Total Saturday Boardings'!BE26/'Service Days per Month'!BE$5</f>
        <v>836.75</v>
      </c>
      <c r="BF26" s="18">
        <f>'Total Saturday Boardings'!BF26/'Service Days per Month'!BF$5</f>
        <v>667.2</v>
      </c>
      <c r="BG26" s="18">
        <f>'Total Saturday Boardings'!BG26/'Service Days per Month'!BG$5</f>
        <v>680</v>
      </c>
      <c r="BH26" s="18">
        <f>'Total Saturday Boardings'!BH26/'Service Days per Month'!BH$5</f>
        <v>430.25</v>
      </c>
      <c r="BI26" s="18">
        <f>'Total Saturday Boardings'!BI26/'Service Days per Month'!BI$5</f>
        <v>423.2013021879294</v>
      </c>
      <c r="BJ26" s="18">
        <f>'Total Saturday Boardings'!BJ26/'Service Days per Month'!BJ$5</f>
        <v>422.25</v>
      </c>
      <c r="BK26" s="18">
        <f>'Total Saturday Boardings'!BK26/'Service Days per Month'!BK$5</f>
        <v>959</v>
      </c>
      <c r="BL26" s="18">
        <f>'Total Saturday Boardings'!BL26/'Service Days per Month'!BL$5</f>
        <v>811.5</v>
      </c>
      <c r="BM26" s="18">
        <f>'Total Saturday Boardings'!BM26/'Service Days per Month'!BM$5</f>
        <v>467.8</v>
      </c>
      <c r="BN26" s="18">
        <f>'Total Saturday Boardings'!BN26/'Service Days per Month'!BN$5</f>
        <v>1118.5</v>
      </c>
      <c r="BO26" s="18">
        <f>'Total Saturday Boardings'!BO26/'Service Days per Month'!BO$5</f>
        <v>674.6</v>
      </c>
      <c r="BP26" s="19">
        <f>'Total Saturday Boardings'!BP26/'Service Days per Month'!BP$5</f>
        <v>1437.5</v>
      </c>
      <c r="BQ26" s="17">
        <f>'Total Saturday Boardings'!BQ26/'Service Days per Month'!BQ$5</f>
        <v>511.75</v>
      </c>
      <c r="BR26" s="18">
        <f>'Total Saturday Boardings'!BR26/'Service Days per Month'!BR$5</f>
        <v>800.4</v>
      </c>
      <c r="BS26" s="18">
        <f>'Total Saturday Boardings'!BS26/'Service Days per Month'!BS$5</f>
        <v>520.5</v>
      </c>
      <c r="BT26" s="18">
        <f>'Total Saturday Boardings'!BT26/'Service Days per Month'!BT$5</f>
        <v>567.5</v>
      </c>
      <c r="BU26" s="18">
        <f>'Total Saturday Boardings'!BU26/'Service Days per Month'!BU$5</f>
        <v>363.2</v>
      </c>
      <c r="BV26" s="18">
        <f>'Total Saturday Boardings'!BV26/'Service Days per Month'!BV$5</f>
        <v>388.25</v>
      </c>
      <c r="BW26" s="18">
        <f>'Total Saturday Boardings'!BW26/'Service Days per Month'!BW$5</f>
        <v>1194.4000000000001</v>
      </c>
      <c r="BX26" s="18">
        <f>'Total Saturday Boardings'!BX26/'Service Days per Month'!BX$5</f>
        <v>692.25</v>
      </c>
      <c r="BY26" s="18">
        <f>'Total Saturday Boardings'!BY26/'Service Days per Month'!BY$5</f>
        <v>491.75</v>
      </c>
      <c r="BZ26" s="18">
        <f>'Total Saturday Boardings'!BZ26/'Service Days per Month'!BZ$5</f>
        <v>1119.5</v>
      </c>
      <c r="CA26" s="18">
        <f>'Total Saturday Boardings'!CA26/'Service Days per Month'!CA$5</f>
        <v>1409.2</v>
      </c>
      <c r="CB26" s="19">
        <f>'Total Saturday Boardings'!CB26/'Service Days per Month'!CB$5</f>
        <v>795</v>
      </c>
      <c r="CC26" s="20">
        <f>'Total Saturday Boardings'!CC26/'Service Days per Month'!CC$5</f>
        <v>1231.25</v>
      </c>
      <c r="CD26" s="18">
        <f>'Total Saturday Boardings'!CD26/'Service Days per Month'!CD$5</f>
        <v>666.4</v>
      </c>
      <c r="CE26" s="18">
        <f>'Total Saturday Boardings'!CE26/'Service Days per Month'!CE$5</f>
        <v>527.25</v>
      </c>
      <c r="CF26" s="18">
        <f>'Total Saturday Boardings'!CF26/'Service Days per Month'!CF$5</f>
        <v>1013.4</v>
      </c>
      <c r="CG26" s="18">
        <f>'Total Saturday Boardings'!CG26/'Service Days per Month'!CG$5</f>
        <v>456</v>
      </c>
      <c r="CH26" s="18">
        <f>'Total Saturday Boardings'!CH26/'Service Days per Month'!CH$5</f>
        <v>408.75</v>
      </c>
      <c r="CI26" s="18">
        <f>'Total Saturday Boardings'!CI26/'Service Days per Month'!CI$5</f>
        <v>654.4</v>
      </c>
      <c r="CJ26" s="18">
        <f>'Total Saturday Boardings'!CJ26/'Service Days per Month'!CJ$5</f>
        <v>655.25</v>
      </c>
      <c r="CK26" s="18">
        <f>'Total Saturday Boardings'!CK26/'Service Days per Month'!CK$5</f>
        <v>507</v>
      </c>
      <c r="CL26" s="18">
        <f>'Total Saturday Boardings'!CL26/'Service Days per Month'!CL$5</f>
        <v>1232.8</v>
      </c>
      <c r="CM26" s="18">
        <f>'Total Saturday Boardings'!CM26/'Service Days per Month'!CM$5</f>
        <v>988</v>
      </c>
      <c r="CN26" s="21">
        <f>'Total Saturday Boardings'!CN26/'Service Days per Month'!CN$5</f>
        <v>1300.75</v>
      </c>
      <c r="CO26" s="17">
        <f>'Total Saturday Boardings'!CO26/'Service Days per Month'!CO$5</f>
        <v>606.79999999999995</v>
      </c>
      <c r="CP26" s="18">
        <f>'Total Saturday Boardings'!CP26/'Service Days per Month'!CP$5</f>
        <v>722.25</v>
      </c>
      <c r="CQ26" s="18">
        <f>'Total Saturday Boardings'!CQ26/'Service Days per Month'!CQ$5</f>
        <v>666</v>
      </c>
      <c r="CR26" s="18">
        <f>'Total Saturday Boardings'!CR26/'Service Days per Month'!CR$5</f>
        <v>686.6</v>
      </c>
      <c r="CS26" s="18">
        <f>'Total Saturday Boardings'!CS26/'Service Days per Month'!CS$5</f>
        <v>437</v>
      </c>
      <c r="CT26" s="18">
        <f>'Total Saturday Boardings'!CT26/'Service Days per Month'!CT$5</f>
        <v>284.5</v>
      </c>
      <c r="CU26" s="18">
        <f>'Total Saturday Boardings'!CU26/'Service Days per Month'!CU$5</f>
        <v>469</v>
      </c>
      <c r="CV26" s="18">
        <f>'Total Saturday Boardings'!CV26/'Service Days per Month'!CV$5</f>
        <v>562.75</v>
      </c>
      <c r="CW26" s="18">
        <f>'Total Saturday Boardings'!CW26/'Service Days per Month'!CW$5</f>
        <v>490.25</v>
      </c>
      <c r="CX26" s="18">
        <f>'Total Saturday Boardings'!CX26/'Service Days per Month'!CX$5</f>
        <v>1364.8</v>
      </c>
      <c r="CY26" s="18">
        <f>'Total Saturday Boardings'!CY26/'Service Days per Month'!CY$5</f>
        <v>1350</v>
      </c>
      <c r="CZ26" s="19">
        <f>'Total Saturday Boardings'!CZ26/'Service Days per Month'!CZ$5</f>
        <v>792.75</v>
      </c>
      <c r="DA26" s="17">
        <f>'Total Saturday Boardings'!DA26/'Service Days per Month'!DA$5</f>
        <v>734.2</v>
      </c>
      <c r="DB26" s="18">
        <f>'Total Saturday Boardings'!DB26/'Service Days per Month'!DB$5</f>
        <v>719</v>
      </c>
      <c r="DC26" s="18">
        <f>'Total Saturday Boardings'!DC26/'Service Days per Month'!DC$5</f>
        <v>606.6</v>
      </c>
      <c r="DD26" s="18">
        <f>'Total Saturday Boardings'!DD26/'Service Days per Month'!DD$5</f>
        <v>453.75</v>
      </c>
      <c r="DE26" s="18">
        <f>'Total Saturday Boardings'!DE26/'Service Days per Month'!DE$5</f>
        <v>573.25</v>
      </c>
      <c r="DF26" s="18">
        <f>'Total Saturday Boardings'!DF26/'Service Days per Month'!DF$5</f>
        <v>386.8</v>
      </c>
      <c r="DG26" s="18">
        <f>'Total Saturday Boardings'!DG26/'Service Days per Month'!DG$5</f>
        <v>672</v>
      </c>
      <c r="DH26" s="18">
        <f>'Total Saturday Boardings'!DH26/'Service Days per Month'!DH$5</f>
        <v>855.75</v>
      </c>
      <c r="DI26" s="18">
        <f>'Total Saturday Boardings'!DI26/'Service Days per Month'!DI$5</f>
        <v>1021</v>
      </c>
      <c r="DJ26" s="18">
        <f>'Total Saturday Boardings'!DJ26/'Service Days per Month'!DJ$5</f>
        <v>1061.5</v>
      </c>
      <c r="DK26" s="18">
        <f>'Total Saturday Boardings'!DK26/'Service Days per Month'!DK$5</f>
        <v>1422.75</v>
      </c>
      <c r="DL26" s="19">
        <f>'Total Saturday Boardings'!DL26/'Service Days per Month'!DL$5</f>
        <v>1326.2</v>
      </c>
      <c r="DM26" s="17">
        <f>'Total Saturday Boardings'!DM26/'Service Days per Month'!DM$5</f>
        <v>868</v>
      </c>
      <c r="DN26" s="18">
        <f>'Total Saturday Boardings'!DN26/'Service Days per Month'!DN$5</f>
        <v>842.25</v>
      </c>
      <c r="DO26" s="18">
        <f>'Total Saturday Boardings'!DO26/'Service Days per Month'!DO$5</f>
        <v>867.6</v>
      </c>
      <c r="DP26" s="18">
        <f>'Total Saturday Boardings'!DP26/'Service Days per Month'!DP$5</f>
        <v>547.5</v>
      </c>
      <c r="DQ26" s="18">
        <f>'Total Saturday Boardings'!DQ26/'Service Days per Month'!DQ$5</f>
        <v>615.25</v>
      </c>
      <c r="DR26" s="18">
        <f>'Total Saturday Boardings'!DR26/'Service Days per Month'!DR$5</f>
        <v>528.4</v>
      </c>
      <c r="DS26" s="18">
        <f>'Total Saturday Boardings'!DS26/'Service Days per Month'!DS$5</f>
        <v>831.25</v>
      </c>
      <c r="DT26" s="18">
        <f>'Total Saturday Boardings'!DT26/'Service Days per Month'!DT$5</f>
        <v>689.5</v>
      </c>
      <c r="DU26" s="18">
        <f>'Total Saturday Boardings'!DU26/'Service Days per Month'!DU$5</f>
        <v>935.6</v>
      </c>
      <c r="DV26" s="18">
        <f>'Total Saturday Boardings'!DV26/'Service Days per Month'!DV$5</f>
        <v>1540</v>
      </c>
      <c r="DW26" s="18">
        <f>'Total Saturday Boardings'!DW26/'Service Days per Month'!DW$5</f>
        <v>994.75</v>
      </c>
      <c r="DX26" s="19">
        <f>'Total Saturday Boardings'!DX26/'Service Days per Month'!DX$5</f>
        <v>648.4</v>
      </c>
      <c r="DY26" s="17">
        <f>'Total Saturday Boardings'!DY26/'Service Days per Month'!DY$5</f>
        <v>521</v>
      </c>
      <c r="DZ26" s="18">
        <f>'Total Saturday Boardings'!DZ26/'Service Days per Month'!DZ$5</f>
        <v>965.2</v>
      </c>
      <c r="EA26" s="18">
        <f>'Total Saturday Boardings'!EA26/'Service Days per Month'!EA$5</f>
        <v>642.75</v>
      </c>
      <c r="EB26" s="18">
        <f>'Total Saturday Boardings'!EB26/'Service Days per Month'!EB$5</f>
        <v>396</v>
      </c>
      <c r="EC26" s="18">
        <f>'Total Saturday Boardings'!EC26/'Service Days per Month'!EC$5</f>
        <v>545</v>
      </c>
      <c r="ED26" s="18">
        <f>'Total Saturday Boardings'!ED26/'Service Days per Month'!ED$5</f>
        <v>368.75</v>
      </c>
      <c r="EE26" s="18">
        <f>'Total Saturday Boardings'!EE26/'Service Days per Month'!EE$5</f>
        <v>420</v>
      </c>
      <c r="EF26" s="18">
        <f>'Total Saturday Boardings'!EF26/'Service Days per Month'!EF$5</f>
        <v>580</v>
      </c>
      <c r="EG26" s="18">
        <f>'Total Saturday Boardings'!EG26/'Service Days per Month'!EG$5</f>
        <v>311</v>
      </c>
      <c r="EH26" s="18">
        <f>'Total Saturday Boardings'!EH26/'Service Days per Month'!EH$5</f>
        <v>165</v>
      </c>
      <c r="EI26" s="18">
        <f>'Total Saturday Boardings'!EI26/'Service Days per Month'!EI$5</f>
        <v>179</v>
      </c>
      <c r="EJ26" s="19">
        <f>'Total Saturday Boardings'!EJ26/'Service Days per Month'!EJ$5</f>
        <v>136.25</v>
      </c>
      <c r="EK26" s="17">
        <f>'Total Saturday Boardings'!EK26/'Service Days per Month'!EK$5</f>
        <v>115.75</v>
      </c>
      <c r="EL26" s="18">
        <f>'Total Saturday Boardings'!EL26/'Service Days per Month'!EL$5</f>
        <v>203.4</v>
      </c>
      <c r="EM26" s="18">
        <f>'Total Saturday Boardings'!EM26/'Service Days per Month'!EM$5</f>
        <v>185</v>
      </c>
      <c r="EN26" s="18">
        <f>'Total Saturday Boardings'!EN26/'Service Days per Month'!EN$5</f>
        <v>180.6</v>
      </c>
      <c r="EO26" s="18">
        <f>'Total Saturday Boardings'!EO26/'Service Days per Month'!EO$5</f>
        <v>489.75</v>
      </c>
      <c r="EP26" s="18">
        <f>'Total Saturday Boardings'!EP26/'Service Days per Month'!EP$5</f>
        <v>100.75</v>
      </c>
      <c r="EQ26" s="18">
        <f>'Total Saturday Boardings'!EQ26/'Service Days per Month'!EQ$5</f>
        <v>69.2</v>
      </c>
      <c r="ER26" s="18">
        <f>'Total Saturday Boardings'!ER26/'Service Days per Month'!ER$5</f>
        <v>202</v>
      </c>
      <c r="ES26" s="18">
        <f>'Total Saturday Boardings'!ES26/'Service Days per Month'!ES$5</f>
        <v>222.75</v>
      </c>
      <c r="ET26" s="18">
        <f>'Total Saturday Boardings'!ET26/'Service Days per Month'!ET$5</f>
        <v>259</v>
      </c>
      <c r="EU26" s="18">
        <f>'Total Saturday Boardings'!EU26/'Service Days per Month'!EU$5</f>
        <v>234.8</v>
      </c>
      <c r="EV26" s="19">
        <f>'Total Saturday Boardings'!EV26/'Service Days per Month'!EV$5</f>
        <v>296.25</v>
      </c>
      <c r="EW26" s="17">
        <f>'Total Saturday Boardings'!EW26/'Service Days per Month'!EW$5</f>
        <v>391.8</v>
      </c>
      <c r="EX26" s="18">
        <f>'Total Saturday Boardings'!EX26/'Service Days per Month'!EX$5</f>
        <v>129.5</v>
      </c>
      <c r="EY26" s="18">
        <f>'Total Saturday Boardings'!EY26/'Service Days per Month'!EY$5</f>
        <v>371.25</v>
      </c>
      <c r="EZ26" s="18">
        <f>'Total Saturday Boardings'!EZ26/'Service Days per Month'!EZ$5</f>
        <v>274.60000000000002</v>
      </c>
      <c r="FA26" s="18">
        <f>'Total Saturday Boardings'!FA26/'Service Days per Month'!FA$5</f>
        <v>268</v>
      </c>
      <c r="FB26" s="18">
        <f>'Total Saturday Boardings'!FB26/'Service Days per Month'!FB$5</f>
        <v>262.25</v>
      </c>
      <c r="FC26" s="18">
        <f>'Total Saturday Boardings'!FC26/'Service Days per Month'!FC$5</f>
        <v>267.60000000000002</v>
      </c>
      <c r="FD26" s="18">
        <f>'Total Saturday Boardings'!FD26/'Service Days per Month'!FD$5</f>
        <v>322</v>
      </c>
      <c r="FE26" s="18">
        <f>'Total Saturday Boardings'!FE26/'Service Days per Month'!FE$5</f>
        <v>286.75</v>
      </c>
      <c r="FF26" s="18">
        <f>'Total Saturday Boardings'!FF26/'Service Days per Month'!FF$5</f>
        <v>196.6</v>
      </c>
      <c r="FG26" s="18">
        <f>'Total Saturday Boardings'!FG26/'Service Days per Month'!FG$5</f>
        <v>1317.75</v>
      </c>
      <c r="FH26" s="19">
        <f>'Total Saturday Boardings'!FH26/'Service Days per Month'!FH$5</f>
        <v>659.75</v>
      </c>
      <c r="FI26" s="17">
        <v>266</v>
      </c>
      <c r="FJ26" s="18">
        <v>278</v>
      </c>
      <c r="FK26" s="18">
        <v>430.25</v>
      </c>
      <c r="FL26" s="18">
        <v>249.4</v>
      </c>
      <c r="FM26" s="18">
        <v>550</v>
      </c>
      <c r="FN26" s="18">
        <v>226.8</v>
      </c>
      <c r="FO26" s="18">
        <v>229.4</v>
      </c>
      <c r="FP26" s="18">
        <v>1042.5</v>
      </c>
      <c r="FQ26" s="18">
        <v>499.5</v>
      </c>
      <c r="FR26" s="18">
        <f>'Total Saturday Boardings'!FR26/5</f>
        <v>465.2</v>
      </c>
      <c r="FS26" s="18">
        <f>'Total Saturday Boardings'!FS26/4</f>
        <v>487.5</v>
      </c>
      <c r="FT26" s="19">
        <f>'Total Saturday Boardings'!FT26/4</f>
        <v>698.5</v>
      </c>
      <c r="FU26" s="17">
        <f>'Total Saturday Boardings'!FU26/5</f>
        <v>397.2</v>
      </c>
      <c r="FV26" s="18">
        <f>'Total Saturday Boardings'!FV26/4</f>
        <v>473.5</v>
      </c>
      <c r="FW26" s="18">
        <f>'Total Saturday Boardings'!FW26/5</f>
        <v>471</v>
      </c>
      <c r="FX26" s="18">
        <f>'Total Saturday Boardings'!FX26/4</f>
        <v>552.75</v>
      </c>
      <c r="FY26" s="18">
        <f>'Total Saturday Boardings'!FY26/4</f>
        <v>298.75</v>
      </c>
      <c r="FZ26" s="18">
        <f>'Total Saturday Boardings'!FZ26/5</f>
        <v>455</v>
      </c>
      <c r="GA26" s="18">
        <f>'Total Saturday Boardings'!GA26/4</f>
        <v>412</v>
      </c>
      <c r="GB26" s="18">
        <f>'Total Saturday Boardings'!GB26/4</f>
        <v>539</v>
      </c>
      <c r="GC26" s="18">
        <f>'Total Saturday Boardings'!GC26/5</f>
        <v>558.79999999999995</v>
      </c>
      <c r="GD26" s="18">
        <f>'Total Saturday Boardings'!GD26/4</f>
        <v>578.5</v>
      </c>
      <c r="GE26" s="18">
        <f>'Total Saturday Boardings'!GE26/4</f>
        <v>849.75</v>
      </c>
      <c r="GF26" s="18">
        <f>'Total Saturday Boardings'!GF26/5</f>
        <v>434.8</v>
      </c>
      <c r="GG26" s="18">
        <f>'Total Saturday Boardings'!GG26/4</f>
        <v>678.75</v>
      </c>
      <c r="GH26" s="18">
        <f>'Total Saturday Boardings'!GH26/5</f>
        <v>493.6</v>
      </c>
      <c r="GI26" s="18">
        <f>'Total Saturday Boardings'!GI26/4</f>
        <v>573.5</v>
      </c>
      <c r="GJ26" s="18">
        <f>'Total Saturday Boardings'!GJ26/4</f>
        <v>314.75</v>
      </c>
      <c r="GK26" s="18">
        <f>'Total Saturday Boardings'!GK26/5</f>
        <v>477.6</v>
      </c>
      <c r="GL26" s="18">
        <f>'Total Saturday Boardings'!GL26/4</f>
        <v>292.75</v>
      </c>
    </row>
    <row r="27" spans="1:194" x14ac:dyDescent="0.3">
      <c r="A27" s="3" t="s">
        <v>40</v>
      </c>
      <c r="B27" s="17"/>
      <c r="C27" s="18">
        <f>'Total Saturday Boardings'!C27/'Service Days per Month'!C$5</f>
        <v>121.6</v>
      </c>
      <c r="D27" s="18">
        <f>'Total Saturday Boardings'!D27/'Service Days per Month'!D$5</f>
        <v>246.75</v>
      </c>
      <c r="E27" s="18">
        <f>'Total Saturday Boardings'!E27/'Service Days per Month'!E$5</f>
        <v>151</v>
      </c>
      <c r="F27" s="18">
        <f>'Total Saturday Boardings'!F27/'Service Days per Month'!F$5</f>
        <v>197.75</v>
      </c>
      <c r="G27" s="18">
        <f>'Total Saturday Boardings'!G27/'Service Days per Month'!G$5</f>
        <v>130.19999999999999</v>
      </c>
      <c r="H27" s="19">
        <f>'Total Saturday Boardings'!H27/'Service Days per Month'!H$5</f>
        <v>148.75</v>
      </c>
      <c r="I27" s="17">
        <f>'Total Saturday Boardings'!I27/'Service Days per Month'!I$5</f>
        <v>173</v>
      </c>
      <c r="J27" s="18">
        <f>'Total Saturday Boardings'!J27/'Service Days per Month'!J$5</f>
        <v>125.4</v>
      </c>
      <c r="K27" s="18">
        <f>'Total Saturday Boardings'!K27/'Service Days per Month'!K$5</f>
        <v>162</v>
      </c>
      <c r="L27" s="18">
        <f>'Total Saturday Boardings'!L27/'Service Days per Month'!L$5</f>
        <v>126.8</v>
      </c>
      <c r="M27" s="18">
        <f>'Total Saturday Boardings'!M27/'Service Days per Month'!M$5</f>
        <v>194.75</v>
      </c>
      <c r="N27" s="18">
        <f>'Total Saturday Boardings'!N27/'Service Days per Month'!N$5</f>
        <v>239.75</v>
      </c>
      <c r="O27" s="62">
        <f>'Total Saturday Boardings'!O27/'Service Days per Month'!O$5</f>
        <v>164.4</v>
      </c>
      <c r="P27" s="62">
        <f>'Total Saturday Boardings'!P27/'Service Days per Month'!P$5</f>
        <v>228.75</v>
      </c>
      <c r="Q27" s="62">
        <f>'Total Saturday Boardings'!Q27/'Service Days per Month'!Q$5</f>
        <v>245.25</v>
      </c>
      <c r="R27" s="62">
        <f>'Total Saturday Boardings'!R27/'Service Days per Month'!R$5</f>
        <v>228.5</v>
      </c>
      <c r="S27" s="62">
        <f>'Total Saturday Boardings'!S27/'Service Days per Month'!S$5</f>
        <v>161</v>
      </c>
      <c r="T27" s="63">
        <f>'Total Saturday Boardings'!T27/'Service Days per Month'!T$5</f>
        <v>180</v>
      </c>
      <c r="U27" s="64">
        <f>'Total Saturday Boardings'!U27/'Service Days per Month'!U$5</f>
        <v>182.4</v>
      </c>
      <c r="V27" s="62">
        <f>'Total Saturday Boardings'!V27/'Service Days per Month'!V$5</f>
        <v>172.5</v>
      </c>
      <c r="W27" s="62">
        <f>'Total Saturday Boardings'!W27/'Service Days per Month'!W$5</f>
        <v>199.5</v>
      </c>
      <c r="X27" s="62">
        <f>'Total Saturday Boardings'!X27/'Service Days per Month'!X$5</f>
        <v>154.19999999999999</v>
      </c>
      <c r="Y27" s="62">
        <f>'Total Saturday Boardings'!Y27/'Service Days per Month'!Y$5</f>
        <v>219.5</v>
      </c>
      <c r="Z27" s="62">
        <f>'Total Saturday Boardings'!Z27/'Service Days per Month'!Z$5</f>
        <v>227.33333333333334</v>
      </c>
      <c r="AA27" s="18">
        <f>'Total Saturday Boardings'!AA27/'Service Days per Month'!AA$5</f>
        <v>178.6</v>
      </c>
      <c r="AB27" s="18">
        <f>'Total Saturday Boardings'!AB27/'Service Days per Month'!AB$5</f>
        <v>213.25</v>
      </c>
      <c r="AC27" s="18">
        <f>'Total Saturday Boardings'!AC27/'Service Days per Month'!AC$5</f>
        <v>229.25</v>
      </c>
      <c r="AD27" s="18">
        <f>'Total Saturday Boardings'!AD27/'Service Days per Month'!AD$5</f>
        <v>217.6</v>
      </c>
      <c r="AE27" s="18">
        <f>'Total Saturday Boardings'!AE27/'Service Days per Month'!AE$5</f>
        <v>211.5</v>
      </c>
      <c r="AF27" s="19">
        <f>'Total Saturday Boardings'!AF27/'Service Days per Month'!AF$5</f>
        <v>193.25</v>
      </c>
      <c r="AG27" s="17">
        <f>'Total Saturday Boardings'!AG27/'Service Days per Month'!AG$5</f>
        <v>210.6</v>
      </c>
      <c r="AH27" s="18">
        <f>'Total Saturday Boardings'!AH27/'Service Days per Month'!AH$5</f>
        <v>223.25</v>
      </c>
      <c r="AI27" s="18">
        <f>'Total Saturday Boardings'!AI27/'Service Days per Month'!AI$5</f>
        <v>225.5</v>
      </c>
      <c r="AJ27" s="18">
        <f>'Total Saturday Boardings'!AJ27/'Service Days per Month'!AJ$5</f>
        <v>252.8</v>
      </c>
      <c r="AK27" s="18">
        <f>'Total Saturday Boardings'!AK27/'Service Days per Month'!AK$5</f>
        <v>246.5</v>
      </c>
      <c r="AL27" s="18">
        <f>'Total Saturday Boardings'!AL27/'Service Days per Month'!AL$5</f>
        <v>297</v>
      </c>
      <c r="AM27" s="18">
        <f>'Total Saturday Boardings'!AM27/'Service Days per Month'!AM$5</f>
        <v>262.75</v>
      </c>
      <c r="AN27" s="18">
        <f>'Total Saturday Boardings'!AN27/'Service Days per Month'!AN$5</f>
        <v>260.75</v>
      </c>
      <c r="AO27" s="18">
        <f>'Total Saturday Boardings'!AO27/'Service Days per Month'!AO$5</f>
        <v>235.8</v>
      </c>
      <c r="AP27" s="18">
        <f>'Total Saturday Boardings'!AP27/'Service Days per Month'!AP$5</f>
        <v>278.75</v>
      </c>
      <c r="AQ27" s="18">
        <f>'Total Saturday Boardings'!AQ27/'Service Days per Month'!AQ$5</f>
        <v>254.5</v>
      </c>
      <c r="AR27" s="19">
        <f>'Total Saturday Boardings'!AR27/'Service Days per Month'!AR$5</f>
        <v>235.4</v>
      </c>
      <c r="AS27" s="17">
        <f>'Total Saturday Boardings'!AS27/'Service Days per Month'!AS$5</f>
        <v>235.5</v>
      </c>
      <c r="AT27" s="18">
        <f>'Total Saturday Boardings'!AT27/'Service Days per Month'!AT$5</f>
        <v>255.75</v>
      </c>
      <c r="AU27" s="18">
        <f>'Total Saturday Boardings'!AU27/'Service Days per Month'!AU$5</f>
        <v>245</v>
      </c>
      <c r="AV27" s="18">
        <f>'Total Saturday Boardings'!AV27/'Service Days per Month'!AV$5</f>
        <v>292.75</v>
      </c>
      <c r="AW27" s="18">
        <f>'Total Saturday Boardings'!AW27/'Service Days per Month'!AW$5</f>
        <v>270.5</v>
      </c>
      <c r="AX27" s="18">
        <f>'Total Saturday Boardings'!AX27/'Service Days per Month'!AX$5</f>
        <v>271.39999999999998</v>
      </c>
      <c r="AY27" s="18">
        <f>'Total Saturday Boardings'!AY27/'Service Days per Month'!AY$5</f>
        <v>228.5</v>
      </c>
      <c r="AZ27" s="18">
        <f>'Total Saturday Boardings'!AZ27/'Service Days per Month'!AZ$5</f>
        <v>289.25</v>
      </c>
      <c r="BA27" s="18">
        <f>'Total Saturday Boardings'!BA27/'Service Days per Month'!BA$5</f>
        <v>273.8</v>
      </c>
      <c r="BB27" s="18">
        <f>'Total Saturday Boardings'!BB27/'Service Days per Month'!BB$5</f>
        <v>310.75</v>
      </c>
      <c r="BC27" s="18">
        <f>'Total Saturday Boardings'!BC27/'Service Days per Month'!BC$5</f>
        <v>262</v>
      </c>
      <c r="BD27" s="19">
        <f>'Total Saturday Boardings'!BD27/'Service Days per Month'!BD$5</f>
        <v>217.8</v>
      </c>
      <c r="BE27" s="17">
        <f>'Total Saturday Boardings'!BE27/'Service Days per Month'!BE$5</f>
        <v>225.25</v>
      </c>
      <c r="BF27" s="18">
        <f>'Total Saturday Boardings'!BF27/'Service Days per Month'!BF$5</f>
        <v>237.6</v>
      </c>
      <c r="BG27" s="18">
        <f>'Total Saturday Boardings'!BG27/'Service Days per Month'!BG$5</f>
        <v>271.25</v>
      </c>
      <c r="BH27" s="18">
        <f>'Total Saturday Boardings'!BH27/'Service Days per Month'!BH$5</f>
        <v>277</v>
      </c>
      <c r="BI27" s="18">
        <f>'Total Saturday Boardings'!BI27/'Service Days per Month'!BI$5</f>
        <v>296.3698255998309</v>
      </c>
      <c r="BJ27" s="18">
        <f>'Total Saturday Boardings'!BJ27/'Service Days per Month'!BJ$5</f>
        <v>259</v>
      </c>
      <c r="BK27" s="18">
        <f>'Total Saturday Boardings'!BK27/'Service Days per Month'!BK$5</f>
        <v>278.5</v>
      </c>
      <c r="BL27" s="18">
        <f>'Total Saturday Boardings'!BL27/'Service Days per Month'!BL$5</f>
        <v>309</v>
      </c>
      <c r="BM27" s="18">
        <f>'Total Saturday Boardings'!BM27/'Service Days per Month'!BM$5</f>
        <v>263.39999999999998</v>
      </c>
      <c r="BN27" s="18">
        <f>'Total Saturday Boardings'!BN27/'Service Days per Month'!BN$5</f>
        <v>294.5</v>
      </c>
      <c r="BO27" s="18">
        <f>'Total Saturday Boardings'!BO27/'Service Days per Month'!BO$5</f>
        <v>272.39999999999998</v>
      </c>
      <c r="BP27" s="19">
        <f>'Total Saturday Boardings'!BP27/'Service Days per Month'!BP$5</f>
        <v>288</v>
      </c>
      <c r="BQ27" s="17">
        <f>'Total Saturday Boardings'!BQ27/'Service Days per Month'!BQ$5</f>
        <v>265.5</v>
      </c>
      <c r="BR27" s="18">
        <f>'Total Saturday Boardings'!BR27/'Service Days per Month'!BR$5</f>
        <v>256.39999999999998</v>
      </c>
      <c r="BS27" s="18">
        <f>'Total Saturday Boardings'!BS27/'Service Days per Month'!BS$5</f>
        <v>243.5</v>
      </c>
      <c r="BT27" s="18">
        <f>'Total Saturday Boardings'!BT27/'Service Days per Month'!BT$5</f>
        <v>295.5</v>
      </c>
      <c r="BU27" s="18">
        <f>'Total Saturday Boardings'!BU27/'Service Days per Month'!BU$5</f>
        <v>281</v>
      </c>
      <c r="BV27" s="18">
        <f>'Total Saturday Boardings'!BV27/'Service Days per Month'!BV$5</f>
        <v>285.5</v>
      </c>
      <c r="BW27" s="18">
        <f>'Total Saturday Boardings'!BW27/'Service Days per Month'!BW$5</f>
        <v>505.4</v>
      </c>
      <c r="BX27" s="18">
        <f>'Total Saturday Boardings'!BX27/'Service Days per Month'!BX$5</f>
        <v>279</v>
      </c>
      <c r="BY27" s="18">
        <f>'Total Saturday Boardings'!BY27/'Service Days per Month'!BY$5</f>
        <v>280.25</v>
      </c>
      <c r="BZ27" s="18">
        <f>'Total Saturday Boardings'!BZ27/'Service Days per Month'!BZ$5</f>
        <v>307.75</v>
      </c>
      <c r="CA27" s="18">
        <f>'Total Saturday Boardings'!CA27/'Service Days per Month'!CA$5</f>
        <v>265.39999999999998</v>
      </c>
      <c r="CB27" s="19">
        <f>'Total Saturday Boardings'!CB27/'Service Days per Month'!CB$5</f>
        <v>238.75</v>
      </c>
      <c r="CC27" s="20">
        <f>'Total Saturday Boardings'!CC27/'Service Days per Month'!CC$5</f>
        <v>260.25</v>
      </c>
      <c r="CD27" s="18">
        <f>'Total Saturday Boardings'!CD27/'Service Days per Month'!CD$5</f>
        <v>263.2</v>
      </c>
      <c r="CE27" s="18">
        <f>'Total Saturday Boardings'!CE27/'Service Days per Month'!CE$5</f>
        <v>286.75</v>
      </c>
      <c r="CF27" s="18">
        <f>'Total Saturday Boardings'!CF27/'Service Days per Month'!CF$5</f>
        <v>320.8</v>
      </c>
      <c r="CG27" s="18">
        <f>'Total Saturday Boardings'!CG27/'Service Days per Month'!CG$5</f>
        <v>319.25</v>
      </c>
      <c r="CH27" s="18">
        <f>'Total Saturday Boardings'!CH27/'Service Days per Month'!CH$5</f>
        <v>297.75</v>
      </c>
      <c r="CI27" s="18">
        <f>'Total Saturday Boardings'!CI27/'Service Days per Month'!CI$5</f>
        <v>433</v>
      </c>
      <c r="CJ27" s="18">
        <f>'Total Saturday Boardings'!CJ27/'Service Days per Month'!CJ$5</f>
        <v>337.5</v>
      </c>
      <c r="CK27" s="18">
        <f>'Total Saturday Boardings'!CK27/'Service Days per Month'!CK$5</f>
        <v>325.75</v>
      </c>
      <c r="CL27" s="18">
        <f>'Total Saturday Boardings'!CL27/'Service Days per Month'!CL$5</f>
        <v>375.8</v>
      </c>
      <c r="CM27" s="18">
        <f>'Total Saturday Boardings'!CM27/'Service Days per Month'!CM$5</f>
        <v>307.25</v>
      </c>
      <c r="CN27" s="21">
        <f>'Total Saturday Boardings'!CN27/'Service Days per Month'!CN$5</f>
        <v>314.25</v>
      </c>
      <c r="CO27" s="17">
        <f>'Total Saturday Boardings'!CO27/'Service Days per Month'!CO$5</f>
        <v>253.6</v>
      </c>
      <c r="CP27" s="18">
        <f>'Total Saturday Boardings'!CP27/'Service Days per Month'!CP$5</f>
        <v>284.25</v>
      </c>
      <c r="CQ27" s="18">
        <f>'Total Saturday Boardings'!CQ27/'Service Days per Month'!CQ$5</f>
        <v>294.5</v>
      </c>
      <c r="CR27" s="18">
        <f>'Total Saturday Boardings'!CR27/'Service Days per Month'!CR$5</f>
        <v>322.39999999999998</v>
      </c>
      <c r="CS27" s="18">
        <f>'Total Saturday Boardings'!CS27/'Service Days per Month'!CS$5</f>
        <v>317.75</v>
      </c>
      <c r="CT27" s="18">
        <f>'Total Saturday Boardings'!CT27/'Service Days per Month'!CT$5</f>
        <v>289</v>
      </c>
      <c r="CU27" s="18">
        <f>'Total Saturday Boardings'!CU27/'Service Days per Month'!CU$5</f>
        <v>303.5</v>
      </c>
      <c r="CV27" s="18">
        <f>'Total Saturday Boardings'!CV27/'Service Days per Month'!CV$5</f>
        <v>305.5</v>
      </c>
      <c r="CW27" s="18">
        <f>'Total Saturday Boardings'!CW27/'Service Days per Month'!CW$5</f>
        <v>350.25</v>
      </c>
      <c r="CX27" s="18">
        <f>'Total Saturday Boardings'!CX27/'Service Days per Month'!CX$5</f>
        <v>380.2</v>
      </c>
      <c r="CY27" s="18">
        <f>'Total Saturday Boardings'!CY27/'Service Days per Month'!CY$5</f>
        <v>334.5</v>
      </c>
      <c r="CZ27" s="19">
        <f>'Total Saturday Boardings'!CZ27/'Service Days per Month'!CZ$5</f>
        <v>274.5</v>
      </c>
      <c r="DA27" s="17">
        <f>'Total Saturday Boardings'!DA27/'Service Days per Month'!DA$5</f>
        <v>257</v>
      </c>
      <c r="DB27" s="18">
        <f>'Total Saturday Boardings'!DB27/'Service Days per Month'!DB$5</f>
        <v>247.5</v>
      </c>
      <c r="DC27" s="18">
        <f>'Total Saturday Boardings'!DC27/'Service Days per Month'!DC$5</f>
        <v>272.8</v>
      </c>
      <c r="DD27" s="18">
        <f>'Total Saturday Boardings'!DD27/'Service Days per Month'!DD$5</f>
        <v>284.75</v>
      </c>
      <c r="DE27" s="18">
        <f>'Total Saturday Boardings'!DE27/'Service Days per Month'!DE$5</f>
        <v>270.5</v>
      </c>
      <c r="DF27" s="18">
        <f>'Total Saturday Boardings'!DF27/'Service Days per Month'!DF$5</f>
        <v>252.2</v>
      </c>
      <c r="DG27" s="18">
        <f>'Total Saturday Boardings'!DG27/'Service Days per Month'!DG$5</f>
        <v>219.5</v>
      </c>
      <c r="DH27" s="18">
        <f>'Total Saturday Boardings'!DH27/'Service Days per Month'!DH$5</f>
        <v>232.75</v>
      </c>
      <c r="DI27" s="18">
        <f>'Total Saturday Boardings'!DI27/'Service Days per Month'!DI$5</f>
        <v>241.6</v>
      </c>
      <c r="DJ27" s="18">
        <f>'Total Saturday Boardings'!DJ27/'Service Days per Month'!DJ$5</f>
        <v>247.5</v>
      </c>
      <c r="DK27" s="18">
        <f>'Total Saturday Boardings'!DK27/'Service Days per Month'!DK$5</f>
        <v>213.25</v>
      </c>
      <c r="DL27" s="19">
        <f>'Total Saturday Boardings'!DL27/'Service Days per Month'!DL$5</f>
        <v>214.8</v>
      </c>
      <c r="DM27" s="17">
        <f>'Total Saturday Boardings'!DM27/'Service Days per Month'!DM$5</f>
        <v>182.25</v>
      </c>
      <c r="DN27" s="18">
        <f>'Total Saturday Boardings'!DN27/'Service Days per Month'!DN$5</f>
        <v>206.5</v>
      </c>
      <c r="DO27" s="18">
        <f>'Total Saturday Boardings'!DO27/'Service Days per Month'!DO$5</f>
        <v>244.2</v>
      </c>
      <c r="DP27" s="18">
        <f>'Total Saturday Boardings'!DP27/'Service Days per Month'!DP$5</f>
        <v>223.5</v>
      </c>
      <c r="DQ27" s="18">
        <f>'Total Saturday Boardings'!DQ27/'Service Days per Month'!DQ$5</f>
        <v>257.75</v>
      </c>
      <c r="DR27" s="18">
        <f>'Total Saturday Boardings'!DR27/'Service Days per Month'!DR$5</f>
        <v>218.2</v>
      </c>
      <c r="DS27" s="18">
        <f>'Total Saturday Boardings'!DS27/'Service Days per Month'!DS$5</f>
        <v>230.75</v>
      </c>
      <c r="DT27" s="18">
        <f>'Total Saturday Boardings'!DT27/'Service Days per Month'!DT$5</f>
        <v>228.75</v>
      </c>
      <c r="DU27" s="18">
        <f>'Total Saturday Boardings'!DU27/'Service Days per Month'!DU$5</f>
        <v>246.4</v>
      </c>
      <c r="DV27" s="18">
        <f>'Total Saturday Boardings'!DV27/'Service Days per Month'!DV$5</f>
        <v>79.75</v>
      </c>
      <c r="DW27" s="18">
        <f>'Total Saturday Boardings'!DW27/'Service Days per Month'!DW$5</f>
        <v>257.5</v>
      </c>
      <c r="DX27" s="19">
        <f>'Total Saturday Boardings'!DX27/'Service Days per Month'!DX$5</f>
        <v>220</v>
      </c>
      <c r="DY27" s="17">
        <f>'Total Saturday Boardings'!DY27/'Service Days per Month'!DY$5</f>
        <v>199.5</v>
      </c>
      <c r="DZ27" s="18">
        <f>'Total Saturday Boardings'!DZ27/'Service Days per Month'!DZ$5</f>
        <v>236.8</v>
      </c>
      <c r="EA27" s="18">
        <f>'Total Saturday Boardings'!EA27/'Service Days per Month'!EA$5</f>
        <v>253</v>
      </c>
      <c r="EB27" s="18">
        <f>'Total Saturday Boardings'!EB27/'Service Days per Month'!EB$5</f>
        <v>248</v>
      </c>
      <c r="EC27" s="18">
        <f>'Total Saturday Boardings'!EC27/'Service Days per Month'!EC$5</f>
        <v>262.39999999999998</v>
      </c>
      <c r="ED27" s="18">
        <f>'Total Saturday Boardings'!ED27/'Service Days per Month'!ED$5</f>
        <v>230.75</v>
      </c>
      <c r="EE27" s="18">
        <f>'Total Saturday Boardings'!EE27/'Service Days per Month'!EE$5</f>
        <v>279.25</v>
      </c>
      <c r="EF27" s="18">
        <f>'Total Saturday Boardings'!EF27/'Service Days per Month'!EF$5</f>
        <v>254</v>
      </c>
      <c r="EG27" s="18">
        <f>'Total Saturday Boardings'!EG27/'Service Days per Month'!EG$5</f>
        <v>174.25</v>
      </c>
      <c r="EH27" s="18">
        <f>'Total Saturday Boardings'!EH27/'Service Days per Month'!EH$5</f>
        <v>129</v>
      </c>
      <c r="EI27" s="18">
        <f>'Total Saturday Boardings'!EI27/'Service Days per Month'!EI$5</f>
        <v>109.6</v>
      </c>
      <c r="EJ27" s="19">
        <f>'Total Saturday Boardings'!EJ27/'Service Days per Month'!EJ$5</f>
        <v>95.75</v>
      </c>
      <c r="EK27" s="17">
        <f>'Total Saturday Boardings'!EK27/'Service Days per Month'!EK$5</f>
        <v>70.75</v>
      </c>
      <c r="EL27" s="18">
        <f>'Total Saturday Boardings'!EL27/'Service Days per Month'!EL$5</f>
        <v>104.2</v>
      </c>
      <c r="EM27" s="18">
        <f>'Total Saturday Boardings'!EM27/'Service Days per Month'!EM$5</f>
        <v>108.75</v>
      </c>
      <c r="EN27" s="18">
        <f>'Total Saturday Boardings'!EN27/'Service Days per Month'!EN$5</f>
        <v>125.8</v>
      </c>
      <c r="EO27" s="18">
        <f>'Total Saturday Boardings'!EO27/'Service Days per Month'!EO$5</f>
        <v>119.75</v>
      </c>
      <c r="EP27" s="18">
        <f>'Total Saturday Boardings'!EP27/'Service Days per Month'!EP$5</f>
        <v>86.25</v>
      </c>
      <c r="EQ27" s="18">
        <f>'Total Saturday Boardings'!EQ27/'Service Days per Month'!EQ$5</f>
        <v>53.8</v>
      </c>
      <c r="ER27" s="18">
        <f>'Total Saturday Boardings'!ER27/'Service Days per Month'!ER$5</f>
        <v>112.5</v>
      </c>
      <c r="ES27" s="18">
        <f>'Total Saturday Boardings'!ES27/'Service Days per Month'!ES$5</f>
        <v>115.5</v>
      </c>
      <c r="ET27" s="18">
        <f>'Total Saturday Boardings'!ET27/'Service Days per Month'!ET$5</f>
        <v>117.5</v>
      </c>
      <c r="EU27" s="18">
        <f>'Total Saturday Boardings'!EU27/'Service Days per Month'!EU$5</f>
        <v>118.4</v>
      </c>
      <c r="EV27" s="19">
        <f>'Total Saturday Boardings'!EV27/'Service Days per Month'!EV$5</f>
        <v>96.75</v>
      </c>
      <c r="EW27" s="17">
        <f>'Total Saturday Boardings'!EW27/'Service Days per Month'!EW$5</f>
        <v>95.8</v>
      </c>
      <c r="EX27" s="18">
        <f>'Total Saturday Boardings'!EX27/'Service Days per Month'!EX$5</f>
        <v>78.25</v>
      </c>
      <c r="EY27" s="18">
        <f>'Total Saturday Boardings'!EY27/'Service Days per Month'!EY$5</f>
        <v>112.25</v>
      </c>
      <c r="EZ27" s="18">
        <f>'Total Saturday Boardings'!EZ27/'Service Days per Month'!EZ$5</f>
        <v>114.4</v>
      </c>
      <c r="FA27" s="18">
        <f>'Total Saturday Boardings'!FA27/'Service Days per Month'!FA$5</f>
        <v>128</v>
      </c>
      <c r="FB27" s="18">
        <f>'Total Saturday Boardings'!FB27/'Service Days per Month'!FB$5</f>
        <v>128.5</v>
      </c>
      <c r="FC27" s="18">
        <f>'Total Saturday Boardings'!FC27/'Service Days per Month'!FC$5</f>
        <v>122.6</v>
      </c>
      <c r="FD27" s="18">
        <f>'Total Saturday Boardings'!FD27/'Service Days per Month'!FD$5</f>
        <v>143.25</v>
      </c>
      <c r="FE27" s="18">
        <f>'Total Saturday Boardings'!FE27/'Service Days per Month'!FE$5</f>
        <v>159.5</v>
      </c>
      <c r="FF27" s="18">
        <f>'Total Saturday Boardings'!FF27/'Service Days per Month'!FF$5</f>
        <v>159.6</v>
      </c>
      <c r="FG27" s="18">
        <f>'Total Saturday Boardings'!FG27/'Service Days per Month'!FG$5</f>
        <v>163.5</v>
      </c>
      <c r="FH27" s="19">
        <f>'Total Saturday Boardings'!FH27/'Service Days per Month'!FH$5</f>
        <v>123.5</v>
      </c>
      <c r="FI27" s="17">
        <v>100</v>
      </c>
      <c r="FJ27" s="18">
        <v>119</v>
      </c>
      <c r="FK27" s="18">
        <v>111.5</v>
      </c>
      <c r="FL27" s="18">
        <v>123.2</v>
      </c>
      <c r="FM27" s="18">
        <v>108.2</v>
      </c>
      <c r="FN27" s="18">
        <v>96.4</v>
      </c>
      <c r="FO27" s="18">
        <v>102.4</v>
      </c>
      <c r="FP27" s="18">
        <v>182.25</v>
      </c>
      <c r="FQ27" s="18">
        <v>178</v>
      </c>
      <c r="FR27" s="18">
        <f>'Total Saturday Boardings'!FR27/5</f>
        <v>168.6</v>
      </c>
      <c r="FS27" s="18">
        <f>'Total Saturday Boardings'!FS27/4</f>
        <v>161.25</v>
      </c>
      <c r="FT27" s="19">
        <f>'Total Saturday Boardings'!FT27/4</f>
        <v>173.75</v>
      </c>
      <c r="FU27" s="17">
        <f>'Total Saturday Boardings'!FU27/5</f>
        <v>140</v>
      </c>
      <c r="FV27" s="18">
        <f>'Total Saturday Boardings'!FV27/4</f>
        <v>156</v>
      </c>
      <c r="FW27" s="18">
        <f>'Total Saturday Boardings'!FW27/5</f>
        <v>153</v>
      </c>
      <c r="FX27" s="18">
        <f>'Total Saturday Boardings'!FX27/4</f>
        <v>179.75</v>
      </c>
      <c r="FY27" s="18">
        <f>'Total Saturday Boardings'!FY27/4</f>
        <v>152.5</v>
      </c>
      <c r="FZ27" s="18">
        <f>'Total Saturday Boardings'!FZ27/5</f>
        <v>123.6</v>
      </c>
      <c r="GA27" s="18">
        <f>'Total Saturday Boardings'!GA27/4</f>
        <v>165</v>
      </c>
      <c r="GB27" s="18">
        <f>'Total Saturday Boardings'!GB27/4</f>
        <v>163.5</v>
      </c>
      <c r="GC27" s="18">
        <f>'Total Saturday Boardings'!GC27/5</f>
        <v>171.6</v>
      </c>
      <c r="GD27" s="18">
        <f>'Total Saturday Boardings'!GD27/4</f>
        <v>164.5</v>
      </c>
      <c r="GE27" s="18">
        <f>'Total Saturday Boardings'!GE27/4</f>
        <v>172</v>
      </c>
      <c r="GF27" s="18">
        <f>'Total Saturday Boardings'!GF27/5</f>
        <v>150.19999999999999</v>
      </c>
      <c r="GG27" s="18">
        <f>'Total Saturday Boardings'!GG27/4</f>
        <v>128.75</v>
      </c>
      <c r="GH27" s="18">
        <f>'Total Saturday Boardings'!GH27/5</f>
        <v>151.4</v>
      </c>
      <c r="GI27" s="18">
        <f>'Total Saturday Boardings'!GI27/4</f>
        <v>143.25</v>
      </c>
      <c r="GJ27" s="18">
        <f>'Total Saturday Boardings'!GJ27/4</f>
        <v>119.25</v>
      </c>
      <c r="GK27" s="18">
        <f>'Total Saturday Boardings'!GK27/5</f>
        <v>133</v>
      </c>
      <c r="GL27" s="18">
        <f>'Total Saturday Boardings'!GL27/4</f>
        <v>126.25</v>
      </c>
    </row>
    <row r="28" spans="1:194" x14ac:dyDescent="0.3">
      <c r="A28" s="3" t="s">
        <v>41</v>
      </c>
      <c r="B28" s="17"/>
      <c r="C28" s="18">
        <f>'Total Saturday Boardings'!C28/'Service Days per Month'!C$5</f>
        <v>208.2</v>
      </c>
      <c r="D28" s="18">
        <f>'Total Saturday Boardings'!D28/'Service Days per Month'!D$5</f>
        <v>241.25</v>
      </c>
      <c r="E28" s="18">
        <f>'Total Saturday Boardings'!E28/'Service Days per Month'!E$5</f>
        <v>195.75</v>
      </c>
      <c r="F28" s="18">
        <f>'Total Saturday Boardings'!F28/'Service Days per Month'!F$5</f>
        <v>200.75</v>
      </c>
      <c r="G28" s="18">
        <f>'Total Saturday Boardings'!G28/'Service Days per Month'!G$5</f>
        <v>114.8</v>
      </c>
      <c r="H28" s="19">
        <f>'Total Saturday Boardings'!H28/'Service Days per Month'!H$5</f>
        <v>134.5</v>
      </c>
      <c r="I28" s="17">
        <f>'Total Saturday Boardings'!I28/'Service Days per Month'!I$5</f>
        <v>160.33333333333334</v>
      </c>
      <c r="J28" s="18">
        <f>'Total Saturday Boardings'!J28/'Service Days per Month'!J$5</f>
        <v>121.6</v>
      </c>
      <c r="K28" s="18">
        <f>'Total Saturday Boardings'!K28/'Service Days per Month'!K$5</f>
        <v>139.5</v>
      </c>
      <c r="L28" s="18">
        <f>'Total Saturday Boardings'!L28/'Service Days per Month'!L$5</f>
        <v>144.80000000000001</v>
      </c>
      <c r="M28" s="18">
        <f>'Total Saturday Boardings'!M28/'Service Days per Month'!M$5</f>
        <v>181</v>
      </c>
      <c r="N28" s="18">
        <f>'Total Saturday Boardings'!N28/'Service Days per Month'!N$5</f>
        <v>172.75</v>
      </c>
      <c r="O28" s="62">
        <f>'Total Saturday Boardings'!O28/'Service Days per Month'!O$5</f>
        <v>151.4</v>
      </c>
      <c r="P28" s="62">
        <f>'Total Saturday Boardings'!P28/'Service Days per Month'!P$5</f>
        <v>183.5</v>
      </c>
      <c r="Q28" s="62">
        <f>'Total Saturday Boardings'!Q28/'Service Days per Month'!Q$5</f>
        <v>196.25</v>
      </c>
      <c r="R28" s="62">
        <f>'Total Saturday Boardings'!R28/'Service Days per Month'!R$5</f>
        <v>186</v>
      </c>
      <c r="S28" s="62">
        <f>'Total Saturday Boardings'!S28/'Service Days per Month'!S$5</f>
        <v>129.4</v>
      </c>
      <c r="T28" s="63">
        <f>'Total Saturday Boardings'!T28/'Service Days per Month'!T$5</f>
        <v>136.75</v>
      </c>
      <c r="U28" s="64">
        <f>'Total Saturday Boardings'!U28/'Service Days per Month'!U$5</f>
        <v>146.19999999999999</v>
      </c>
      <c r="V28" s="62">
        <f>'Total Saturday Boardings'!V28/'Service Days per Month'!V$5</f>
        <v>169.75</v>
      </c>
      <c r="W28" s="62">
        <f>'Total Saturday Boardings'!W28/'Service Days per Month'!W$5</f>
        <v>197.25</v>
      </c>
      <c r="X28" s="62">
        <f>'Total Saturday Boardings'!X28/'Service Days per Month'!X$5</f>
        <v>127.8</v>
      </c>
      <c r="Y28" s="62">
        <f>'Total Saturday Boardings'!Y28/'Service Days per Month'!Y$5</f>
        <v>155.5</v>
      </c>
      <c r="Z28" s="62">
        <f>'Total Saturday Boardings'!Z28/'Service Days per Month'!Z$5</f>
        <v>171.66666666666666</v>
      </c>
      <c r="AA28" s="18">
        <f>'Total Saturday Boardings'!AA28/'Service Days per Month'!AA$5</f>
        <v>161.6</v>
      </c>
      <c r="AB28" s="18">
        <f>'Total Saturday Boardings'!AB28/'Service Days per Month'!AB$5</f>
        <v>169.75</v>
      </c>
      <c r="AC28" s="18">
        <f>'Total Saturday Boardings'!AC28/'Service Days per Month'!AC$5</f>
        <v>194</v>
      </c>
      <c r="AD28" s="18">
        <f>'Total Saturday Boardings'!AD28/'Service Days per Month'!AD$5</f>
        <v>196.4</v>
      </c>
      <c r="AE28" s="18">
        <f>'Total Saturday Boardings'!AE28/'Service Days per Month'!AE$5</f>
        <v>172.75</v>
      </c>
      <c r="AF28" s="19">
        <f>'Total Saturday Boardings'!AF28/'Service Days per Month'!AF$5</f>
        <v>146.25</v>
      </c>
      <c r="AG28" s="17">
        <f>'Total Saturday Boardings'!AG28/'Service Days per Month'!AG$5</f>
        <v>155.80000000000001</v>
      </c>
      <c r="AH28" s="18">
        <f>'Total Saturday Boardings'!AH28/'Service Days per Month'!AH$5</f>
        <v>163.5</v>
      </c>
      <c r="AI28" s="18">
        <f>'Total Saturday Boardings'!AI28/'Service Days per Month'!AI$5</f>
        <v>180.5</v>
      </c>
      <c r="AJ28" s="18">
        <f>'Total Saturday Boardings'!AJ28/'Service Days per Month'!AJ$5</f>
        <v>183.8</v>
      </c>
      <c r="AK28" s="18">
        <f>'Total Saturday Boardings'!AK28/'Service Days per Month'!AK$5</f>
        <v>167.25</v>
      </c>
      <c r="AL28" s="18">
        <f>'Total Saturday Boardings'!AL28/'Service Days per Month'!AL$5</f>
        <v>208.25</v>
      </c>
      <c r="AM28" s="18">
        <f>'Total Saturday Boardings'!AM28/'Service Days per Month'!AM$5</f>
        <v>195.75</v>
      </c>
      <c r="AN28" s="18">
        <f>'Total Saturday Boardings'!AN28/'Service Days per Month'!AN$5</f>
        <v>178</v>
      </c>
      <c r="AO28" s="18">
        <f>'Total Saturday Boardings'!AO28/'Service Days per Month'!AO$5</f>
        <v>184</v>
      </c>
      <c r="AP28" s="18">
        <f>'Total Saturday Boardings'!AP28/'Service Days per Month'!AP$5</f>
        <v>222.25</v>
      </c>
      <c r="AQ28" s="18">
        <f>'Total Saturday Boardings'!AQ28/'Service Days per Month'!AQ$5</f>
        <v>206</v>
      </c>
      <c r="AR28" s="19">
        <f>'Total Saturday Boardings'!AR28/'Service Days per Month'!AR$5</f>
        <v>191.2</v>
      </c>
      <c r="AS28" s="17">
        <f>'Total Saturday Boardings'!AS28/'Service Days per Month'!AS$5</f>
        <v>166.75</v>
      </c>
      <c r="AT28" s="18">
        <f>'Total Saturday Boardings'!AT28/'Service Days per Month'!AT$5</f>
        <v>180.25</v>
      </c>
      <c r="AU28" s="18">
        <f>'Total Saturday Boardings'!AU28/'Service Days per Month'!AU$5</f>
        <v>207.8</v>
      </c>
      <c r="AV28" s="18">
        <f>'Total Saturday Boardings'!AV28/'Service Days per Month'!AV$5</f>
        <v>226</v>
      </c>
      <c r="AW28" s="18">
        <f>'Total Saturday Boardings'!AW28/'Service Days per Month'!AW$5</f>
        <v>216</v>
      </c>
      <c r="AX28" s="18">
        <f>'Total Saturday Boardings'!AX28/'Service Days per Month'!AX$5</f>
        <v>211</v>
      </c>
      <c r="AY28" s="18">
        <f>'Total Saturday Boardings'!AY28/'Service Days per Month'!AY$5</f>
        <v>167.25</v>
      </c>
      <c r="AZ28" s="18">
        <f>'Total Saturday Boardings'!AZ28/'Service Days per Month'!AZ$5</f>
        <v>245.75</v>
      </c>
      <c r="BA28" s="18">
        <f>'Total Saturday Boardings'!BA28/'Service Days per Month'!BA$5</f>
        <v>192.8</v>
      </c>
      <c r="BB28" s="18">
        <f>'Total Saturday Boardings'!BB28/'Service Days per Month'!BB$5</f>
        <v>239.75</v>
      </c>
      <c r="BC28" s="18">
        <f>'Total Saturday Boardings'!BC28/'Service Days per Month'!BC$5</f>
        <v>197</v>
      </c>
      <c r="BD28" s="19">
        <f>'Total Saturday Boardings'!BD28/'Service Days per Month'!BD$5</f>
        <v>162</v>
      </c>
      <c r="BE28" s="17">
        <f>'Total Saturday Boardings'!BE28/'Service Days per Month'!BE$5</f>
        <v>177.25</v>
      </c>
      <c r="BF28" s="18">
        <f>'Total Saturday Boardings'!BF28/'Service Days per Month'!BF$5</f>
        <v>183.2</v>
      </c>
      <c r="BG28" s="18">
        <f>'Total Saturday Boardings'!BG28/'Service Days per Month'!BG$5</f>
        <v>215</v>
      </c>
      <c r="BH28" s="18">
        <f>'Total Saturday Boardings'!BH28/'Service Days per Month'!BH$5</f>
        <v>255.5</v>
      </c>
      <c r="BI28" s="18">
        <f>'Total Saturday Boardings'!BI28/'Service Days per Month'!BI$5</f>
        <v>234.68694641158442</v>
      </c>
      <c r="BJ28" s="18">
        <f>'Total Saturday Boardings'!BJ28/'Service Days per Month'!BJ$5</f>
        <v>236.75</v>
      </c>
      <c r="BK28" s="18">
        <f>'Total Saturday Boardings'!BK28/'Service Days per Month'!BK$5</f>
        <v>215.5</v>
      </c>
      <c r="BL28" s="18">
        <f>'Total Saturday Boardings'!BL28/'Service Days per Month'!BL$5</f>
        <v>214</v>
      </c>
      <c r="BM28" s="18">
        <f>'Total Saturday Boardings'!BM28/'Service Days per Month'!BM$5</f>
        <v>222.8</v>
      </c>
      <c r="BN28" s="18">
        <f>'Total Saturday Boardings'!BN28/'Service Days per Month'!BN$5</f>
        <v>255</v>
      </c>
      <c r="BO28" s="18">
        <f>'Total Saturday Boardings'!BO28/'Service Days per Month'!BO$5</f>
        <v>222.2</v>
      </c>
      <c r="BP28" s="19">
        <f>'Total Saturday Boardings'!BP28/'Service Days per Month'!BP$5</f>
        <v>217</v>
      </c>
      <c r="BQ28" s="17">
        <f>'Total Saturday Boardings'!BQ28/'Service Days per Month'!BQ$5</f>
        <v>187.75</v>
      </c>
      <c r="BR28" s="18">
        <f>'Total Saturday Boardings'!BR28/'Service Days per Month'!BR$5</f>
        <v>186.2</v>
      </c>
      <c r="BS28" s="18">
        <f>'Total Saturday Boardings'!BS28/'Service Days per Month'!BS$5</f>
        <v>215.5</v>
      </c>
      <c r="BT28" s="18">
        <f>'Total Saturday Boardings'!BT28/'Service Days per Month'!BT$5</f>
        <v>268.5</v>
      </c>
      <c r="BU28" s="18">
        <f>'Total Saturday Boardings'!BU28/'Service Days per Month'!BU$5</f>
        <v>246.8</v>
      </c>
      <c r="BV28" s="18">
        <f>'Total Saturday Boardings'!BV28/'Service Days per Month'!BV$5</f>
        <v>210.25</v>
      </c>
      <c r="BW28" s="18">
        <f>'Total Saturday Boardings'!BW28/'Service Days per Month'!BW$5</f>
        <v>309.39999999999998</v>
      </c>
      <c r="BX28" s="18">
        <f>'Total Saturday Boardings'!BX28/'Service Days per Month'!BX$5</f>
        <v>227.75</v>
      </c>
      <c r="BY28" s="18">
        <f>'Total Saturday Boardings'!BY28/'Service Days per Month'!BY$5</f>
        <v>221.5</v>
      </c>
      <c r="BZ28" s="18">
        <f>'Total Saturday Boardings'!BZ28/'Service Days per Month'!BZ$5</f>
        <v>246.5</v>
      </c>
      <c r="CA28" s="18">
        <f>'Total Saturday Boardings'!CA28/'Service Days per Month'!CA$5</f>
        <v>248.6</v>
      </c>
      <c r="CB28" s="19">
        <f>'Total Saturday Boardings'!CB28/'Service Days per Month'!CB$5</f>
        <v>210.75</v>
      </c>
      <c r="CC28" s="20">
        <f>'Total Saturday Boardings'!CC28/'Service Days per Month'!CC$5</f>
        <v>229.25</v>
      </c>
      <c r="CD28" s="18">
        <f>'Total Saturday Boardings'!CD28/'Service Days per Month'!CD$5</f>
        <v>221.4</v>
      </c>
      <c r="CE28" s="18">
        <f>'Total Saturday Boardings'!CE28/'Service Days per Month'!CE$5</f>
        <v>260.75</v>
      </c>
      <c r="CF28" s="18">
        <f>'Total Saturday Boardings'!CF28/'Service Days per Month'!CF$5</f>
        <v>279.2</v>
      </c>
      <c r="CG28" s="18">
        <f>'Total Saturday Boardings'!CG28/'Service Days per Month'!CG$5</f>
        <v>270.75</v>
      </c>
      <c r="CH28" s="18">
        <f>'Total Saturday Boardings'!CH28/'Service Days per Month'!CH$5</f>
        <v>234</v>
      </c>
      <c r="CI28" s="18">
        <f>'Total Saturday Boardings'!CI28/'Service Days per Month'!CI$5</f>
        <v>227.6</v>
      </c>
      <c r="CJ28" s="18">
        <f>'Total Saturday Boardings'!CJ28/'Service Days per Month'!CJ$5</f>
        <v>272.5</v>
      </c>
      <c r="CK28" s="18">
        <f>'Total Saturday Boardings'!CK28/'Service Days per Month'!CK$5</f>
        <v>270</v>
      </c>
      <c r="CL28" s="18">
        <f>'Total Saturday Boardings'!CL28/'Service Days per Month'!CL$5</f>
        <v>271.2</v>
      </c>
      <c r="CM28" s="18">
        <f>'Total Saturday Boardings'!CM28/'Service Days per Month'!CM$5</f>
        <v>261</v>
      </c>
      <c r="CN28" s="21">
        <f>'Total Saturday Boardings'!CN28/'Service Days per Month'!CN$5</f>
        <v>228.75</v>
      </c>
      <c r="CO28" s="17">
        <f>'Total Saturday Boardings'!CO28/'Service Days per Month'!CO$5</f>
        <v>229.4</v>
      </c>
      <c r="CP28" s="18">
        <f>'Total Saturday Boardings'!CP28/'Service Days per Month'!CP$5</f>
        <v>231.75</v>
      </c>
      <c r="CQ28" s="18">
        <f>'Total Saturday Boardings'!CQ28/'Service Days per Month'!CQ$5</f>
        <v>270.75</v>
      </c>
      <c r="CR28" s="18">
        <f>'Total Saturday Boardings'!CR28/'Service Days per Month'!CR$5</f>
        <v>299</v>
      </c>
      <c r="CS28" s="18">
        <f>'Total Saturday Boardings'!CS28/'Service Days per Month'!CS$5</f>
        <v>235.5</v>
      </c>
      <c r="CT28" s="18">
        <f>'Total Saturday Boardings'!CT28/'Service Days per Month'!CT$5</f>
        <v>305</v>
      </c>
      <c r="CU28" s="18">
        <f>'Total Saturday Boardings'!CU28/'Service Days per Month'!CU$5</f>
        <v>257.25</v>
      </c>
      <c r="CV28" s="18">
        <f>'Total Saturday Boardings'!CV28/'Service Days per Month'!CV$5</f>
        <v>255.5</v>
      </c>
      <c r="CW28" s="18">
        <f>'Total Saturday Boardings'!CW28/'Service Days per Month'!CW$5</f>
        <v>260.75</v>
      </c>
      <c r="CX28" s="18">
        <f>'Total Saturday Boardings'!CX28/'Service Days per Month'!CX$5</f>
        <v>291.8</v>
      </c>
      <c r="CY28" s="18">
        <f>'Total Saturday Boardings'!CY28/'Service Days per Month'!CY$5</f>
        <v>258</v>
      </c>
      <c r="CZ28" s="19">
        <f>'Total Saturday Boardings'!CZ28/'Service Days per Month'!CZ$5</f>
        <v>229.5</v>
      </c>
      <c r="DA28" s="17">
        <f>'Total Saturday Boardings'!DA28/'Service Days per Month'!DA$5</f>
        <v>200.8</v>
      </c>
      <c r="DB28" s="18">
        <f>'Total Saturday Boardings'!DB28/'Service Days per Month'!DB$5</f>
        <v>195</v>
      </c>
      <c r="DC28" s="18">
        <f>'Total Saturday Boardings'!DC28/'Service Days per Month'!DC$5</f>
        <v>214.2</v>
      </c>
      <c r="DD28" s="18">
        <f>'Total Saturday Boardings'!DD28/'Service Days per Month'!DD$5</f>
        <v>267.5</v>
      </c>
      <c r="DE28" s="18">
        <f>'Total Saturday Boardings'!DE28/'Service Days per Month'!DE$5</f>
        <v>263.75</v>
      </c>
      <c r="DF28" s="18">
        <f>'Total Saturday Boardings'!DF28/'Service Days per Month'!DF$5</f>
        <v>225.4</v>
      </c>
      <c r="DG28" s="18">
        <f>'Total Saturday Boardings'!DG28/'Service Days per Month'!DG$5</f>
        <v>284.75</v>
      </c>
      <c r="DH28" s="18">
        <f>'Total Saturday Boardings'!DH28/'Service Days per Month'!DH$5</f>
        <v>279</v>
      </c>
      <c r="DI28" s="18">
        <f>'Total Saturday Boardings'!DI28/'Service Days per Month'!DI$5</f>
        <v>282.39999999999998</v>
      </c>
      <c r="DJ28" s="18">
        <f>'Total Saturday Boardings'!DJ28/'Service Days per Month'!DJ$5</f>
        <v>270.75</v>
      </c>
      <c r="DK28" s="18">
        <f>'Total Saturday Boardings'!DK28/'Service Days per Month'!DK$5</f>
        <v>261.5</v>
      </c>
      <c r="DL28" s="19">
        <f>'Total Saturday Boardings'!DL28/'Service Days per Month'!DL$5</f>
        <v>263.8</v>
      </c>
      <c r="DM28" s="17">
        <f>'Total Saturday Boardings'!DM28/'Service Days per Month'!DM$5</f>
        <v>243.75</v>
      </c>
      <c r="DN28" s="18">
        <f>'Total Saturday Boardings'!DN28/'Service Days per Month'!DN$5</f>
        <v>241.25</v>
      </c>
      <c r="DO28" s="18">
        <f>'Total Saturday Boardings'!DO28/'Service Days per Month'!DO$5</f>
        <v>276.60000000000002</v>
      </c>
      <c r="DP28" s="18">
        <f>'Total Saturday Boardings'!DP28/'Service Days per Month'!DP$5</f>
        <v>248.25</v>
      </c>
      <c r="DQ28" s="18">
        <f>'Total Saturday Boardings'!DQ28/'Service Days per Month'!DQ$5</f>
        <v>251.75</v>
      </c>
      <c r="DR28" s="18">
        <f>'Total Saturday Boardings'!DR28/'Service Days per Month'!DR$5</f>
        <v>243</v>
      </c>
      <c r="DS28" s="18">
        <f>'Total Saturday Boardings'!DS28/'Service Days per Month'!DS$5</f>
        <v>259.25</v>
      </c>
      <c r="DT28" s="18">
        <f>'Total Saturday Boardings'!DT28/'Service Days per Month'!DT$5</f>
        <v>252</v>
      </c>
      <c r="DU28" s="18">
        <f>'Total Saturday Boardings'!DU28/'Service Days per Month'!DU$5</f>
        <v>259.2</v>
      </c>
      <c r="DV28" s="18">
        <f>'Total Saturday Boardings'!DV28/'Service Days per Month'!DV$5</f>
        <v>276.5</v>
      </c>
      <c r="DW28" s="18">
        <f>'Total Saturday Boardings'!DW28/'Service Days per Month'!DW$5</f>
        <v>231.5</v>
      </c>
      <c r="DX28" s="19">
        <f>'Total Saturday Boardings'!DX28/'Service Days per Month'!DX$5</f>
        <v>194.6</v>
      </c>
      <c r="DY28" s="17">
        <f>'Total Saturday Boardings'!DY28/'Service Days per Month'!DY$5</f>
        <v>163.5</v>
      </c>
      <c r="DZ28" s="18">
        <f>'Total Saturday Boardings'!DZ28/'Service Days per Month'!DZ$5</f>
        <v>187.4</v>
      </c>
      <c r="EA28" s="18">
        <f>'Total Saturday Boardings'!EA28/'Service Days per Month'!EA$5</f>
        <v>222.5</v>
      </c>
      <c r="EB28" s="18">
        <f>'Total Saturday Boardings'!EB28/'Service Days per Month'!EB$5</f>
        <v>245.75</v>
      </c>
      <c r="EC28" s="18">
        <f>'Total Saturday Boardings'!EC28/'Service Days per Month'!EC$5</f>
        <v>251.2</v>
      </c>
      <c r="ED28" s="18">
        <f>'Total Saturday Boardings'!ED28/'Service Days per Month'!ED$5</f>
        <v>243.25</v>
      </c>
      <c r="EE28" s="18">
        <f>'Total Saturday Boardings'!EE28/'Service Days per Month'!EE$5</f>
        <v>214.75</v>
      </c>
      <c r="EF28" s="18">
        <f>'Total Saturday Boardings'!EF28/'Service Days per Month'!EF$5</f>
        <v>226.8</v>
      </c>
      <c r="EG28" s="18">
        <f>'Total Saturday Boardings'!EG28/'Service Days per Month'!EG$5</f>
        <v>188.5</v>
      </c>
      <c r="EH28" s="18">
        <f>'Total Saturday Boardings'!EH28/'Service Days per Month'!EH$5</f>
        <v>142.75</v>
      </c>
      <c r="EI28" s="18">
        <f>'Total Saturday Boardings'!EI28/'Service Days per Month'!EI$5</f>
        <v>135.6</v>
      </c>
      <c r="EJ28" s="19">
        <f>'Total Saturday Boardings'!EJ28/'Service Days per Month'!EJ$5</f>
        <v>123.25</v>
      </c>
      <c r="EK28" s="17">
        <f>'Total Saturday Boardings'!EK28/'Service Days per Month'!EK$5</f>
        <v>74</v>
      </c>
      <c r="EL28" s="18">
        <f>'Total Saturday Boardings'!EL28/'Service Days per Month'!EL$5</f>
        <v>126.8</v>
      </c>
      <c r="EM28" s="18">
        <f>'Total Saturday Boardings'!EM28/'Service Days per Month'!EM$5</f>
        <v>102.75</v>
      </c>
      <c r="EN28" s="18">
        <f>'Total Saturday Boardings'!EN28/'Service Days per Month'!EN$5</f>
        <v>120.2</v>
      </c>
      <c r="EO28" s="18">
        <f>'Total Saturday Boardings'!EO28/'Service Days per Month'!EO$5</f>
        <v>148.25</v>
      </c>
      <c r="EP28" s="18">
        <f>'Total Saturday Boardings'!EP28/'Service Days per Month'!EP$5</f>
        <v>90.5</v>
      </c>
      <c r="EQ28" s="18">
        <f>'Total Saturday Boardings'!EQ28/'Service Days per Month'!EQ$5</f>
        <v>56.2</v>
      </c>
      <c r="ER28" s="18">
        <f>'Total Saturday Boardings'!ER28/'Service Days per Month'!ER$5</f>
        <v>118.75</v>
      </c>
      <c r="ES28" s="18">
        <f>'Total Saturday Boardings'!ES28/'Service Days per Month'!ES$5</f>
        <v>127.75</v>
      </c>
      <c r="ET28" s="18">
        <f>'Total Saturday Boardings'!ET28/'Service Days per Month'!ET$5</f>
        <v>129.5</v>
      </c>
      <c r="EU28" s="18">
        <f>'Total Saturday Boardings'!EU28/'Service Days per Month'!EU$5</f>
        <v>106.6</v>
      </c>
      <c r="EV28" s="19">
        <f>'Total Saturday Boardings'!EV28/'Service Days per Month'!EV$5</f>
        <v>113.75</v>
      </c>
      <c r="EW28" s="17">
        <f>'Total Saturday Boardings'!EW28/'Service Days per Month'!EW$5</f>
        <v>118.6</v>
      </c>
      <c r="EX28" s="18">
        <f>'Total Saturday Boardings'!EX28/'Service Days per Month'!EX$5</f>
        <v>93</v>
      </c>
      <c r="EY28" s="18">
        <f>'Total Saturday Boardings'!EY28/'Service Days per Month'!EY$5</f>
        <v>134.25</v>
      </c>
      <c r="EZ28" s="18">
        <f>'Total Saturday Boardings'!EZ28/'Service Days per Month'!EZ$5</f>
        <v>131.80000000000001</v>
      </c>
      <c r="FA28" s="18">
        <f>'Total Saturday Boardings'!FA28/'Service Days per Month'!FA$5</f>
        <v>153.25</v>
      </c>
      <c r="FB28" s="18">
        <f>'Total Saturday Boardings'!FB28/'Service Days per Month'!FB$5</f>
        <v>127.25</v>
      </c>
      <c r="FC28" s="18">
        <f>'Total Saturday Boardings'!FC28/'Service Days per Month'!FC$5</f>
        <v>153.19999999999999</v>
      </c>
      <c r="FD28" s="18">
        <f>'Total Saturday Boardings'!FD28/'Service Days per Month'!FD$5</f>
        <v>141.5</v>
      </c>
      <c r="FE28" s="18">
        <f>'Total Saturday Boardings'!FE28/'Service Days per Month'!FE$5</f>
        <v>183</v>
      </c>
      <c r="FF28" s="18">
        <f>'Total Saturday Boardings'!FF28/'Service Days per Month'!FF$5</f>
        <v>210.4</v>
      </c>
      <c r="FG28" s="18">
        <f>'Total Saturday Boardings'!FG28/'Service Days per Month'!FG$5</f>
        <v>245.75</v>
      </c>
      <c r="FH28" s="19">
        <f>'Total Saturday Boardings'!FH28/'Service Days per Month'!FH$5</f>
        <v>187.5</v>
      </c>
      <c r="FI28" s="17">
        <v>111.2</v>
      </c>
      <c r="FJ28" s="18">
        <v>109.25</v>
      </c>
      <c r="FK28" s="18">
        <v>135</v>
      </c>
      <c r="FL28" s="18">
        <v>148</v>
      </c>
      <c r="FM28" s="18">
        <v>112.8</v>
      </c>
      <c r="FN28" s="18">
        <v>136.19999999999999</v>
      </c>
      <c r="FO28" s="18">
        <v>123.2</v>
      </c>
      <c r="FP28" s="18">
        <v>238.5</v>
      </c>
      <c r="FQ28" s="18">
        <v>184.5</v>
      </c>
      <c r="FR28" s="18">
        <f>'Total Saturday Boardings'!FR28/5</f>
        <v>164.4</v>
      </c>
      <c r="FS28" s="18">
        <f>'Total Saturday Boardings'!FS28/4</f>
        <v>160.75</v>
      </c>
      <c r="FT28" s="19">
        <f>'Total Saturday Boardings'!FT28/4</f>
        <v>173.25</v>
      </c>
      <c r="FU28" s="17">
        <f>'Total Saturday Boardings'!FU28/5</f>
        <v>144.4</v>
      </c>
      <c r="FV28" s="18">
        <f>'Total Saturday Boardings'!FV28/4</f>
        <v>155.5</v>
      </c>
      <c r="FW28" s="18">
        <f>'Total Saturday Boardings'!FW28/5</f>
        <v>169.2</v>
      </c>
      <c r="FX28" s="18">
        <f>'Total Saturday Boardings'!FX28/4</f>
        <v>186</v>
      </c>
      <c r="FY28" s="18">
        <f>'Total Saturday Boardings'!FY28/4</f>
        <v>165</v>
      </c>
      <c r="FZ28" s="18">
        <f>'Total Saturday Boardings'!FZ28/5</f>
        <v>137.19999999999999</v>
      </c>
      <c r="GA28" s="18">
        <f>'Total Saturday Boardings'!GA28/4</f>
        <v>202.5</v>
      </c>
      <c r="GB28" s="18">
        <f>'Total Saturday Boardings'!GB28/4</f>
        <v>193</v>
      </c>
      <c r="GC28" s="18">
        <f>'Total Saturday Boardings'!GC28/5</f>
        <v>191.6</v>
      </c>
      <c r="GD28" s="18">
        <f>'Total Saturday Boardings'!GD28/4</f>
        <v>180</v>
      </c>
      <c r="GE28" s="18">
        <f>'Total Saturday Boardings'!GE28/4</f>
        <v>182</v>
      </c>
      <c r="GF28" s="18">
        <f>'Total Saturday Boardings'!GF28/5</f>
        <v>162.6</v>
      </c>
      <c r="GG28" s="18">
        <f>'Total Saturday Boardings'!GG28/4</f>
        <v>170.5</v>
      </c>
      <c r="GH28" s="18">
        <f>'Total Saturday Boardings'!GH28/5</f>
        <v>187.2</v>
      </c>
      <c r="GI28" s="18">
        <f>'Total Saturday Boardings'!GI28/4</f>
        <v>172.75</v>
      </c>
      <c r="GJ28" s="18">
        <f>'Total Saturday Boardings'!GJ28/4</f>
        <v>162.5</v>
      </c>
      <c r="GK28" s="18">
        <f>'Total Saturday Boardings'!GK28/5</f>
        <v>157.6</v>
      </c>
      <c r="GL28" s="18">
        <f>'Total Saturday Boardings'!GL28/4</f>
        <v>156.25</v>
      </c>
    </row>
    <row r="29" spans="1:194" x14ac:dyDescent="0.3">
      <c r="A29" s="3" t="s">
        <v>42</v>
      </c>
      <c r="B29" s="17"/>
      <c r="C29" s="18">
        <f>'Total Saturday Boardings'!C29/'Service Days per Month'!C$5</f>
        <v>164.2</v>
      </c>
      <c r="D29" s="18">
        <f>'Total Saturday Boardings'!D29/'Service Days per Month'!D$5</f>
        <v>270</v>
      </c>
      <c r="E29" s="18">
        <f>'Total Saturday Boardings'!E29/'Service Days per Month'!E$5</f>
        <v>245.75</v>
      </c>
      <c r="F29" s="18">
        <f>'Total Saturday Boardings'!F29/'Service Days per Month'!F$5</f>
        <v>274.5</v>
      </c>
      <c r="G29" s="18">
        <f>'Total Saturday Boardings'!G29/'Service Days per Month'!G$5</f>
        <v>190.8</v>
      </c>
      <c r="H29" s="19">
        <f>'Total Saturday Boardings'!H29/'Service Days per Month'!H$5</f>
        <v>238.5</v>
      </c>
      <c r="I29" s="17">
        <f>'Total Saturday Boardings'!I29/'Service Days per Month'!I$5</f>
        <v>281</v>
      </c>
      <c r="J29" s="18">
        <f>'Total Saturday Boardings'!J29/'Service Days per Month'!J$5</f>
        <v>184.6</v>
      </c>
      <c r="K29" s="18">
        <f>'Total Saturday Boardings'!K29/'Service Days per Month'!K$5</f>
        <v>246.75</v>
      </c>
      <c r="L29" s="18">
        <f>'Total Saturday Boardings'!L29/'Service Days per Month'!L$5</f>
        <v>240.6</v>
      </c>
      <c r="M29" s="18">
        <f>'Total Saturday Boardings'!M29/'Service Days per Month'!M$5</f>
        <v>301.75</v>
      </c>
      <c r="N29" s="18">
        <f>'Total Saturday Boardings'!N29/'Service Days per Month'!N$5</f>
        <v>366</v>
      </c>
      <c r="O29" s="62">
        <f>'Total Saturday Boardings'!O29/'Service Days per Month'!O$5</f>
        <v>260.60000000000002</v>
      </c>
      <c r="P29" s="62">
        <f>'Total Saturday Boardings'!P29/'Service Days per Month'!P$5</f>
        <v>332.25</v>
      </c>
      <c r="Q29" s="62">
        <f>'Total Saturday Boardings'!Q29/'Service Days per Month'!Q$5</f>
        <v>325.75</v>
      </c>
      <c r="R29" s="62">
        <f>'Total Saturday Boardings'!R29/'Service Days per Month'!R$5</f>
        <v>278.75</v>
      </c>
      <c r="S29" s="62">
        <f>'Total Saturday Boardings'!S29/'Service Days per Month'!S$5</f>
        <v>242.8</v>
      </c>
      <c r="T29" s="63">
        <f>'Total Saturday Boardings'!T29/'Service Days per Month'!T$5</f>
        <v>242.75</v>
      </c>
      <c r="U29" s="64">
        <f>'Total Saturday Boardings'!U29/'Service Days per Month'!U$5</f>
        <v>266.8</v>
      </c>
      <c r="V29" s="62">
        <f>'Total Saturday Boardings'!V29/'Service Days per Month'!V$5</f>
        <v>301.5</v>
      </c>
      <c r="W29" s="62">
        <f>'Total Saturday Boardings'!W29/'Service Days per Month'!W$5</f>
        <v>366.25</v>
      </c>
      <c r="X29" s="62">
        <f>'Total Saturday Boardings'!X29/'Service Days per Month'!X$5</f>
        <v>247.4</v>
      </c>
      <c r="Y29" s="62">
        <f>'Total Saturday Boardings'!Y29/'Service Days per Month'!Y$5</f>
        <v>305</v>
      </c>
      <c r="Z29" s="62">
        <f>'Total Saturday Boardings'!Z29/'Service Days per Month'!Z$5</f>
        <v>305</v>
      </c>
      <c r="AA29" s="18">
        <f>'Total Saturday Boardings'!AA29/'Service Days per Month'!AA$5</f>
        <v>259.39999999999998</v>
      </c>
      <c r="AB29" s="18">
        <f>'Total Saturday Boardings'!AB29/'Service Days per Month'!AB$5</f>
        <v>340</v>
      </c>
      <c r="AC29" s="18">
        <f>'Total Saturday Boardings'!AC29/'Service Days per Month'!AC$5</f>
        <v>378.75</v>
      </c>
      <c r="AD29" s="18">
        <f>'Total Saturday Boardings'!AD29/'Service Days per Month'!AD$5</f>
        <v>362.8</v>
      </c>
      <c r="AE29" s="18">
        <f>'Total Saturday Boardings'!AE29/'Service Days per Month'!AE$5</f>
        <v>398.25</v>
      </c>
      <c r="AF29" s="19">
        <f>'Total Saturday Boardings'!AF29/'Service Days per Month'!AF$5</f>
        <v>301</v>
      </c>
      <c r="AG29" s="17">
        <f>'Total Saturday Boardings'!AG29/'Service Days per Month'!AG$5</f>
        <v>309.60000000000002</v>
      </c>
      <c r="AH29" s="18">
        <f>'Total Saturday Boardings'!AH29/'Service Days per Month'!AH$5</f>
        <v>310.25</v>
      </c>
      <c r="AI29" s="18">
        <f>'Total Saturday Boardings'!AI29/'Service Days per Month'!AI$5</f>
        <v>365.25</v>
      </c>
      <c r="AJ29" s="18">
        <f>'Total Saturday Boardings'!AJ29/'Service Days per Month'!AJ$5</f>
        <v>349.6</v>
      </c>
      <c r="AK29" s="18">
        <f>'Total Saturday Boardings'!AK29/'Service Days per Month'!AK$5</f>
        <v>329.25</v>
      </c>
      <c r="AL29" s="18">
        <f>'Total Saturday Boardings'!AL29/'Service Days per Month'!AL$5</f>
        <v>437.25</v>
      </c>
      <c r="AM29" s="18">
        <f>'Total Saturday Boardings'!AM29/'Service Days per Month'!AM$5</f>
        <v>341.75</v>
      </c>
      <c r="AN29" s="18">
        <f>'Total Saturday Boardings'!AN29/'Service Days per Month'!AN$5</f>
        <v>371.25</v>
      </c>
      <c r="AO29" s="18">
        <f>'Total Saturday Boardings'!AO29/'Service Days per Month'!AO$5</f>
        <v>345.2</v>
      </c>
      <c r="AP29" s="18">
        <f>'Total Saturday Boardings'!AP29/'Service Days per Month'!AP$5</f>
        <v>402.25</v>
      </c>
      <c r="AQ29" s="18">
        <f>'Total Saturday Boardings'!AQ29/'Service Days per Month'!AQ$5</f>
        <v>361.25</v>
      </c>
      <c r="AR29" s="19">
        <f>'Total Saturday Boardings'!AR29/'Service Days per Month'!AR$5</f>
        <v>383.8</v>
      </c>
      <c r="AS29" s="17">
        <f>'Total Saturday Boardings'!AS29/'Service Days per Month'!AS$5</f>
        <v>355</v>
      </c>
      <c r="AT29" s="18">
        <f>'Total Saturday Boardings'!AT29/'Service Days per Month'!AT$5</f>
        <v>356</v>
      </c>
      <c r="AU29" s="18">
        <f>'Total Saturday Boardings'!AU29/'Service Days per Month'!AU$5</f>
        <v>388.4</v>
      </c>
      <c r="AV29" s="18">
        <f>'Total Saturday Boardings'!AV29/'Service Days per Month'!AV$5</f>
        <v>451.25</v>
      </c>
      <c r="AW29" s="18">
        <f>'Total Saturday Boardings'!AW29/'Service Days per Month'!AW$5</f>
        <v>431.75</v>
      </c>
      <c r="AX29" s="18">
        <f>'Total Saturday Boardings'!AX29/'Service Days per Month'!AX$5</f>
        <v>427</v>
      </c>
      <c r="AY29" s="18">
        <f>'Total Saturday Boardings'!AY29/'Service Days per Month'!AY$5</f>
        <v>372.75</v>
      </c>
      <c r="AZ29" s="18">
        <f>'Total Saturday Boardings'!AZ29/'Service Days per Month'!AZ$5</f>
        <v>424.75</v>
      </c>
      <c r="BA29" s="18">
        <f>'Total Saturday Boardings'!BA29/'Service Days per Month'!BA$5</f>
        <v>413.4</v>
      </c>
      <c r="BB29" s="18">
        <f>'Total Saturday Boardings'!BB29/'Service Days per Month'!BB$5</f>
        <v>418.25</v>
      </c>
      <c r="BC29" s="18">
        <f>'Total Saturday Boardings'!BC29/'Service Days per Month'!BC$5</f>
        <v>398.75</v>
      </c>
      <c r="BD29" s="19">
        <f>'Total Saturday Boardings'!BD29/'Service Days per Month'!BD$5</f>
        <v>369.8</v>
      </c>
      <c r="BE29" s="17">
        <f>'Total Saturday Boardings'!BE29/'Service Days per Month'!BE$5</f>
        <v>424</v>
      </c>
      <c r="BF29" s="18">
        <f>'Total Saturday Boardings'!BF29/'Service Days per Month'!BF$5</f>
        <v>385.4</v>
      </c>
      <c r="BG29" s="18">
        <f>'Total Saturday Boardings'!BG29/'Service Days per Month'!BG$5</f>
        <v>406</v>
      </c>
      <c r="BH29" s="18">
        <f>'Total Saturday Boardings'!BH29/'Service Days per Month'!BH$5</f>
        <v>464.5</v>
      </c>
      <c r="BI29" s="18">
        <f>'Total Saturday Boardings'!BI29/'Service Days per Month'!BI$5</f>
        <v>475.4403424585139</v>
      </c>
      <c r="BJ29" s="18">
        <f>'Total Saturday Boardings'!BJ29/'Service Days per Month'!BJ$5</f>
        <v>400.25</v>
      </c>
      <c r="BK29" s="18">
        <f>'Total Saturday Boardings'!BK29/'Service Days per Month'!BK$5</f>
        <v>430</v>
      </c>
      <c r="BL29" s="18">
        <f>'Total Saturday Boardings'!BL29/'Service Days per Month'!BL$5</f>
        <v>458</v>
      </c>
      <c r="BM29" s="18">
        <f>'Total Saturday Boardings'!BM29/'Service Days per Month'!BM$5</f>
        <v>452.6</v>
      </c>
      <c r="BN29" s="18">
        <f>'Total Saturday Boardings'!BN29/'Service Days per Month'!BN$5</f>
        <v>447.25</v>
      </c>
      <c r="BO29" s="18">
        <f>'Total Saturday Boardings'!BO29/'Service Days per Month'!BO$5</f>
        <v>393.4</v>
      </c>
      <c r="BP29" s="19">
        <f>'Total Saturday Boardings'!BP29/'Service Days per Month'!BP$5</f>
        <v>397.25</v>
      </c>
      <c r="BQ29" s="17">
        <f>'Total Saturday Boardings'!BQ29/'Service Days per Month'!BQ$5</f>
        <v>349</v>
      </c>
      <c r="BR29" s="18">
        <f>'Total Saturday Boardings'!BR29/'Service Days per Month'!BR$5</f>
        <v>389.2</v>
      </c>
      <c r="BS29" s="18">
        <f>'Total Saturday Boardings'!BS29/'Service Days per Month'!BS$5</f>
        <v>396.75</v>
      </c>
      <c r="BT29" s="18">
        <f>'Total Saturday Boardings'!BT29/'Service Days per Month'!BT$5</f>
        <v>502.75</v>
      </c>
      <c r="BU29" s="18">
        <f>'Total Saturday Boardings'!BU29/'Service Days per Month'!BU$5</f>
        <v>465.2</v>
      </c>
      <c r="BV29" s="18">
        <f>'Total Saturday Boardings'!BV29/'Service Days per Month'!BV$5</f>
        <v>417</v>
      </c>
      <c r="BW29" s="18">
        <f>'Total Saturday Boardings'!BW29/'Service Days per Month'!BW$5</f>
        <v>482</v>
      </c>
      <c r="BX29" s="18">
        <f>'Total Saturday Boardings'!BX29/'Service Days per Month'!BX$5</f>
        <v>467</v>
      </c>
      <c r="BY29" s="18">
        <f>'Total Saturday Boardings'!BY29/'Service Days per Month'!BY$5</f>
        <v>459.5</v>
      </c>
      <c r="BZ29" s="18">
        <f>'Total Saturday Boardings'!BZ29/'Service Days per Month'!BZ$5</f>
        <v>424.75</v>
      </c>
      <c r="CA29" s="18">
        <f>'Total Saturday Boardings'!CA29/'Service Days per Month'!CA$5</f>
        <v>393.8</v>
      </c>
      <c r="CB29" s="19">
        <f>'Total Saturday Boardings'!CB29/'Service Days per Month'!CB$5</f>
        <v>379.5</v>
      </c>
      <c r="CC29" s="20">
        <f>'Total Saturday Boardings'!CC29/'Service Days per Month'!CC$5</f>
        <v>418.25</v>
      </c>
      <c r="CD29" s="18">
        <f>'Total Saturday Boardings'!CD29/'Service Days per Month'!CD$5</f>
        <v>397.2</v>
      </c>
      <c r="CE29" s="18">
        <f>'Total Saturday Boardings'!CE29/'Service Days per Month'!CE$5</f>
        <v>485</v>
      </c>
      <c r="CF29" s="18">
        <f>'Total Saturday Boardings'!CF29/'Service Days per Month'!CF$5</f>
        <v>504</v>
      </c>
      <c r="CG29" s="18">
        <f>'Total Saturday Boardings'!CG29/'Service Days per Month'!CG$5</f>
        <v>476.75</v>
      </c>
      <c r="CH29" s="18">
        <f>'Total Saturday Boardings'!CH29/'Service Days per Month'!CH$5</f>
        <v>467.5</v>
      </c>
      <c r="CI29" s="18">
        <f>'Total Saturday Boardings'!CI29/'Service Days per Month'!CI$5</f>
        <v>452.4</v>
      </c>
      <c r="CJ29" s="18">
        <f>'Total Saturday Boardings'!CJ29/'Service Days per Month'!CJ$5</f>
        <v>480.25</v>
      </c>
      <c r="CK29" s="18">
        <f>'Total Saturday Boardings'!CK29/'Service Days per Month'!CK$5</f>
        <v>514.75</v>
      </c>
      <c r="CL29" s="18">
        <f>'Total Saturday Boardings'!CL29/'Service Days per Month'!CL$5</f>
        <v>517.4</v>
      </c>
      <c r="CM29" s="18">
        <f>'Total Saturday Boardings'!CM29/'Service Days per Month'!CM$5</f>
        <v>546</v>
      </c>
      <c r="CN29" s="21">
        <f>'Total Saturday Boardings'!CN29/'Service Days per Month'!CN$5</f>
        <v>525.25</v>
      </c>
      <c r="CO29" s="17">
        <f>'Total Saturday Boardings'!CO29/'Service Days per Month'!CO$5</f>
        <v>412.8</v>
      </c>
      <c r="CP29" s="18">
        <f>'Total Saturday Boardings'!CP29/'Service Days per Month'!CP$5</f>
        <v>448.5</v>
      </c>
      <c r="CQ29" s="18">
        <f>'Total Saturday Boardings'!CQ29/'Service Days per Month'!CQ$5</f>
        <v>459.5</v>
      </c>
      <c r="CR29" s="18">
        <f>'Total Saturday Boardings'!CR29/'Service Days per Month'!CR$5</f>
        <v>460</v>
      </c>
      <c r="CS29" s="18">
        <f>'Total Saturday Boardings'!CS29/'Service Days per Month'!CS$5</f>
        <v>414</v>
      </c>
      <c r="CT29" s="18">
        <f>'Total Saturday Boardings'!CT29/'Service Days per Month'!CT$5</f>
        <v>443</v>
      </c>
      <c r="CU29" s="18">
        <f>'Total Saturday Boardings'!CU29/'Service Days per Month'!CU$5</f>
        <v>427</v>
      </c>
      <c r="CV29" s="18">
        <f>'Total Saturday Boardings'!CV29/'Service Days per Month'!CV$5</f>
        <v>400</v>
      </c>
      <c r="CW29" s="18">
        <f>'Total Saturday Boardings'!CW29/'Service Days per Month'!CW$5</f>
        <v>414.5</v>
      </c>
      <c r="CX29" s="18">
        <f>'Total Saturday Boardings'!CX29/'Service Days per Month'!CX$5</f>
        <v>437.8</v>
      </c>
      <c r="CY29" s="18">
        <f>'Total Saturday Boardings'!CY29/'Service Days per Month'!CY$5</f>
        <v>388</v>
      </c>
      <c r="CZ29" s="19">
        <f>'Total Saturday Boardings'!CZ29/'Service Days per Month'!CZ$5</f>
        <v>352.75</v>
      </c>
      <c r="DA29" s="17">
        <f>'Total Saturday Boardings'!DA29/'Service Days per Month'!DA$5</f>
        <v>365.4</v>
      </c>
      <c r="DB29" s="18">
        <f>'Total Saturday Boardings'!DB29/'Service Days per Month'!DB$5</f>
        <v>387</v>
      </c>
      <c r="DC29" s="18">
        <f>'Total Saturday Boardings'!DC29/'Service Days per Month'!DC$5</f>
        <v>383.4</v>
      </c>
      <c r="DD29" s="18">
        <f>'Total Saturday Boardings'!DD29/'Service Days per Month'!DD$5</f>
        <v>450</v>
      </c>
      <c r="DE29" s="18">
        <f>'Total Saturday Boardings'!DE29/'Service Days per Month'!DE$5</f>
        <v>392.5</v>
      </c>
      <c r="DF29" s="18">
        <f>'Total Saturday Boardings'!DF29/'Service Days per Month'!DF$5</f>
        <v>376.8</v>
      </c>
      <c r="DG29" s="18">
        <f>'Total Saturday Boardings'!DG29/'Service Days per Month'!DG$5</f>
        <v>372.75</v>
      </c>
      <c r="DH29" s="18">
        <f>'Total Saturday Boardings'!DH29/'Service Days per Month'!DH$5</f>
        <v>426.25</v>
      </c>
      <c r="DI29" s="18">
        <f>'Total Saturday Boardings'!DI29/'Service Days per Month'!DI$5</f>
        <v>428.8</v>
      </c>
      <c r="DJ29" s="18">
        <f>'Total Saturday Boardings'!DJ29/'Service Days per Month'!DJ$5</f>
        <v>429.75</v>
      </c>
      <c r="DK29" s="18">
        <f>'Total Saturday Boardings'!DK29/'Service Days per Month'!DK$5</f>
        <v>398</v>
      </c>
      <c r="DL29" s="19">
        <f>'Total Saturday Boardings'!DL29/'Service Days per Month'!DL$5</f>
        <v>396.6</v>
      </c>
      <c r="DM29" s="17">
        <f>'Total Saturday Boardings'!DM29/'Service Days per Month'!DM$5</f>
        <v>344.25</v>
      </c>
      <c r="DN29" s="18">
        <f>'Total Saturday Boardings'!DN29/'Service Days per Month'!DN$5</f>
        <v>359.75</v>
      </c>
      <c r="DO29" s="18">
        <f>'Total Saturday Boardings'!DO29/'Service Days per Month'!DO$5</f>
        <v>349.8</v>
      </c>
      <c r="DP29" s="18">
        <f>'Total Saturday Boardings'!DP29/'Service Days per Month'!DP$5</f>
        <v>365</v>
      </c>
      <c r="DQ29" s="18">
        <f>'Total Saturday Boardings'!DQ29/'Service Days per Month'!DQ$5</f>
        <v>379</v>
      </c>
      <c r="DR29" s="18">
        <f>'Total Saturday Boardings'!DR29/'Service Days per Month'!DR$5</f>
        <v>387.6</v>
      </c>
      <c r="DS29" s="18">
        <f>'Total Saturday Boardings'!DS29/'Service Days per Month'!DS$5</f>
        <v>348.25</v>
      </c>
      <c r="DT29" s="18">
        <f>'Total Saturday Boardings'!DT29/'Service Days per Month'!DT$5</f>
        <v>374</v>
      </c>
      <c r="DU29" s="18">
        <f>'Total Saturday Boardings'!DU29/'Service Days per Month'!DU$5</f>
        <v>354.2</v>
      </c>
      <c r="DV29" s="18">
        <f>'Total Saturday Boardings'!DV29/'Service Days per Month'!DV$5</f>
        <v>351.25</v>
      </c>
      <c r="DW29" s="18">
        <f>'Total Saturday Boardings'!DW29/'Service Days per Month'!DW$5</f>
        <v>317</v>
      </c>
      <c r="DX29" s="19">
        <f>'Total Saturday Boardings'!DX29/'Service Days per Month'!DX$5</f>
        <v>324.60000000000002</v>
      </c>
      <c r="DY29" s="17">
        <f>'Total Saturday Boardings'!DY29/'Service Days per Month'!DY$5</f>
        <v>285.5</v>
      </c>
      <c r="DZ29" s="18">
        <f>'Total Saturday Boardings'!DZ29/'Service Days per Month'!DZ$5</f>
        <v>294.8</v>
      </c>
      <c r="EA29" s="18">
        <f>'Total Saturday Boardings'!EA29/'Service Days per Month'!EA$5</f>
        <v>305.75</v>
      </c>
      <c r="EB29" s="18">
        <f>'Total Saturday Boardings'!EB29/'Service Days per Month'!EB$5</f>
        <v>340.75</v>
      </c>
      <c r="EC29" s="18">
        <f>'Total Saturday Boardings'!EC29/'Service Days per Month'!EC$5</f>
        <v>354</v>
      </c>
      <c r="ED29" s="18">
        <f>'Total Saturday Boardings'!ED29/'Service Days per Month'!ED$5</f>
        <v>310.25</v>
      </c>
      <c r="EE29" s="18">
        <f>'Total Saturday Boardings'!EE29/'Service Days per Month'!EE$5</f>
        <v>318</v>
      </c>
      <c r="EF29" s="18">
        <f>'Total Saturday Boardings'!EF29/'Service Days per Month'!EF$5</f>
        <v>317.39999999999998</v>
      </c>
      <c r="EG29" s="18">
        <f>'Total Saturday Boardings'!EG29/'Service Days per Month'!EG$5</f>
        <v>345</v>
      </c>
      <c r="EH29" s="18">
        <f>'Total Saturday Boardings'!EH29/'Service Days per Month'!EH$5</f>
        <v>282.25</v>
      </c>
      <c r="EI29" s="18">
        <f>'Total Saturday Boardings'!EI29/'Service Days per Month'!EI$5</f>
        <v>285.60000000000002</v>
      </c>
      <c r="EJ29" s="19">
        <f>'Total Saturday Boardings'!EJ29/'Service Days per Month'!EJ$5</f>
        <v>265</v>
      </c>
      <c r="EK29" s="17">
        <f>'Total Saturday Boardings'!EK29/'Service Days per Month'!EK$5</f>
        <v>178.25</v>
      </c>
      <c r="EL29" s="18">
        <f>'Total Saturday Boardings'!EL29/'Service Days per Month'!EL$5</f>
        <v>255.8</v>
      </c>
      <c r="EM29" s="18">
        <f>'Total Saturday Boardings'!EM29/'Service Days per Month'!EM$5</f>
        <v>207</v>
      </c>
      <c r="EN29" s="18">
        <f>'Total Saturday Boardings'!EN29/'Service Days per Month'!EN$5</f>
        <v>231.8</v>
      </c>
      <c r="EO29" s="18">
        <f>'Total Saturday Boardings'!EO29/'Service Days per Month'!EO$5</f>
        <v>204.75</v>
      </c>
      <c r="EP29" s="18">
        <f>'Total Saturday Boardings'!EP29/'Service Days per Month'!EP$5</f>
        <v>165.25</v>
      </c>
      <c r="EQ29" s="18">
        <f>'Total Saturday Boardings'!EQ29/'Service Days per Month'!EQ$5</f>
        <v>101.6</v>
      </c>
      <c r="ER29" s="18">
        <f>'Total Saturday Boardings'!ER29/'Service Days per Month'!ER$5</f>
        <v>187.5</v>
      </c>
      <c r="ES29" s="18">
        <f>'Total Saturday Boardings'!ES29/'Service Days per Month'!ES$5</f>
        <v>183.75</v>
      </c>
      <c r="ET29" s="18">
        <f>'Total Saturday Boardings'!ET29/'Service Days per Month'!ET$5</f>
        <v>189.5</v>
      </c>
      <c r="EU29" s="18">
        <f>'Total Saturday Boardings'!EU29/'Service Days per Month'!EU$5</f>
        <v>186.8</v>
      </c>
      <c r="EV29" s="19">
        <f>'Total Saturday Boardings'!EV29/'Service Days per Month'!EV$5</f>
        <v>172</v>
      </c>
      <c r="EW29" s="17">
        <f>'Total Saturday Boardings'!EW29/'Service Days per Month'!EW$5</f>
        <v>163.80000000000001</v>
      </c>
      <c r="EX29" s="18">
        <f>'Total Saturday Boardings'!EX29/'Service Days per Month'!EX$5</f>
        <v>136.25</v>
      </c>
      <c r="EY29" s="18">
        <f>'Total Saturday Boardings'!EY29/'Service Days per Month'!EY$5</f>
        <v>179.75</v>
      </c>
      <c r="EZ29" s="18">
        <f>'Total Saturday Boardings'!EZ29/'Service Days per Month'!EZ$5</f>
        <v>190</v>
      </c>
      <c r="FA29" s="18">
        <f>'Total Saturday Boardings'!FA29/'Service Days per Month'!FA$5</f>
        <v>214.75</v>
      </c>
      <c r="FB29" s="18">
        <f>'Total Saturday Boardings'!FB29/'Service Days per Month'!FB$5</f>
        <v>187.75</v>
      </c>
      <c r="FC29" s="18">
        <f>'Total Saturday Boardings'!FC29/'Service Days per Month'!FC$5</f>
        <v>176.4</v>
      </c>
      <c r="FD29" s="18">
        <f>'Total Saturday Boardings'!FD29/'Service Days per Month'!FD$5</f>
        <v>244.25</v>
      </c>
      <c r="FE29" s="18">
        <f>'Total Saturday Boardings'!FE29/'Service Days per Month'!FE$5</f>
        <v>265.25</v>
      </c>
      <c r="FF29" s="18">
        <f>'Total Saturday Boardings'!FF29/'Service Days per Month'!FF$5</f>
        <v>229</v>
      </c>
      <c r="FG29" s="18">
        <f>'Total Saturday Boardings'!FG29/'Service Days per Month'!FG$5</f>
        <v>228</v>
      </c>
      <c r="FH29" s="19">
        <f>'Total Saturday Boardings'!FH29/'Service Days per Month'!FH$5</f>
        <v>177</v>
      </c>
      <c r="FI29" s="17">
        <v>176</v>
      </c>
      <c r="FJ29" s="18">
        <v>202.75</v>
      </c>
      <c r="FK29" s="18">
        <v>208</v>
      </c>
      <c r="FL29" s="18">
        <v>210.8</v>
      </c>
      <c r="FM29" s="18">
        <v>178</v>
      </c>
      <c r="FN29" s="18">
        <v>192</v>
      </c>
      <c r="FO29" s="18">
        <v>186.6</v>
      </c>
      <c r="FP29" s="18">
        <v>234.25</v>
      </c>
      <c r="FQ29" s="18">
        <v>274.25</v>
      </c>
      <c r="FR29" s="18">
        <f>'Total Saturday Boardings'!FR29/5</f>
        <v>262</v>
      </c>
      <c r="FS29" s="18">
        <f>'Total Saturday Boardings'!FS29/4</f>
        <v>248.5</v>
      </c>
      <c r="FT29" s="19">
        <f>'Total Saturday Boardings'!FT29/4</f>
        <v>241</v>
      </c>
      <c r="FU29" s="17">
        <f>'Total Saturday Boardings'!FU29/5</f>
        <v>242</v>
      </c>
      <c r="FV29" s="18">
        <f>'Total Saturday Boardings'!FV29/4</f>
        <v>224</v>
      </c>
      <c r="FW29" s="18">
        <f>'Total Saturday Boardings'!FW29/5</f>
        <v>234</v>
      </c>
      <c r="FX29" s="18">
        <f>'Total Saturday Boardings'!FX29/4</f>
        <v>249.25</v>
      </c>
      <c r="FY29" s="18">
        <f>'Total Saturday Boardings'!FY29/4</f>
        <v>242.75</v>
      </c>
      <c r="FZ29" s="18">
        <f>'Total Saturday Boardings'!FZ29/5</f>
        <v>189</v>
      </c>
      <c r="GA29" s="18">
        <f>'Total Saturday Boardings'!GA29/4</f>
        <v>231</v>
      </c>
      <c r="GB29" s="18">
        <f>'Total Saturday Boardings'!GB29/4</f>
        <v>244</v>
      </c>
      <c r="GC29" s="18">
        <f>'Total Saturday Boardings'!GC29/5</f>
        <v>251.2</v>
      </c>
      <c r="GD29" s="18">
        <f>'Total Saturday Boardings'!GD29/4</f>
        <v>220.5</v>
      </c>
      <c r="GE29" s="18">
        <f>'Total Saturday Boardings'!GE29/4</f>
        <v>250.25</v>
      </c>
      <c r="GF29" s="18">
        <f>'Total Saturday Boardings'!GF29/5</f>
        <v>203.4</v>
      </c>
      <c r="GG29" s="18">
        <f>'Total Saturday Boardings'!GG29/4</f>
        <v>221.5</v>
      </c>
      <c r="GH29" s="18">
        <f>'Total Saturday Boardings'!GH29/5</f>
        <v>251.8</v>
      </c>
      <c r="GI29" s="18">
        <f>'Total Saturday Boardings'!GI29/4</f>
        <v>255.5</v>
      </c>
      <c r="GJ29" s="18">
        <f>'Total Saturday Boardings'!GJ29/4</f>
        <v>227.25</v>
      </c>
      <c r="GK29" s="18">
        <f>'Total Saturday Boardings'!GK29/5</f>
        <v>224</v>
      </c>
      <c r="GL29" s="18">
        <f>'Total Saturday Boardings'!GL29/4</f>
        <v>213.75</v>
      </c>
    </row>
    <row r="30" spans="1:194" x14ac:dyDescent="0.3">
      <c r="A30" s="3" t="s">
        <v>43</v>
      </c>
      <c r="B30" s="17"/>
      <c r="C30" s="18">
        <f>'Total Saturday Boardings'!C30/'Service Days per Month'!C$5</f>
        <v>740</v>
      </c>
      <c r="D30" s="18">
        <f>'Total Saturday Boardings'!D30/'Service Days per Month'!D$5</f>
        <v>252.5</v>
      </c>
      <c r="E30" s="18">
        <f>'Total Saturday Boardings'!E30/'Service Days per Month'!E$5</f>
        <v>207.5</v>
      </c>
      <c r="F30" s="18">
        <f>'Total Saturday Boardings'!F30/'Service Days per Month'!F$5</f>
        <v>244.5</v>
      </c>
      <c r="G30" s="18">
        <f>'Total Saturday Boardings'!G30/'Service Days per Month'!G$5</f>
        <v>188</v>
      </c>
      <c r="H30" s="19">
        <f>'Total Saturday Boardings'!H30/'Service Days per Month'!H$5</f>
        <v>224.75</v>
      </c>
      <c r="I30" s="17">
        <f>'Total Saturday Boardings'!I30/'Service Days per Month'!I$5</f>
        <v>246.33333333333334</v>
      </c>
      <c r="J30" s="18">
        <f>'Total Saturday Boardings'!J30/'Service Days per Month'!J$5</f>
        <v>192.2</v>
      </c>
      <c r="K30" s="18">
        <f>'Total Saturday Boardings'!K30/'Service Days per Month'!K$5</f>
        <v>252.75</v>
      </c>
      <c r="L30" s="18">
        <f>'Total Saturday Boardings'!L30/'Service Days per Month'!L$5</f>
        <v>244.2</v>
      </c>
      <c r="M30" s="18">
        <f>'Total Saturday Boardings'!M30/'Service Days per Month'!M$5</f>
        <v>295.5</v>
      </c>
      <c r="N30" s="18">
        <f>'Total Saturday Boardings'!N30/'Service Days per Month'!N$5</f>
        <v>313.5</v>
      </c>
      <c r="O30" s="62">
        <f>'Total Saturday Boardings'!O30/'Service Days per Month'!O$5</f>
        <v>278</v>
      </c>
      <c r="P30" s="62">
        <f>'Total Saturday Boardings'!P30/'Service Days per Month'!P$5</f>
        <v>307.25</v>
      </c>
      <c r="Q30" s="62">
        <f>'Total Saturday Boardings'!Q30/'Service Days per Month'!Q$5</f>
        <v>322.25</v>
      </c>
      <c r="R30" s="62">
        <f>'Total Saturday Boardings'!R30/'Service Days per Month'!R$5</f>
        <v>293.75</v>
      </c>
      <c r="S30" s="62">
        <f>'Total Saturday Boardings'!S30/'Service Days per Month'!S$5</f>
        <v>275.2</v>
      </c>
      <c r="T30" s="63">
        <f>'Total Saturday Boardings'!T30/'Service Days per Month'!T$5</f>
        <v>300.75</v>
      </c>
      <c r="U30" s="64">
        <f>'Total Saturday Boardings'!U30/'Service Days per Month'!U$5</f>
        <v>309.39999999999998</v>
      </c>
      <c r="V30" s="62">
        <f>'Total Saturday Boardings'!V30/'Service Days per Month'!V$5</f>
        <v>302.75</v>
      </c>
      <c r="W30" s="62">
        <f>'Total Saturday Boardings'!W30/'Service Days per Month'!W$5</f>
        <v>322.75</v>
      </c>
      <c r="X30" s="62">
        <f>'Total Saturday Boardings'!X30/'Service Days per Month'!X$5</f>
        <v>264.2</v>
      </c>
      <c r="Y30" s="62">
        <f>'Total Saturday Boardings'!Y30/'Service Days per Month'!Y$5</f>
        <v>311.5</v>
      </c>
      <c r="Z30" s="62">
        <f>'Total Saturday Boardings'!Z30/'Service Days per Month'!Z$5</f>
        <v>342.33333333333331</v>
      </c>
      <c r="AA30" s="18">
        <f>'Total Saturday Boardings'!AA30/'Service Days per Month'!AA$5</f>
        <v>305.39999999999998</v>
      </c>
      <c r="AB30" s="18">
        <f>'Total Saturday Boardings'!AB30/'Service Days per Month'!AB$5</f>
        <v>318</v>
      </c>
      <c r="AC30" s="18">
        <f>'Total Saturday Boardings'!AC30/'Service Days per Month'!AC$5</f>
        <v>537.75</v>
      </c>
      <c r="AD30" s="18">
        <f>'Total Saturday Boardings'!AD30/'Service Days per Month'!AD$5</f>
        <v>393.6</v>
      </c>
      <c r="AE30" s="18">
        <f>'Total Saturday Boardings'!AE30/'Service Days per Month'!AE$5</f>
        <v>357.5</v>
      </c>
      <c r="AF30" s="19">
        <f>'Total Saturday Boardings'!AF30/'Service Days per Month'!AF$5</f>
        <v>358</v>
      </c>
      <c r="AG30" s="17">
        <f>'Total Saturday Boardings'!AG30/'Service Days per Month'!AG$5</f>
        <v>356</v>
      </c>
      <c r="AH30" s="18">
        <f>'Total Saturday Boardings'!AH30/'Service Days per Month'!AH$5</f>
        <v>339.75</v>
      </c>
      <c r="AI30" s="18">
        <f>'Total Saturday Boardings'!AI30/'Service Days per Month'!AI$5</f>
        <v>406.25</v>
      </c>
      <c r="AJ30" s="18">
        <f>'Total Saturday Boardings'!AJ30/'Service Days per Month'!AJ$5</f>
        <v>448.4</v>
      </c>
      <c r="AK30" s="18">
        <f>'Total Saturday Boardings'!AK30/'Service Days per Month'!AK$5</f>
        <v>314.25</v>
      </c>
      <c r="AL30" s="18">
        <f>'Total Saturday Boardings'!AL30/'Service Days per Month'!AL$5</f>
        <v>457.5</v>
      </c>
      <c r="AM30" s="18">
        <f>'Total Saturday Boardings'!AM30/'Service Days per Month'!AM$5</f>
        <v>432.25</v>
      </c>
      <c r="AN30" s="18">
        <f>'Total Saturday Boardings'!AN30/'Service Days per Month'!AN$5</f>
        <v>420.75</v>
      </c>
      <c r="AO30" s="18">
        <f>'Total Saturday Boardings'!AO30/'Service Days per Month'!AO$5</f>
        <v>419.4</v>
      </c>
      <c r="AP30" s="18">
        <f>'Total Saturday Boardings'!AP30/'Service Days per Month'!AP$5</f>
        <v>386.75</v>
      </c>
      <c r="AQ30" s="18">
        <f>'Total Saturday Boardings'!AQ30/'Service Days per Month'!AQ$5</f>
        <v>374.5</v>
      </c>
      <c r="AR30" s="19">
        <f>'Total Saturday Boardings'!AR30/'Service Days per Month'!AR$5</f>
        <v>392.2</v>
      </c>
      <c r="AS30" s="17">
        <f>'Total Saturday Boardings'!AS30/'Service Days per Month'!AS$5</f>
        <v>361</v>
      </c>
      <c r="AT30" s="18">
        <f>'Total Saturday Boardings'!AT30/'Service Days per Month'!AT$5</f>
        <v>367</v>
      </c>
      <c r="AU30" s="18">
        <f>'Total Saturday Boardings'!AU30/'Service Days per Month'!AU$5</f>
        <v>401.8</v>
      </c>
      <c r="AV30" s="18">
        <f>'Total Saturday Boardings'!AV30/'Service Days per Month'!AV$5</f>
        <v>427.25</v>
      </c>
      <c r="AW30" s="18">
        <f>'Total Saturday Boardings'!AW30/'Service Days per Month'!AW$5</f>
        <v>432.25</v>
      </c>
      <c r="AX30" s="18">
        <f>'Total Saturday Boardings'!AX30/'Service Days per Month'!AX$5</f>
        <v>411.8</v>
      </c>
      <c r="AY30" s="18">
        <f>'Total Saturday Boardings'!AY30/'Service Days per Month'!AY$5</f>
        <v>381.5</v>
      </c>
      <c r="AZ30" s="18">
        <f>'Total Saturday Boardings'!AZ30/'Service Days per Month'!AZ$5</f>
        <v>450.25</v>
      </c>
      <c r="BA30" s="18">
        <f>'Total Saturday Boardings'!BA30/'Service Days per Month'!BA$5</f>
        <v>448.4</v>
      </c>
      <c r="BB30" s="18">
        <f>'Total Saturday Boardings'!BB30/'Service Days per Month'!BB$5</f>
        <v>444.25</v>
      </c>
      <c r="BC30" s="18">
        <f>'Total Saturday Boardings'!BC30/'Service Days per Month'!BC$5</f>
        <v>456.25</v>
      </c>
      <c r="BD30" s="19">
        <f>'Total Saturday Boardings'!BD30/'Service Days per Month'!BD$5</f>
        <v>393.2</v>
      </c>
      <c r="BE30" s="17">
        <f>'Total Saturday Boardings'!BE30/'Service Days per Month'!BE$5</f>
        <v>434.5</v>
      </c>
      <c r="BF30" s="18">
        <f>'Total Saturday Boardings'!BF30/'Service Days per Month'!BF$5</f>
        <v>424.2</v>
      </c>
      <c r="BG30" s="18">
        <f>'Total Saturday Boardings'!BG30/'Service Days per Month'!BG$5</f>
        <v>471.25</v>
      </c>
      <c r="BH30" s="18">
        <f>'Total Saturday Boardings'!BH30/'Service Days per Month'!BH$5</f>
        <v>478.5</v>
      </c>
      <c r="BI30" s="18">
        <f>'Total Saturday Boardings'!BI30/'Service Days per Month'!BI$5</f>
        <v>466.65335588204209</v>
      </c>
      <c r="BJ30" s="18">
        <f>'Total Saturday Boardings'!BJ30/'Service Days per Month'!BJ$5</f>
        <v>452.25</v>
      </c>
      <c r="BK30" s="18">
        <f>'Total Saturday Boardings'!BK30/'Service Days per Month'!BK$5</f>
        <v>528.75</v>
      </c>
      <c r="BL30" s="18">
        <f>'Total Saturday Boardings'!BL30/'Service Days per Month'!BL$5</f>
        <v>482.75</v>
      </c>
      <c r="BM30" s="18">
        <f>'Total Saturday Boardings'!BM30/'Service Days per Month'!BM$5</f>
        <v>480.6</v>
      </c>
      <c r="BN30" s="18">
        <f>'Total Saturday Boardings'!BN30/'Service Days per Month'!BN$5</f>
        <v>466.75</v>
      </c>
      <c r="BO30" s="18">
        <f>'Total Saturday Boardings'!BO30/'Service Days per Month'!BO$5</f>
        <v>436</v>
      </c>
      <c r="BP30" s="19">
        <f>'Total Saturday Boardings'!BP30/'Service Days per Month'!BP$5</f>
        <v>452.5</v>
      </c>
      <c r="BQ30" s="17">
        <f>'Total Saturday Boardings'!BQ30/'Service Days per Month'!BQ$5</f>
        <v>438</v>
      </c>
      <c r="BR30" s="18">
        <f>'Total Saturday Boardings'!BR30/'Service Days per Month'!BR$5</f>
        <v>409.4</v>
      </c>
      <c r="BS30" s="18">
        <f>'Total Saturday Boardings'!BS30/'Service Days per Month'!BS$5</f>
        <v>435.25</v>
      </c>
      <c r="BT30" s="18">
        <f>'Total Saturday Boardings'!BT30/'Service Days per Month'!BT$5</f>
        <v>461.5</v>
      </c>
      <c r="BU30" s="18">
        <f>'Total Saturday Boardings'!BU30/'Service Days per Month'!BU$5</f>
        <v>427</v>
      </c>
      <c r="BV30" s="18">
        <f>'Total Saturday Boardings'!BV30/'Service Days per Month'!BV$5</f>
        <v>431.25</v>
      </c>
      <c r="BW30" s="18">
        <f>'Total Saturday Boardings'!BW30/'Service Days per Month'!BW$5</f>
        <v>583.20000000000005</v>
      </c>
      <c r="BX30" s="18">
        <f>'Total Saturday Boardings'!BX30/'Service Days per Month'!BX$5</f>
        <v>472.25</v>
      </c>
      <c r="BY30" s="18">
        <f>'Total Saturday Boardings'!BY30/'Service Days per Month'!BY$5</f>
        <v>437</v>
      </c>
      <c r="BZ30" s="18">
        <f>'Total Saturday Boardings'!BZ30/'Service Days per Month'!BZ$5</f>
        <v>508.5</v>
      </c>
      <c r="CA30" s="18">
        <f>'Total Saturday Boardings'!CA30/'Service Days per Month'!CA$5</f>
        <v>460.4</v>
      </c>
      <c r="CB30" s="19">
        <f>'Total Saturday Boardings'!CB30/'Service Days per Month'!CB$5</f>
        <v>443</v>
      </c>
      <c r="CC30" s="20">
        <f>'Total Saturday Boardings'!CC30/'Service Days per Month'!CC$5</f>
        <v>467.75</v>
      </c>
      <c r="CD30" s="18">
        <f>'Total Saturday Boardings'!CD30/'Service Days per Month'!CD$5</f>
        <v>475.6</v>
      </c>
      <c r="CE30" s="18">
        <f>'Total Saturday Boardings'!CE30/'Service Days per Month'!CE$5</f>
        <v>508.5</v>
      </c>
      <c r="CF30" s="18">
        <f>'Total Saturday Boardings'!CF30/'Service Days per Month'!CF$5</f>
        <v>499.2</v>
      </c>
      <c r="CG30" s="18">
        <f>'Total Saturday Boardings'!CG30/'Service Days per Month'!CG$5</f>
        <v>492.5</v>
      </c>
      <c r="CH30" s="18">
        <f>'Total Saturday Boardings'!CH30/'Service Days per Month'!CH$5</f>
        <v>479.75</v>
      </c>
      <c r="CI30" s="18">
        <f>'Total Saturday Boardings'!CI30/'Service Days per Month'!CI$5</f>
        <v>506.2</v>
      </c>
      <c r="CJ30" s="18">
        <f>'Total Saturday Boardings'!CJ30/'Service Days per Month'!CJ$5</f>
        <v>505</v>
      </c>
      <c r="CK30" s="18">
        <f>'Total Saturday Boardings'!CK30/'Service Days per Month'!CK$5</f>
        <v>450.75</v>
      </c>
      <c r="CL30" s="18">
        <f>'Total Saturday Boardings'!CL30/'Service Days per Month'!CL$5</f>
        <v>467.2</v>
      </c>
      <c r="CM30" s="18">
        <f>'Total Saturday Boardings'!CM30/'Service Days per Month'!CM$5</f>
        <v>463.75</v>
      </c>
      <c r="CN30" s="21">
        <f>'Total Saturday Boardings'!CN30/'Service Days per Month'!CN$5</f>
        <v>418</v>
      </c>
      <c r="CO30" s="17">
        <f>'Total Saturday Boardings'!CO30/'Service Days per Month'!CO$5</f>
        <v>493</v>
      </c>
      <c r="CP30" s="18">
        <f>'Total Saturday Boardings'!CP30/'Service Days per Month'!CP$5</f>
        <v>508.75</v>
      </c>
      <c r="CQ30" s="18">
        <f>'Total Saturday Boardings'!CQ30/'Service Days per Month'!CQ$5</f>
        <v>497.25</v>
      </c>
      <c r="CR30" s="18">
        <f>'Total Saturday Boardings'!CR30/'Service Days per Month'!CR$5</f>
        <v>514.6</v>
      </c>
      <c r="CS30" s="18">
        <f>'Total Saturday Boardings'!CS30/'Service Days per Month'!CS$5</f>
        <v>476.75</v>
      </c>
      <c r="CT30" s="18">
        <f>'Total Saturday Boardings'!CT30/'Service Days per Month'!CT$5</f>
        <v>473.25</v>
      </c>
      <c r="CU30" s="18">
        <f>'Total Saturday Boardings'!CU30/'Service Days per Month'!CU$5</f>
        <v>496.5</v>
      </c>
      <c r="CV30" s="18">
        <f>'Total Saturday Boardings'!CV30/'Service Days per Month'!CV$5</f>
        <v>464.5</v>
      </c>
      <c r="CW30" s="18">
        <f>'Total Saturday Boardings'!CW30/'Service Days per Month'!CW$5</f>
        <v>520.5</v>
      </c>
      <c r="CX30" s="18">
        <f>'Total Saturday Boardings'!CX30/'Service Days per Month'!CX$5</f>
        <v>532.4</v>
      </c>
      <c r="CY30" s="18">
        <f>'Total Saturday Boardings'!CY30/'Service Days per Month'!CY$5</f>
        <v>487.25</v>
      </c>
      <c r="CZ30" s="19">
        <f>'Total Saturday Boardings'!CZ30/'Service Days per Month'!CZ$5</f>
        <v>445.75</v>
      </c>
      <c r="DA30" s="17">
        <f>'Total Saturday Boardings'!DA30/'Service Days per Month'!DA$5</f>
        <v>496.4</v>
      </c>
      <c r="DB30" s="18">
        <f>'Total Saturday Boardings'!DB30/'Service Days per Month'!DB$5</f>
        <v>476.5</v>
      </c>
      <c r="DC30" s="18">
        <f>'Total Saturday Boardings'!DC30/'Service Days per Month'!DC$5</f>
        <v>498</v>
      </c>
      <c r="DD30" s="18">
        <f>'Total Saturday Boardings'!DD30/'Service Days per Month'!DD$5</f>
        <v>498.5</v>
      </c>
      <c r="DE30" s="18">
        <f>'Total Saturday Boardings'!DE30/'Service Days per Month'!DE$5</f>
        <v>442.75</v>
      </c>
      <c r="DF30" s="18">
        <f>'Total Saturday Boardings'!DF30/'Service Days per Month'!DF$5</f>
        <v>476</v>
      </c>
      <c r="DG30" s="18">
        <f>'Total Saturday Boardings'!DG30/'Service Days per Month'!DG$5</f>
        <v>458.5</v>
      </c>
      <c r="DH30" s="18">
        <f>'Total Saturday Boardings'!DH30/'Service Days per Month'!DH$5</f>
        <v>465.5</v>
      </c>
      <c r="DI30" s="18">
        <f>'Total Saturday Boardings'!DI30/'Service Days per Month'!DI$5</f>
        <v>501.6</v>
      </c>
      <c r="DJ30" s="18">
        <f>'Total Saturday Boardings'!DJ30/'Service Days per Month'!DJ$5</f>
        <v>466.25</v>
      </c>
      <c r="DK30" s="18">
        <f>'Total Saturday Boardings'!DK30/'Service Days per Month'!DK$5</f>
        <v>442.75</v>
      </c>
      <c r="DL30" s="19">
        <f>'Total Saturday Boardings'!DL30/'Service Days per Month'!DL$5</f>
        <v>451.4</v>
      </c>
      <c r="DM30" s="17">
        <f>'Total Saturday Boardings'!DM30/'Service Days per Month'!DM$5</f>
        <v>471.75</v>
      </c>
      <c r="DN30" s="18">
        <f>'Total Saturday Boardings'!DN30/'Service Days per Month'!DN$5</f>
        <v>452.75</v>
      </c>
      <c r="DO30" s="18">
        <f>'Total Saturday Boardings'!DO30/'Service Days per Month'!DO$5</f>
        <v>457.8</v>
      </c>
      <c r="DP30" s="18">
        <f>'Total Saturday Boardings'!DP30/'Service Days per Month'!DP$5</f>
        <v>475.25</v>
      </c>
      <c r="DQ30" s="18">
        <f>'Total Saturday Boardings'!DQ30/'Service Days per Month'!DQ$5</f>
        <v>417.5</v>
      </c>
      <c r="DR30" s="18">
        <f>'Total Saturday Boardings'!DR30/'Service Days per Month'!DR$5</f>
        <v>441</v>
      </c>
      <c r="DS30" s="18">
        <f>'Total Saturday Boardings'!DS30/'Service Days per Month'!DS$5</f>
        <v>492</v>
      </c>
      <c r="DT30" s="18">
        <f>'Total Saturday Boardings'!DT30/'Service Days per Month'!DT$5</f>
        <v>444.5</v>
      </c>
      <c r="DU30" s="18">
        <f>'Total Saturday Boardings'!DU30/'Service Days per Month'!DU$5</f>
        <v>394.2</v>
      </c>
      <c r="DV30" s="18">
        <f>'Total Saturday Boardings'!DV30/'Service Days per Month'!DV$5</f>
        <v>113</v>
      </c>
      <c r="DW30" s="18">
        <f>'Total Saturday Boardings'!DW30/'Service Days per Month'!DW$5</f>
        <v>388.75</v>
      </c>
      <c r="DX30" s="19">
        <f>'Total Saturday Boardings'!DX30/'Service Days per Month'!DX$5</f>
        <v>418.6</v>
      </c>
      <c r="DY30" s="17">
        <f>'Total Saturday Boardings'!DY30/'Service Days per Month'!DY$5</f>
        <v>344.25</v>
      </c>
      <c r="DZ30" s="18">
        <f>'Total Saturday Boardings'!DZ30/'Service Days per Month'!DZ$5</f>
        <v>443.4</v>
      </c>
      <c r="EA30" s="18">
        <f>'Total Saturday Boardings'!EA30/'Service Days per Month'!EA$5</f>
        <v>398.5</v>
      </c>
      <c r="EB30" s="18">
        <f>'Total Saturday Boardings'!EB30/'Service Days per Month'!EB$5</f>
        <v>408.5</v>
      </c>
      <c r="EC30" s="18">
        <f>'Total Saturday Boardings'!EC30/'Service Days per Month'!EC$5</f>
        <v>431.4</v>
      </c>
      <c r="ED30" s="18">
        <f>'Total Saturday Boardings'!ED30/'Service Days per Month'!ED$5</f>
        <v>423.5</v>
      </c>
      <c r="EE30" s="18">
        <f>'Total Saturday Boardings'!EE30/'Service Days per Month'!EE$5</f>
        <v>368</v>
      </c>
      <c r="EF30" s="18">
        <f>'Total Saturday Boardings'!EF30/'Service Days per Month'!EF$5</f>
        <v>431</v>
      </c>
      <c r="EG30" s="18">
        <f>'Total Saturday Boardings'!EG30/'Service Days per Month'!EG$5</f>
        <v>286.25</v>
      </c>
      <c r="EH30" s="18">
        <f>'Total Saturday Boardings'!EH30/'Service Days per Month'!EH$5</f>
        <v>222.5</v>
      </c>
      <c r="EI30" s="18">
        <f>'Total Saturday Boardings'!EI30/'Service Days per Month'!EI$5</f>
        <v>195.2</v>
      </c>
      <c r="EJ30" s="19">
        <f>'Total Saturday Boardings'!EJ30/'Service Days per Month'!EJ$5</f>
        <v>209.75</v>
      </c>
      <c r="EK30" s="17">
        <f>'Total Saturday Boardings'!EK30/'Service Days per Month'!EK$5</f>
        <v>135.25</v>
      </c>
      <c r="EL30" s="18">
        <f>'Total Saturday Boardings'!EL30/'Service Days per Month'!EL$5</f>
        <v>194.6</v>
      </c>
      <c r="EM30" s="18">
        <f>'Total Saturday Boardings'!EM30/'Service Days per Month'!EM$5</f>
        <v>257.25</v>
      </c>
      <c r="EN30" s="18">
        <f>'Total Saturday Boardings'!EN30/'Service Days per Month'!EN$5</f>
        <v>209.2</v>
      </c>
      <c r="EO30" s="18">
        <f>'Total Saturday Boardings'!EO30/'Service Days per Month'!EO$5</f>
        <v>266</v>
      </c>
      <c r="EP30" s="18">
        <f>'Total Saturday Boardings'!EP30/'Service Days per Month'!EP$5</f>
        <v>188.5</v>
      </c>
      <c r="EQ30" s="18">
        <f>'Total Saturday Boardings'!EQ30/'Service Days per Month'!EQ$5</f>
        <v>89</v>
      </c>
      <c r="ER30" s="18">
        <f>'Total Saturday Boardings'!ER30/'Service Days per Month'!ER$5</f>
        <v>190.5</v>
      </c>
      <c r="ES30" s="18">
        <f>'Total Saturday Boardings'!ES30/'Service Days per Month'!ES$5</f>
        <v>211</v>
      </c>
      <c r="ET30" s="18">
        <f>'Total Saturday Boardings'!ET30/'Service Days per Month'!ET$5</f>
        <v>186</v>
      </c>
      <c r="EU30" s="18">
        <f>'Total Saturday Boardings'!EU30/'Service Days per Month'!EU$5</f>
        <v>197.4</v>
      </c>
      <c r="EV30" s="19">
        <f>'Total Saturday Boardings'!EV30/'Service Days per Month'!EV$5</f>
        <v>190.25</v>
      </c>
      <c r="EW30" s="17">
        <f>'Total Saturday Boardings'!EW30/'Service Days per Month'!EW$5</f>
        <v>212.8</v>
      </c>
      <c r="EX30" s="18">
        <f>'Total Saturday Boardings'!EX30/'Service Days per Month'!EX$5</f>
        <v>164.25</v>
      </c>
      <c r="EY30" s="18">
        <f>'Total Saturday Boardings'!EY30/'Service Days per Month'!EY$5</f>
        <v>199.5</v>
      </c>
      <c r="EZ30" s="18">
        <f>'Total Saturday Boardings'!EZ30/'Service Days per Month'!EZ$5</f>
        <v>240.8</v>
      </c>
      <c r="FA30" s="18">
        <f>'Total Saturday Boardings'!FA30/'Service Days per Month'!FA$5</f>
        <v>249.25</v>
      </c>
      <c r="FB30" s="18">
        <f>'Total Saturday Boardings'!FB30/'Service Days per Month'!FB$5</f>
        <v>263</v>
      </c>
      <c r="FC30" s="18">
        <f>'Total Saturday Boardings'!FC30/'Service Days per Month'!FC$5</f>
        <v>278.60000000000002</v>
      </c>
      <c r="FD30" s="18">
        <f>'Total Saturday Boardings'!FD30/'Service Days per Month'!FD$5</f>
        <v>321</v>
      </c>
      <c r="FE30" s="18">
        <f>'Total Saturday Boardings'!FE30/'Service Days per Month'!FE$5</f>
        <v>288.5</v>
      </c>
      <c r="FF30" s="18">
        <f>'Total Saturday Boardings'!FF30/'Service Days per Month'!FF$5</f>
        <v>269</v>
      </c>
      <c r="FG30" s="18">
        <f>'Total Saturday Boardings'!FG30/'Service Days per Month'!FG$5</f>
        <v>261</v>
      </c>
      <c r="FH30" s="19">
        <f>'Total Saturday Boardings'!FH30/'Service Days per Month'!FH$5</f>
        <v>242</v>
      </c>
      <c r="FI30" s="17">
        <v>232.4</v>
      </c>
      <c r="FJ30" s="18">
        <v>270</v>
      </c>
      <c r="FK30" s="18">
        <v>300.5</v>
      </c>
      <c r="FL30" s="18">
        <v>282.60000000000002</v>
      </c>
      <c r="FM30" s="18">
        <v>222.8</v>
      </c>
      <c r="FN30" s="18">
        <v>263.60000000000002</v>
      </c>
      <c r="FO30" s="18">
        <v>253</v>
      </c>
      <c r="FP30" s="18">
        <v>302.5</v>
      </c>
      <c r="FQ30" s="18">
        <v>331.75</v>
      </c>
      <c r="FR30" s="18">
        <f>'Total Saturday Boardings'!FR30/5</f>
        <v>326</v>
      </c>
      <c r="FS30" s="18">
        <f>'Total Saturday Boardings'!FS30/4</f>
        <v>328.75</v>
      </c>
      <c r="FT30" s="19">
        <f>'Total Saturday Boardings'!FT30/4</f>
        <v>320.25</v>
      </c>
      <c r="FU30" s="17">
        <f>'Total Saturday Boardings'!FU30/5</f>
        <v>324.2</v>
      </c>
      <c r="FV30" s="18">
        <f>'Total Saturday Boardings'!FV30/4</f>
        <v>346</v>
      </c>
      <c r="FW30" s="18">
        <f>'Total Saturday Boardings'!FW30/5</f>
        <v>306</v>
      </c>
      <c r="FX30" s="18">
        <f>'Total Saturday Boardings'!FX30/4</f>
        <v>299.5</v>
      </c>
      <c r="FY30" s="18">
        <f>'Total Saturday Boardings'!FY30/4</f>
        <v>332.5</v>
      </c>
      <c r="FZ30" s="18">
        <f>'Total Saturday Boardings'!FZ30/5</f>
        <v>254.8</v>
      </c>
      <c r="GA30" s="18">
        <f>'Total Saturday Boardings'!GA30/4</f>
        <v>328</v>
      </c>
      <c r="GB30" s="18">
        <f>'Total Saturday Boardings'!GB30/4</f>
        <v>359.75</v>
      </c>
      <c r="GC30" s="18">
        <f>'Total Saturday Boardings'!GC30/5</f>
        <v>372.2</v>
      </c>
      <c r="GD30" s="18">
        <f>'Total Saturday Boardings'!GD30/4</f>
        <v>315.75</v>
      </c>
      <c r="GE30" s="18">
        <f>'Total Saturday Boardings'!GE30/4</f>
        <v>353</v>
      </c>
      <c r="GF30" s="18">
        <f>'Total Saturday Boardings'!GF30/5</f>
        <v>318.60000000000002</v>
      </c>
      <c r="GG30" s="18">
        <f>'Total Saturday Boardings'!GG30/4</f>
        <v>318.75</v>
      </c>
      <c r="GH30" s="18">
        <f>'Total Saturday Boardings'!GH30/5</f>
        <v>336.4</v>
      </c>
      <c r="GI30" s="18">
        <f>'Total Saturday Boardings'!GI30/4</f>
        <v>332.25</v>
      </c>
      <c r="GJ30" s="18">
        <f>'Total Saturday Boardings'!GJ30/4</f>
        <v>328.75</v>
      </c>
      <c r="GK30" s="18">
        <f>'Total Saturday Boardings'!GK30/5</f>
        <v>280.39999999999998</v>
      </c>
      <c r="GL30" s="18">
        <f>'Total Saturday Boardings'!GL30/4</f>
        <v>288</v>
      </c>
    </row>
    <row r="31" spans="1:194" x14ac:dyDescent="0.3">
      <c r="A31" s="3" t="s">
        <v>14</v>
      </c>
      <c r="B31" s="17"/>
      <c r="C31" s="18">
        <f>'Total Saturday Boardings'!C31/'Service Days per Month'!C$5</f>
        <v>697</v>
      </c>
      <c r="D31" s="18">
        <f>'Total Saturday Boardings'!D31/'Service Days per Month'!D$5</f>
        <v>414</v>
      </c>
      <c r="E31" s="18">
        <f>'Total Saturday Boardings'!E31/'Service Days per Month'!E$5</f>
        <v>236.75</v>
      </c>
      <c r="F31" s="18">
        <f>'Total Saturday Boardings'!F31/'Service Days per Month'!F$5</f>
        <v>256</v>
      </c>
      <c r="G31" s="18">
        <f>'Total Saturday Boardings'!G31/'Service Days per Month'!G$5</f>
        <v>203.6</v>
      </c>
      <c r="H31" s="19">
        <f>'Total Saturday Boardings'!H31/'Service Days per Month'!H$5</f>
        <v>211.75</v>
      </c>
      <c r="I31" s="17">
        <f>'Total Saturday Boardings'!I31/'Service Days per Month'!I$5</f>
        <v>217.66666666666666</v>
      </c>
      <c r="J31" s="18">
        <f>'Total Saturday Boardings'!J31/'Service Days per Month'!J$5</f>
        <v>148.4</v>
      </c>
      <c r="K31" s="18">
        <f>'Total Saturday Boardings'!K31/'Service Days per Month'!K$5</f>
        <v>203.5</v>
      </c>
      <c r="L31" s="18">
        <f>'Total Saturday Boardings'!L31/'Service Days per Month'!L$5</f>
        <v>163.6</v>
      </c>
      <c r="M31" s="18">
        <f>'Total Saturday Boardings'!M31/'Service Days per Month'!M$5</f>
        <v>232.75</v>
      </c>
      <c r="N31" s="18">
        <f>'Total Saturday Boardings'!N31/'Service Days per Month'!N$5</f>
        <v>262.75</v>
      </c>
      <c r="O31" s="62">
        <f>'Total Saturday Boardings'!O31/'Service Days per Month'!O$5</f>
        <v>222.6</v>
      </c>
      <c r="P31" s="62">
        <f>'Total Saturday Boardings'!P31/'Service Days per Month'!P$5</f>
        <v>268.25</v>
      </c>
      <c r="Q31" s="62">
        <f>'Total Saturday Boardings'!Q31/'Service Days per Month'!Q$5</f>
        <v>315.75</v>
      </c>
      <c r="R31" s="62">
        <f>'Total Saturday Boardings'!R31/'Service Days per Month'!R$5</f>
        <v>297</v>
      </c>
      <c r="S31" s="62">
        <f>'Total Saturday Boardings'!S31/'Service Days per Month'!S$5</f>
        <v>201</v>
      </c>
      <c r="T31" s="63">
        <f>'Total Saturday Boardings'!T31/'Service Days per Month'!T$5</f>
        <v>192</v>
      </c>
      <c r="U31" s="64">
        <f>'Total Saturday Boardings'!U31/'Service Days per Month'!U$5</f>
        <v>201.6</v>
      </c>
      <c r="V31" s="62">
        <f>'Total Saturday Boardings'!V31/'Service Days per Month'!V$5</f>
        <v>198.25</v>
      </c>
      <c r="W31" s="62">
        <f>'Total Saturday Boardings'!W31/'Service Days per Month'!W$5</f>
        <v>243.75</v>
      </c>
      <c r="X31" s="62">
        <f>'Total Saturday Boardings'!X31/'Service Days per Month'!X$5</f>
        <v>153.80000000000001</v>
      </c>
      <c r="Y31" s="62">
        <f>'Total Saturday Boardings'!Y31/'Service Days per Month'!Y$5</f>
        <v>240.75</v>
      </c>
      <c r="Z31" s="62">
        <f>'Total Saturday Boardings'!Z31/'Service Days per Month'!Z$5</f>
        <v>236</v>
      </c>
      <c r="AA31" s="18">
        <f>'Total Saturday Boardings'!AA31/'Service Days per Month'!AA$5</f>
        <v>182.8</v>
      </c>
      <c r="AB31" s="18">
        <f>'Total Saturday Boardings'!AB31/'Service Days per Month'!AB$5</f>
        <v>313.25</v>
      </c>
      <c r="AC31" s="18">
        <f>'Total Saturday Boardings'!AC31/'Service Days per Month'!AC$5</f>
        <v>344.25</v>
      </c>
      <c r="AD31" s="18">
        <f>'Total Saturday Boardings'!AD31/'Service Days per Month'!AD$5</f>
        <v>327.8</v>
      </c>
      <c r="AE31" s="18">
        <f>'Total Saturday Boardings'!AE31/'Service Days per Month'!AE$5</f>
        <v>307.5</v>
      </c>
      <c r="AF31" s="19">
        <f>'Total Saturday Boardings'!AF31/'Service Days per Month'!AF$5</f>
        <v>241</v>
      </c>
      <c r="AG31" s="17">
        <f>'Total Saturday Boardings'!AG31/'Service Days per Month'!AG$5</f>
        <v>255.4</v>
      </c>
      <c r="AH31" s="18">
        <f>'Total Saturday Boardings'!AH31/'Service Days per Month'!AH$5</f>
        <v>252.75</v>
      </c>
      <c r="AI31" s="18">
        <f>'Total Saturday Boardings'!AI31/'Service Days per Month'!AI$5</f>
        <v>297.25</v>
      </c>
      <c r="AJ31" s="18">
        <f>'Total Saturday Boardings'!AJ31/'Service Days per Month'!AJ$5</f>
        <v>273.8</v>
      </c>
      <c r="AK31" s="18">
        <f>'Total Saturday Boardings'!AK31/'Service Days per Month'!AK$5</f>
        <v>228</v>
      </c>
      <c r="AL31" s="18">
        <f>'Total Saturday Boardings'!AL31/'Service Days per Month'!AL$5</f>
        <v>327.5</v>
      </c>
      <c r="AM31" s="18">
        <f>'Total Saturday Boardings'!AM31/'Service Days per Month'!AM$5</f>
        <v>306.5</v>
      </c>
      <c r="AN31" s="18">
        <f>'Total Saturday Boardings'!AN31/'Service Days per Month'!AN$5</f>
        <v>324</v>
      </c>
      <c r="AO31" s="18">
        <f>'Total Saturday Boardings'!AO31/'Service Days per Month'!AO$5</f>
        <v>326</v>
      </c>
      <c r="AP31" s="18">
        <f>'Total Saturday Boardings'!AP31/'Service Days per Month'!AP$5</f>
        <v>315</v>
      </c>
      <c r="AQ31" s="18">
        <f>'Total Saturday Boardings'!AQ31/'Service Days per Month'!AQ$5</f>
        <v>328.25</v>
      </c>
      <c r="AR31" s="19">
        <f>'Total Saturday Boardings'!AR31/'Service Days per Month'!AR$5</f>
        <v>259</v>
      </c>
      <c r="AS31" s="17">
        <f>'Total Saturday Boardings'!AS31/'Service Days per Month'!AS$5</f>
        <v>231.75</v>
      </c>
      <c r="AT31" s="18">
        <f>'Total Saturday Boardings'!AT31/'Service Days per Month'!AT$5</f>
        <v>226.75</v>
      </c>
      <c r="AU31" s="18">
        <f>'Total Saturday Boardings'!AU31/'Service Days per Month'!AU$5</f>
        <v>255.4</v>
      </c>
      <c r="AV31" s="18">
        <f>'Total Saturday Boardings'!AV31/'Service Days per Month'!AV$5</f>
        <v>279.25</v>
      </c>
      <c r="AW31" s="18">
        <f>'Total Saturday Boardings'!AW31/'Service Days per Month'!AW$5</f>
        <v>332.75</v>
      </c>
      <c r="AX31" s="18">
        <f>'Total Saturday Boardings'!AX31/'Service Days per Month'!AX$5</f>
        <v>247.4</v>
      </c>
      <c r="AY31" s="18">
        <f>'Total Saturday Boardings'!AY31/'Service Days per Month'!AY$5</f>
        <v>247</v>
      </c>
      <c r="AZ31" s="18">
        <f>'Total Saturday Boardings'!AZ31/'Service Days per Month'!AZ$5</f>
        <v>337.75</v>
      </c>
      <c r="BA31" s="18">
        <f>'Total Saturday Boardings'!BA31/'Service Days per Month'!BA$5</f>
        <v>331.8</v>
      </c>
      <c r="BB31" s="18">
        <f>'Total Saturday Boardings'!BB31/'Service Days per Month'!BB$5</f>
        <v>441</v>
      </c>
      <c r="BC31" s="18">
        <f>'Total Saturday Boardings'!BC31/'Service Days per Month'!BC$5</f>
        <v>288.5</v>
      </c>
      <c r="BD31" s="19">
        <f>'Total Saturday Boardings'!BD31/'Service Days per Month'!BD$5</f>
        <v>210</v>
      </c>
      <c r="BE31" s="17">
        <f>'Total Saturday Boardings'!BE31/'Service Days per Month'!BE$5</f>
        <v>224</v>
      </c>
      <c r="BF31" s="18">
        <f>'Total Saturday Boardings'!BF31/'Service Days per Month'!BF$5</f>
        <v>213.4</v>
      </c>
      <c r="BG31" s="18">
        <f>'Total Saturday Boardings'!BG31/'Service Days per Month'!BG$5</f>
        <v>263.5</v>
      </c>
      <c r="BH31" s="18">
        <f>'Total Saturday Boardings'!BH31/'Service Days per Month'!BH$5</f>
        <v>273.5</v>
      </c>
      <c r="BI31" s="18">
        <f>'Total Saturday Boardings'!BI31/'Service Days per Month'!BI$5</f>
        <v>337.11329880562306</v>
      </c>
      <c r="BJ31" s="18">
        <f>'Total Saturday Boardings'!BJ31/'Service Days per Month'!BJ$5</f>
        <v>403.75</v>
      </c>
      <c r="BK31" s="18">
        <f>'Total Saturday Boardings'!BK31/'Service Days per Month'!BK$5</f>
        <v>329</v>
      </c>
      <c r="BL31" s="18">
        <f>'Total Saturday Boardings'!BL31/'Service Days per Month'!BL$5</f>
        <v>371.75</v>
      </c>
      <c r="BM31" s="18">
        <f>'Total Saturday Boardings'!BM31/'Service Days per Month'!BM$5</f>
        <v>311.39999999999998</v>
      </c>
      <c r="BN31" s="18">
        <f>'Total Saturday Boardings'!BN31/'Service Days per Month'!BN$5</f>
        <v>336</v>
      </c>
      <c r="BO31" s="18">
        <f>'Total Saturday Boardings'!BO31/'Service Days per Month'!BO$5</f>
        <v>241.2</v>
      </c>
      <c r="BP31" s="19">
        <f>'Total Saturday Boardings'!BP31/'Service Days per Month'!BP$5</f>
        <v>326.75</v>
      </c>
      <c r="BQ31" s="17">
        <f>'Total Saturday Boardings'!BQ31/'Service Days per Month'!BQ$5</f>
        <v>231</v>
      </c>
      <c r="BR31" s="18">
        <f>'Total Saturday Boardings'!BR31/'Service Days per Month'!BR$5</f>
        <v>269</v>
      </c>
      <c r="BS31" s="18">
        <f>'Total Saturday Boardings'!BS31/'Service Days per Month'!BS$5</f>
        <v>251.25</v>
      </c>
      <c r="BT31" s="18">
        <f>'Total Saturday Boardings'!BT31/'Service Days per Month'!BT$5</f>
        <v>286.75</v>
      </c>
      <c r="BU31" s="18">
        <f>'Total Saturday Boardings'!BU31/'Service Days per Month'!BU$5</f>
        <v>295</v>
      </c>
      <c r="BV31" s="18">
        <f>'Total Saturday Boardings'!BV31/'Service Days per Month'!BV$5</f>
        <v>281.25</v>
      </c>
      <c r="BW31" s="18">
        <f>'Total Saturday Boardings'!BW31/'Service Days per Month'!BW$5</f>
        <v>539</v>
      </c>
      <c r="BX31" s="18">
        <f>'Total Saturday Boardings'!BX31/'Service Days per Month'!BX$5</f>
        <v>321.75</v>
      </c>
      <c r="BY31" s="18">
        <f>'Total Saturday Boardings'!BY31/'Service Days per Month'!BY$5</f>
        <v>278.75</v>
      </c>
      <c r="BZ31" s="18">
        <f>'Total Saturday Boardings'!BZ31/'Service Days per Month'!BZ$5</f>
        <v>354.25</v>
      </c>
      <c r="CA31" s="18">
        <f>'Total Saturday Boardings'!CA31/'Service Days per Month'!CA$5</f>
        <v>343.6</v>
      </c>
      <c r="CB31" s="19">
        <f>'Total Saturday Boardings'!CB31/'Service Days per Month'!CB$5</f>
        <v>295.25</v>
      </c>
      <c r="CC31" s="20">
        <f>'Total Saturday Boardings'!CC31/'Service Days per Month'!CC$5</f>
        <v>358.75</v>
      </c>
      <c r="CD31" s="18">
        <f>'Total Saturday Boardings'!CD31/'Service Days per Month'!CD$5</f>
        <v>454</v>
      </c>
      <c r="CE31" s="18">
        <f>'Total Saturday Boardings'!CE31/'Service Days per Month'!CE$5</f>
        <v>992.25</v>
      </c>
      <c r="CF31" s="18">
        <f>'Total Saturday Boardings'!CF31/'Service Days per Month'!CF$5</f>
        <v>1059.5999999999999</v>
      </c>
      <c r="CG31" s="18">
        <f>'Total Saturday Boardings'!CG31/'Service Days per Month'!CG$5</f>
        <v>1042</v>
      </c>
      <c r="CH31" s="18">
        <f>'Total Saturday Boardings'!CH31/'Service Days per Month'!CH$5</f>
        <v>759.25</v>
      </c>
      <c r="CI31" s="18">
        <f>'Total Saturday Boardings'!CI31/'Service Days per Month'!CI$5</f>
        <v>914.2</v>
      </c>
      <c r="CJ31" s="18">
        <f>'Total Saturday Boardings'!CJ31/'Service Days per Month'!CJ$5</f>
        <v>811.75</v>
      </c>
      <c r="CK31" s="18">
        <f>'Total Saturday Boardings'!CK31/'Service Days per Month'!CK$5</f>
        <v>819.5</v>
      </c>
      <c r="CL31" s="18">
        <f>'Total Saturday Boardings'!CL31/'Service Days per Month'!CL$5</f>
        <v>1010.6</v>
      </c>
      <c r="CM31" s="18">
        <f>'Total Saturday Boardings'!CM31/'Service Days per Month'!CM$5</f>
        <v>892.5</v>
      </c>
      <c r="CN31" s="21">
        <f>'Total Saturday Boardings'!CN31/'Service Days per Month'!CN$5</f>
        <v>924.25</v>
      </c>
      <c r="CO31" s="17">
        <f>'Total Saturday Boardings'!CO31/'Service Days per Month'!CO$5</f>
        <v>708.4</v>
      </c>
      <c r="CP31" s="18">
        <f>'Total Saturday Boardings'!CP31/'Service Days per Month'!CP$5</f>
        <v>758.25</v>
      </c>
      <c r="CQ31" s="18">
        <f>'Total Saturday Boardings'!CQ31/'Service Days per Month'!CQ$5</f>
        <v>1024.75</v>
      </c>
      <c r="CR31" s="18">
        <f>'Total Saturday Boardings'!CR31/'Service Days per Month'!CR$5</f>
        <v>1036</v>
      </c>
      <c r="CS31" s="18">
        <f>'Total Saturday Boardings'!CS31/'Service Days per Month'!CS$5</f>
        <v>746.5</v>
      </c>
      <c r="CT31" s="18">
        <f>'Total Saturday Boardings'!CT31/'Service Days per Month'!CT$5</f>
        <v>870</v>
      </c>
      <c r="CU31" s="18">
        <f>'Total Saturday Boardings'!CU31/'Service Days per Month'!CU$5</f>
        <v>803</v>
      </c>
      <c r="CV31" s="18">
        <f>'Total Saturday Boardings'!CV31/'Service Days per Month'!CV$5</f>
        <v>743.75</v>
      </c>
      <c r="CW31" s="18">
        <f>'Total Saturday Boardings'!CW31/'Service Days per Month'!CW$5</f>
        <v>878.5</v>
      </c>
      <c r="CX31" s="18">
        <f>'Total Saturday Boardings'!CX31/'Service Days per Month'!CX$5</f>
        <v>1186.2</v>
      </c>
      <c r="CY31" s="18">
        <f>'Total Saturday Boardings'!CY31/'Service Days per Month'!CY$5</f>
        <v>889.5</v>
      </c>
      <c r="CZ31" s="19">
        <f>'Total Saturday Boardings'!CZ31/'Service Days per Month'!CZ$5</f>
        <v>682</v>
      </c>
      <c r="DA31" s="17">
        <f>'Total Saturday Boardings'!DA31/'Service Days per Month'!DA$5</f>
        <v>642.4</v>
      </c>
      <c r="DB31" s="18">
        <f>'Total Saturday Boardings'!DB31/'Service Days per Month'!DB$5</f>
        <v>661</v>
      </c>
      <c r="DC31" s="18">
        <f>'Total Saturday Boardings'!DC31/'Service Days per Month'!DC$5</f>
        <v>800.4</v>
      </c>
      <c r="DD31" s="18">
        <f>'Total Saturday Boardings'!DD31/'Service Days per Month'!DD$5</f>
        <v>988.25</v>
      </c>
      <c r="DE31" s="18">
        <f>'Total Saturday Boardings'!DE31/'Service Days per Month'!DE$5</f>
        <v>910.5</v>
      </c>
      <c r="DF31" s="18">
        <f>'Total Saturday Boardings'!DF31/'Service Days per Month'!DF$5</f>
        <v>682.6</v>
      </c>
      <c r="DG31" s="18">
        <f>'Total Saturday Boardings'!DG31/'Service Days per Month'!DG$5</f>
        <v>681.5</v>
      </c>
      <c r="DH31" s="18">
        <f>'Total Saturday Boardings'!DH31/'Service Days per Month'!DH$5</f>
        <v>731.75</v>
      </c>
      <c r="DI31" s="18">
        <f>'Total Saturday Boardings'!DI31/'Service Days per Month'!DI$5</f>
        <v>885.2</v>
      </c>
      <c r="DJ31" s="18">
        <f>'Total Saturday Boardings'!DJ31/'Service Days per Month'!DJ$5</f>
        <v>809.25</v>
      </c>
      <c r="DK31" s="18">
        <f>'Total Saturday Boardings'!DK31/'Service Days per Month'!DK$5</f>
        <v>725</v>
      </c>
      <c r="DL31" s="19">
        <f>'Total Saturday Boardings'!DL31/'Service Days per Month'!DL$5</f>
        <v>694.8</v>
      </c>
      <c r="DM31" s="17">
        <f>'Total Saturday Boardings'!DM31/'Service Days per Month'!DM$5</f>
        <v>507.5</v>
      </c>
      <c r="DN31" s="18">
        <f>'Total Saturday Boardings'!DN31/'Service Days per Month'!DN$5</f>
        <v>554.25</v>
      </c>
      <c r="DO31" s="18">
        <f>'Total Saturday Boardings'!DO31/'Service Days per Month'!DO$5</f>
        <v>822</v>
      </c>
      <c r="DP31" s="18">
        <f>'Total Saturday Boardings'!DP31/'Service Days per Month'!DP$5</f>
        <v>590.25</v>
      </c>
      <c r="DQ31" s="18">
        <f>'Total Saturday Boardings'!DQ31/'Service Days per Month'!DQ$5</f>
        <v>786</v>
      </c>
      <c r="DR31" s="18">
        <f>'Total Saturday Boardings'!DR31/'Service Days per Month'!DR$5</f>
        <v>667.8</v>
      </c>
      <c r="DS31" s="18">
        <f>'Total Saturday Boardings'!DS31/'Service Days per Month'!DS$5</f>
        <v>615.25</v>
      </c>
      <c r="DT31" s="18">
        <f>'Total Saturday Boardings'!DT31/'Service Days per Month'!DT$5</f>
        <v>638.25</v>
      </c>
      <c r="DU31" s="18">
        <f>'Total Saturday Boardings'!DU31/'Service Days per Month'!DU$5</f>
        <v>888.4</v>
      </c>
      <c r="DV31" s="18">
        <f>'Total Saturday Boardings'!DV31/'Service Days per Month'!DV$5</f>
        <v>854.5</v>
      </c>
      <c r="DW31" s="18">
        <f>'Total Saturday Boardings'!DW31/'Service Days per Month'!DW$5</f>
        <v>684</v>
      </c>
      <c r="DX31" s="19">
        <f>'Total Saturday Boardings'!DX31/'Service Days per Month'!DX$5</f>
        <v>666.8</v>
      </c>
      <c r="DY31" s="17">
        <f>'Total Saturday Boardings'!DY31/'Service Days per Month'!DY$5</f>
        <v>545.25</v>
      </c>
      <c r="DZ31" s="18">
        <f>'Total Saturday Boardings'!DZ31/'Service Days per Month'!DZ$5</f>
        <v>614.4</v>
      </c>
      <c r="EA31" s="18">
        <f>'Total Saturday Boardings'!EA31/'Service Days per Month'!EA$5</f>
        <v>671</v>
      </c>
      <c r="EB31" s="18">
        <f>'Total Saturday Boardings'!EB31/'Service Days per Month'!EB$5</f>
        <v>711</v>
      </c>
      <c r="EC31" s="18">
        <f>'Total Saturday Boardings'!EC31/'Service Days per Month'!EC$5</f>
        <v>866.4</v>
      </c>
      <c r="ED31" s="18">
        <f>'Total Saturday Boardings'!ED31/'Service Days per Month'!ED$5</f>
        <v>613.25</v>
      </c>
      <c r="EE31" s="18">
        <f>'Total Saturday Boardings'!EE31/'Service Days per Month'!EE$5</f>
        <v>588.25</v>
      </c>
      <c r="EF31" s="18">
        <f>'Total Saturday Boardings'!EF31/'Service Days per Month'!EF$5</f>
        <v>671</v>
      </c>
      <c r="EG31" s="18">
        <f>'Total Saturday Boardings'!EG31/'Service Days per Month'!EG$5</f>
        <v>441.5</v>
      </c>
      <c r="EH31" s="18">
        <f>'Total Saturday Boardings'!EH31/'Service Days per Month'!EH$5</f>
        <v>296.75</v>
      </c>
      <c r="EI31" s="18">
        <f>'Total Saturday Boardings'!EI31/'Service Days per Month'!EI$5</f>
        <v>264.8</v>
      </c>
      <c r="EJ31" s="19">
        <f>'Total Saturday Boardings'!EJ31/'Service Days per Month'!EJ$5</f>
        <v>327.5</v>
      </c>
      <c r="EK31" s="17">
        <f>'Total Saturday Boardings'!EK31/'Service Days per Month'!EK$5</f>
        <v>215.25</v>
      </c>
      <c r="EL31" s="18">
        <f>'Total Saturday Boardings'!EL31/'Service Days per Month'!EL$5</f>
        <v>326.60000000000002</v>
      </c>
      <c r="EM31" s="18">
        <f>'Total Saturday Boardings'!EM31/'Service Days per Month'!EM$5</f>
        <v>347.5</v>
      </c>
      <c r="EN31" s="18">
        <f>'Total Saturday Boardings'!EN31/'Service Days per Month'!EN$5</f>
        <v>386.4</v>
      </c>
      <c r="EO31" s="18">
        <f>'Total Saturday Boardings'!EO31/'Service Days per Month'!EO$5</f>
        <v>423.5</v>
      </c>
      <c r="EP31" s="18">
        <f>'Total Saturday Boardings'!EP31/'Service Days per Month'!EP$5</f>
        <v>304.25</v>
      </c>
      <c r="EQ31" s="18">
        <f>'Total Saturday Boardings'!EQ31/'Service Days per Month'!EQ$5</f>
        <v>186</v>
      </c>
      <c r="ER31" s="18">
        <f>'Total Saturday Boardings'!ER31/'Service Days per Month'!ER$5</f>
        <v>355</v>
      </c>
      <c r="ES31" s="18">
        <f>'Total Saturday Boardings'!ES31/'Service Days per Month'!ES$5</f>
        <v>391</v>
      </c>
      <c r="ET31" s="18">
        <f>'Total Saturday Boardings'!ET31/'Service Days per Month'!ET$5</f>
        <v>384</v>
      </c>
      <c r="EU31" s="18">
        <f>'Total Saturday Boardings'!EU31/'Service Days per Month'!EU$5</f>
        <v>359.8</v>
      </c>
      <c r="EV31" s="19">
        <f>'Total Saturday Boardings'!EV31/'Service Days per Month'!EV$5</f>
        <v>347.25</v>
      </c>
      <c r="EW31" s="17">
        <f>'Total Saturday Boardings'!EW31/'Service Days per Month'!EW$5</f>
        <v>338.8</v>
      </c>
      <c r="EX31" s="18">
        <f>'Total Saturday Boardings'!EX31/'Service Days per Month'!EX$5</f>
        <v>232.25</v>
      </c>
      <c r="EY31" s="18">
        <f>'Total Saturday Boardings'!EY31/'Service Days per Month'!EY$5</f>
        <v>444.75</v>
      </c>
      <c r="EZ31" s="18">
        <f>'Total Saturday Boardings'!EZ31/'Service Days per Month'!EZ$5</f>
        <v>400.6</v>
      </c>
      <c r="FA31" s="18">
        <f>'Total Saturday Boardings'!FA31/'Service Days per Month'!FA$5</f>
        <v>505.5</v>
      </c>
      <c r="FB31" s="18">
        <f>'Total Saturday Boardings'!FB31/'Service Days per Month'!FB$5</f>
        <v>382.25</v>
      </c>
      <c r="FC31" s="18">
        <f>'Total Saturday Boardings'!FC31/'Service Days per Month'!FC$5</f>
        <v>323.39999999999998</v>
      </c>
      <c r="FD31" s="18">
        <f>'Total Saturday Boardings'!FD31/'Service Days per Month'!FD$5</f>
        <v>496.5</v>
      </c>
      <c r="FE31" s="18">
        <f>'Total Saturday Boardings'!FE31/'Service Days per Month'!FE$5</f>
        <v>508.75</v>
      </c>
      <c r="FF31" s="18">
        <f>'Total Saturday Boardings'!FF31/'Service Days per Month'!FF$5</f>
        <v>479.4</v>
      </c>
      <c r="FG31" s="18">
        <f>'Total Saturday Boardings'!FG31/'Service Days per Month'!FG$5</f>
        <v>486.75</v>
      </c>
      <c r="FH31" s="19">
        <f>'Total Saturday Boardings'!FH31/'Service Days per Month'!FH$5</f>
        <v>297.5</v>
      </c>
      <c r="FI31" s="17">
        <v>326.8</v>
      </c>
      <c r="FJ31" s="18">
        <v>367</v>
      </c>
      <c r="FK31" s="18">
        <v>482.25</v>
      </c>
      <c r="FL31" s="18">
        <v>398</v>
      </c>
      <c r="FM31" s="18">
        <v>448.8</v>
      </c>
      <c r="FN31" s="18">
        <v>310.60000000000002</v>
      </c>
      <c r="FO31" s="18">
        <v>333.2</v>
      </c>
      <c r="FP31" s="18">
        <v>856.75</v>
      </c>
      <c r="FQ31" s="18">
        <v>533.25</v>
      </c>
      <c r="FR31" s="18">
        <f>'Total Saturday Boardings'!FR31/5</f>
        <v>811.6</v>
      </c>
      <c r="FS31" s="18">
        <f>'Total Saturday Boardings'!FS31/4</f>
        <v>543.75</v>
      </c>
      <c r="FT31" s="19">
        <f>'Total Saturday Boardings'!FT31/4</f>
        <v>644.25</v>
      </c>
      <c r="FU31" s="17">
        <f>'Total Saturday Boardings'!FU31/5</f>
        <v>435.8</v>
      </c>
      <c r="FV31" s="18">
        <f>'Total Saturday Boardings'!FV31/4</f>
        <v>481</v>
      </c>
      <c r="FW31" s="18">
        <f>'Total Saturday Boardings'!FW31/5</f>
        <v>606.4</v>
      </c>
      <c r="FX31" s="18">
        <f>'Total Saturday Boardings'!FX31/4</f>
        <v>663.25</v>
      </c>
      <c r="FY31" s="18">
        <f>'Total Saturday Boardings'!FY31/4</f>
        <v>501</v>
      </c>
      <c r="FZ31" s="18">
        <f>'Total Saturday Boardings'!FZ31/5</f>
        <v>290</v>
      </c>
      <c r="GA31" s="18">
        <f>'Total Saturday Boardings'!GA31/4</f>
        <v>447</v>
      </c>
      <c r="GB31" s="18">
        <f>'Total Saturday Boardings'!GB31/4</f>
        <v>507.25</v>
      </c>
      <c r="GC31" s="18">
        <f>'Total Saturday Boardings'!GC31/5</f>
        <v>762.2</v>
      </c>
      <c r="GD31" s="18">
        <f>'Total Saturday Boardings'!GD31/4</f>
        <v>696.5</v>
      </c>
      <c r="GE31" s="18">
        <f>'Total Saturday Boardings'!GE31/4</f>
        <v>784</v>
      </c>
      <c r="GF31" s="18">
        <f>'Total Saturday Boardings'!GF31/5</f>
        <v>508.2</v>
      </c>
      <c r="GG31" s="18">
        <f>'Total Saturday Boardings'!GG31/4</f>
        <v>474</v>
      </c>
      <c r="GH31" s="18">
        <f>'Total Saturday Boardings'!GH31/5</f>
        <v>581.20000000000005</v>
      </c>
      <c r="GI31" s="18">
        <f>'Total Saturday Boardings'!GI31/4</f>
        <v>626.5</v>
      </c>
      <c r="GJ31" s="18">
        <f>'Total Saturday Boardings'!GJ31/4</f>
        <v>446.75</v>
      </c>
      <c r="GK31" s="18">
        <f>'Total Saturday Boardings'!GK31/5</f>
        <v>515.4</v>
      </c>
      <c r="GL31" s="18">
        <f>'Total Saturday Boardings'!GL31/4</f>
        <v>356.25</v>
      </c>
    </row>
    <row r="32" spans="1:194" x14ac:dyDescent="0.3">
      <c r="A32" s="3" t="s">
        <v>15</v>
      </c>
      <c r="B32" s="17"/>
      <c r="C32" s="18">
        <f>'Total Saturday Boardings'!C32/'Service Days per Month'!C$5</f>
        <v>910.2</v>
      </c>
      <c r="D32" s="18">
        <f>'Total Saturday Boardings'!D32/'Service Days per Month'!D$5</f>
        <v>1071.25</v>
      </c>
      <c r="E32" s="18">
        <f>'Total Saturday Boardings'!E32/'Service Days per Month'!E$5</f>
        <v>957</v>
      </c>
      <c r="F32" s="18">
        <f>'Total Saturday Boardings'!F32/'Service Days per Month'!F$5</f>
        <v>935</v>
      </c>
      <c r="G32" s="18">
        <f>'Total Saturday Boardings'!G32/'Service Days per Month'!G$5</f>
        <v>649.6</v>
      </c>
      <c r="H32" s="19">
        <f>'Total Saturday Boardings'!H32/'Service Days per Month'!H$5</f>
        <v>756</v>
      </c>
      <c r="I32" s="17">
        <f>'Total Saturday Boardings'!I32/'Service Days per Month'!I$5</f>
        <v>823</v>
      </c>
      <c r="J32" s="18">
        <f>'Total Saturday Boardings'!J32/'Service Days per Month'!J$5</f>
        <v>498.2</v>
      </c>
      <c r="K32" s="18">
        <f>'Total Saturday Boardings'!K32/'Service Days per Month'!K$5</f>
        <v>861.25</v>
      </c>
      <c r="L32" s="18">
        <f>'Total Saturday Boardings'!L32/'Service Days per Month'!L$5</f>
        <v>679.6</v>
      </c>
      <c r="M32" s="18">
        <f>'Total Saturday Boardings'!M32/'Service Days per Month'!M$5</f>
        <v>873.75</v>
      </c>
      <c r="N32" s="18">
        <f>'Total Saturday Boardings'!N32/'Service Days per Month'!N$5</f>
        <v>856.5</v>
      </c>
      <c r="O32" s="62">
        <f>'Total Saturday Boardings'!O32/'Service Days per Month'!O$5</f>
        <v>772.8</v>
      </c>
      <c r="P32" s="62">
        <f>'Total Saturday Boardings'!P32/'Service Days per Month'!P$5</f>
        <v>900.75</v>
      </c>
      <c r="Q32" s="62">
        <f>'Total Saturday Boardings'!Q32/'Service Days per Month'!Q$5</f>
        <v>977</v>
      </c>
      <c r="R32" s="62">
        <f>'Total Saturday Boardings'!R32/'Service Days per Month'!R$5</f>
        <v>901.75</v>
      </c>
      <c r="S32" s="62">
        <f>'Total Saturday Boardings'!S32/'Service Days per Month'!S$5</f>
        <v>610.4</v>
      </c>
      <c r="T32" s="63">
        <f>'Total Saturday Boardings'!T32/'Service Days per Month'!T$5</f>
        <v>716.75</v>
      </c>
      <c r="U32" s="64">
        <f>'Total Saturday Boardings'!U32/'Service Days per Month'!U$5</f>
        <v>708.8</v>
      </c>
      <c r="V32" s="62">
        <f>'Total Saturday Boardings'!V32/'Service Days per Month'!V$5</f>
        <v>706.75</v>
      </c>
      <c r="W32" s="62">
        <f>'Total Saturday Boardings'!W32/'Service Days per Month'!W$5</f>
        <v>987.5</v>
      </c>
      <c r="X32" s="62">
        <f>'Total Saturday Boardings'!X32/'Service Days per Month'!X$5</f>
        <v>634.79999999999995</v>
      </c>
      <c r="Y32" s="62">
        <f>'Total Saturday Boardings'!Y32/'Service Days per Month'!Y$5</f>
        <v>887</v>
      </c>
      <c r="Z32" s="62">
        <f>'Total Saturday Boardings'!Z32/'Service Days per Month'!Z$5</f>
        <v>895.66666666666663</v>
      </c>
      <c r="AA32" s="18">
        <f>'Total Saturday Boardings'!AA32/'Service Days per Month'!AA$5</f>
        <v>718.2</v>
      </c>
      <c r="AB32" s="18">
        <f>'Total Saturday Boardings'!AB32/'Service Days per Month'!AB$5</f>
        <v>875.5</v>
      </c>
      <c r="AC32" s="18">
        <f>'Total Saturday Boardings'!AC32/'Service Days per Month'!AC$5</f>
        <v>1093.5</v>
      </c>
      <c r="AD32" s="18">
        <f>'Total Saturday Boardings'!AD32/'Service Days per Month'!AD$5</f>
        <v>1015</v>
      </c>
      <c r="AE32" s="18">
        <f>'Total Saturday Boardings'!AE32/'Service Days per Month'!AE$5</f>
        <v>921.75</v>
      </c>
      <c r="AF32" s="19">
        <f>'Total Saturday Boardings'!AF32/'Service Days per Month'!AF$5</f>
        <v>785.5</v>
      </c>
      <c r="AG32" s="17">
        <f>'Total Saturday Boardings'!AG32/'Service Days per Month'!AG$5</f>
        <v>830</v>
      </c>
      <c r="AH32" s="18">
        <f>'Total Saturday Boardings'!AH32/'Service Days per Month'!AH$5</f>
        <v>914.5</v>
      </c>
      <c r="AI32" s="18">
        <f>'Total Saturday Boardings'!AI32/'Service Days per Month'!AI$5</f>
        <v>970</v>
      </c>
      <c r="AJ32" s="18">
        <f>'Total Saturday Boardings'!AJ32/'Service Days per Month'!AJ$5</f>
        <v>1032.5999999999999</v>
      </c>
      <c r="AK32" s="18">
        <f>'Total Saturday Boardings'!AK32/'Service Days per Month'!AK$5</f>
        <v>897</v>
      </c>
      <c r="AL32" s="18">
        <f>'Total Saturday Boardings'!AL32/'Service Days per Month'!AL$5</f>
        <v>1162.5</v>
      </c>
      <c r="AM32" s="18">
        <f>'Total Saturday Boardings'!AM32/'Service Days per Month'!AM$5</f>
        <v>973.25</v>
      </c>
      <c r="AN32" s="18">
        <f>'Total Saturday Boardings'!AN32/'Service Days per Month'!AN$5</f>
        <v>990</v>
      </c>
      <c r="AO32" s="18">
        <f>'Total Saturday Boardings'!AO32/'Service Days per Month'!AO$5</f>
        <v>1013.2</v>
      </c>
      <c r="AP32" s="18">
        <f>'Total Saturday Boardings'!AP32/'Service Days per Month'!AP$5</f>
        <v>1073.25</v>
      </c>
      <c r="AQ32" s="18">
        <f>'Total Saturday Boardings'!AQ32/'Service Days per Month'!AQ$5</f>
        <v>1047.5</v>
      </c>
      <c r="AR32" s="19">
        <f>'Total Saturday Boardings'!AR32/'Service Days per Month'!AR$5</f>
        <v>953.8</v>
      </c>
      <c r="AS32" s="17">
        <f>'Total Saturday Boardings'!AS32/'Service Days per Month'!AS$5</f>
        <v>873</v>
      </c>
      <c r="AT32" s="18">
        <f>'Total Saturday Boardings'!AT32/'Service Days per Month'!AT$5</f>
        <v>897.75</v>
      </c>
      <c r="AU32" s="18">
        <f>'Total Saturday Boardings'!AU32/'Service Days per Month'!AU$5</f>
        <v>1001.2</v>
      </c>
      <c r="AV32" s="18">
        <f>'Total Saturday Boardings'!AV32/'Service Days per Month'!AV$5</f>
        <v>1250.5</v>
      </c>
      <c r="AW32" s="18">
        <f>'Total Saturday Boardings'!AW32/'Service Days per Month'!AW$5</f>
        <v>1107.25</v>
      </c>
      <c r="AX32" s="18">
        <f>'Total Saturday Boardings'!AX32/'Service Days per Month'!AX$5</f>
        <v>1052.8</v>
      </c>
      <c r="AY32" s="18">
        <f>'Total Saturday Boardings'!AY32/'Service Days per Month'!AY$5</f>
        <v>976</v>
      </c>
      <c r="AZ32" s="18">
        <f>'Total Saturday Boardings'!AZ32/'Service Days per Month'!AZ$5</f>
        <v>1068.75</v>
      </c>
      <c r="BA32" s="18">
        <f>'Total Saturday Boardings'!BA32/'Service Days per Month'!BA$5</f>
        <v>1055.8</v>
      </c>
      <c r="BB32" s="18">
        <f>'Total Saturday Boardings'!BB32/'Service Days per Month'!BB$5</f>
        <v>1404</v>
      </c>
      <c r="BC32" s="18">
        <f>'Total Saturday Boardings'!BC32/'Service Days per Month'!BC$5</f>
        <v>1292</v>
      </c>
      <c r="BD32" s="19">
        <f>'Total Saturday Boardings'!BD32/'Service Days per Month'!BD$5</f>
        <v>1058.2</v>
      </c>
      <c r="BE32" s="17">
        <f>'Total Saturday Boardings'!BE32/'Service Days per Month'!BE$5</f>
        <v>1091</v>
      </c>
      <c r="BF32" s="18">
        <f>'Total Saturday Boardings'!BF32/'Service Days per Month'!BF$5</f>
        <v>1033.8</v>
      </c>
      <c r="BG32" s="18">
        <f>'Total Saturday Boardings'!BG32/'Service Days per Month'!BG$5</f>
        <v>1284</v>
      </c>
      <c r="BH32" s="18">
        <f>'Total Saturday Boardings'!BH32/'Service Days per Month'!BH$5</f>
        <v>1351.5</v>
      </c>
      <c r="BI32" s="18">
        <f>'Total Saturday Boardings'!BI32/'Service Days per Month'!BI$5</f>
        <v>1412.3045174928654</v>
      </c>
      <c r="BJ32" s="18">
        <f>'Total Saturday Boardings'!BJ32/'Service Days per Month'!BJ$5</f>
        <v>1498.25</v>
      </c>
      <c r="BK32" s="18">
        <f>'Total Saturday Boardings'!BK32/'Service Days per Month'!BK$5</f>
        <v>1444.75</v>
      </c>
      <c r="BL32" s="18">
        <f>'Total Saturday Boardings'!BL32/'Service Days per Month'!BL$5</f>
        <v>1318.5</v>
      </c>
      <c r="BM32" s="18">
        <f>'Total Saturday Boardings'!BM32/'Service Days per Month'!BM$5</f>
        <v>1322.8</v>
      </c>
      <c r="BN32" s="18">
        <f>'Total Saturday Boardings'!BN32/'Service Days per Month'!BN$5</f>
        <v>1323</v>
      </c>
      <c r="BO32" s="18">
        <f>'Total Saturday Boardings'!BO32/'Service Days per Month'!BO$5</f>
        <v>1133.4000000000001</v>
      </c>
      <c r="BP32" s="19">
        <f>'Total Saturday Boardings'!BP32/'Service Days per Month'!BP$5</f>
        <v>1159.5</v>
      </c>
      <c r="BQ32" s="17">
        <f>'Total Saturday Boardings'!BQ32/'Service Days per Month'!BQ$5</f>
        <v>1000</v>
      </c>
      <c r="BR32" s="18">
        <f>'Total Saturday Boardings'!BR32/'Service Days per Month'!BR$5</f>
        <v>1121.8</v>
      </c>
      <c r="BS32" s="18">
        <f>'Total Saturday Boardings'!BS32/'Service Days per Month'!BS$5</f>
        <v>1044.5</v>
      </c>
      <c r="BT32" s="18">
        <f>'Total Saturday Boardings'!BT32/'Service Days per Month'!BT$5</f>
        <v>1451.75</v>
      </c>
      <c r="BU32" s="18">
        <f>'Total Saturday Boardings'!BU32/'Service Days per Month'!BU$5</f>
        <v>1484</v>
      </c>
      <c r="BV32" s="18">
        <f>'Total Saturday Boardings'!BV32/'Service Days per Month'!BV$5</f>
        <v>1320.75</v>
      </c>
      <c r="BW32" s="18">
        <f>'Total Saturday Boardings'!BW32/'Service Days per Month'!BW$5</f>
        <v>2176.8000000000002</v>
      </c>
      <c r="BX32" s="18">
        <f>'Total Saturday Boardings'!BX32/'Service Days per Month'!BX$5</f>
        <v>1257.75</v>
      </c>
      <c r="BY32" s="18">
        <f>'Total Saturday Boardings'!BY32/'Service Days per Month'!BY$5</f>
        <v>1327.5</v>
      </c>
      <c r="BZ32" s="18">
        <f>'Total Saturday Boardings'!BZ32/'Service Days per Month'!BZ$5</f>
        <v>1357.75</v>
      </c>
      <c r="CA32" s="18">
        <f>'Total Saturday Boardings'!CA32/'Service Days per Month'!CA$5</f>
        <v>1361.8</v>
      </c>
      <c r="CB32" s="19">
        <f>'Total Saturday Boardings'!CB32/'Service Days per Month'!CB$5</f>
        <v>1111</v>
      </c>
      <c r="CC32" s="20">
        <f>'Total Saturday Boardings'!CC32/'Service Days per Month'!CC$5</f>
        <v>1240</v>
      </c>
      <c r="CD32" s="18">
        <f>'Total Saturday Boardings'!CD32/'Service Days per Month'!CD$5</f>
        <v>1276.2</v>
      </c>
      <c r="CE32" s="18">
        <f>'Total Saturday Boardings'!CE32/'Service Days per Month'!CE$5</f>
        <v>1771</v>
      </c>
      <c r="CF32" s="18">
        <f>'Total Saturday Boardings'!CF32/'Service Days per Month'!CF$5</f>
        <v>2025.2</v>
      </c>
      <c r="CG32" s="18">
        <f>'Total Saturday Boardings'!CG32/'Service Days per Month'!CG$5</f>
        <v>1821</v>
      </c>
      <c r="CH32" s="18">
        <f>'Total Saturday Boardings'!CH32/'Service Days per Month'!CH$5</f>
        <v>1731</v>
      </c>
      <c r="CI32" s="18">
        <f>'Total Saturday Boardings'!CI32/'Service Days per Month'!CI$5</f>
        <v>1881.4</v>
      </c>
      <c r="CJ32" s="18">
        <f>'Total Saturday Boardings'!CJ32/'Service Days per Month'!CJ$5</f>
        <v>1716</v>
      </c>
      <c r="CK32" s="18">
        <f>'Total Saturday Boardings'!CK32/'Service Days per Month'!CK$5</f>
        <v>1805.75</v>
      </c>
      <c r="CL32" s="18">
        <f>'Total Saturday Boardings'!CL32/'Service Days per Month'!CL$5</f>
        <v>1839.2</v>
      </c>
      <c r="CM32" s="18">
        <f>'Total Saturday Boardings'!CM32/'Service Days per Month'!CM$5</f>
        <v>1809.75</v>
      </c>
      <c r="CN32" s="21">
        <f>'Total Saturday Boardings'!CN32/'Service Days per Month'!CN$5</f>
        <v>1681.25</v>
      </c>
      <c r="CO32" s="17">
        <f>'Total Saturday Boardings'!CO32/'Service Days per Month'!CO$5</f>
        <v>1662</v>
      </c>
      <c r="CP32" s="18">
        <f>'Total Saturday Boardings'!CP32/'Service Days per Month'!CP$5</f>
        <v>1654.75</v>
      </c>
      <c r="CQ32" s="18">
        <f>'Total Saturday Boardings'!CQ32/'Service Days per Month'!CQ$5</f>
        <v>1739.25</v>
      </c>
      <c r="CR32" s="18">
        <f>'Total Saturday Boardings'!CR32/'Service Days per Month'!CR$5</f>
        <v>1682</v>
      </c>
      <c r="CS32" s="18">
        <f>'Total Saturday Boardings'!CS32/'Service Days per Month'!CS$5</f>
        <v>1666</v>
      </c>
      <c r="CT32" s="18">
        <f>'Total Saturday Boardings'!CT32/'Service Days per Month'!CT$5</f>
        <v>1713</v>
      </c>
      <c r="CU32" s="18">
        <f>'Total Saturday Boardings'!CU32/'Service Days per Month'!CU$5</f>
        <v>1812.25</v>
      </c>
      <c r="CV32" s="18">
        <f>'Total Saturday Boardings'!CV32/'Service Days per Month'!CV$5</f>
        <v>1697</v>
      </c>
      <c r="CW32" s="18">
        <f>'Total Saturday Boardings'!CW32/'Service Days per Month'!CW$5</f>
        <v>1673.5</v>
      </c>
      <c r="CX32" s="18">
        <f>'Total Saturday Boardings'!CX32/'Service Days per Month'!CX$5</f>
        <v>2002</v>
      </c>
      <c r="CY32" s="18">
        <f>'Total Saturday Boardings'!CY32/'Service Days per Month'!CY$5</f>
        <v>1724.75</v>
      </c>
      <c r="CZ32" s="19">
        <f>'Total Saturday Boardings'!CZ32/'Service Days per Month'!CZ$5</f>
        <v>1520.75</v>
      </c>
      <c r="DA32" s="17">
        <f>'Total Saturday Boardings'!DA32/'Service Days per Month'!DA$5</f>
        <v>1461.8</v>
      </c>
      <c r="DB32" s="18">
        <f>'Total Saturday Boardings'!DB32/'Service Days per Month'!DB$5</f>
        <v>1539.5</v>
      </c>
      <c r="DC32" s="18">
        <f>'Total Saturday Boardings'!DC32/'Service Days per Month'!DC$5</f>
        <v>1554.2</v>
      </c>
      <c r="DD32" s="18">
        <f>'Total Saturday Boardings'!DD32/'Service Days per Month'!DD$5</f>
        <v>1806</v>
      </c>
      <c r="DE32" s="18">
        <f>'Total Saturday Boardings'!DE32/'Service Days per Month'!DE$5</f>
        <v>1685.25</v>
      </c>
      <c r="DF32" s="18">
        <f>'Total Saturday Boardings'!DF32/'Service Days per Month'!DF$5</f>
        <v>1628.8</v>
      </c>
      <c r="DG32" s="18">
        <f>'Total Saturday Boardings'!DG32/'Service Days per Month'!DG$5</f>
        <v>1600.25</v>
      </c>
      <c r="DH32" s="18">
        <f>'Total Saturday Boardings'!DH32/'Service Days per Month'!DH$5</f>
        <v>1598.5</v>
      </c>
      <c r="DI32" s="18">
        <f>'Total Saturday Boardings'!DI32/'Service Days per Month'!DI$5</f>
        <v>1651.6</v>
      </c>
      <c r="DJ32" s="18">
        <f>'Total Saturday Boardings'!DJ32/'Service Days per Month'!DJ$5</f>
        <v>1623.5</v>
      </c>
      <c r="DK32" s="18">
        <f>'Total Saturday Boardings'!DK32/'Service Days per Month'!DK$5</f>
        <v>1592.5</v>
      </c>
      <c r="DL32" s="19">
        <f>'Total Saturday Boardings'!DL32/'Service Days per Month'!DL$5</f>
        <v>1489.8</v>
      </c>
      <c r="DM32" s="17">
        <f>'Total Saturday Boardings'!DM32/'Service Days per Month'!DM$5</f>
        <v>1502.25</v>
      </c>
      <c r="DN32" s="18">
        <f>'Total Saturday Boardings'!DN32/'Service Days per Month'!DN$5</f>
        <v>1547.75</v>
      </c>
      <c r="DO32" s="18">
        <f>'Total Saturday Boardings'!DO32/'Service Days per Month'!DO$5</f>
        <v>1623.2</v>
      </c>
      <c r="DP32" s="18">
        <f>'Total Saturday Boardings'!DP32/'Service Days per Month'!DP$5</f>
        <v>1469.25</v>
      </c>
      <c r="DQ32" s="18">
        <f>'Total Saturday Boardings'!DQ32/'Service Days per Month'!DQ$5</f>
        <v>1692.5</v>
      </c>
      <c r="DR32" s="18">
        <f>'Total Saturday Boardings'!DR32/'Service Days per Month'!DR$5</f>
        <v>1543.8</v>
      </c>
      <c r="DS32" s="18">
        <f>'Total Saturday Boardings'!DS32/'Service Days per Month'!DS$5</f>
        <v>1781.75</v>
      </c>
      <c r="DT32" s="18">
        <f>'Total Saturday Boardings'!DT32/'Service Days per Month'!DT$5</f>
        <v>1534</v>
      </c>
      <c r="DU32" s="18">
        <f>'Total Saturday Boardings'!DU32/'Service Days per Month'!DU$5</f>
        <v>1675</v>
      </c>
      <c r="DV32" s="18">
        <f>'Total Saturday Boardings'!DV32/'Service Days per Month'!DV$5</f>
        <v>1575.75</v>
      </c>
      <c r="DW32" s="18">
        <f>'Total Saturday Boardings'!DW32/'Service Days per Month'!DW$5</f>
        <v>1518.25</v>
      </c>
      <c r="DX32" s="19">
        <f>'Total Saturday Boardings'!DX32/'Service Days per Month'!DX$5</f>
        <v>1452.2</v>
      </c>
      <c r="DY32" s="17">
        <f>'Total Saturday Boardings'!DY32/'Service Days per Month'!DY$5</f>
        <v>1370.5</v>
      </c>
      <c r="DZ32" s="18">
        <f>'Total Saturday Boardings'!DZ32/'Service Days per Month'!DZ$5</f>
        <v>1641.2</v>
      </c>
      <c r="EA32" s="18">
        <f>'Total Saturday Boardings'!EA32/'Service Days per Month'!EA$5</f>
        <v>1603</v>
      </c>
      <c r="EB32" s="18">
        <f>'Total Saturday Boardings'!EB32/'Service Days per Month'!EB$5</f>
        <v>1500.5</v>
      </c>
      <c r="EC32" s="18">
        <f>'Total Saturday Boardings'!EC32/'Service Days per Month'!EC$5</f>
        <v>1592.6</v>
      </c>
      <c r="ED32" s="18">
        <f>'Total Saturday Boardings'!ED32/'Service Days per Month'!ED$5</f>
        <v>1411</v>
      </c>
      <c r="EE32" s="18">
        <f>'Total Saturday Boardings'!EE32/'Service Days per Month'!EE$5</f>
        <v>1503.5</v>
      </c>
      <c r="EF32" s="18">
        <f>'Total Saturday Boardings'!EF32/'Service Days per Month'!EF$5</f>
        <v>1538.2</v>
      </c>
      <c r="EG32" s="18">
        <f>'Total Saturday Boardings'!EG32/'Service Days per Month'!EG$5</f>
        <v>1220.75</v>
      </c>
      <c r="EH32" s="18">
        <f>'Total Saturday Boardings'!EH32/'Service Days per Month'!EH$5</f>
        <v>770.5</v>
      </c>
      <c r="EI32" s="18">
        <f>'Total Saturday Boardings'!EI32/'Service Days per Month'!EI$5</f>
        <v>663.6</v>
      </c>
      <c r="EJ32" s="19">
        <f>'Total Saturday Boardings'!EJ32/'Service Days per Month'!EJ$5</f>
        <v>663</v>
      </c>
      <c r="EK32" s="17">
        <f>'Total Saturday Boardings'!EK32/'Service Days per Month'!EK$5</f>
        <v>543.75</v>
      </c>
      <c r="EL32" s="18">
        <f>'Total Saturday Boardings'!EL32/'Service Days per Month'!EL$5</f>
        <v>728.2</v>
      </c>
      <c r="EM32" s="18">
        <f>'Total Saturday Boardings'!EM32/'Service Days per Month'!EM$5</f>
        <v>715</v>
      </c>
      <c r="EN32" s="18">
        <f>'Total Saturday Boardings'!EN32/'Service Days per Month'!EN$5</f>
        <v>757.6</v>
      </c>
      <c r="EO32" s="18">
        <f>'Total Saturday Boardings'!EO32/'Service Days per Month'!EO$5</f>
        <v>969.5</v>
      </c>
      <c r="EP32" s="18">
        <f>'Total Saturday Boardings'!EP32/'Service Days per Month'!EP$5</f>
        <v>548.5</v>
      </c>
      <c r="EQ32" s="18">
        <f>'Total Saturday Boardings'!EQ32/'Service Days per Month'!EQ$5</f>
        <v>358</v>
      </c>
      <c r="ER32" s="18">
        <f>'Total Saturday Boardings'!ER32/'Service Days per Month'!ER$5</f>
        <v>666.75</v>
      </c>
      <c r="ES32" s="18">
        <f>'Total Saturday Boardings'!ES32/'Service Days per Month'!ES$5</f>
        <v>778.75</v>
      </c>
      <c r="ET32" s="18">
        <f>'Total Saturday Boardings'!ET32/'Service Days per Month'!ET$5</f>
        <v>786</v>
      </c>
      <c r="EU32" s="18">
        <f>'Total Saturday Boardings'!EU32/'Service Days per Month'!EU$5</f>
        <v>780.4</v>
      </c>
      <c r="EV32" s="19">
        <f>'Total Saturday Boardings'!EV32/'Service Days per Month'!EV$5</f>
        <v>797.25</v>
      </c>
      <c r="EW32" s="17">
        <f>'Total Saturday Boardings'!EW32/'Service Days per Month'!EW$5</f>
        <v>775.6</v>
      </c>
      <c r="EX32" s="18">
        <f>'Total Saturday Boardings'!EX32/'Service Days per Month'!EX$5</f>
        <v>764.75</v>
      </c>
      <c r="EY32" s="18">
        <f>'Total Saturday Boardings'!EY32/'Service Days per Month'!EY$5</f>
        <v>825.5</v>
      </c>
      <c r="EZ32" s="18">
        <f>'Total Saturday Boardings'!EZ32/'Service Days per Month'!EZ$5</f>
        <v>897.8</v>
      </c>
      <c r="FA32" s="18">
        <f>'Total Saturday Boardings'!FA32/'Service Days per Month'!FA$5</f>
        <v>1085.75</v>
      </c>
      <c r="FB32" s="18">
        <f>'Total Saturday Boardings'!FB32/'Service Days per Month'!FB$5</f>
        <v>996.25</v>
      </c>
      <c r="FC32" s="18">
        <f>'Total Saturday Boardings'!FC32/'Service Days per Month'!FC$5</f>
        <v>862</v>
      </c>
      <c r="FD32" s="18">
        <f>'Total Saturday Boardings'!FD32/'Service Days per Month'!FD$5</f>
        <v>1029.25</v>
      </c>
      <c r="FE32" s="18">
        <f>'Total Saturday Boardings'!FE32/'Service Days per Month'!FE$5</f>
        <v>1173</v>
      </c>
      <c r="FF32" s="18">
        <f>'Total Saturday Boardings'!FF32/'Service Days per Month'!FF$5</f>
        <v>1020.4</v>
      </c>
      <c r="FG32" s="18">
        <f>'Total Saturday Boardings'!FG32/'Service Days per Month'!FG$5</f>
        <v>952</v>
      </c>
      <c r="FH32" s="19">
        <f>'Total Saturday Boardings'!FH32/'Service Days per Month'!FH$5</f>
        <v>680.75</v>
      </c>
      <c r="FI32" s="17">
        <v>745</v>
      </c>
      <c r="FJ32" s="18">
        <v>803.75</v>
      </c>
      <c r="FK32" s="18">
        <v>926.5</v>
      </c>
      <c r="FL32" s="18">
        <v>920</v>
      </c>
      <c r="FM32" s="18">
        <v>838.2</v>
      </c>
      <c r="FN32" s="18">
        <v>897.4</v>
      </c>
      <c r="FO32" s="18">
        <v>852.6</v>
      </c>
      <c r="FP32" s="18">
        <v>1034.5</v>
      </c>
      <c r="FQ32" s="18">
        <v>1177.25</v>
      </c>
      <c r="FR32" s="18">
        <f>'Total Saturday Boardings'!FR32/5</f>
        <v>1046.8</v>
      </c>
      <c r="FS32" s="18">
        <f>'Total Saturday Boardings'!FS32/4</f>
        <v>1120.5</v>
      </c>
      <c r="FT32" s="19">
        <f>'Total Saturday Boardings'!FT32/4</f>
        <v>1076.75</v>
      </c>
      <c r="FU32" s="17">
        <f>'Total Saturday Boardings'!FU32/5</f>
        <v>947.8</v>
      </c>
      <c r="FV32" s="18">
        <f>'Total Saturday Boardings'!FV32/4</f>
        <v>1019.5</v>
      </c>
      <c r="FW32" s="18">
        <f>'Total Saturday Boardings'!FW32/5</f>
        <v>1013.8</v>
      </c>
      <c r="FX32" s="18">
        <f>'Total Saturday Boardings'!FX32/4</f>
        <v>1147.25</v>
      </c>
      <c r="FY32" s="18">
        <f>'Total Saturday Boardings'!FY32/4</f>
        <v>1037</v>
      </c>
      <c r="FZ32" s="18">
        <f>'Total Saturday Boardings'!FZ32/5</f>
        <v>1339.8</v>
      </c>
      <c r="GA32" s="18">
        <f>'Total Saturday Boardings'!GA32/4</f>
        <v>1167.25</v>
      </c>
      <c r="GB32" s="18">
        <f>'Total Saturday Boardings'!GB32/4</f>
        <v>1118.25</v>
      </c>
      <c r="GC32" s="18">
        <f>'Total Saturday Boardings'!GC32/5</f>
        <v>1184.5999999999999</v>
      </c>
      <c r="GD32" s="18">
        <f>'Total Saturday Boardings'!GD32/4</f>
        <v>1116.25</v>
      </c>
      <c r="GE32" s="18">
        <f>'Total Saturday Boardings'!GE32/4</f>
        <v>1179.75</v>
      </c>
      <c r="GF32" s="18">
        <f>'Total Saturday Boardings'!GF32/5</f>
        <v>1040.5999999999999</v>
      </c>
      <c r="GG32" s="18">
        <f>'Total Saturday Boardings'!GG32/4</f>
        <v>1073.25</v>
      </c>
      <c r="GH32" s="18">
        <f>'Total Saturday Boardings'!GH32/5</f>
        <v>1107.5999999999999</v>
      </c>
      <c r="GI32" s="18">
        <f>'Total Saturday Boardings'!GI32/4</f>
        <v>1147.25</v>
      </c>
      <c r="GJ32" s="18">
        <f>'Total Saturday Boardings'!GJ32/4</f>
        <v>1106</v>
      </c>
      <c r="GK32" s="18">
        <f>'Total Saturday Boardings'!GK32/5</f>
        <v>1168.5999999999999</v>
      </c>
      <c r="GL32" s="18">
        <f>'Total Saturday Boardings'!GL32/4</f>
        <v>985.5</v>
      </c>
    </row>
    <row r="33" spans="1:194" x14ac:dyDescent="0.3">
      <c r="A33" s="92" t="s">
        <v>71</v>
      </c>
      <c r="B33" s="17"/>
      <c r="C33" s="18"/>
      <c r="D33" s="18"/>
      <c r="E33" s="18"/>
      <c r="F33" s="18"/>
      <c r="G33" s="18"/>
      <c r="H33" s="19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  <c r="U33" s="17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7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9"/>
      <c r="AS33" s="17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9"/>
      <c r="BE33" s="17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9"/>
      <c r="BQ33" s="17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20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21"/>
      <c r="CO33" s="17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9"/>
      <c r="DA33" s="17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9"/>
      <c r="DM33" s="17"/>
      <c r="DN33" s="18"/>
      <c r="DO33" s="18"/>
      <c r="DP33" s="18"/>
      <c r="DQ33" s="18"/>
      <c r="DR33" s="18"/>
      <c r="DS33" s="18"/>
      <c r="DT33" s="18"/>
      <c r="DU33" s="18"/>
      <c r="DV33" s="18">
        <f>'Total Saturday Boardings'!DV33/'Service Days per Month'!DV9</f>
        <v>295</v>
      </c>
      <c r="DW33" s="18">
        <f>'Total Saturday Boardings'!DW33/'Service Days per Month'!DW$5</f>
        <v>179</v>
      </c>
      <c r="DX33" s="19">
        <f>'Total Saturday Boardings'!DX33/'Service Days per Month'!DX$5</f>
        <v>165.2</v>
      </c>
      <c r="DY33" s="17">
        <f>'Total Saturday Boardings'!DY33/'Service Days per Month'!DY$5</f>
        <v>174</v>
      </c>
      <c r="DZ33" s="18">
        <f>'Total Saturday Boardings'!DZ33/'Service Days per Month'!DZ$5</f>
        <v>182</v>
      </c>
      <c r="EA33" s="18">
        <f>'Total Saturday Boardings'!EA33/'Service Days per Month'!EA$5</f>
        <v>215</v>
      </c>
      <c r="EB33" s="18">
        <f>'Total Saturday Boardings'!EB33/'Service Days per Month'!EB$5</f>
        <v>318.25</v>
      </c>
      <c r="EC33" s="18">
        <f>'Total Saturday Boardings'!EC33/'Service Days per Month'!EC$5</f>
        <v>328.6</v>
      </c>
      <c r="ED33" s="18">
        <f>'Total Saturday Boardings'!ED33/'Service Days per Month'!ED$5</f>
        <v>454.75</v>
      </c>
      <c r="EE33" s="18">
        <f>'Total Saturday Boardings'!EE33/'Service Days per Month'!EE$5</f>
        <v>385.25</v>
      </c>
      <c r="EF33" s="18">
        <f>'Total Saturday Boardings'!EF33/'Service Days per Month'!EF$5</f>
        <v>320</v>
      </c>
      <c r="EG33" s="18">
        <f>'Total Saturday Boardings'!EG33/'Service Days per Month'!EG$5</f>
        <v>242.75</v>
      </c>
      <c r="EH33" s="18">
        <f>'Total Saturday Boardings'!EH33/'Service Days per Month'!EH$5</f>
        <v>198</v>
      </c>
      <c r="EI33" s="18">
        <f>'Total Saturday Boardings'!EI33/'Service Days per Month'!EI$5</f>
        <v>203.4</v>
      </c>
      <c r="EJ33" s="19">
        <f>'Total Saturday Boardings'!EJ33/'Service Days per Month'!EJ$5</f>
        <v>200.25</v>
      </c>
      <c r="EK33" s="17">
        <f>'Total Saturday Boardings'!EK33/'Service Days per Month'!EK$5</f>
        <v>131.5</v>
      </c>
      <c r="EL33" s="18">
        <f>'Total Saturday Boardings'!EL33/'Service Days per Month'!EL$5</f>
        <v>175.8</v>
      </c>
      <c r="EM33" s="18">
        <f>'Total Saturday Boardings'!EM33/'Service Days per Month'!EM$5</f>
        <v>191.75</v>
      </c>
      <c r="EN33" s="18">
        <f>'Total Saturday Boardings'!EN33/'Service Days per Month'!EN$5</f>
        <v>212.8</v>
      </c>
      <c r="EO33" s="18">
        <f>'Total Saturday Boardings'!EO33/'Service Days per Month'!EO$5</f>
        <v>222.5</v>
      </c>
      <c r="EP33" s="18">
        <f>'Total Saturday Boardings'!EP33/'Service Days per Month'!EP$5</f>
        <v>122.25</v>
      </c>
      <c r="EQ33" s="18">
        <f>'Total Saturday Boardings'!EQ33/'Service Days per Month'!EQ$5</f>
        <v>96.6</v>
      </c>
      <c r="ER33" s="18">
        <f>'Total Saturday Boardings'!ER33/'Service Days per Month'!ER$5</f>
        <v>188.75</v>
      </c>
      <c r="ES33" s="18">
        <f>'Total Saturday Boardings'!ES33/'Service Days per Month'!ES$5</f>
        <v>139</v>
      </c>
      <c r="ET33" s="18">
        <f>'Total Saturday Boardings'!ET33/'Service Days per Month'!ET$5</f>
        <v>1011.5</v>
      </c>
      <c r="EU33" s="18">
        <f>'Total Saturday Boardings'!EU33/'Service Days per Month'!EU$5</f>
        <v>188.2</v>
      </c>
      <c r="EV33" s="19">
        <f>'Total Saturday Boardings'!EV33/'Service Days per Month'!EV$5</f>
        <v>177.5</v>
      </c>
      <c r="EW33" s="17">
        <f>'Total Saturday Boardings'!EW33/'Service Days per Month'!EW$5</f>
        <v>178</v>
      </c>
      <c r="EX33" s="18">
        <f>'Total Saturday Boardings'!EX33/'Service Days per Month'!EX$5</f>
        <v>141.5</v>
      </c>
      <c r="EY33" s="18">
        <f>'Total Saturday Boardings'!EY33/'Service Days per Month'!EY$5</f>
        <v>186.25</v>
      </c>
      <c r="EZ33" s="18">
        <f>'Total Saturday Boardings'!EZ33/'Service Days per Month'!EZ$5</f>
        <v>179.6</v>
      </c>
      <c r="FA33" s="18">
        <f>'Total Saturday Boardings'!FA33/'Service Days per Month'!FA$5</f>
        <v>192.75</v>
      </c>
      <c r="FB33" s="18">
        <f>'Total Saturday Boardings'!FB33/'Service Days per Month'!FB$5</f>
        <v>185.5</v>
      </c>
      <c r="FC33" s="18">
        <f>'Total Saturday Boardings'!FC33/'Service Days per Month'!FC$5</f>
        <v>183.6</v>
      </c>
      <c r="FD33" s="18">
        <f>'Total Saturday Boardings'!FD33/'Service Days per Month'!FD$5</f>
        <v>206.25</v>
      </c>
      <c r="FE33" s="18">
        <f>'Total Saturday Boardings'!FE33/'Service Days per Month'!FE$5</f>
        <v>236.5</v>
      </c>
      <c r="FF33" s="18">
        <f>'Total Saturday Boardings'!FF33/'Service Days per Month'!FF$5</f>
        <v>244.2</v>
      </c>
      <c r="FG33" s="18">
        <f>'Total Saturday Boardings'!FG33/'Service Days per Month'!FG$5</f>
        <v>729.5</v>
      </c>
      <c r="FH33" s="19">
        <f>'Total Saturday Boardings'!FH33/'Service Days per Month'!FH$5</f>
        <v>147.25</v>
      </c>
      <c r="FI33" s="17">
        <v>176.2</v>
      </c>
      <c r="FJ33" s="18">
        <v>174.75</v>
      </c>
      <c r="FK33" s="18">
        <v>198</v>
      </c>
      <c r="FL33" s="18">
        <v>180.8</v>
      </c>
      <c r="FM33" s="18">
        <v>160</v>
      </c>
      <c r="FN33" s="18">
        <v>181.4</v>
      </c>
      <c r="FO33" s="18">
        <v>202</v>
      </c>
      <c r="FP33" s="18">
        <v>292</v>
      </c>
      <c r="FQ33" s="18">
        <v>234.25</v>
      </c>
      <c r="FR33" s="18">
        <f>'Total Saturday Boardings'!FR33/5</f>
        <v>244.6</v>
      </c>
      <c r="FS33" s="18">
        <f>'Total Saturday Boardings'!FS33/4</f>
        <v>244</v>
      </c>
      <c r="FT33" s="19">
        <f>'Total Saturday Boardings'!FT33/4</f>
        <v>293.5</v>
      </c>
      <c r="FU33" s="17">
        <f>'Total Saturday Boardings'!FU33/5</f>
        <v>204</v>
      </c>
      <c r="FV33" s="18">
        <f>'Total Saturday Boardings'!FV33/4</f>
        <v>191.75</v>
      </c>
      <c r="FW33" s="18">
        <f>'Total Saturday Boardings'!FW33/5</f>
        <v>260</v>
      </c>
      <c r="FX33" s="18">
        <f>'Total Saturday Boardings'!FX33/4</f>
        <v>222</v>
      </c>
      <c r="FY33" s="18">
        <f>'Total Saturday Boardings'!FY33/4</f>
        <v>215.75</v>
      </c>
      <c r="FZ33" s="18">
        <f>'Total Saturday Boardings'!FZ33/5</f>
        <v>198.4</v>
      </c>
      <c r="GA33" s="18">
        <f>'Total Saturday Boardings'!GA33/4</f>
        <v>235.25</v>
      </c>
      <c r="GB33" s="18">
        <f>'Total Saturday Boardings'!GB33/4</f>
        <v>228</v>
      </c>
      <c r="GC33" s="18">
        <f>'Total Saturday Boardings'!GC33/5</f>
        <v>227.4</v>
      </c>
      <c r="GD33" s="18">
        <f>'Total Saturday Boardings'!GD33/4</f>
        <v>229.5</v>
      </c>
      <c r="GE33" s="18">
        <f>'Total Saturday Boardings'!GE33/4</f>
        <v>200.25</v>
      </c>
      <c r="GF33" s="18">
        <f>'Total Saturday Boardings'!GF33/5</f>
        <v>194.2</v>
      </c>
      <c r="GG33" s="18">
        <f>'Total Saturday Boardings'!GG33/4</f>
        <v>176.5</v>
      </c>
      <c r="GH33" s="18">
        <f>'Total Saturday Boardings'!GH33/5</f>
        <v>193</v>
      </c>
      <c r="GI33" s="18">
        <f>'Total Saturday Boardings'!GI33/4</f>
        <v>208.75</v>
      </c>
      <c r="GJ33" s="18">
        <f>'Total Saturday Boardings'!GJ33/4</f>
        <v>214.25</v>
      </c>
      <c r="GK33" s="18">
        <f>'Total Saturday Boardings'!GK33/5</f>
        <v>274.39999999999998</v>
      </c>
      <c r="GL33" s="18">
        <f>'Total Saturday Boardings'!GL33/4</f>
        <v>250.5</v>
      </c>
    </row>
    <row r="34" spans="1:194" x14ac:dyDescent="0.3">
      <c r="A34" s="3" t="s">
        <v>16</v>
      </c>
      <c r="B34" s="17"/>
      <c r="C34" s="18">
        <f>'Total Saturday Boardings'!C34/'Service Days per Month'!C$5</f>
        <v>1468.8</v>
      </c>
      <c r="D34" s="18">
        <f>'Total Saturday Boardings'!D34/'Service Days per Month'!D$5</f>
        <v>1280.25</v>
      </c>
      <c r="E34" s="18">
        <f>'Total Saturday Boardings'!E34/'Service Days per Month'!E$5</f>
        <v>1421</v>
      </c>
      <c r="F34" s="18">
        <f>'Total Saturday Boardings'!F34/'Service Days per Month'!F$5</f>
        <v>1392</v>
      </c>
      <c r="G34" s="18">
        <f>'Total Saturday Boardings'!G34/'Service Days per Month'!G$5</f>
        <v>900.6</v>
      </c>
      <c r="H34" s="19">
        <f>'Total Saturday Boardings'!H34/'Service Days per Month'!H$5</f>
        <v>938</v>
      </c>
      <c r="I34" s="17">
        <f>'Total Saturday Boardings'!I34/'Service Days per Month'!I$5</f>
        <v>1190.3333333333333</v>
      </c>
      <c r="J34" s="18">
        <f>'Total Saturday Boardings'!J34/'Service Days per Month'!J$5</f>
        <v>750</v>
      </c>
      <c r="K34" s="18">
        <f>'Total Saturday Boardings'!K34/'Service Days per Month'!K$5</f>
        <v>1266.25</v>
      </c>
      <c r="L34" s="18">
        <f>'Total Saturday Boardings'!L34/'Service Days per Month'!L$5</f>
        <v>1006.6</v>
      </c>
      <c r="M34" s="18">
        <f>'Total Saturday Boardings'!M34/'Service Days per Month'!M$5</f>
        <v>1210.75</v>
      </c>
      <c r="N34" s="18">
        <f>'Total Saturday Boardings'!N34/'Service Days per Month'!N$5</f>
        <v>1205.25</v>
      </c>
      <c r="O34" s="62">
        <f>'Total Saturday Boardings'!O34/'Service Days per Month'!O$5</f>
        <v>1055.4000000000001</v>
      </c>
      <c r="P34" s="62">
        <f>'Total Saturday Boardings'!P34/'Service Days per Month'!P$5</f>
        <v>1155</v>
      </c>
      <c r="Q34" s="62">
        <f>'Total Saturday Boardings'!Q34/'Service Days per Month'!Q$5</f>
        <v>1353</v>
      </c>
      <c r="R34" s="62">
        <f>'Total Saturday Boardings'!R34/'Service Days per Month'!R$5</f>
        <v>1257.75</v>
      </c>
      <c r="S34" s="62">
        <f>'Total Saturday Boardings'!S34/'Service Days per Month'!S$5</f>
        <v>877</v>
      </c>
      <c r="T34" s="63">
        <f>'Total Saturday Boardings'!T34/'Service Days per Month'!T$5</f>
        <v>1651.5</v>
      </c>
      <c r="U34" s="64">
        <f>'Total Saturday Boardings'!U34/'Service Days per Month'!U$5</f>
        <v>1381.2</v>
      </c>
      <c r="V34" s="62">
        <f>'Total Saturday Boardings'!V34/'Service Days per Month'!V$5</f>
        <v>1068</v>
      </c>
      <c r="W34" s="62">
        <f>'Total Saturday Boardings'!W34/'Service Days per Month'!W$5</f>
        <v>1266.25</v>
      </c>
      <c r="X34" s="62">
        <f>'Total Saturday Boardings'!X34/'Service Days per Month'!X$5</f>
        <v>923.2</v>
      </c>
      <c r="Y34" s="62">
        <f>'Total Saturday Boardings'!Y34/'Service Days per Month'!Y$5</f>
        <v>1294.25</v>
      </c>
      <c r="Z34" s="62">
        <f>'Total Saturday Boardings'!Z34/'Service Days per Month'!Z$5</f>
        <v>1205</v>
      </c>
      <c r="AA34" s="18">
        <f>'Total Saturday Boardings'!AA34/'Service Days per Month'!AA$5</f>
        <v>1225.4000000000001</v>
      </c>
      <c r="AB34" s="18">
        <f>'Total Saturday Boardings'!AB34/'Service Days per Month'!AB$5</f>
        <v>1188.5</v>
      </c>
      <c r="AC34" s="18">
        <f>'Total Saturday Boardings'!AC34/'Service Days per Month'!AC$5</f>
        <v>1559.75</v>
      </c>
      <c r="AD34" s="18">
        <f>'Total Saturday Boardings'!AD34/'Service Days per Month'!AD$5</f>
        <v>1392.2</v>
      </c>
      <c r="AE34" s="18">
        <f>'Total Saturday Boardings'!AE34/'Service Days per Month'!AE$5</f>
        <v>1294.25</v>
      </c>
      <c r="AF34" s="19">
        <f>'Total Saturday Boardings'!AF34/'Service Days per Month'!AF$5</f>
        <v>1114.5</v>
      </c>
      <c r="AG34" s="17">
        <f>'Total Saturday Boardings'!AG34/'Service Days per Month'!AG$5</f>
        <v>1138.2</v>
      </c>
      <c r="AH34" s="18">
        <f>'Total Saturday Boardings'!AH34/'Service Days per Month'!AH$5</f>
        <v>1253.25</v>
      </c>
      <c r="AI34" s="18">
        <f>'Total Saturday Boardings'!AI34/'Service Days per Month'!AI$5</f>
        <v>1338.5</v>
      </c>
      <c r="AJ34" s="18">
        <f>'Total Saturday Boardings'!AJ34/'Service Days per Month'!AJ$5</f>
        <v>1421.4</v>
      </c>
      <c r="AK34" s="18">
        <f>'Total Saturday Boardings'!AK34/'Service Days per Month'!AK$5</f>
        <v>1441</v>
      </c>
      <c r="AL34" s="18">
        <f>'Total Saturday Boardings'!AL34/'Service Days per Month'!AL$5</f>
        <v>1671</v>
      </c>
      <c r="AM34" s="18">
        <f>'Total Saturday Boardings'!AM34/'Service Days per Month'!AM$5</f>
        <v>1402.75</v>
      </c>
      <c r="AN34" s="18">
        <f>'Total Saturday Boardings'!AN34/'Service Days per Month'!AN$5</f>
        <v>1433.25</v>
      </c>
      <c r="AO34" s="18">
        <f>'Total Saturday Boardings'!AO34/'Service Days per Month'!AO$5</f>
        <v>1466.6</v>
      </c>
      <c r="AP34" s="18">
        <f>'Total Saturday Boardings'!AP34/'Service Days per Month'!AP$5</f>
        <v>1626.25</v>
      </c>
      <c r="AQ34" s="18">
        <f>'Total Saturday Boardings'!AQ34/'Service Days per Month'!AQ$5</f>
        <v>1310.75</v>
      </c>
      <c r="AR34" s="19">
        <f>'Total Saturday Boardings'!AR34/'Service Days per Month'!AR$5</f>
        <v>1314.2</v>
      </c>
      <c r="AS34" s="17">
        <f>'Total Saturday Boardings'!AS34/'Service Days per Month'!AS$5</f>
        <v>1281.75</v>
      </c>
      <c r="AT34" s="18">
        <f>'Total Saturday Boardings'!AT34/'Service Days per Month'!AT$5</f>
        <v>1305.75</v>
      </c>
      <c r="AU34" s="18">
        <f>'Total Saturday Boardings'!AU34/'Service Days per Month'!AU$5</f>
        <v>1487.4</v>
      </c>
      <c r="AV34" s="18">
        <f>'Total Saturday Boardings'!AV34/'Service Days per Month'!AV$5</f>
        <v>1702.75</v>
      </c>
      <c r="AW34" s="18">
        <f>'Total Saturday Boardings'!AW34/'Service Days per Month'!AW$5</f>
        <v>1542.75</v>
      </c>
      <c r="AX34" s="18">
        <f>'Total Saturday Boardings'!AX34/'Service Days per Month'!AX$5</f>
        <v>1553.6</v>
      </c>
      <c r="AY34" s="18">
        <f>'Total Saturday Boardings'!AY34/'Service Days per Month'!AY$5</f>
        <v>1472.5</v>
      </c>
      <c r="AZ34" s="18">
        <f>'Total Saturday Boardings'!AZ34/'Service Days per Month'!AZ$5</f>
        <v>1486.75</v>
      </c>
      <c r="BA34" s="18">
        <f>'Total Saturday Boardings'!BA34/'Service Days per Month'!BA$5</f>
        <v>1661</v>
      </c>
      <c r="BB34" s="18">
        <f>'Total Saturday Boardings'!BB34/'Service Days per Month'!BB$5</f>
        <v>1644</v>
      </c>
      <c r="BC34" s="18">
        <f>'Total Saturday Boardings'!BC34/'Service Days per Month'!BC$5</f>
        <v>1417.25</v>
      </c>
      <c r="BD34" s="19">
        <f>'Total Saturday Boardings'!BD34/'Service Days per Month'!BD$5</f>
        <v>1216.5999999999999</v>
      </c>
      <c r="BE34" s="17">
        <f>'Total Saturday Boardings'!BE34/'Service Days per Month'!BE$5</f>
        <v>1280.25</v>
      </c>
      <c r="BF34" s="18">
        <f>'Total Saturday Boardings'!BF34/'Service Days per Month'!BF$5</f>
        <v>1293.4000000000001</v>
      </c>
      <c r="BG34" s="18">
        <f>'Total Saturday Boardings'!BG34/'Service Days per Month'!BG$5</f>
        <v>1482.25</v>
      </c>
      <c r="BH34" s="18">
        <f>'Total Saturday Boardings'!BH34/'Service Days per Month'!BH$5</f>
        <v>1594.25</v>
      </c>
      <c r="BI34" s="18">
        <f>'Total Saturday Boardings'!BI34/'Service Days per Month'!BI$5</f>
        <v>1554.2784906458091</v>
      </c>
      <c r="BJ34" s="18">
        <f>'Total Saturday Boardings'!BJ34/'Service Days per Month'!BJ$5</f>
        <v>1827</v>
      </c>
      <c r="BK34" s="18">
        <f>'Total Saturday Boardings'!BK34/'Service Days per Month'!BK$5</f>
        <v>1587.25</v>
      </c>
      <c r="BL34" s="18">
        <f>'Total Saturday Boardings'!BL34/'Service Days per Month'!BL$5</f>
        <v>1596.75</v>
      </c>
      <c r="BM34" s="18">
        <f>'Total Saturday Boardings'!BM34/'Service Days per Month'!BM$5</f>
        <v>1640.6</v>
      </c>
      <c r="BN34" s="18">
        <f>'Total Saturday Boardings'!BN34/'Service Days per Month'!BN$5</f>
        <v>1590</v>
      </c>
      <c r="BO34" s="18">
        <f>'Total Saturday Boardings'!BO34/'Service Days per Month'!BO$5</f>
        <v>1403.6</v>
      </c>
      <c r="BP34" s="19">
        <f>'Total Saturday Boardings'!BP34/'Service Days per Month'!BP$5</f>
        <v>1436</v>
      </c>
      <c r="BQ34" s="17">
        <f>'Total Saturday Boardings'!BQ34/'Service Days per Month'!BQ$5</f>
        <v>1203.25</v>
      </c>
      <c r="BR34" s="18">
        <f>'Total Saturday Boardings'!BR34/'Service Days per Month'!BR$5</f>
        <v>1304.8</v>
      </c>
      <c r="BS34" s="18">
        <f>'Total Saturday Boardings'!BS34/'Service Days per Month'!BS$5</f>
        <v>1394.75</v>
      </c>
      <c r="BT34" s="18">
        <f>'Total Saturday Boardings'!BT34/'Service Days per Month'!BT$5</f>
        <v>1758</v>
      </c>
      <c r="BU34" s="18">
        <f>'Total Saturday Boardings'!BU34/'Service Days per Month'!BU$5</f>
        <v>1790.8</v>
      </c>
      <c r="BV34" s="18">
        <f>'Total Saturday Boardings'!BV34/'Service Days per Month'!BV$5</f>
        <v>1542.5</v>
      </c>
      <c r="BW34" s="18">
        <f>'Total Saturday Boardings'!BW34/'Service Days per Month'!BW$5</f>
        <v>2163</v>
      </c>
      <c r="BX34" s="18">
        <f>'Total Saturday Boardings'!BX34/'Service Days per Month'!BX$5</f>
        <v>1542</v>
      </c>
      <c r="BY34" s="18">
        <f>'Total Saturday Boardings'!BY34/'Service Days per Month'!BY$5</f>
        <v>1627.25</v>
      </c>
      <c r="BZ34" s="18">
        <f>'Total Saturday Boardings'!BZ34/'Service Days per Month'!BZ$5</f>
        <v>1581</v>
      </c>
      <c r="CA34" s="18">
        <f>'Total Saturday Boardings'!CA34/'Service Days per Month'!CA$5</f>
        <v>1481</v>
      </c>
      <c r="CB34" s="19">
        <f>'Total Saturday Boardings'!CB34/'Service Days per Month'!CB$5</f>
        <v>1254</v>
      </c>
      <c r="CC34" s="20">
        <f>'Total Saturday Boardings'!CC34/'Service Days per Month'!CC$5</f>
        <v>1380.5</v>
      </c>
      <c r="CD34" s="18">
        <f>'Total Saturday Boardings'!CD34/'Service Days per Month'!CD$5</f>
        <v>1097</v>
      </c>
      <c r="CE34" s="18">
        <f>'Total Saturday Boardings'!CE34/'Service Days per Month'!CE$5</f>
        <v>854.25</v>
      </c>
      <c r="CF34" s="18">
        <f>'Total Saturday Boardings'!CF34/'Service Days per Month'!CF$5</f>
        <v>842.6</v>
      </c>
      <c r="CG34" s="18">
        <f>'Total Saturday Boardings'!CG34/'Service Days per Month'!CG$5</f>
        <v>891</v>
      </c>
      <c r="CH34" s="18">
        <f>'Total Saturday Boardings'!CH34/'Service Days per Month'!CH$5</f>
        <v>703.25</v>
      </c>
      <c r="CI34" s="18">
        <f>'Total Saturday Boardings'!CI34/'Service Days per Month'!CI$5</f>
        <v>742.6</v>
      </c>
      <c r="CJ34" s="18">
        <f>'Total Saturday Boardings'!CJ34/'Service Days per Month'!CJ$5</f>
        <v>736.25</v>
      </c>
      <c r="CK34" s="18">
        <f>'Total Saturday Boardings'!CK34/'Service Days per Month'!CK$5</f>
        <v>707.5</v>
      </c>
      <c r="CL34" s="18">
        <f>'Total Saturday Boardings'!CL34/'Service Days per Month'!CL$5</f>
        <v>771.6</v>
      </c>
      <c r="CM34" s="18">
        <f>'Total Saturday Boardings'!CM34/'Service Days per Month'!CM$5</f>
        <v>627.5</v>
      </c>
      <c r="CN34" s="21">
        <f>'Total Saturday Boardings'!CN34/'Service Days per Month'!CN$5</f>
        <v>591</v>
      </c>
      <c r="CO34" s="17">
        <f>'Total Saturday Boardings'!CO34/'Service Days per Month'!CO$5</f>
        <v>581.6</v>
      </c>
      <c r="CP34" s="18">
        <f>'Total Saturday Boardings'!CP34/'Service Days per Month'!CP$5</f>
        <v>636</v>
      </c>
      <c r="CQ34" s="18">
        <f>'Total Saturday Boardings'!CQ34/'Service Days per Month'!CQ$5</f>
        <v>712.5</v>
      </c>
      <c r="CR34" s="18">
        <f>'Total Saturday Boardings'!CR34/'Service Days per Month'!CR$5</f>
        <v>732.4</v>
      </c>
      <c r="CS34" s="18">
        <f>'Total Saturday Boardings'!CS34/'Service Days per Month'!CS$5</f>
        <v>624.25</v>
      </c>
      <c r="CT34" s="18">
        <f>'Total Saturday Boardings'!CT34/'Service Days per Month'!CT$5</f>
        <v>673.5</v>
      </c>
      <c r="CU34" s="18">
        <f>'Total Saturday Boardings'!CU34/'Service Days per Month'!CU$5</f>
        <v>734.25</v>
      </c>
      <c r="CV34" s="18">
        <f>'Total Saturday Boardings'!CV34/'Service Days per Month'!CV$5</f>
        <v>682.5</v>
      </c>
      <c r="CW34" s="18">
        <f>'Total Saturday Boardings'!CW34/'Service Days per Month'!CW$5</f>
        <v>681.75</v>
      </c>
      <c r="CX34" s="18">
        <f>'Total Saturday Boardings'!CX34/'Service Days per Month'!CX$5</f>
        <v>851.6</v>
      </c>
      <c r="CY34" s="18">
        <f>'Total Saturday Boardings'!CY34/'Service Days per Month'!CY$5</f>
        <v>778.25</v>
      </c>
      <c r="CZ34" s="19">
        <f>'Total Saturday Boardings'!CZ34/'Service Days per Month'!CZ$5</f>
        <v>581.5</v>
      </c>
      <c r="DA34" s="17">
        <f>'Total Saturday Boardings'!DA34/'Service Days per Month'!DA$5</f>
        <v>575</v>
      </c>
      <c r="DB34" s="18">
        <f>'Total Saturday Boardings'!DB34/'Service Days per Month'!DB$5</f>
        <v>553</v>
      </c>
      <c r="DC34" s="18">
        <f>'Total Saturday Boardings'!DC34/'Service Days per Month'!DC$5</f>
        <v>648</v>
      </c>
      <c r="DD34" s="18">
        <f>'Total Saturday Boardings'!DD34/'Service Days per Month'!DD$5</f>
        <v>851.75</v>
      </c>
      <c r="DE34" s="18">
        <f>'Total Saturday Boardings'!DE34/'Service Days per Month'!DE$5</f>
        <v>870</v>
      </c>
      <c r="DF34" s="18">
        <f>'Total Saturday Boardings'!DF34/'Service Days per Month'!DF$5</f>
        <v>840.2</v>
      </c>
      <c r="DG34" s="18">
        <f>'Total Saturday Boardings'!DG34/'Service Days per Month'!DG$5</f>
        <v>790.25</v>
      </c>
      <c r="DH34" s="18">
        <f>'Total Saturday Boardings'!DH34/'Service Days per Month'!DH$5</f>
        <v>839.5</v>
      </c>
      <c r="DI34" s="18">
        <f>'Total Saturday Boardings'!DI34/'Service Days per Month'!DI$5</f>
        <v>859.8</v>
      </c>
      <c r="DJ34" s="18">
        <f>'Total Saturday Boardings'!DJ34/'Service Days per Month'!DJ$5</f>
        <v>929.5</v>
      </c>
      <c r="DK34" s="18">
        <f>'Total Saturday Boardings'!DK34/'Service Days per Month'!DK$5</f>
        <v>753.25</v>
      </c>
      <c r="DL34" s="19">
        <f>'Total Saturday Boardings'!DL34/'Service Days per Month'!DL$5</f>
        <v>757.2</v>
      </c>
      <c r="DM34" s="17">
        <f>'Total Saturday Boardings'!DM34/'Service Days per Month'!DM$5</f>
        <v>694.75</v>
      </c>
      <c r="DN34" s="18">
        <f>'Total Saturday Boardings'!DN34/'Service Days per Month'!DN$5</f>
        <v>694.25</v>
      </c>
      <c r="DO34" s="18">
        <f>'Total Saturday Boardings'!DO34/'Service Days per Month'!DO$5</f>
        <v>728.6</v>
      </c>
      <c r="DP34" s="18">
        <f>'Total Saturday Boardings'!DP34/'Service Days per Month'!DP$5</f>
        <v>699.25</v>
      </c>
      <c r="DQ34" s="18">
        <f>'Total Saturday Boardings'!DQ34/'Service Days per Month'!DQ$5</f>
        <v>779.5</v>
      </c>
      <c r="DR34" s="18">
        <f>'Total Saturday Boardings'!DR34/'Service Days per Month'!DR$5</f>
        <v>727.4</v>
      </c>
      <c r="DS34" s="18">
        <f>'Total Saturday Boardings'!DS34/'Service Days per Month'!DS$5</f>
        <v>681.75</v>
      </c>
      <c r="DT34" s="18">
        <f>'Total Saturday Boardings'!DT34/'Service Days per Month'!DT$5</f>
        <v>713</v>
      </c>
      <c r="DU34" s="18">
        <f>'Total Saturday Boardings'!DU34/'Service Days per Month'!DU$5</f>
        <v>790.2</v>
      </c>
      <c r="DV34" s="18">
        <f>'Total Saturday Boardings'!DV34/'Service Days per Month'!DV$5</f>
        <v>242.25</v>
      </c>
      <c r="DW34" s="18">
        <f>'Total Saturday Boardings'!DW34/'Service Days per Month'!DW$5</f>
        <v>636</v>
      </c>
      <c r="DX34" s="19">
        <f>'Total Saturday Boardings'!DX34/'Service Days per Month'!DX$5</f>
        <v>654.6</v>
      </c>
      <c r="DY34" s="17">
        <f>'Total Saturday Boardings'!DY34/'Service Days per Month'!DY$5</f>
        <v>614.5</v>
      </c>
      <c r="DZ34" s="18">
        <f>'Total Saturday Boardings'!DZ34/'Service Days per Month'!DZ$5</f>
        <v>641.79999999999995</v>
      </c>
      <c r="EA34" s="18">
        <f>'Total Saturday Boardings'!EA34/'Service Days per Month'!EA$5</f>
        <v>661.75</v>
      </c>
      <c r="EB34" s="18">
        <f>'Total Saturday Boardings'!EB34/'Service Days per Month'!EB$5</f>
        <v>765.5</v>
      </c>
      <c r="EC34" s="18">
        <f>'Total Saturday Boardings'!EC34/'Service Days per Month'!EC$5</f>
        <v>859.8</v>
      </c>
      <c r="ED34" s="18">
        <f>'Total Saturday Boardings'!ED34/'Service Days per Month'!ED$5</f>
        <v>681</v>
      </c>
      <c r="EE34" s="18">
        <f>'Total Saturday Boardings'!EE34/'Service Days per Month'!EE$5</f>
        <v>644.5</v>
      </c>
      <c r="EF34" s="18">
        <f>'Total Saturday Boardings'!EF34/'Service Days per Month'!EF$5</f>
        <v>749.4</v>
      </c>
      <c r="EG34" s="18">
        <f>'Total Saturday Boardings'!EG34/'Service Days per Month'!EG$5</f>
        <v>660.25</v>
      </c>
      <c r="EH34" s="18">
        <f>'Total Saturday Boardings'!EH34/'Service Days per Month'!EH$5</f>
        <v>426.5</v>
      </c>
      <c r="EI34" s="18">
        <f>'Total Saturday Boardings'!EI34/'Service Days per Month'!EI$5</f>
        <v>378.2</v>
      </c>
      <c r="EJ34" s="19">
        <f>'Total Saturday Boardings'!EJ34/'Service Days per Month'!EJ$5</f>
        <v>352.25</v>
      </c>
      <c r="EK34" s="17">
        <f>'Total Saturday Boardings'!EK34/'Service Days per Month'!EK$5</f>
        <v>245</v>
      </c>
      <c r="EL34" s="18">
        <f>'Total Saturday Boardings'!EL34/'Service Days per Month'!EL$5</f>
        <v>349.2</v>
      </c>
      <c r="EM34" s="18">
        <f>'Total Saturday Boardings'!EM34/'Service Days per Month'!EM$5</f>
        <v>384.25</v>
      </c>
      <c r="EN34" s="18">
        <f>'Total Saturday Boardings'!EN34/'Service Days per Month'!EN$5</f>
        <v>401.8</v>
      </c>
      <c r="EO34" s="18">
        <f>'Total Saturday Boardings'!EO34/'Service Days per Month'!EO$5</f>
        <v>458</v>
      </c>
      <c r="EP34" s="18">
        <f>'Total Saturday Boardings'!EP34/'Service Days per Month'!EP$5</f>
        <v>307.5</v>
      </c>
      <c r="EQ34" s="18">
        <f>'Total Saturday Boardings'!EQ34/'Service Days per Month'!EQ$5</f>
        <v>187.2</v>
      </c>
      <c r="ER34" s="18">
        <f>'Total Saturday Boardings'!ER34/'Service Days per Month'!ER$5</f>
        <v>382</v>
      </c>
      <c r="ES34" s="18">
        <f>'Total Saturday Boardings'!ES34/'Service Days per Month'!ES$5</f>
        <v>389.25</v>
      </c>
      <c r="ET34" s="18">
        <f>'Total Saturday Boardings'!ET34/'Service Days per Month'!ET$5</f>
        <v>415.75</v>
      </c>
      <c r="EU34" s="18">
        <f>'Total Saturday Boardings'!EU34/'Service Days per Month'!EU$5</f>
        <v>370.4</v>
      </c>
      <c r="EV34" s="19">
        <f>'Total Saturday Boardings'!EV34/'Service Days per Month'!EV$5</f>
        <v>378</v>
      </c>
      <c r="EW34" s="17">
        <f>'Total Saturday Boardings'!EW34/'Service Days per Month'!EW$5</f>
        <v>366.4</v>
      </c>
      <c r="EX34" s="18">
        <f>'Total Saturday Boardings'!EX34/'Service Days per Month'!EX$5</f>
        <v>373</v>
      </c>
      <c r="EY34" s="18">
        <f>'Total Saturday Boardings'!EY34/'Service Days per Month'!EY$5</f>
        <v>408</v>
      </c>
      <c r="EZ34" s="18">
        <f>'Total Saturday Boardings'!EZ34/'Service Days per Month'!EZ$5</f>
        <v>409.8</v>
      </c>
      <c r="FA34" s="18">
        <f>'Total Saturday Boardings'!FA34/'Service Days per Month'!FA$5</f>
        <v>530.25</v>
      </c>
      <c r="FB34" s="18">
        <f>'Total Saturday Boardings'!FB34/'Service Days per Month'!FB$5</f>
        <v>492</v>
      </c>
      <c r="FC34" s="18">
        <f>'Total Saturday Boardings'!FC34/'Service Days per Month'!FC$5</f>
        <v>429.8</v>
      </c>
      <c r="FD34" s="18">
        <f>'Total Saturday Boardings'!FD34/'Service Days per Month'!FD$5</f>
        <v>491</v>
      </c>
      <c r="FE34" s="18">
        <f>'Total Saturday Boardings'!FE34/'Service Days per Month'!FE$5</f>
        <v>513</v>
      </c>
      <c r="FF34" s="18">
        <f>'Total Saturday Boardings'!FF34/'Service Days per Month'!FF$5</f>
        <v>500.4</v>
      </c>
      <c r="FG34" s="18">
        <f>'Total Saturday Boardings'!FG34/'Service Days per Month'!FG$5</f>
        <v>418</v>
      </c>
      <c r="FH34" s="19">
        <f>'Total Saturday Boardings'!FH34/'Service Days per Month'!FH$5</f>
        <v>306.5</v>
      </c>
      <c r="FI34" s="17">
        <v>317.2</v>
      </c>
      <c r="FJ34" s="18">
        <v>366.5</v>
      </c>
      <c r="FK34" s="18">
        <v>419.25</v>
      </c>
      <c r="FL34" s="18">
        <v>458.4</v>
      </c>
      <c r="FM34" s="18">
        <v>362.4</v>
      </c>
      <c r="FN34" s="18">
        <v>409.2</v>
      </c>
      <c r="FO34" s="18">
        <v>411.2</v>
      </c>
      <c r="FP34" s="18">
        <v>541.25</v>
      </c>
      <c r="FQ34" s="18">
        <v>566</v>
      </c>
      <c r="FR34" s="18">
        <f>'Total Saturday Boardings'!FR34/5</f>
        <v>553.6</v>
      </c>
      <c r="FS34" s="18">
        <f>'Total Saturday Boardings'!FS34/4</f>
        <v>577.75</v>
      </c>
      <c r="FT34" s="19">
        <f>'Total Saturday Boardings'!FT34/4</f>
        <v>582.75</v>
      </c>
      <c r="FU34" s="17">
        <f>'Total Saturday Boardings'!FU34/5</f>
        <v>448</v>
      </c>
      <c r="FV34" s="18">
        <f>'Total Saturday Boardings'!FV34/4</f>
        <v>544.75</v>
      </c>
      <c r="FW34" s="18">
        <f>'Total Saturday Boardings'!FW34/5</f>
        <v>591.6</v>
      </c>
      <c r="FX34" s="18">
        <f>'Total Saturday Boardings'!FX34/4</f>
        <v>594.25</v>
      </c>
      <c r="FY34" s="18">
        <f>'Total Saturday Boardings'!FY34/4</f>
        <v>640.25</v>
      </c>
      <c r="FZ34" s="18">
        <f>'Total Saturday Boardings'!FZ34/5</f>
        <v>535.79999999999995</v>
      </c>
      <c r="GA34" s="18">
        <f>'Total Saturday Boardings'!GA34/4</f>
        <v>577.75</v>
      </c>
      <c r="GB34" s="18">
        <f>'Total Saturday Boardings'!GB34/4</f>
        <v>572.25</v>
      </c>
      <c r="GC34" s="18">
        <f>'Total Saturday Boardings'!GC34/5</f>
        <v>611.4</v>
      </c>
      <c r="GD34" s="18">
        <f>'Total Saturday Boardings'!GD34/4</f>
        <v>603.75</v>
      </c>
      <c r="GE34" s="18">
        <f>'Total Saturday Boardings'!GE34/4</f>
        <v>542</v>
      </c>
      <c r="GF34" s="18">
        <f>'Total Saturday Boardings'!GF34/5</f>
        <v>444.6</v>
      </c>
      <c r="GG34" s="18">
        <f>'Total Saturday Boardings'!GG34/4</f>
        <v>497.25</v>
      </c>
      <c r="GH34" s="18">
        <f>'Total Saturday Boardings'!GH34/5</f>
        <v>505.4</v>
      </c>
      <c r="GI34" s="18">
        <f>'Total Saturday Boardings'!GI34/4</f>
        <v>505.5</v>
      </c>
      <c r="GJ34" s="18">
        <f>'Total Saturday Boardings'!GJ34/4</f>
        <v>494.5</v>
      </c>
      <c r="GK34" s="18">
        <f>'Total Saturday Boardings'!GK34/5</f>
        <v>462.6</v>
      </c>
      <c r="GL34" s="18">
        <f>'Total Saturday Boardings'!GL34/4</f>
        <v>391.25</v>
      </c>
    </row>
    <row r="35" spans="1:194" x14ac:dyDescent="0.3">
      <c r="A35" s="3" t="s">
        <v>17</v>
      </c>
      <c r="B35" s="17"/>
      <c r="C35" s="18">
        <f>'Total Saturday Boardings'!C35/'Service Days per Month'!C$5</f>
        <v>248.4</v>
      </c>
      <c r="D35" s="18">
        <f>'Total Saturday Boardings'!D35/'Service Days per Month'!D$5</f>
        <v>273.75</v>
      </c>
      <c r="E35" s="18">
        <f>'Total Saturday Boardings'!E35/'Service Days per Month'!E$5</f>
        <v>266.25</v>
      </c>
      <c r="F35" s="18">
        <f>'Total Saturday Boardings'!F35/'Service Days per Month'!F$5</f>
        <v>296.5</v>
      </c>
      <c r="G35" s="18">
        <f>'Total Saturday Boardings'!G35/'Service Days per Month'!G$5</f>
        <v>151</v>
      </c>
      <c r="H35" s="19">
        <f>'Total Saturday Boardings'!H35/'Service Days per Month'!H$5</f>
        <v>170</v>
      </c>
      <c r="I35" s="17">
        <f>'Total Saturday Boardings'!I35/'Service Days per Month'!I$5</f>
        <v>489.66666666666669</v>
      </c>
      <c r="J35" s="18">
        <f>'Total Saturday Boardings'!J35/'Service Days per Month'!J$5</f>
        <v>142.80000000000001</v>
      </c>
      <c r="K35" s="18">
        <f>'Total Saturday Boardings'!K35/'Service Days per Month'!K$5</f>
        <v>322</v>
      </c>
      <c r="L35" s="18">
        <f>'Total Saturday Boardings'!L35/'Service Days per Month'!L$5</f>
        <v>256</v>
      </c>
      <c r="M35" s="18">
        <f>'Total Saturday Boardings'!M35/'Service Days per Month'!M$5</f>
        <v>303</v>
      </c>
      <c r="N35" s="18">
        <f>'Total Saturday Boardings'!N35/'Service Days per Month'!N$5</f>
        <v>240.75</v>
      </c>
      <c r="O35" s="62">
        <f>'Total Saturday Boardings'!O35/'Service Days per Month'!O$5</f>
        <v>200.2</v>
      </c>
      <c r="P35" s="62">
        <f>'Total Saturday Boardings'!P35/'Service Days per Month'!P$5</f>
        <v>290.25</v>
      </c>
      <c r="Q35" s="62">
        <f>'Total Saturday Boardings'!Q35/'Service Days per Month'!Q$5</f>
        <v>269.25</v>
      </c>
      <c r="R35" s="62">
        <f>'Total Saturday Boardings'!R35/'Service Days per Month'!R$5</f>
        <v>298</v>
      </c>
      <c r="S35" s="62">
        <f>'Total Saturday Boardings'!S35/'Service Days per Month'!S$5</f>
        <v>175.6</v>
      </c>
      <c r="T35" s="63">
        <f>'Total Saturday Boardings'!T35/'Service Days per Month'!T$5</f>
        <v>175.75</v>
      </c>
      <c r="U35" s="64">
        <f>'Total Saturday Boardings'!U35/'Service Days per Month'!U$5</f>
        <v>207.4</v>
      </c>
      <c r="V35" s="62">
        <f>'Total Saturday Boardings'!V35/'Service Days per Month'!V$5</f>
        <v>231.25</v>
      </c>
      <c r="W35" s="62">
        <f>'Total Saturday Boardings'!W35/'Service Days per Month'!W$5</f>
        <v>399.5</v>
      </c>
      <c r="X35" s="62">
        <f>'Total Saturday Boardings'!X35/'Service Days per Month'!X$5</f>
        <v>224.4</v>
      </c>
      <c r="Y35" s="62">
        <f>'Total Saturday Boardings'!Y35/'Service Days per Month'!Y$5</f>
        <v>243.25</v>
      </c>
      <c r="Z35" s="62">
        <f>'Total Saturday Boardings'!Z35/'Service Days per Month'!Z$5</f>
        <v>261.66666666666669</v>
      </c>
      <c r="AA35" s="18">
        <f>'Total Saturday Boardings'!AA35/'Service Days per Month'!AA$5</f>
        <v>203</v>
      </c>
      <c r="AB35" s="18">
        <f>'Total Saturday Boardings'!AB35/'Service Days per Month'!AB$5</f>
        <v>290.75</v>
      </c>
      <c r="AC35" s="18">
        <f>'Total Saturday Boardings'!AC35/'Service Days per Month'!AC$5</f>
        <v>301</v>
      </c>
      <c r="AD35" s="18">
        <f>'Total Saturday Boardings'!AD35/'Service Days per Month'!AD$5</f>
        <v>299.8</v>
      </c>
      <c r="AE35" s="18">
        <f>'Total Saturday Boardings'!AE35/'Service Days per Month'!AE$5</f>
        <v>252.25</v>
      </c>
      <c r="AF35" s="19">
        <f>'Total Saturday Boardings'!AF35/'Service Days per Month'!AF$5</f>
        <v>182</v>
      </c>
      <c r="AG35" s="17">
        <f>'Total Saturday Boardings'!AG35/'Service Days per Month'!AG$5</f>
        <v>145.4</v>
      </c>
      <c r="AH35" s="18">
        <f>'Total Saturday Boardings'!AH35/'Service Days per Month'!AH$5</f>
        <v>233.5</v>
      </c>
      <c r="AI35" s="18">
        <f>'Total Saturday Boardings'!AI35/'Service Days per Month'!AI$5</f>
        <v>349</v>
      </c>
      <c r="AJ35" s="18">
        <f>'Total Saturday Boardings'!AJ35/'Service Days per Month'!AJ$5</f>
        <v>420.2</v>
      </c>
      <c r="AK35" s="18">
        <f>'Total Saturday Boardings'!AK35/'Service Days per Month'!AK$5</f>
        <v>340.75</v>
      </c>
      <c r="AL35" s="18">
        <f>'Total Saturday Boardings'!AL35/'Service Days per Month'!AL$5</f>
        <v>391.25</v>
      </c>
      <c r="AM35" s="18">
        <f>'Total Saturday Boardings'!AM35/'Service Days per Month'!AM$5</f>
        <v>253.75</v>
      </c>
      <c r="AN35" s="18">
        <f>'Total Saturday Boardings'!AN35/'Service Days per Month'!AN$5</f>
        <v>311.75</v>
      </c>
      <c r="AO35" s="18">
        <f>'Total Saturday Boardings'!AO35/'Service Days per Month'!AO$5</f>
        <v>276.60000000000002</v>
      </c>
      <c r="AP35" s="18">
        <f>'Total Saturday Boardings'!AP35/'Service Days per Month'!AP$5</f>
        <v>303.25</v>
      </c>
      <c r="AQ35" s="18">
        <f>'Total Saturday Boardings'!AQ35/'Service Days per Month'!AQ$5</f>
        <v>221.5</v>
      </c>
      <c r="AR35" s="19">
        <f>'Total Saturday Boardings'!AR35/'Service Days per Month'!AR$5</f>
        <v>193</v>
      </c>
      <c r="AS35" s="17">
        <f>'Total Saturday Boardings'!AS35/'Service Days per Month'!AS$5</f>
        <v>190.25</v>
      </c>
      <c r="AT35" s="18">
        <f>'Total Saturday Boardings'!AT35/'Service Days per Month'!AT$5</f>
        <v>234.25</v>
      </c>
      <c r="AU35" s="18">
        <f>'Total Saturday Boardings'!AU35/'Service Days per Month'!AU$5</f>
        <v>318.39999999999998</v>
      </c>
      <c r="AV35" s="18">
        <f>'Total Saturday Boardings'!AV35/'Service Days per Month'!AV$5</f>
        <v>406.5</v>
      </c>
      <c r="AW35" s="18">
        <f>'Total Saturday Boardings'!AW35/'Service Days per Month'!AW$5</f>
        <v>284</v>
      </c>
      <c r="AX35" s="18">
        <f>'Total Saturday Boardings'!AX35/'Service Days per Month'!AX$5</f>
        <v>282</v>
      </c>
      <c r="AY35" s="18">
        <f>'Total Saturday Boardings'!AY35/'Service Days per Month'!AY$5</f>
        <v>258.25</v>
      </c>
      <c r="AZ35" s="18">
        <f>'Total Saturday Boardings'!AZ35/'Service Days per Month'!AZ$5</f>
        <v>290.5</v>
      </c>
      <c r="BA35" s="18">
        <f>'Total Saturday Boardings'!BA35/'Service Days per Month'!BA$5</f>
        <v>294.2</v>
      </c>
      <c r="BB35" s="18">
        <f>'Total Saturday Boardings'!BB35/'Service Days per Month'!BB$5</f>
        <v>324</v>
      </c>
      <c r="BC35" s="18">
        <f>'Total Saturday Boardings'!BC35/'Service Days per Month'!BC$5</f>
        <v>234.5</v>
      </c>
      <c r="BD35" s="19">
        <f>'Total Saturday Boardings'!BD35/'Service Days per Month'!BD$5</f>
        <v>195</v>
      </c>
      <c r="BE35" s="17">
        <f>'Total Saturday Boardings'!BE35/'Service Days per Month'!BE$5</f>
        <v>223.75</v>
      </c>
      <c r="BF35" s="18">
        <f>'Total Saturday Boardings'!BF35/'Service Days per Month'!BF$5</f>
        <v>252</v>
      </c>
      <c r="BG35" s="18">
        <f>'Total Saturday Boardings'!BG35/'Service Days per Month'!BG$5</f>
        <v>366.75</v>
      </c>
      <c r="BH35" s="18">
        <f>'Total Saturday Boardings'!BH35/'Service Days per Month'!BH$5</f>
        <v>416.5</v>
      </c>
      <c r="BI35" s="18">
        <f>'Total Saturday Boardings'!BI35/'Service Days per Month'!BI$5</f>
        <v>381.41602367614416</v>
      </c>
      <c r="BJ35" s="18">
        <f>'Total Saturday Boardings'!BJ35/'Service Days per Month'!BJ$5</f>
        <v>360.25</v>
      </c>
      <c r="BK35" s="18">
        <f>'Total Saturday Boardings'!BK35/'Service Days per Month'!BK$5</f>
        <v>298.25</v>
      </c>
      <c r="BL35" s="18">
        <f>'Total Saturday Boardings'!BL35/'Service Days per Month'!BL$5</f>
        <v>340.75</v>
      </c>
      <c r="BM35" s="18">
        <f>'Total Saturday Boardings'!BM35/'Service Days per Month'!BM$5</f>
        <v>325.39999999999998</v>
      </c>
      <c r="BN35" s="18">
        <f>'Total Saturday Boardings'!BN35/'Service Days per Month'!BN$5</f>
        <v>334.25</v>
      </c>
      <c r="BO35" s="18">
        <f>'Total Saturday Boardings'!BO35/'Service Days per Month'!BO$5</f>
        <v>224.6</v>
      </c>
      <c r="BP35" s="19">
        <f>'Total Saturday Boardings'!BP35/'Service Days per Month'!BP$5</f>
        <v>224.75</v>
      </c>
      <c r="BQ35" s="17">
        <f>'Total Saturday Boardings'!BQ35/'Service Days per Month'!BQ$5</f>
        <v>185</v>
      </c>
      <c r="BR35" s="18">
        <f>'Total Saturday Boardings'!BR35/'Service Days per Month'!BR$5</f>
        <v>252.4</v>
      </c>
      <c r="BS35" s="18">
        <f>'Total Saturday Boardings'!BS35/'Service Days per Month'!BS$5</f>
        <v>302</v>
      </c>
      <c r="BT35" s="18">
        <f>'Total Saturday Boardings'!BT35/'Service Days per Month'!BT$5</f>
        <v>407.75</v>
      </c>
      <c r="BU35" s="18">
        <f>'Total Saturday Boardings'!BU35/'Service Days per Month'!BU$5</f>
        <v>438.4</v>
      </c>
      <c r="BV35" s="18">
        <f>'Total Saturday Boardings'!BV35/'Service Days per Month'!BV$5</f>
        <v>263.25</v>
      </c>
      <c r="BW35" s="18">
        <f>'Total Saturday Boardings'!BW35/'Service Days per Month'!BW$5</f>
        <v>454.2</v>
      </c>
      <c r="BX35" s="18">
        <f>'Total Saturday Boardings'!BX35/'Service Days per Month'!BX$5</f>
        <v>265.5</v>
      </c>
      <c r="BY35" s="18">
        <f>'Total Saturday Boardings'!BY35/'Service Days per Month'!BY$5</f>
        <v>311.5</v>
      </c>
      <c r="BZ35" s="18">
        <f>'Total Saturday Boardings'!BZ35/'Service Days per Month'!BZ$5</f>
        <v>301.5</v>
      </c>
      <c r="CA35" s="18">
        <f>'Total Saturday Boardings'!CA35/'Service Days per Month'!CA$5</f>
        <v>241.8</v>
      </c>
      <c r="CB35" s="19">
        <f>'Total Saturday Boardings'!CB35/'Service Days per Month'!CB$5</f>
        <v>193.75</v>
      </c>
      <c r="CC35" s="20">
        <f>'Total Saturday Boardings'!CC35/'Service Days per Month'!CC$5</f>
        <v>373.5</v>
      </c>
      <c r="CD35" s="18">
        <f>'Total Saturday Boardings'!CD35/'Service Days per Month'!CD$5</f>
        <v>276</v>
      </c>
      <c r="CE35" s="18">
        <f>'Total Saturday Boardings'!CE35/'Service Days per Month'!CE$5</f>
        <v>429.25</v>
      </c>
      <c r="CF35" s="18">
        <f>'Total Saturday Boardings'!CF35/'Service Days per Month'!CF$5</f>
        <v>477.6</v>
      </c>
      <c r="CG35" s="18">
        <f>'Total Saturday Boardings'!CG35/'Service Days per Month'!CG$5</f>
        <v>420.75</v>
      </c>
      <c r="CH35" s="18">
        <f>'Total Saturday Boardings'!CH35/'Service Days per Month'!CH$5</f>
        <v>280</v>
      </c>
      <c r="CI35" s="18">
        <f>'Total Saturday Boardings'!CI35/'Service Days per Month'!CI$5</f>
        <v>288.39999999999998</v>
      </c>
      <c r="CJ35" s="18">
        <f>'Total Saturday Boardings'!CJ35/'Service Days per Month'!CJ$5</f>
        <v>290.25</v>
      </c>
      <c r="CK35" s="18">
        <f>'Total Saturday Boardings'!CK35/'Service Days per Month'!CK$5</f>
        <v>270.25</v>
      </c>
      <c r="CL35" s="18">
        <f>'Total Saturday Boardings'!CL35/'Service Days per Month'!CL$5</f>
        <v>315.60000000000002</v>
      </c>
      <c r="CM35" s="18">
        <f>'Total Saturday Boardings'!CM35/'Service Days per Month'!CM$5</f>
        <v>241.25</v>
      </c>
      <c r="CN35" s="21">
        <f>'Total Saturday Boardings'!CN35/'Service Days per Month'!CN$5</f>
        <v>226</v>
      </c>
      <c r="CO35" s="17">
        <f>'Total Saturday Boardings'!CO35/'Service Days per Month'!CO$5</f>
        <v>191.8</v>
      </c>
      <c r="CP35" s="18">
        <f>'Total Saturday Boardings'!CP35/'Service Days per Month'!CP$5</f>
        <v>240.25</v>
      </c>
      <c r="CQ35" s="18">
        <f>'Total Saturday Boardings'!CQ35/'Service Days per Month'!CQ$5</f>
        <v>327.25</v>
      </c>
      <c r="CR35" s="18">
        <f>'Total Saturday Boardings'!CR35/'Service Days per Month'!CR$5</f>
        <v>320.8</v>
      </c>
      <c r="CS35" s="18">
        <f>'Total Saturday Boardings'!CS35/'Service Days per Month'!CS$5</f>
        <v>230.25</v>
      </c>
      <c r="CT35" s="18">
        <f>'Total Saturday Boardings'!CT35/'Service Days per Month'!CT$5</f>
        <v>252.25</v>
      </c>
      <c r="CU35" s="18">
        <f>'Total Saturday Boardings'!CU35/'Service Days per Month'!CU$5</f>
        <v>251</v>
      </c>
      <c r="CV35" s="18">
        <f>'Total Saturday Boardings'!CV35/'Service Days per Month'!CV$5</f>
        <v>227.75</v>
      </c>
      <c r="CW35" s="18">
        <f>'Total Saturday Boardings'!CW35/'Service Days per Month'!CW$5</f>
        <v>263.5</v>
      </c>
      <c r="CX35" s="18">
        <f>'Total Saturday Boardings'!CX35/'Service Days per Month'!CX$5</f>
        <v>360.6</v>
      </c>
      <c r="CY35" s="18">
        <f>'Total Saturday Boardings'!CY35/'Service Days per Month'!CY$5</f>
        <v>262.25</v>
      </c>
      <c r="CZ35" s="19">
        <f>'Total Saturday Boardings'!CZ35/'Service Days per Month'!CZ$5</f>
        <v>252</v>
      </c>
      <c r="DA35" s="17">
        <f>'Total Saturday Boardings'!DA35/'Service Days per Month'!DA$5</f>
        <v>209.8</v>
      </c>
      <c r="DB35" s="18">
        <f>'Total Saturday Boardings'!DB35/'Service Days per Month'!DB$5</f>
        <v>227.75</v>
      </c>
      <c r="DC35" s="18">
        <f>'Total Saturday Boardings'!DC35/'Service Days per Month'!DC$5</f>
        <v>257.8</v>
      </c>
      <c r="DD35" s="18">
        <f>'Total Saturday Boardings'!DD35/'Service Days per Month'!DD$5</f>
        <v>351.5</v>
      </c>
      <c r="DE35" s="18">
        <f>'Total Saturday Boardings'!DE35/'Service Days per Month'!DE$5</f>
        <v>306.5</v>
      </c>
      <c r="DF35" s="18">
        <f>'Total Saturday Boardings'!DF35/'Service Days per Month'!DF$5</f>
        <v>294.39999999999998</v>
      </c>
      <c r="DG35" s="18">
        <f>'Total Saturday Boardings'!DG35/'Service Days per Month'!DG$5</f>
        <v>220</v>
      </c>
      <c r="DH35" s="18">
        <f>'Total Saturday Boardings'!DH35/'Service Days per Month'!DH$5</f>
        <v>261.25</v>
      </c>
      <c r="DI35" s="18">
        <f>'Total Saturday Boardings'!DI35/'Service Days per Month'!DI$5</f>
        <v>262</v>
      </c>
      <c r="DJ35" s="18">
        <f>'Total Saturday Boardings'!DJ35/'Service Days per Month'!DJ$5</f>
        <v>225.25</v>
      </c>
      <c r="DK35" s="18">
        <f>'Total Saturday Boardings'!DK35/'Service Days per Month'!DK$5</f>
        <v>216</v>
      </c>
      <c r="DL35" s="19">
        <f>'Total Saturday Boardings'!DL35/'Service Days per Month'!DL$5</f>
        <v>196.8</v>
      </c>
      <c r="DM35" s="17">
        <f>'Total Saturday Boardings'!DM35/'Service Days per Month'!DM$5</f>
        <v>181.5</v>
      </c>
      <c r="DN35" s="18">
        <f>'Total Saturday Boardings'!DN35/'Service Days per Month'!DN$5</f>
        <v>216.5</v>
      </c>
      <c r="DO35" s="18">
        <f>'Total Saturday Boardings'!DO35/'Service Days per Month'!DO$5</f>
        <v>252</v>
      </c>
      <c r="DP35" s="18">
        <f>'Total Saturday Boardings'!DP35/'Service Days per Month'!DP$5</f>
        <v>207.25</v>
      </c>
      <c r="DQ35" s="18">
        <f>'Total Saturday Boardings'!DQ35/'Service Days per Month'!DQ$5</f>
        <v>260.25</v>
      </c>
      <c r="DR35" s="18">
        <f>'Total Saturday Boardings'!DR35/'Service Days per Month'!DR$5</f>
        <v>186.6</v>
      </c>
      <c r="DS35" s="18">
        <f>'Total Saturday Boardings'!DS35/'Service Days per Month'!DS$5</f>
        <v>189</v>
      </c>
      <c r="DT35" s="18">
        <f>'Total Saturday Boardings'!DT35/'Service Days per Month'!DT$5</f>
        <v>187.5</v>
      </c>
      <c r="DU35" s="18">
        <f>'Total Saturday Boardings'!DU35/'Service Days per Month'!DU$5</f>
        <v>227.6</v>
      </c>
      <c r="DV35" s="18">
        <f>'Total Saturday Boardings'!DV35/'Service Days per Month'!DV$5</f>
        <v>232.75</v>
      </c>
      <c r="DW35" s="18">
        <f>'Total Saturday Boardings'!DW35/'Service Days per Month'!DW$5</f>
        <v>188.75</v>
      </c>
      <c r="DX35" s="19">
        <f>'Total Saturday Boardings'!DX35/'Service Days per Month'!DX$5</f>
        <v>171</v>
      </c>
      <c r="DY35" s="17">
        <f>'Total Saturday Boardings'!DY35/'Service Days per Month'!DY$5</f>
        <v>184.75</v>
      </c>
      <c r="DZ35" s="18">
        <f>'Total Saturday Boardings'!DZ35/'Service Days per Month'!DZ$5</f>
        <v>164</v>
      </c>
      <c r="EA35" s="18">
        <f>'Total Saturday Boardings'!EA35/'Service Days per Month'!EA$5</f>
        <v>191.5</v>
      </c>
      <c r="EB35" s="18">
        <f>'Total Saturday Boardings'!EB35/'Service Days per Month'!EB$5</f>
        <v>258.5</v>
      </c>
      <c r="EC35" s="18">
        <f>'Total Saturday Boardings'!EC35/'Service Days per Month'!EC$5</f>
        <v>284.60000000000002</v>
      </c>
      <c r="ED35" s="18">
        <f>'Total Saturday Boardings'!ED35/'Service Days per Month'!ED$5</f>
        <v>213</v>
      </c>
      <c r="EE35" s="18">
        <f>'Total Saturday Boardings'!EE35/'Service Days per Month'!EE$5</f>
        <v>228.5</v>
      </c>
      <c r="EF35" s="18">
        <f>'Total Saturday Boardings'!EF35/'Service Days per Month'!EF$5</f>
        <v>237.6</v>
      </c>
      <c r="EG35" s="18">
        <f>'Total Saturday Boardings'!EG35/'Service Days per Month'!EG$5</f>
        <v>191.75</v>
      </c>
      <c r="EH35" s="18">
        <f>'Total Saturday Boardings'!EH35/'Service Days per Month'!EH$5</f>
        <v>153.5</v>
      </c>
      <c r="EI35" s="18">
        <f>'Total Saturday Boardings'!EI35/'Service Days per Month'!EI$5</f>
        <v>156.6</v>
      </c>
      <c r="EJ35" s="19">
        <f>'Total Saturday Boardings'!EJ35/'Service Days per Month'!EJ$5</f>
        <v>125</v>
      </c>
      <c r="EK35" s="17">
        <f>'Total Saturday Boardings'!EK35/'Service Days per Month'!EK$5</f>
        <v>96</v>
      </c>
      <c r="EL35" s="18">
        <f>'Total Saturday Boardings'!EL35/'Service Days per Month'!EL$5</f>
        <v>125.4</v>
      </c>
      <c r="EM35" s="18">
        <f>'Total Saturday Boardings'!EM35/'Service Days per Month'!EM$5</f>
        <v>145.75</v>
      </c>
      <c r="EN35" s="18">
        <f>'Total Saturday Boardings'!EN35/'Service Days per Month'!EN$5</f>
        <v>140</v>
      </c>
      <c r="EO35" s="18">
        <f>'Total Saturday Boardings'!EO35/'Service Days per Month'!EO$5</f>
        <v>130</v>
      </c>
      <c r="EP35" s="18">
        <f>'Total Saturday Boardings'!EP35/'Service Days per Month'!EP$5</f>
        <v>126</v>
      </c>
      <c r="EQ35" s="18">
        <f>'Total Saturday Boardings'!EQ35/'Service Days per Month'!EQ$5</f>
        <v>77</v>
      </c>
      <c r="ER35" s="18">
        <f>'Total Saturday Boardings'!ER35/'Service Days per Month'!ER$5</f>
        <v>131.25</v>
      </c>
      <c r="ES35" s="18">
        <f>'Total Saturday Boardings'!ES35/'Service Days per Month'!ES$5</f>
        <v>141.25</v>
      </c>
      <c r="ET35" s="18">
        <f>'Total Saturday Boardings'!ET35/'Service Days per Month'!ET$5</f>
        <v>152.25</v>
      </c>
      <c r="EU35" s="18">
        <f>'Total Saturday Boardings'!EU35/'Service Days per Month'!EU$5</f>
        <v>125.4</v>
      </c>
      <c r="EV35" s="19">
        <f>'Total Saturday Boardings'!EV35/'Service Days per Month'!EV$5</f>
        <v>106.25</v>
      </c>
      <c r="EW35" s="17">
        <f>'Total Saturday Boardings'!EW35/'Service Days per Month'!EW$5</f>
        <v>104</v>
      </c>
      <c r="EX35" s="18">
        <f>'Total Saturday Boardings'!EX35/'Service Days per Month'!EX$5</f>
        <v>120.75</v>
      </c>
      <c r="EY35" s="18">
        <f>'Total Saturday Boardings'!EY35/'Service Days per Month'!EY$5</f>
        <v>152.5</v>
      </c>
      <c r="EZ35" s="18">
        <f>'Total Saturday Boardings'!EZ35/'Service Days per Month'!EZ$5</f>
        <v>159.4</v>
      </c>
      <c r="FA35" s="18">
        <f>'Total Saturday Boardings'!FA35/'Service Days per Month'!FA$5</f>
        <v>178</v>
      </c>
      <c r="FB35" s="18">
        <f>'Total Saturday Boardings'!FB35/'Service Days per Month'!FB$5</f>
        <v>134.5</v>
      </c>
      <c r="FC35" s="18">
        <f>'Total Saturday Boardings'!FC35/'Service Days per Month'!FC$5</f>
        <v>136.4</v>
      </c>
      <c r="FD35" s="18">
        <f>'Total Saturday Boardings'!FD35/'Service Days per Month'!FD$5</f>
        <v>175</v>
      </c>
      <c r="FE35" s="18">
        <f>'Total Saturday Boardings'!FE35/'Service Days per Month'!FE$5</f>
        <v>209.25</v>
      </c>
      <c r="FF35" s="18">
        <f>'Total Saturday Boardings'!FF35/'Service Days per Month'!FF$5</f>
        <v>199</v>
      </c>
      <c r="FG35" s="18">
        <f>'Total Saturday Boardings'!FG35/'Service Days per Month'!FG$5</f>
        <v>164.5</v>
      </c>
      <c r="FH35" s="19">
        <f>'Total Saturday Boardings'!FH35/'Service Days per Month'!FH$5</f>
        <v>123.75</v>
      </c>
      <c r="FI35" s="17">
        <v>124.4</v>
      </c>
      <c r="FJ35" s="18">
        <v>148.5</v>
      </c>
      <c r="FK35" s="18">
        <v>288</v>
      </c>
      <c r="FL35" s="18">
        <v>165</v>
      </c>
      <c r="FM35" s="18">
        <v>145.80000000000001</v>
      </c>
      <c r="FN35" s="18">
        <v>144</v>
      </c>
      <c r="FO35" s="18">
        <v>139.80000000000001</v>
      </c>
      <c r="FP35" s="18">
        <v>265.5</v>
      </c>
      <c r="FQ35" s="18">
        <v>193</v>
      </c>
      <c r="FR35" s="18">
        <f>'Total Saturday Boardings'!FR35/5</f>
        <v>145.80000000000001</v>
      </c>
      <c r="FS35" s="18">
        <f>'Total Saturday Boardings'!FS35/4</f>
        <v>171.25</v>
      </c>
      <c r="FT35" s="19">
        <f>'Total Saturday Boardings'!FT35/4</f>
        <v>173.5</v>
      </c>
      <c r="FU35" s="17">
        <f>'Total Saturday Boardings'!FU35/5</f>
        <v>135.4</v>
      </c>
      <c r="FV35" s="18">
        <f>'Total Saturday Boardings'!FV35/4</f>
        <v>160.75</v>
      </c>
      <c r="FW35" s="18">
        <f>'Total Saturday Boardings'!FW35/5</f>
        <v>175.8</v>
      </c>
      <c r="FX35" s="18">
        <f>'Total Saturday Boardings'!FX35/4</f>
        <v>188</v>
      </c>
      <c r="FY35" s="18">
        <f>'Total Saturday Boardings'!FY35/4</f>
        <v>195.5</v>
      </c>
      <c r="FZ35" s="18">
        <f>'Total Saturday Boardings'!FZ35/5</f>
        <v>153</v>
      </c>
      <c r="GA35" s="18">
        <f>'Total Saturday Boardings'!GA35/4</f>
        <v>180.5</v>
      </c>
      <c r="GB35" s="18">
        <f>'Total Saturday Boardings'!GB35/4</f>
        <v>187.75</v>
      </c>
      <c r="GC35" s="18">
        <f>'Total Saturday Boardings'!GC35/5</f>
        <v>184.6</v>
      </c>
      <c r="GD35" s="18">
        <f>'Total Saturday Boardings'!GD35/4</f>
        <v>176.5</v>
      </c>
      <c r="GE35" s="18">
        <f>'Total Saturday Boardings'!GE35/4</f>
        <v>167</v>
      </c>
      <c r="GF35" s="18">
        <f>'Total Saturday Boardings'!GF35/5</f>
        <v>149</v>
      </c>
      <c r="GG35" s="18">
        <f>'Total Saturday Boardings'!GG35/4</f>
        <v>182.5</v>
      </c>
      <c r="GH35" s="18">
        <f>'Total Saturday Boardings'!GH35/5</f>
        <v>182</v>
      </c>
      <c r="GI35" s="18">
        <f>'Total Saturday Boardings'!GI35/4</f>
        <v>174.25</v>
      </c>
      <c r="GJ35" s="18">
        <f>'Total Saturday Boardings'!GJ35/4</f>
        <v>172.75</v>
      </c>
      <c r="GK35" s="18">
        <f>'Total Saturday Boardings'!GK35/5</f>
        <v>263</v>
      </c>
      <c r="GL35" s="18">
        <f>'Total Saturday Boardings'!GL35/4</f>
        <v>136.5</v>
      </c>
    </row>
    <row r="36" spans="1:194" x14ac:dyDescent="0.3">
      <c r="A36" s="3" t="s">
        <v>18</v>
      </c>
      <c r="B36" s="17"/>
      <c r="C36" s="18">
        <f>'Total Saturday Boardings'!C36/'Service Days per Month'!C$5</f>
        <v>2058.4</v>
      </c>
      <c r="D36" s="18">
        <f>'Total Saturday Boardings'!D36/'Service Days per Month'!D$5</f>
        <v>2785.5</v>
      </c>
      <c r="E36" s="18">
        <f>'Total Saturday Boardings'!E36/'Service Days per Month'!E$5</f>
        <v>3565.5</v>
      </c>
      <c r="F36" s="18">
        <f>'Total Saturday Boardings'!F36/'Service Days per Month'!F$5</f>
        <v>3099.75</v>
      </c>
      <c r="G36" s="18">
        <f>'Total Saturday Boardings'!G36/'Service Days per Month'!G$5</f>
        <v>1490</v>
      </c>
      <c r="H36" s="19">
        <f>'Total Saturday Boardings'!H36/'Service Days per Month'!H$5</f>
        <v>1358.75</v>
      </c>
      <c r="I36" s="17">
        <f>'Total Saturday Boardings'!I36/'Service Days per Month'!I$5</f>
        <v>3066.3333333333335</v>
      </c>
      <c r="J36" s="18">
        <f>'Total Saturday Boardings'!J36/'Service Days per Month'!J$5</f>
        <v>1009</v>
      </c>
      <c r="K36" s="18">
        <f>'Total Saturday Boardings'!K36/'Service Days per Month'!K$5</f>
        <v>2056.75</v>
      </c>
      <c r="L36" s="18">
        <f>'Total Saturday Boardings'!L36/'Service Days per Month'!L$5</f>
        <v>2498.8000000000002</v>
      </c>
      <c r="M36" s="18">
        <f>'Total Saturday Boardings'!M36/'Service Days per Month'!M$5</f>
        <v>2107.25</v>
      </c>
      <c r="N36" s="18">
        <f>'Total Saturday Boardings'!N36/'Service Days per Month'!N$5</f>
        <v>2412.75</v>
      </c>
      <c r="O36" s="62">
        <f>'Total Saturday Boardings'!O36/'Service Days per Month'!O$5</f>
        <v>1608.4</v>
      </c>
      <c r="P36" s="62">
        <f>'Total Saturday Boardings'!P36/'Service Days per Month'!P$5</f>
        <v>2119.25</v>
      </c>
      <c r="Q36" s="62">
        <f>'Total Saturday Boardings'!Q36/'Service Days per Month'!Q$5</f>
        <v>3571.5</v>
      </c>
      <c r="R36" s="62">
        <f>'Total Saturday Boardings'!R36/'Service Days per Month'!R$5</f>
        <v>2372.5</v>
      </c>
      <c r="S36" s="62">
        <f>'Total Saturday Boardings'!S36/'Service Days per Month'!S$5</f>
        <v>1481.2</v>
      </c>
      <c r="T36" s="63">
        <f>'Total Saturday Boardings'!T36/'Service Days per Month'!T$5</f>
        <v>1321.5</v>
      </c>
      <c r="U36" s="64">
        <f>'Total Saturday Boardings'!U36/'Service Days per Month'!U$5</f>
        <v>1246.4000000000001</v>
      </c>
      <c r="V36" s="62">
        <f>'Total Saturday Boardings'!V36/'Service Days per Month'!V$5</f>
        <v>1353</v>
      </c>
      <c r="W36" s="62">
        <f>'Total Saturday Boardings'!W36/'Service Days per Month'!W$5</f>
        <v>2160</v>
      </c>
      <c r="X36" s="62">
        <f>'Total Saturday Boardings'!X36/'Service Days per Month'!X$5</f>
        <v>1821.8</v>
      </c>
      <c r="Y36" s="62">
        <f>'Total Saturday Boardings'!Y36/'Service Days per Month'!Y$5</f>
        <v>2127</v>
      </c>
      <c r="Z36" s="62">
        <f>'Total Saturday Boardings'!Z36/'Service Days per Month'!Z$5</f>
        <v>2599.3333333333335</v>
      </c>
      <c r="AA36" s="18">
        <f>'Total Saturday Boardings'!AA36/'Service Days per Month'!AA$5</f>
        <v>1457.4</v>
      </c>
      <c r="AB36" s="18">
        <f>'Total Saturday Boardings'!AB36/'Service Days per Month'!AB$5</f>
        <v>1772.5</v>
      </c>
      <c r="AC36" s="18">
        <f>'Total Saturday Boardings'!AC36/'Service Days per Month'!AC$5</f>
        <v>4224.5</v>
      </c>
      <c r="AD36" s="18">
        <f>'Total Saturday Boardings'!AD36/'Service Days per Month'!AD$5</f>
        <v>2485</v>
      </c>
      <c r="AE36" s="18">
        <f>'Total Saturday Boardings'!AE36/'Service Days per Month'!AE$5</f>
        <v>1620.75</v>
      </c>
      <c r="AF36" s="19">
        <f>'Total Saturday Boardings'!AF36/'Service Days per Month'!AF$5</f>
        <v>1413.25</v>
      </c>
      <c r="AG36" s="17">
        <f>'Total Saturday Boardings'!AG36/'Service Days per Month'!AG$5</f>
        <v>1297</v>
      </c>
      <c r="AH36" s="18">
        <f>'Total Saturday Boardings'!AH36/'Service Days per Month'!AH$5</f>
        <v>1425.75</v>
      </c>
      <c r="AI36" s="18">
        <f>'Total Saturday Boardings'!AI36/'Service Days per Month'!AI$5</f>
        <v>1966</v>
      </c>
      <c r="AJ36" s="18">
        <f>'Total Saturday Boardings'!AJ36/'Service Days per Month'!AJ$5</f>
        <v>2985.8</v>
      </c>
      <c r="AK36" s="18">
        <f>'Total Saturday Boardings'!AK36/'Service Days per Month'!AK$5</f>
        <v>2062</v>
      </c>
      <c r="AL36" s="18">
        <f>'Total Saturday Boardings'!AL36/'Service Days per Month'!AL$5</f>
        <v>2800.5</v>
      </c>
      <c r="AM36" s="18">
        <f>'Total Saturday Boardings'!AM36/'Service Days per Month'!AM$5</f>
        <v>1920.75</v>
      </c>
      <c r="AN36" s="18">
        <f>'Total Saturday Boardings'!AN36/'Service Days per Month'!AN$5</f>
        <v>2115.75</v>
      </c>
      <c r="AO36" s="18">
        <f>'Total Saturday Boardings'!AO36/'Service Days per Month'!AO$5</f>
        <v>3090.4</v>
      </c>
      <c r="AP36" s="18">
        <f>'Total Saturday Boardings'!AP36/'Service Days per Month'!AP$5</f>
        <v>2336</v>
      </c>
      <c r="AQ36" s="18">
        <f>'Total Saturday Boardings'!AQ36/'Service Days per Month'!AQ$5</f>
        <v>1746.75</v>
      </c>
      <c r="AR36" s="19">
        <f>'Total Saturday Boardings'!AR36/'Service Days per Month'!AR$5</f>
        <v>1566.2</v>
      </c>
      <c r="AS36" s="17">
        <f>'Total Saturday Boardings'!AS36/'Service Days per Month'!AS$5</f>
        <v>1434.5</v>
      </c>
      <c r="AT36" s="18">
        <f>'Total Saturday Boardings'!AT36/'Service Days per Month'!AT$5</f>
        <v>1514.75</v>
      </c>
      <c r="AU36" s="18">
        <f>'Total Saturday Boardings'!AU36/'Service Days per Month'!AU$5</f>
        <v>1852</v>
      </c>
      <c r="AV36" s="18">
        <f>'Total Saturday Boardings'!AV36/'Service Days per Month'!AV$5</f>
        <v>3414.75</v>
      </c>
      <c r="AW36" s="18">
        <f>'Total Saturday Boardings'!AW36/'Service Days per Month'!AW$5</f>
        <v>2036</v>
      </c>
      <c r="AX36" s="18">
        <f>'Total Saturday Boardings'!AX36/'Service Days per Month'!AX$5</f>
        <v>2220</v>
      </c>
      <c r="AY36" s="18">
        <f>'Total Saturday Boardings'!AY36/'Service Days per Month'!AY$5</f>
        <v>1769</v>
      </c>
      <c r="AZ36" s="18">
        <f>'Total Saturday Boardings'!AZ36/'Service Days per Month'!AZ$5</f>
        <v>1745.25</v>
      </c>
      <c r="BA36" s="18">
        <f>'Total Saturday Boardings'!BA36/'Service Days per Month'!BA$5</f>
        <v>2134.8000000000002</v>
      </c>
      <c r="BB36" s="18">
        <f>'Total Saturday Boardings'!BB36/'Service Days per Month'!BB$5</f>
        <v>2885.25</v>
      </c>
      <c r="BC36" s="18">
        <f>'Total Saturday Boardings'!BC36/'Service Days per Month'!BC$5</f>
        <v>1687.75</v>
      </c>
      <c r="BD36" s="19">
        <f>'Total Saturday Boardings'!BD36/'Service Days per Month'!BD$5</f>
        <v>1398.8</v>
      </c>
      <c r="BE36" s="17">
        <f>'Total Saturday Boardings'!BE36/'Service Days per Month'!BE$5</f>
        <v>1320.25</v>
      </c>
      <c r="BF36" s="18">
        <f>'Total Saturday Boardings'!BF36/'Service Days per Month'!BF$5</f>
        <v>1478</v>
      </c>
      <c r="BG36" s="18">
        <f>'Total Saturday Boardings'!BG36/'Service Days per Month'!BG$5</f>
        <v>1912.25</v>
      </c>
      <c r="BH36" s="18">
        <f>'Total Saturday Boardings'!BH36/'Service Days per Month'!BH$5</f>
        <v>3151.25</v>
      </c>
      <c r="BI36" s="18">
        <f>'Total Saturday Boardings'!BI36/'Service Days per Month'!BI$5</f>
        <v>1971.2876820632068</v>
      </c>
      <c r="BJ36" s="18">
        <f>'Total Saturday Boardings'!BJ36/'Service Days per Month'!BJ$5</f>
        <v>2704.5</v>
      </c>
      <c r="BK36" s="18">
        <f>'Total Saturday Boardings'!BK36/'Service Days per Month'!BK$5</f>
        <v>1883.75</v>
      </c>
      <c r="BL36" s="18">
        <f>'Total Saturday Boardings'!BL36/'Service Days per Month'!BL$5</f>
        <v>1813.75</v>
      </c>
      <c r="BM36" s="18">
        <f>'Total Saturday Boardings'!BM36/'Service Days per Month'!BM$5</f>
        <v>2699</v>
      </c>
      <c r="BN36" s="18">
        <f>'Total Saturday Boardings'!BN36/'Service Days per Month'!BN$5</f>
        <v>1958.75</v>
      </c>
      <c r="BO36" s="18">
        <f>'Total Saturday Boardings'!BO36/'Service Days per Month'!BO$5</f>
        <v>1510</v>
      </c>
      <c r="BP36" s="19">
        <f>'Total Saturday Boardings'!BP36/'Service Days per Month'!BP$5</f>
        <v>1436</v>
      </c>
      <c r="BQ36" s="17">
        <f>'Total Saturday Boardings'!BQ36/'Service Days per Month'!BQ$5</f>
        <v>1349.25</v>
      </c>
      <c r="BR36" s="18">
        <f>'Total Saturday Boardings'!BR36/'Service Days per Month'!BR$5</f>
        <v>1383.6</v>
      </c>
      <c r="BS36" s="18">
        <f>'Total Saturday Boardings'!BS36/'Service Days per Month'!BS$5</f>
        <v>1442.5</v>
      </c>
      <c r="BT36" s="18">
        <f>'Total Saturday Boardings'!BT36/'Service Days per Month'!BT$5</f>
        <v>2901</v>
      </c>
      <c r="BU36" s="18">
        <f>'Total Saturday Boardings'!BU36/'Service Days per Month'!BU$5</f>
        <v>2637.6</v>
      </c>
      <c r="BV36" s="18">
        <f>'Total Saturday Boardings'!BV36/'Service Days per Month'!BV$5</f>
        <v>1910</v>
      </c>
      <c r="BW36" s="18">
        <f>'Total Saturday Boardings'!BW36/'Service Days per Month'!BW$5</f>
        <v>2395</v>
      </c>
      <c r="BX36" s="18">
        <f>'Total Saturday Boardings'!BX36/'Service Days per Month'!BX$5</f>
        <v>1747.25</v>
      </c>
      <c r="BY36" s="18">
        <f>'Total Saturday Boardings'!BY36/'Service Days per Month'!BY$5</f>
        <v>2893.5</v>
      </c>
      <c r="BZ36" s="18">
        <f>'Total Saturday Boardings'!BZ36/'Service Days per Month'!BZ$5</f>
        <v>2092.5</v>
      </c>
      <c r="CA36" s="18">
        <f>'Total Saturday Boardings'!CA36/'Service Days per Month'!CA$5</f>
        <v>1425.8</v>
      </c>
      <c r="CB36" s="19">
        <f>'Total Saturday Boardings'!CB36/'Service Days per Month'!CB$5</f>
        <v>1155.75</v>
      </c>
      <c r="CC36" s="20">
        <f>'Total Saturday Boardings'!CC36/'Service Days per Month'!CC$5</f>
        <v>2218.25</v>
      </c>
      <c r="CD36" s="18">
        <f>'Total Saturday Boardings'!CD36/'Service Days per Month'!CD$5</f>
        <v>1261.5999999999999</v>
      </c>
      <c r="CE36" s="18">
        <f>'Total Saturday Boardings'!CE36/'Service Days per Month'!CE$5</f>
        <v>2406.75</v>
      </c>
      <c r="CF36" s="18">
        <f>'Total Saturday Boardings'!CF36/'Service Days per Month'!CF$5</f>
        <v>2824.6</v>
      </c>
      <c r="CG36" s="18">
        <f>'Total Saturday Boardings'!CG36/'Service Days per Month'!CG$5</f>
        <v>2374.75</v>
      </c>
      <c r="CH36" s="18">
        <f>'Total Saturday Boardings'!CH36/'Service Days per Month'!CH$5</f>
        <v>2012.5</v>
      </c>
      <c r="CI36" s="18">
        <f>'Total Saturday Boardings'!CI36/'Service Days per Month'!CI$5</f>
        <v>1748.2</v>
      </c>
      <c r="CJ36" s="18">
        <f>'Total Saturday Boardings'!CJ36/'Service Days per Month'!CJ$5</f>
        <v>1695.5</v>
      </c>
      <c r="CK36" s="18">
        <f>'Total Saturday Boardings'!CK36/'Service Days per Month'!CK$5</f>
        <v>2130.75</v>
      </c>
      <c r="CL36" s="18">
        <f>'Total Saturday Boardings'!CL36/'Service Days per Month'!CL$5</f>
        <v>2399.8000000000002</v>
      </c>
      <c r="CM36" s="18">
        <f>'Total Saturday Boardings'!CM36/'Service Days per Month'!CM$5</f>
        <v>1600.75</v>
      </c>
      <c r="CN36" s="21">
        <f>'Total Saturday Boardings'!CN36/'Service Days per Month'!CN$5</f>
        <v>1273.75</v>
      </c>
      <c r="CO36" s="17">
        <f>'Total Saturday Boardings'!CO36/'Service Days per Month'!CO$5</f>
        <v>1310.4000000000001</v>
      </c>
      <c r="CP36" s="18">
        <f>'Total Saturday Boardings'!CP36/'Service Days per Month'!CP$5</f>
        <v>1432.75</v>
      </c>
      <c r="CQ36" s="18">
        <f>'Total Saturday Boardings'!CQ36/'Service Days per Month'!CQ$5</f>
        <v>1663.75</v>
      </c>
      <c r="CR36" s="18">
        <f>'Total Saturday Boardings'!CR36/'Service Days per Month'!CR$5</f>
        <v>2126.6</v>
      </c>
      <c r="CS36" s="18">
        <f>'Total Saturday Boardings'!CS36/'Service Days per Month'!CS$5</f>
        <v>1563.5</v>
      </c>
      <c r="CT36" s="18">
        <f>'Total Saturday Boardings'!CT36/'Service Days per Month'!CT$5</f>
        <v>2104.5</v>
      </c>
      <c r="CU36" s="18">
        <f>'Total Saturday Boardings'!CU36/'Service Days per Month'!CU$5</f>
        <v>1520.25</v>
      </c>
      <c r="CV36" s="18">
        <f>'Total Saturday Boardings'!CV36/'Service Days per Month'!CV$5</f>
        <v>1539.25</v>
      </c>
      <c r="CW36" s="18">
        <f>'Total Saturday Boardings'!CW36/'Service Days per Month'!CW$5</f>
        <v>2198.75</v>
      </c>
      <c r="CX36" s="18">
        <f>'Total Saturday Boardings'!CX36/'Service Days per Month'!CX$5</f>
        <v>2346.8000000000002</v>
      </c>
      <c r="CY36" s="18">
        <f>'Total Saturday Boardings'!CY36/'Service Days per Month'!CY$5</f>
        <v>1390</v>
      </c>
      <c r="CZ36" s="19">
        <f>'Total Saturday Boardings'!CZ36/'Service Days per Month'!CZ$5</f>
        <v>1127.25</v>
      </c>
      <c r="DA36" s="17">
        <f>'Total Saturday Boardings'!DA36/'Service Days per Month'!DA$5</f>
        <v>1131.4000000000001</v>
      </c>
      <c r="DB36" s="18">
        <f>'Total Saturday Boardings'!DB36/'Service Days per Month'!DB$5</f>
        <v>1323</v>
      </c>
      <c r="DC36" s="18">
        <f>'Total Saturday Boardings'!DC36/'Service Days per Month'!DC$5</f>
        <v>1328.4</v>
      </c>
      <c r="DD36" s="18">
        <f>'Total Saturday Boardings'!DD36/'Service Days per Month'!DD$5</f>
        <v>2315.5</v>
      </c>
      <c r="DE36" s="18">
        <f>'Total Saturday Boardings'!DE36/'Service Days per Month'!DE$5</f>
        <v>1447.75</v>
      </c>
      <c r="DF36" s="18">
        <f>'Total Saturday Boardings'!DF36/'Service Days per Month'!DF$5</f>
        <v>1573.8</v>
      </c>
      <c r="DG36" s="18">
        <f>'Total Saturday Boardings'!DG36/'Service Days per Month'!DG$5</f>
        <v>1203</v>
      </c>
      <c r="DH36" s="18">
        <f>'Total Saturday Boardings'!DH36/'Service Days per Month'!DH$5</f>
        <v>1328.5</v>
      </c>
      <c r="DI36" s="18">
        <f>'Total Saturday Boardings'!DI36/'Service Days per Month'!DI$5</f>
        <v>2189.6</v>
      </c>
      <c r="DJ36" s="18">
        <f>'Total Saturday Boardings'!DJ36/'Service Days per Month'!DJ$5</f>
        <v>1303.75</v>
      </c>
      <c r="DK36" s="18">
        <f>'Total Saturday Boardings'!DK36/'Service Days per Month'!DK$5</f>
        <v>1086.5</v>
      </c>
      <c r="DL36" s="19">
        <f>'Total Saturday Boardings'!DL36/'Service Days per Month'!DL$5</f>
        <v>1037.8</v>
      </c>
      <c r="DM36" s="17">
        <f>'Total Saturday Boardings'!DM36/'Service Days per Month'!DM$5</f>
        <v>911.5</v>
      </c>
      <c r="DN36" s="18">
        <f>'Total Saturday Boardings'!DN36/'Service Days per Month'!DN$5</f>
        <v>887.25</v>
      </c>
      <c r="DO36" s="18">
        <f>'Total Saturday Boardings'!DO36/'Service Days per Month'!DO$5</f>
        <v>1174.4000000000001</v>
      </c>
      <c r="DP36" s="18">
        <f>'Total Saturday Boardings'!DP36/'Service Days per Month'!DP$5</f>
        <v>1316</v>
      </c>
      <c r="DQ36" s="18">
        <f>'Total Saturday Boardings'!DQ36/'Service Days per Month'!DQ$5</f>
        <v>1346.5</v>
      </c>
      <c r="DR36" s="18">
        <f>'Total Saturday Boardings'!DR36/'Service Days per Month'!DR$5</f>
        <v>1455.6</v>
      </c>
      <c r="DS36" s="18">
        <f>'Total Saturday Boardings'!DS36/'Service Days per Month'!DS$5</f>
        <v>1149.25</v>
      </c>
      <c r="DT36" s="18">
        <f>'Total Saturday Boardings'!DT36/'Service Days per Month'!DT$5</f>
        <v>1107.75</v>
      </c>
      <c r="DU36" s="18">
        <f>'Total Saturday Boardings'!DU36/'Service Days per Month'!DU$5</f>
        <v>2016.2</v>
      </c>
      <c r="DV36" s="18">
        <f>'Total Saturday Boardings'!DV36/'Service Days per Month'!DV$5</f>
        <v>1251.25</v>
      </c>
      <c r="DW36" s="18">
        <f>'Total Saturday Boardings'!DW36/'Service Days per Month'!DW$5</f>
        <v>1004.25</v>
      </c>
      <c r="DX36" s="19">
        <f>'Total Saturday Boardings'!DX36/'Service Days per Month'!DX$5</f>
        <v>867.4</v>
      </c>
      <c r="DY36" s="17">
        <f>'Total Saturday Boardings'!DY36/'Service Days per Month'!DY$5</f>
        <v>783.25</v>
      </c>
      <c r="DZ36" s="18">
        <f>'Total Saturday Boardings'!DZ36/'Service Days per Month'!DZ$5</f>
        <v>876.4</v>
      </c>
      <c r="EA36" s="18">
        <f>'Total Saturday Boardings'!EA36/'Service Days per Month'!EA$5</f>
        <v>1041.25</v>
      </c>
      <c r="EB36" s="18">
        <f>'Total Saturday Boardings'!EB36/'Service Days per Month'!EB$5</f>
        <v>1658.25</v>
      </c>
      <c r="EC36" s="18">
        <f>'Total Saturday Boardings'!EC36/'Service Days per Month'!EC$5</f>
        <v>1439.6</v>
      </c>
      <c r="ED36" s="18">
        <f>'Total Saturday Boardings'!ED36/'Service Days per Month'!ED$5</f>
        <v>1487</v>
      </c>
      <c r="EE36" s="18">
        <f>'Total Saturday Boardings'!EE36/'Service Days per Month'!EE$5</f>
        <v>1059.5</v>
      </c>
      <c r="EF36" s="18">
        <f>'Total Saturday Boardings'!EF36/'Service Days per Month'!EF$5</f>
        <v>1292</v>
      </c>
      <c r="EG36" s="18">
        <f>'Total Saturday Boardings'!EG36/'Service Days per Month'!EG$5</f>
        <v>754</v>
      </c>
      <c r="EH36" s="18">
        <f>'Total Saturday Boardings'!EH36/'Service Days per Month'!EH$5</f>
        <v>408</v>
      </c>
      <c r="EI36" s="18">
        <f>'Total Saturday Boardings'!EI36/'Service Days per Month'!EI$5</f>
        <v>418.4</v>
      </c>
      <c r="EJ36" s="19">
        <f>'Total Saturday Boardings'!EJ36/'Service Days per Month'!EJ$5</f>
        <v>430.25</v>
      </c>
      <c r="EK36" s="17">
        <f>'Total Saturday Boardings'!EK36/'Service Days per Month'!EK$5</f>
        <v>254</v>
      </c>
      <c r="EL36" s="18">
        <f>'Total Saturday Boardings'!EL36/'Service Days per Month'!EL$5</f>
        <v>352.8</v>
      </c>
      <c r="EM36" s="18">
        <f>'Total Saturday Boardings'!EM36/'Service Days per Month'!EM$5</f>
        <v>433.5</v>
      </c>
      <c r="EN36" s="18">
        <f>'Total Saturday Boardings'!EN36/'Service Days per Month'!EN$5</f>
        <v>486.8</v>
      </c>
      <c r="EO36" s="18">
        <f>'Total Saturday Boardings'!EO36/'Service Days per Month'!EO$5</f>
        <v>575</v>
      </c>
      <c r="EP36" s="18">
        <f>'Total Saturday Boardings'!EP36/'Service Days per Month'!EP$5</f>
        <v>305.75</v>
      </c>
      <c r="EQ36" s="18">
        <f>'Total Saturday Boardings'!EQ36/'Service Days per Month'!EQ$5</f>
        <v>211</v>
      </c>
      <c r="ER36" s="18">
        <f>'Total Saturday Boardings'!ER36/'Service Days per Month'!ER$5</f>
        <v>440.75</v>
      </c>
      <c r="ES36" s="18">
        <f>'Total Saturday Boardings'!ES36/'Service Days per Month'!ES$5</f>
        <v>550</v>
      </c>
      <c r="ET36" s="18">
        <f>'Total Saturday Boardings'!ET36/'Service Days per Month'!ET$5</f>
        <v>551.25</v>
      </c>
      <c r="EU36" s="18">
        <f>'Total Saturday Boardings'!EU36/'Service Days per Month'!EU$5</f>
        <v>488</v>
      </c>
      <c r="EV36" s="19">
        <f>'Total Saturday Boardings'!EV36/'Service Days per Month'!EV$5</f>
        <v>461.75</v>
      </c>
      <c r="EW36" s="17">
        <f>'Total Saturday Boardings'!EW36/'Service Days per Month'!EW$5</f>
        <v>460</v>
      </c>
      <c r="EX36" s="18">
        <f>'Total Saturday Boardings'!EX36/'Service Days per Month'!EX$5</f>
        <v>444.25</v>
      </c>
      <c r="EY36" s="18">
        <f>'Total Saturday Boardings'!EY36/'Service Days per Month'!EY$5</f>
        <v>605</v>
      </c>
      <c r="EZ36" s="18">
        <f>'Total Saturday Boardings'!EZ36/'Service Days per Month'!EZ$5</f>
        <v>628.6</v>
      </c>
      <c r="FA36" s="18">
        <f>'Total Saturday Boardings'!FA36/'Service Days per Month'!FA$5</f>
        <v>757.25</v>
      </c>
      <c r="FB36" s="18">
        <f>'Total Saturday Boardings'!FB36/'Service Days per Month'!FB$5</f>
        <v>820</v>
      </c>
      <c r="FC36" s="18">
        <f>'Total Saturday Boardings'!FC36/'Service Days per Month'!FC$5</f>
        <v>561.79999999999995</v>
      </c>
      <c r="FD36" s="18">
        <f>'Total Saturday Boardings'!FD36/'Service Days per Month'!FD$5</f>
        <v>965.5</v>
      </c>
      <c r="FE36" s="18">
        <f>'Total Saturday Boardings'!FE36/'Service Days per Month'!FE$5</f>
        <v>1197.5</v>
      </c>
      <c r="FF36" s="18">
        <f>'Total Saturday Boardings'!FF36/'Service Days per Month'!FF$5</f>
        <v>784.4</v>
      </c>
      <c r="FG36" s="18">
        <f>'Total Saturday Boardings'!FG36/'Service Days per Month'!FG$5</f>
        <v>548</v>
      </c>
      <c r="FH36" s="19">
        <f>'Total Saturday Boardings'!FH36/'Service Days per Month'!FH$5</f>
        <v>506.75</v>
      </c>
      <c r="FI36" s="17">
        <v>481.4</v>
      </c>
      <c r="FJ36" s="18">
        <v>530</v>
      </c>
      <c r="FK36" s="18">
        <v>820.25</v>
      </c>
      <c r="FL36" s="18">
        <v>816.2</v>
      </c>
      <c r="FM36" s="18">
        <v>616.4</v>
      </c>
      <c r="FN36" s="18">
        <v>698.6</v>
      </c>
      <c r="FO36" s="18">
        <v>550.6</v>
      </c>
      <c r="FP36" s="18">
        <v>1184.25</v>
      </c>
      <c r="FQ36" s="18">
        <v>1100.25</v>
      </c>
      <c r="FR36" s="18">
        <f>'Total Saturday Boardings'!FR36/5</f>
        <v>990.8</v>
      </c>
      <c r="FS36" s="18">
        <f>'Total Saturday Boardings'!FS36/4</f>
        <v>689</v>
      </c>
      <c r="FT36" s="19">
        <f>'Total Saturday Boardings'!FT36/4</f>
        <v>613.5</v>
      </c>
      <c r="FU36" s="17">
        <f>'Total Saturday Boardings'!FU36/5</f>
        <v>506.6</v>
      </c>
      <c r="FV36" s="18">
        <f>'Total Saturday Boardings'!FV36/4</f>
        <v>547.5</v>
      </c>
      <c r="FW36" s="18">
        <f>'Total Saturday Boardings'!FW36/5</f>
        <v>824.6</v>
      </c>
      <c r="FX36" s="18">
        <f>'Total Saturday Boardings'!FX36/4</f>
        <v>1016.25</v>
      </c>
      <c r="FY36" s="18">
        <f>'Total Saturday Boardings'!FY36/4</f>
        <v>772.75</v>
      </c>
      <c r="FZ36" s="18">
        <f>'Total Saturday Boardings'!FZ36/5</f>
        <v>893.8</v>
      </c>
      <c r="GA36" s="18">
        <f>'Total Saturday Boardings'!GA36/4</f>
        <v>757</v>
      </c>
      <c r="GB36" s="18">
        <f>'Total Saturday Boardings'!GB36/4</f>
        <v>732.25</v>
      </c>
      <c r="GC36" s="18">
        <f>'Total Saturday Boardings'!GC36/5</f>
        <v>1301</v>
      </c>
      <c r="GD36" s="18">
        <f>'Total Saturday Boardings'!GD36/4</f>
        <v>753</v>
      </c>
      <c r="GE36" s="18">
        <f>'Total Saturday Boardings'!GE36/4</f>
        <v>648</v>
      </c>
      <c r="GF36" s="18">
        <f>'Total Saturday Boardings'!GF36/5</f>
        <v>519</v>
      </c>
      <c r="GG36" s="18">
        <f>'Total Saturday Boardings'!GG36/4</f>
        <v>512.75</v>
      </c>
      <c r="GH36" s="18">
        <f>'Total Saturday Boardings'!GH36/5</f>
        <v>576.79999999999995</v>
      </c>
      <c r="GI36" s="18">
        <f>'Total Saturday Boardings'!GI36/4</f>
        <v>738.25</v>
      </c>
      <c r="GJ36" s="18">
        <f>'Total Saturday Boardings'!GJ36/4</f>
        <v>783.75</v>
      </c>
      <c r="GK36" s="18">
        <f>'Total Saturday Boardings'!GK36/5</f>
        <v>664.2</v>
      </c>
      <c r="GL36" s="18">
        <f>'Total Saturday Boardings'!GL36/4</f>
        <v>842.25</v>
      </c>
    </row>
    <row r="37" spans="1:194" x14ac:dyDescent="0.3">
      <c r="A37" s="3" t="s">
        <v>19</v>
      </c>
      <c r="B37" s="17"/>
      <c r="C37" s="18">
        <f>'Total Saturday Boardings'!C37/'Service Days per Month'!C$5</f>
        <v>1226.4000000000001</v>
      </c>
      <c r="D37" s="18">
        <f>'Total Saturday Boardings'!D37/'Service Days per Month'!D$5</f>
        <v>1094.5</v>
      </c>
      <c r="E37" s="18">
        <f>'Total Saturday Boardings'!E37/'Service Days per Month'!E$5</f>
        <v>1032.75</v>
      </c>
      <c r="F37" s="18">
        <f>'Total Saturday Boardings'!F37/'Service Days per Month'!F$5</f>
        <v>1314</v>
      </c>
      <c r="G37" s="18">
        <f>'Total Saturday Boardings'!G37/'Service Days per Month'!G$5</f>
        <v>624.6</v>
      </c>
      <c r="H37" s="19">
        <f>'Total Saturday Boardings'!H37/'Service Days per Month'!H$5</f>
        <v>598.25</v>
      </c>
      <c r="I37" s="17">
        <f>'Total Saturday Boardings'!I37/'Service Days per Month'!I$5</f>
        <v>885</v>
      </c>
      <c r="J37" s="18">
        <f>'Total Saturday Boardings'!J37/'Service Days per Month'!J$5</f>
        <v>570.4</v>
      </c>
      <c r="K37" s="18">
        <f>'Total Saturday Boardings'!K37/'Service Days per Month'!K$5</f>
        <v>2172.75</v>
      </c>
      <c r="L37" s="18">
        <f>'Total Saturday Boardings'!L37/'Service Days per Month'!L$5</f>
        <v>1789.6</v>
      </c>
      <c r="M37" s="18">
        <f>'Total Saturday Boardings'!M37/'Service Days per Month'!M$5</f>
        <v>2426.25</v>
      </c>
      <c r="N37" s="18">
        <f>'Total Saturday Boardings'!N37/'Service Days per Month'!N$5</f>
        <v>1026.75</v>
      </c>
      <c r="O37" s="62">
        <f>'Total Saturday Boardings'!O37/'Service Days per Month'!O$5</f>
        <v>829.4</v>
      </c>
      <c r="P37" s="62">
        <f>'Total Saturday Boardings'!P37/'Service Days per Month'!P$5</f>
        <v>1084</v>
      </c>
      <c r="Q37" s="62">
        <f>'Total Saturday Boardings'!Q37/'Service Days per Month'!Q$5</f>
        <v>1097.75</v>
      </c>
      <c r="R37" s="62">
        <f>'Total Saturday Boardings'!R37/'Service Days per Month'!R$5</f>
        <v>1550.75</v>
      </c>
      <c r="S37" s="62">
        <f>'Total Saturday Boardings'!S37/'Service Days per Month'!S$5</f>
        <v>649.79999999999995</v>
      </c>
      <c r="T37" s="63">
        <f>'Total Saturday Boardings'!T37/'Service Days per Month'!T$5</f>
        <v>662.25</v>
      </c>
      <c r="U37" s="64">
        <f>'Total Saturday Boardings'!U37/'Service Days per Month'!U$5</f>
        <v>728.6</v>
      </c>
      <c r="V37" s="62">
        <f>'Total Saturday Boardings'!V37/'Service Days per Month'!V$5</f>
        <v>870</v>
      </c>
      <c r="W37" s="62">
        <f>'Total Saturday Boardings'!W37/'Service Days per Month'!W$5</f>
        <v>3460.75</v>
      </c>
      <c r="X37" s="62">
        <f>'Total Saturday Boardings'!X37/'Service Days per Month'!X$5</f>
        <v>785</v>
      </c>
      <c r="Y37" s="62">
        <f>'Total Saturday Boardings'!Y37/'Service Days per Month'!Y$5</f>
        <v>1583</v>
      </c>
      <c r="Z37" s="62">
        <f>'Total Saturday Boardings'!Z37/'Service Days per Month'!Z$5</f>
        <v>1009.3333333333334</v>
      </c>
      <c r="AA37" s="18">
        <f>'Total Saturday Boardings'!AA37/'Service Days per Month'!AA$5</f>
        <v>908.8</v>
      </c>
      <c r="AB37" s="18">
        <f>'Total Saturday Boardings'!AB37/'Service Days per Month'!AB$5</f>
        <v>1064.25</v>
      </c>
      <c r="AC37" s="18">
        <f>'Total Saturday Boardings'!AC37/'Service Days per Month'!AC$5</f>
        <v>1155.5</v>
      </c>
      <c r="AD37" s="18">
        <f>'Total Saturday Boardings'!AD37/'Service Days per Month'!AD$5</f>
        <v>1617.6</v>
      </c>
      <c r="AE37" s="18">
        <f>'Total Saturday Boardings'!AE37/'Service Days per Month'!AE$5</f>
        <v>957</v>
      </c>
      <c r="AF37" s="19">
        <f>'Total Saturday Boardings'!AF37/'Service Days per Month'!AF$5</f>
        <v>817</v>
      </c>
      <c r="AG37" s="17">
        <f>'Total Saturday Boardings'!AG37/'Service Days per Month'!AG$5</f>
        <v>767.6</v>
      </c>
      <c r="AH37" s="18">
        <f>'Total Saturday Boardings'!AH37/'Service Days per Month'!AH$5</f>
        <v>1065.25</v>
      </c>
      <c r="AI37" s="18">
        <f>'Total Saturday Boardings'!AI37/'Service Days per Month'!AI$5</f>
        <v>2073.75</v>
      </c>
      <c r="AJ37" s="18">
        <f>'Total Saturday Boardings'!AJ37/'Service Days per Month'!AJ$5</f>
        <v>2654.4</v>
      </c>
      <c r="AK37" s="18">
        <f>'Total Saturday Boardings'!AK37/'Service Days per Month'!AK$5</f>
        <v>2473.75</v>
      </c>
      <c r="AL37" s="18">
        <f>'Total Saturday Boardings'!AL37/'Service Days per Month'!AL$5</f>
        <v>1381.25</v>
      </c>
      <c r="AM37" s="18">
        <f>'Total Saturday Boardings'!AM37/'Service Days per Month'!AM$5</f>
        <v>1182.75</v>
      </c>
      <c r="AN37" s="18">
        <f>'Total Saturday Boardings'!AN37/'Service Days per Month'!AN$5</f>
        <v>1201.5</v>
      </c>
      <c r="AO37" s="18">
        <f>'Total Saturday Boardings'!AO37/'Service Days per Month'!AO$5</f>
        <v>1070.5999999999999</v>
      </c>
      <c r="AP37" s="18">
        <f>'Total Saturday Boardings'!AP37/'Service Days per Month'!AP$5</f>
        <v>1997.5</v>
      </c>
      <c r="AQ37" s="18">
        <f>'Total Saturday Boardings'!AQ37/'Service Days per Month'!AQ$5</f>
        <v>936</v>
      </c>
      <c r="AR37" s="19">
        <f>'Total Saturday Boardings'!AR37/'Service Days per Month'!AR$5</f>
        <v>903.6</v>
      </c>
      <c r="AS37" s="17">
        <f>'Total Saturday Boardings'!AS37/'Service Days per Month'!AS$5</f>
        <v>853.25</v>
      </c>
      <c r="AT37" s="18">
        <f>'Total Saturday Boardings'!AT37/'Service Days per Month'!AT$5</f>
        <v>1052.75</v>
      </c>
      <c r="AU37" s="18">
        <f>'Total Saturday Boardings'!AU37/'Service Days per Month'!AU$5</f>
        <v>2549</v>
      </c>
      <c r="AV37" s="18">
        <f>'Total Saturday Boardings'!AV37/'Service Days per Month'!AV$5</f>
        <v>2253.75</v>
      </c>
      <c r="AW37" s="18">
        <f>'Total Saturday Boardings'!AW37/'Service Days per Month'!AW$5</f>
        <v>1914</v>
      </c>
      <c r="AX37" s="18">
        <f>'Total Saturday Boardings'!AX37/'Service Days per Month'!AX$5</f>
        <v>1705.2</v>
      </c>
      <c r="AY37" s="18">
        <f>'Total Saturday Boardings'!AY37/'Service Days per Month'!AY$5</f>
        <v>1205.75</v>
      </c>
      <c r="AZ37" s="18">
        <f>'Total Saturday Boardings'!AZ37/'Service Days per Month'!AZ$5</f>
        <v>1302</v>
      </c>
      <c r="BA37" s="18">
        <f>'Total Saturday Boardings'!BA37/'Service Days per Month'!BA$5</f>
        <v>1174.5999999999999</v>
      </c>
      <c r="BB37" s="18">
        <f>'Total Saturday Boardings'!BB37/'Service Days per Month'!BB$5</f>
        <v>2064</v>
      </c>
      <c r="BC37" s="18">
        <f>'Total Saturday Boardings'!BC37/'Service Days per Month'!BC$5</f>
        <v>1121.75</v>
      </c>
      <c r="BD37" s="19">
        <f>'Total Saturday Boardings'!BD37/'Service Days per Month'!BD$5</f>
        <v>905</v>
      </c>
      <c r="BE37" s="17">
        <f>'Total Saturday Boardings'!BE37/'Service Days per Month'!BE$5</f>
        <v>913.5</v>
      </c>
      <c r="BF37" s="18">
        <f>'Total Saturday Boardings'!BF37/'Service Days per Month'!BF$5</f>
        <v>959.6</v>
      </c>
      <c r="BG37" s="18">
        <f>'Total Saturday Boardings'!BG37/'Service Days per Month'!BG$5</f>
        <v>3671.75</v>
      </c>
      <c r="BH37" s="18">
        <f>'Total Saturday Boardings'!BH37/'Service Days per Month'!BH$5</f>
        <v>3116.75</v>
      </c>
      <c r="BI37" s="18">
        <f>'Total Saturday Boardings'!BI37/'Service Days per Month'!BI$5</f>
        <v>3370.0000930134238</v>
      </c>
      <c r="BJ37" s="18">
        <f>'Total Saturday Boardings'!BJ37/'Service Days per Month'!BJ$5</f>
        <v>4292.75</v>
      </c>
      <c r="BK37" s="18">
        <f>'Total Saturday Boardings'!BK37/'Service Days per Month'!BK$5</f>
        <v>1284.5</v>
      </c>
      <c r="BL37" s="18">
        <f>'Total Saturday Boardings'!BL37/'Service Days per Month'!BL$5</f>
        <v>1301.5</v>
      </c>
      <c r="BM37" s="18">
        <f>'Total Saturday Boardings'!BM37/'Service Days per Month'!BM$5</f>
        <v>1303.2</v>
      </c>
      <c r="BN37" s="18">
        <f>'Total Saturday Boardings'!BN37/'Service Days per Month'!BN$5</f>
        <v>2105.75</v>
      </c>
      <c r="BO37" s="18">
        <f>'Total Saturday Boardings'!BO37/'Service Days per Month'!BO$5</f>
        <v>1038</v>
      </c>
      <c r="BP37" s="19">
        <f>'Total Saturday Boardings'!BP37/'Service Days per Month'!BP$5</f>
        <v>1107.25</v>
      </c>
      <c r="BQ37" s="17">
        <f>'Total Saturday Boardings'!BQ37/'Service Days per Month'!BQ$5</f>
        <v>941.75</v>
      </c>
      <c r="BR37" s="18">
        <f>'Total Saturday Boardings'!BR37/'Service Days per Month'!BR$5</f>
        <v>1247.2</v>
      </c>
      <c r="BS37" s="18">
        <f>'Total Saturday Boardings'!BS37/'Service Days per Month'!BS$5</f>
        <v>1186.5</v>
      </c>
      <c r="BT37" s="18">
        <f>'Total Saturday Boardings'!BT37/'Service Days per Month'!BT$5</f>
        <v>2754.5</v>
      </c>
      <c r="BU37" s="18">
        <f>'Total Saturday Boardings'!BU37/'Service Days per Month'!BU$5</f>
        <v>4229.3999999999996</v>
      </c>
      <c r="BV37" s="18">
        <f>'Total Saturday Boardings'!BV37/'Service Days per Month'!BV$5</f>
        <v>1139.75</v>
      </c>
      <c r="BW37" s="18">
        <f>'Total Saturday Boardings'!BW37/'Service Days per Month'!BW$5</f>
        <v>1524.6</v>
      </c>
      <c r="BX37" s="18">
        <f>'Total Saturday Boardings'!BX37/'Service Days per Month'!BX$5</f>
        <v>1317.25</v>
      </c>
      <c r="BY37" s="18">
        <f>'Total Saturday Boardings'!BY37/'Service Days per Month'!BY$5</f>
        <v>1185.25</v>
      </c>
      <c r="BZ37" s="18">
        <f>'Total Saturday Boardings'!BZ37/'Service Days per Month'!BZ$5</f>
        <v>1963.5</v>
      </c>
      <c r="CA37" s="18">
        <f>'Total Saturday Boardings'!CA37/'Service Days per Month'!CA$5</f>
        <v>1021.6</v>
      </c>
      <c r="CB37" s="19">
        <f>'Total Saturday Boardings'!CB37/'Service Days per Month'!CB$5</f>
        <v>904</v>
      </c>
      <c r="CC37" s="20">
        <f>'Total Saturday Boardings'!CC37/'Service Days per Month'!CC$5</f>
        <v>948</v>
      </c>
      <c r="CD37" s="18">
        <f>'Total Saturday Boardings'!CD37/'Service Days per Month'!CD$5</f>
        <v>1116</v>
      </c>
      <c r="CE37" s="18">
        <f>'Total Saturday Boardings'!CE37/'Service Days per Month'!CE$5</f>
        <v>3667.75</v>
      </c>
      <c r="CF37" s="18">
        <f>'Total Saturday Boardings'!CF37/'Service Days per Month'!CF$5</f>
        <v>2208.1999999999998</v>
      </c>
      <c r="CG37" s="18">
        <f>'Total Saturday Boardings'!CG37/'Service Days per Month'!CG$5</f>
        <v>3960.5</v>
      </c>
      <c r="CH37" s="18">
        <f>'Total Saturday Boardings'!CH37/'Service Days per Month'!CH$5</f>
        <v>1204</v>
      </c>
      <c r="CI37" s="18">
        <f>'Total Saturday Boardings'!CI37/'Service Days per Month'!CI$5</f>
        <v>1238.4000000000001</v>
      </c>
      <c r="CJ37" s="18">
        <f>'Total Saturday Boardings'!CJ37/'Service Days per Month'!CJ$5</f>
        <v>1284</v>
      </c>
      <c r="CK37" s="18">
        <f>'Total Saturday Boardings'!CK37/'Service Days per Month'!CK$5</f>
        <v>1178.75</v>
      </c>
      <c r="CL37" s="18">
        <f>'Total Saturday Boardings'!CL37/'Service Days per Month'!CL$5</f>
        <v>1830.8</v>
      </c>
      <c r="CM37" s="18">
        <f>'Total Saturday Boardings'!CM37/'Service Days per Month'!CM$5</f>
        <v>1034</v>
      </c>
      <c r="CN37" s="21">
        <f>'Total Saturday Boardings'!CN37/'Service Days per Month'!CN$5</f>
        <v>946.5</v>
      </c>
      <c r="CO37" s="17">
        <f>'Total Saturday Boardings'!CO37/'Service Days per Month'!CO$5</f>
        <v>916</v>
      </c>
      <c r="CP37" s="18">
        <f>'Total Saturday Boardings'!CP37/'Service Days per Month'!CP$5</f>
        <v>1189.5</v>
      </c>
      <c r="CQ37" s="18">
        <f>'Total Saturday Boardings'!CQ37/'Service Days per Month'!CQ$5</f>
        <v>3857.75</v>
      </c>
      <c r="CR37" s="18">
        <f>'Total Saturday Boardings'!CR37/'Service Days per Month'!CR$5</f>
        <v>2873</v>
      </c>
      <c r="CS37" s="18">
        <f>'Total Saturday Boardings'!CS37/'Service Days per Month'!CS$5</f>
        <v>1105.5</v>
      </c>
      <c r="CT37" s="18">
        <f>'Total Saturday Boardings'!CT37/'Service Days per Month'!CT$5</f>
        <v>1103</v>
      </c>
      <c r="CU37" s="18">
        <f>'Total Saturday Boardings'!CU37/'Service Days per Month'!CU$5</f>
        <v>1128.25</v>
      </c>
      <c r="CV37" s="18">
        <f>'Total Saturday Boardings'!CV37/'Service Days per Month'!CV$5</f>
        <v>1166.75</v>
      </c>
      <c r="CW37" s="18">
        <f>'Total Saturday Boardings'!CW37/'Service Days per Month'!CW$5</f>
        <v>1145</v>
      </c>
      <c r="CX37" s="18">
        <f>'Total Saturday Boardings'!CX37/'Service Days per Month'!CX$5</f>
        <v>2125.4</v>
      </c>
      <c r="CY37" s="18">
        <f>'Total Saturday Boardings'!CY37/'Service Days per Month'!CY$5</f>
        <v>995</v>
      </c>
      <c r="CZ37" s="19">
        <f>'Total Saturday Boardings'!CZ37/'Service Days per Month'!CZ$5</f>
        <v>954.5</v>
      </c>
      <c r="DA37" s="17">
        <f>'Total Saturday Boardings'!DA37/'Service Days per Month'!DA$5</f>
        <v>942.8</v>
      </c>
      <c r="DB37" s="18">
        <f>'Total Saturday Boardings'!DB37/'Service Days per Month'!DB$5</f>
        <v>1137.5</v>
      </c>
      <c r="DC37" s="18">
        <f>'Total Saturday Boardings'!DC37/'Service Days per Month'!DC$5</f>
        <v>2347.4</v>
      </c>
      <c r="DD37" s="18">
        <f>'Total Saturday Boardings'!DD37/'Service Days per Month'!DD$5</f>
        <v>2944</v>
      </c>
      <c r="DE37" s="18">
        <f>'Total Saturday Boardings'!DE37/'Service Days per Month'!DE$5</f>
        <v>2823.25</v>
      </c>
      <c r="DF37" s="18">
        <f>'Total Saturday Boardings'!DF37/'Service Days per Month'!DF$5</f>
        <v>967</v>
      </c>
      <c r="DG37" s="18">
        <f>'Total Saturday Boardings'!DG37/'Service Days per Month'!DG$5</f>
        <v>1184.5</v>
      </c>
      <c r="DH37" s="18">
        <f>'Total Saturday Boardings'!DH37/'Service Days per Month'!DH$5</f>
        <v>1184.75</v>
      </c>
      <c r="DI37" s="18">
        <f>'Total Saturday Boardings'!DI37/'Service Days per Month'!DI$5</f>
        <v>1025</v>
      </c>
      <c r="DJ37" s="18">
        <f>'Total Saturday Boardings'!DJ37/'Service Days per Month'!DJ$5</f>
        <v>1950.25</v>
      </c>
      <c r="DK37" s="18">
        <f>'Total Saturday Boardings'!DK37/'Service Days per Month'!DK$5</f>
        <v>890</v>
      </c>
      <c r="DL37" s="19">
        <f>'Total Saturday Boardings'!DL37/'Service Days per Month'!DL$5</f>
        <v>839.4</v>
      </c>
      <c r="DM37" s="17">
        <f>'Total Saturday Boardings'!DM37/'Service Days per Month'!DM$5</f>
        <v>843.5</v>
      </c>
      <c r="DN37" s="18">
        <f>'Total Saturday Boardings'!DN37/'Service Days per Month'!DN$5</f>
        <v>909.75</v>
      </c>
      <c r="DO37" s="18">
        <f>'Total Saturday Boardings'!DO37/'Service Days per Month'!DO$5</f>
        <v>2901</v>
      </c>
      <c r="DP37" s="18">
        <f>'Total Saturday Boardings'!DP37/'Service Days per Month'!DP$5</f>
        <v>973.75</v>
      </c>
      <c r="DQ37" s="18">
        <f>'Total Saturday Boardings'!DQ37/'Service Days per Month'!DQ$5</f>
        <v>2505.25</v>
      </c>
      <c r="DR37" s="18">
        <f>'Total Saturday Boardings'!DR37/'Service Days per Month'!DR$5</f>
        <v>1089.4000000000001</v>
      </c>
      <c r="DS37" s="18">
        <f>'Total Saturday Boardings'!DS37/'Service Days per Month'!DS$5</f>
        <v>1114.5</v>
      </c>
      <c r="DT37" s="18">
        <f>'Total Saturday Boardings'!DT37/'Service Days per Month'!DT$5</f>
        <v>1146.75</v>
      </c>
      <c r="DU37" s="18">
        <f>'Total Saturday Boardings'!DU37/'Service Days per Month'!DU$5</f>
        <v>1055.4000000000001</v>
      </c>
      <c r="DV37" s="18">
        <f>'Total Saturday Boardings'!DV37/'Service Days per Month'!DV$5</f>
        <v>1198.5</v>
      </c>
      <c r="DW37" s="18">
        <f>'Total Saturday Boardings'!DW37/'Service Days per Month'!DW$5</f>
        <v>886.25</v>
      </c>
      <c r="DX37" s="19">
        <f>'Total Saturday Boardings'!DX37/'Service Days per Month'!DX$5</f>
        <v>855.4</v>
      </c>
      <c r="DY37" s="17">
        <f>'Total Saturday Boardings'!DY37/'Service Days per Month'!DY$5</f>
        <v>750.75</v>
      </c>
      <c r="DZ37" s="18">
        <f>'Total Saturday Boardings'!DZ37/'Service Days per Month'!DZ$5</f>
        <v>952</v>
      </c>
      <c r="EA37" s="18">
        <f>'Total Saturday Boardings'!EA37/'Service Days per Month'!EA$5</f>
        <v>1734.5</v>
      </c>
      <c r="EB37" s="18">
        <f>'Total Saturday Boardings'!EB37/'Service Days per Month'!EB$5</f>
        <v>1730.5</v>
      </c>
      <c r="EC37" s="18">
        <f>'Total Saturday Boardings'!EC37/'Service Days per Month'!EC$5</f>
        <v>3038.6</v>
      </c>
      <c r="ED37" s="18">
        <f>'Total Saturday Boardings'!ED37/'Service Days per Month'!ED$5</f>
        <v>1157.5</v>
      </c>
      <c r="EE37" s="18">
        <f>'Total Saturday Boardings'!EE37/'Service Days per Month'!EE$5</f>
        <v>1278</v>
      </c>
      <c r="EF37" s="18">
        <f>'Total Saturday Boardings'!EF37/'Service Days per Month'!EF$5</f>
        <v>1076.4000000000001</v>
      </c>
      <c r="EG37" s="18">
        <f>'Total Saturday Boardings'!EG37/'Service Days per Month'!EG$5</f>
        <v>824</v>
      </c>
      <c r="EH37" s="18">
        <f>'Total Saturday Boardings'!EH37/'Service Days per Month'!EH$5</f>
        <v>540</v>
      </c>
      <c r="EI37" s="18">
        <f>'Total Saturday Boardings'!EI37/'Service Days per Month'!EI$5</f>
        <v>520.79999999999995</v>
      </c>
      <c r="EJ37" s="19">
        <f>'Total Saturday Boardings'!EJ37/'Service Days per Month'!EJ$5</f>
        <v>558</v>
      </c>
      <c r="EK37" s="17">
        <f>'Total Saturday Boardings'!EK37/'Service Days per Month'!EK$5</f>
        <v>396</v>
      </c>
      <c r="EL37" s="18">
        <f>'Total Saturday Boardings'!EL37/'Service Days per Month'!EL$5</f>
        <v>515.79999999999995</v>
      </c>
      <c r="EM37" s="18">
        <f>'Total Saturday Boardings'!EM37/'Service Days per Month'!EM$5</f>
        <v>610</v>
      </c>
      <c r="EN37" s="18">
        <f>'Total Saturday Boardings'!EN37/'Service Days per Month'!EN$5</f>
        <v>617</v>
      </c>
      <c r="EO37" s="18">
        <f>'Total Saturday Boardings'!EO37/'Service Days per Month'!EO$5</f>
        <v>508.25</v>
      </c>
      <c r="EP37" s="18">
        <f>'Total Saturday Boardings'!EP37/'Service Days per Month'!EP$5</f>
        <v>390</v>
      </c>
      <c r="EQ37" s="18">
        <f>'Total Saturday Boardings'!EQ37/'Service Days per Month'!EQ$5</f>
        <v>276.60000000000002</v>
      </c>
      <c r="ER37" s="18">
        <f>'Total Saturday Boardings'!ER37/'Service Days per Month'!ER$5</f>
        <v>517.25</v>
      </c>
      <c r="ES37" s="18">
        <f>'Total Saturday Boardings'!ES37/'Service Days per Month'!ES$5</f>
        <v>525</v>
      </c>
      <c r="ET37" s="18">
        <f>'Total Saturday Boardings'!ET37/'Service Days per Month'!ET$5</f>
        <v>570</v>
      </c>
      <c r="EU37" s="18">
        <f>'Total Saturday Boardings'!EU37/'Service Days per Month'!EU$5</f>
        <v>454</v>
      </c>
      <c r="EV37" s="19">
        <f>'Total Saturday Boardings'!EV37/'Service Days per Month'!EV$5</f>
        <v>411.25</v>
      </c>
      <c r="EW37" s="17">
        <f>'Total Saturday Boardings'!EW37/'Service Days per Month'!EW$5</f>
        <v>406.6</v>
      </c>
      <c r="EX37" s="18">
        <f>'Total Saturday Boardings'!EX37/'Service Days per Month'!EX$5</f>
        <v>464.5</v>
      </c>
      <c r="EY37" s="18">
        <f>'Total Saturday Boardings'!EY37/'Service Days per Month'!EY$5</f>
        <v>1494.75</v>
      </c>
      <c r="EZ37" s="18">
        <f>'Total Saturday Boardings'!EZ37/'Service Days per Month'!EZ$5</f>
        <v>904.8</v>
      </c>
      <c r="FA37" s="18">
        <f>'Total Saturday Boardings'!FA37/'Service Days per Month'!FA$5</f>
        <v>1594.5</v>
      </c>
      <c r="FB37" s="18">
        <f>'Total Saturday Boardings'!FB37/'Service Days per Month'!FB$5</f>
        <v>543</v>
      </c>
      <c r="FC37" s="18">
        <f>'Total Saturday Boardings'!FC37/'Service Days per Month'!FC$5</f>
        <v>461.6</v>
      </c>
      <c r="FD37" s="18">
        <f>'Total Saturday Boardings'!FD37/'Service Days per Month'!FD$5</f>
        <v>637.75</v>
      </c>
      <c r="FE37" s="18">
        <f>'Total Saturday Boardings'!FE37/'Service Days per Month'!FE$5</f>
        <v>729.25</v>
      </c>
      <c r="FF37" s="18">
        <f>'Total Saturday Boardings'!FF37/'Service Days per Month'!FF$5</f>
        <v>1002</v>
      </c>
      <c r="FG37" s="18">
        <f>'Total Saturday Boardings'!FG37/'Service Days per Month'!FG$5</f>
        <v>571.75</v>
      </c>
      <c r="FH37" s="19">
        <f>'Total Saturday Boardings'!FH37/'Service Days per Month'!FH$5</f>
        <v>431</v>
      </c>
      <c r="FI37" s="17">
        <v>431.2</v>
      </c>
      <c r="FJ37" s="18">
        <v>522.5</v>
      </c>
      <c r="FK37" s="18">
        <v>1337.5</v>
      </c>
      <c r="FL37" s="18">
        <v>798.2</v>
      </c>
      <c r="FM37" s="18">
        <v>1143</v>
      </c>
      <c r="FN37" s="18">
        <v>554.20000000000005</v>
      </c>
      <c r="FO37" s="18">
        <v>503.8</v>
      </c>
      <c r="FP37" s="18">
        <v>744.25</v>
      </c>
      <c r="FQ37" s="18">
        <v>676.75</v>
      </c>
      <c r="FR37" s="18">
        <f>'Total Saturday Boardings'!FR37/5</f>
        <v>1099.2</v>
      </c>
      <c r="FS37" s="18">
        <f>'Total Saturday Boardings'!FS37/4</f>
        <v>599.5</v>
      </c>
      <c r="FT37" s="19">
        <f>'Total Saturday Boardings'!FT37/4</f>
        <v>561.5</v>
      </c>
      <c r="FU37" s="17">
        <f>'Total Saturday Boardings'!FU37/5</f>
        <v>508</v>
      </c>
      <c r="FV37" s="18">
        <f>'Total Saturday Boardings'!FV37/4</f>
        <v>576</v>
      </c>
      <c r="FW37" s="18">
        <f>'Total Saturday Boardings'!FW37/5</f>
        <v>1800.6</v>
      </c>
      <c r="FX37" s="18">
        <f>'Total Saturday Boardings'!FX37/4</f>
        <v>1709.75</v>
      </c>
      <c r="FY37" s="18">
        <f>'Total Saturday Boardings'!FY37/4</f>
        <v>1868</v>
      </c>
      <c r="FZ37" s="18">
        <f>'Total Saturday Boardings'!FZ37/5</f>
        <v>629</v>
      </c>
      <c r="GA37" s="18">
        <f>'Total Saturday Boardings'!GA37/4</f>
        <v>743.75</v>
      </c>
      <c r="GB37" s="18">
        <f>'Total Saturday Boardings'!GB37/4</f>
        <v>1654.75</v>
      </c>
      <c r="GC37" s="18">
        <f>'Total Saturday Boardings'!GC37/5</f>
        <v>783.8</v>
      </c>
      <c r="GD37" s="18">
        <f>'Total Saturday Boardings'!GD37/4</f>
        <v>1210</v>
      </c>
      <c r="GE37" s="18">
        <f>'Total Saturday Boardings'!GE37/4</f>
        <v>720</v>
      </c>
      <c r="GF37" s="18">
        <f>'Total Saturday Boardings'!GF37/5</f>
        <v>1093.5999999999999</v>
      </c>
      <c r="GG37" s="18">
        <f>'Total Saturday Boardings'!GG37/4</f>
        <v>506.25</v>
      </c>
      <c r="GH37" s="18">
        <f>'Total Saturday Boardings'!GH37/5</f>
        <v>986.2</v>
      </c>
      <c r="GI37" s="18">
        <f>'Total Saturday Boardings'!GI37/4</f>
        <v>1174.25</v>
      </c>
      <c r="GJ37" s="18">
        <f>'Total Saturday Boardings'!GJ37/4</f>
        <v>1132.75</v>
      </c>
      <c r="GK37" s="18">
        <f>'Total Saturday Boardings'!GK37/5</f>
        <v>1562.6</v>
      </c>
      <c r="GL37" s="18">
        <f>'Total Saturday Boardings'!GL37/4</f>
        <v>609.75</v>
      </c>
    </row>
    <row r="38" spans="1:194" x14ac:dyDescent="0.3">
      <c r="A38" s="3" t="s">
        <v>20</v>
      </c>
      <c r="B38" s="17"/>
      <c r="C38" s="18">
        <f>'Total Saturday Boardings'!C38/'Service Days per Month'!C$5</f>
        <v>522.4</v>
      </c>
      <c r="D38" s="18">
        <f>'Total Saturday Boardings'!D38/'Service Days per Month'!D$5</f>
        <v>997.25</v>
      </c>
      <c r="E38" s="18">
        <f>'Total Saturday Boardings'!E38/'Service Days per Month'!E$5</f>
        <v>834</v>
      </c>
      <c r="F38" s="18">
        <f>'Total Saturday Boardings'!F38/'Service Days per Month'!F$5</f>
        <v>1034</v>
      </c>
      <c r="G38" s="18">
        <f>'Total Saturday Boardings'!G38/'Service Days per Month'!G$5</f>
        <v>549.20000000000005</v>
      </c>
      <c r="H38" s="19">
        <f>'Total Saturday Boardings'!H38/'Service Days per Month'!H$5</f>
        <v>595.25</v>
      </c>
      <c r="I38" s="17">
        <f>'Total Saturday Boardings'!I38/'Service Days per Month'!I$5</f>
        <v>668.33333333333337</v>
      </c>
      <c r="J38" s="18">
        <f>'Total Saturday Boardings'!J38/'Service Days per Month'!J$5</f>
        <v>470.8</v>
      </c>
      <c r="K38" s="18">
        <f>'Total Saturday Boardings'!K38/'Service Days per Month'!K$5</f>
        <v>1091.25</v>
      </c>
      <c r="L38" s="18">
        <f>'Total Saturday Boardings'!L38/'Service Days per Month'!L$5</f>
        <v>861.8</v>
      </c>
      <c r="M38" s="18">
        <f>'Total Saturday Boardings'!M38/'Service Days per Month'!M$5</f>
        <v>1039.25</v>
      </c>
      <c r="N38" s="18">
        <f>'Total Saturday Boardings'!N38/'Service Days per Month'!N$5</f>
        <v>820.25</v>
      </c>
      <c r="O38" s="62">
        <f>'Total Saturday Boardings'!O38/'Service Days per Month'!O$5</f>
        <v>717.2</v>
      </c>
      <c r="P38" s="62">
        <f>'Total Saturday Boardings'!P38/'Service Days per Month'!P$5</f>
        <v>999.75</v>
      </c>
      <c r="Q38" s="62">
        <f>'Total Saturday Boardings'!Q38/'Service Days per Month'!Q$5</f>
        <v>970.75</v>
      </c>
      <c r="R38" s="62">
        <f>'Total Saturday Boardings'!R38/'Service Days per Month'!R$5</f>
        <v>1161.25</v>
      </c>
      <c r="S38" s="62">
        <f>'Total Saturday Boardings'!S38/'Service Days per Month'!S$5</f>
        <v>664.2</v>
      </c>
      <c r="T38" s="63">
        <f>'Total Saturday Boardings'!T38/'Service Days per Month'!T$5</f>
        <v>684.25</v>
      </c>
      <c r="U38" s="64">
        <f>'Total Saturday Boardings'!U38/'Service Days per Month'!U$5</f>
        <v>627.79999999999995</v>
      </c>
      <c r="V38" s="62">
        <f>'Total Saturday Boardings'!V38/'Service Days per Month'!V$5</f>
        <v>839.75</v>
      </c>
      <c r="W38" s="62">
        <f>'Total Saturday Boardings'!W38/'Service Days per Month'!W$5</f>
        <v>1416.75</v>
      </c>
      <c r="X38" s="62">
        <f>'Total Saturday Boardings'!X38/'Service Days per Month'!X$5</f>
        <v>926.4</v>
      </c>
      <c r="Y38" s="62">
        <f>'Total Saturday Boardings'!Y38/'Service Days per Month'!Y$5</f>
        <v>1005.75</v>
      </c>
      <c r="Z38" s="62">
        <f>'Total Saturday Boardings'!Z38/'Service Days per Month'!Z$5</f>
        <v>1020.6666666666666</v>
      </c>
      <c r="AA38" s="18">
        <f>'Total Saturday Boardings'!AA38/'Service Days per Month'!AA$5</f>
        <v>802.4</v>
      </c>
      <c r="AB38" s="18">
        <f>'Total Saturday Boardings'!AB38/'Service Days per Month'!AB$5</f>
        <v>1138.5</v>
      </c>
      <c r="AC38" s="18">
        <f>'Total Saturday Boardings'!AC38/'Service Days per Month'!AC$5</f>
        <v>1126.75</v>
      </c>
      <c r="AD38" s="18">
        <f>'Total Saturday Boardings'!AD38/'Service Days per Month'!AD$5</f>
        <v>1309.4000000000001</v>
      </c>
      <c r="AE38" s="18">
        <f>'Total Saturday Boardings'!AE38/'Service Days per Month'!AE$5</f>
        <v>830.75</v>
      </c>
      <c r="AF38" s="19">
        <f>'Total Saturday Boardings'!AF38/'Service Days per Month'!AF$5</f>
        <v>848</v>
      </c>
      <c r="AG38" s="17">
        <f>'Total Saturday Boardings'!AG38/'Service Days per Month'!AG$5</f>
        <v>728.4</v>
      </c>
      <c r="AH38" s="18">
        <f>'Total Saturday Boardings'!AH38/'Service Days per Month'!AH$5</f>
        <v>1027</v>
      </c>
      <c r="AI38" s="18">
        <f>'Total Saturday Boardings'!AI38/'Service Days per Month'!AI$5</f>
        <v>1328</v>
      </c>
      <c r="AJ38" s="18">
        <f>'Total Saturday Boardings'!AJ38/'Service Days per Month'!AJ$5</f>
        <v>1565.6</v>
      </c>
      <c r="AK38" s="18">
        <f>'Total Saturday Boardings'!AK38/'Service Days per Month'!AK$5</f>
        <v>1252.5</v>
      </c>
      <c r="AL38" s="18">
        <f>'Total Saturday Boardings'!AL38/'Service Days per Month'!AL$5</f>
        <v>1150</v>
      </c>
      <c r="AM38" s="18">
        <f>'Total Saturday Boardings'!AM38/'Service Days per Month'!AM$5</f>
        <v>1222.25</v>
      </c>
      <c r="AN38" s="18">
        <f>'Total Saturday Boardings'!AN38/'Service Days per Month'!AN$5</f>
        <v>1155.25</v>
      </c>
      <c r="AO38" s="18">
        <f>'Total Saturday Boardings'!AO38/'Service Days per Month'!AO$5</f>
        <v>1071.2</v>
      </c>
      <c r="AP38" s="18">
        <f>'Total Saturday Boardings'!AP38/'Service Days per Month'!AP$5</f>
        <v>1347.75</v>
      </c>
      <c r="AQ38" s="18">
        <f>'Total Saturday Boardings'!AQ38/'Service Days per Month'!AQ$5</f>
        <v>788.25</v>
      </c>
      <c r="AR38" s="19">
        <f>'Total Saturday Boardings'!AR38/'Service Days per Month'!AR$5</f>
        <v>787</v>
      </c>
      <c r="AS38" s="17">
        <f>'Total Saturday Boardings'!AS38/'Service Days per Month'!AS$5</f>
        <v>767.5</v>
      </c>
      <c r="AT38" s="18">
        <f>'Total Saturday Boardings'!AT38/'Service Days per Month'!AT$5</f>
        <v>900.75</v>
      </c>
      <c r="AU38" s="18">
        <f>'Total Saturday Boardings'!AU38/'Service Days per Month'!AU$5</f>
        <v>1381</v>
      </c>
      <c r="AV38" s="18">
        <f>'Total Saturday Boardings'!AV38/'Service Days per Month'!AV$5</f>
        <v>1442</v>
      </c>
      <c r="AW38" s="18">
        <f>'Total Saturday Boardings'!AW38/'Service Days per Month'!AW$5</f>
        <v>1247.75</v>
      </c>
      <c r="AX38" s="18">
        <f>'Total Saturday Boardings'!AX38/'Service Days per Month'!AX$5</f>
        <v>1045.5999999999999</v>
      </c>
      <c r="AY38" s="18">
        <f>'Total Saturday Boardings'!AY38/'Service Days per Month'!AY$5</f>
        <v>1135.25</v>
      </c>
      <c r="AZ38" s="18">
        <f>'Total Saturday Boardings'!AZ38/'Service Days per Month'!AZ$5</f>
        <v>1243.25</v>
      </c>
      <c r="BA38" s="18">
        <f>'Total Saturday Boardings'!BA38/'Service Days per Month'!BA$5</f>
        <v>1246.5999999999999</v>
      </c>
      <c r="BB38" s="18">
        <f>'Total Saturday Boardings'!BB38/'Service Days per Month'!BB$5</f>
        <v>1480.25</v>
      </c>
      <c r="BC38" s="18">
        <f>'Total Saturday Boardings'!BC38/'Service Days per Month'!BC$5</f>
        <v>969.5</v>
      </c>
      <c r="BD38" s="19">
        <f>'Total Saturday Boardings'!BD38/'Service Days per Month'!BD$5</f>
        <v>800</v>
      </c>
      <c r="BE38" s="17">
        <f>'Total Saturday Boardings'!BE38/'Service Days per Month'!BE$5</f>
        <v>714</v>
      </c>
      <c r="BF38" s="18">
        <f>'Total Saturday Boardings'!BF38/'Service Days per Month'!BF$5</f>
        <v>961</v>
      </c>
      <c r="BG38" s="18">
        <f>'Total Saturday Boardings'!BG38/'Service Days per Month'!BG$5</f>
        <v>1504</v>
      </c>
      <c r="BH38" s="18">
        <f>'Total Saturday Boardings'!BH38/'Service Days per Month'!BH$5</f>
        <v>1557.25</v>
      </c>
      <c r="BI38" s="18">
        <f>'Total Saturday Boardings'!BI38/'Service Days per Month'!BI$5</f>
        <v>1425.8076482401436</v>
      </c>
      <c r="BJ38" s="18">
        <f>'Total Saturday Boardings'!BJ38/'Service Days per Month'!BJ$5</f>
        <v>1480.75</v>
      </c>
      <c r="BK38" s="18">
        <f>'Total Saturday Boardings'!BK38/'Service Days per Month'!BK$5</f>
        <v>1322.5</v>
      </c>
      <c r="BL38" s="18">
        <f>'Total Saturday Boardings'!BL38/'Service Days per Month'!BL$5</f>
        <v>1418</v>
      </c>
      <c r="BM38" s="18">
        <f>'Total Saturday Boardings'!BM38/'Service Days per Month'!BM$5</f>
        <v>1237.8</v>
      </c>
      <c r="BN38" s="18">
        <f>'Total Saturday Boardings'!BN38/'Service Days per Month'!BN$5</f>
        <v>1405.75</v>
      </c>
      <c r="BO38" s="18">
        <f>'Total Saturday Boardings'!BO38/'Service Days per Month'!BO$5</f>
        <v>984.6</v>
      </c>
      <c r="BP38" s="19">
        <f>'Total Saturday Boardings'!BP38/'Service Days per Month'!BP$5</f>
        <v>951.25</v>
      </c>
      <c r="BQ38" s="17">
        <f>'Total Saturday Boardings'!BQ38/'Service Days per Month'!BQ$5</f>
        <v>772</v>
      </c>
      <c r="BR38" s="18">
        <f>'Total Saturday Boardings'!BR38/'Service Days per Month'!BR$5</f>
        <v>1031</v>
      </c>
      <c r="BS38" s="18">
        <f>'Total Saturday Boardings'!BS38/'Service Days per Month'!BS$5</f>
        <v>1198</v>
      </c>
      <c r="BT38" s="18">
        <f>'Total Saturday Boardings'!BT38/'Service Days per Month'!BT$5</f>
        <v>1499.25</v>
      </c>
      <c r="BU38" s="18">
        <f>'Total Saturday Boardings'!BU38/'Service Days per Month'!BU$5</f>
        <v>1621.6</v>
      </c>
      <c r="BV38" s="18">
        <f>'Total Saturday Boardings'!BV38/'Service Days per Month'!BV$5</f>
        <v>1000.75</v>
      </c>
      <c r="BW38" s="18">
        <f>'Total Saturday Boardings'!BW38/'Service Days per Month'!BW$5</f>
        <v>1397.6</v>
      </c>
      <c r="BX38" s="18">
        <f>'Total Saturday Boardings'!BX38/'Service Days per Month'!BX$5</f>
        <v>1261.75</v>
      </c>
      <c r="BY38" s="18">
        <f>'Total Saturday Boardings'!BY38/'Service Days per Month'!BY$5</f>
        <v>1223.75</v>
      </c>
      <c r="BZ38" s="18">
        <f>'Total Saturday Boardings'!BZ38/'Service Days per Month'!BZ$5</f>
        <v>1237.25</v>
      </c>
      <c r="CA38" s="18">
        <f>'Total Saturday Boardings'!CA38/'Service Days per Month'!CA$5</f>
        <v>902</v>
      </c>
      <c r="CB38" s="19">
        <f>'Total Saturday Boardings'!CB38/'Service Days per Month'!CB$5</f>
        <v>798.5</v>
      </c>
      <c r="CC38" s="20">
        <f>'Total Saturday Boardings'!CC38/'Service Days per Month'!CC$5</f>
        <v>821.5</v>
      </c>
      <c r="CD38" s="18">
        <f>'Total Saturday Boardings'!CD38/'Service Days per Month'!CD$5</f>
        <v>928.6</v>
      </c>
      <c r="CE38" s="18">
        <f>'Total Saturday Boardings'!CE38/'Service Days per Month'!CE$5</f>
        <v>1587.25</v>
      </c>
      <c r="CF38" s="18">
        <f>'Total Saturday Boardings'!CF38/'Service Days per Month'!CF$5</f>
        <v>1382.8</v>
      </c>
      <c r="CG38" s="18">
        <f>'Total Saturday Boardings'!CG38/'Service Days per Month'!CG$5</f>
        <v>1522.5</v>
      </c>
      <c r="CH38" s="18">
        <f>'Total Saturday Boardings'!CH38/'Service Days per Month'!CH$5</f>
        <v>926</v>
      </c>
      <c r="CI38" s="18">
        <f>'Total Saturday Boardings'!CI38/'Service Days per Month'!CI$5</f>
        <v>1109</v>
      </c>
      <c r="CJ38" s="18">
        <f>'Total Saturday Boardings'!CJ38/'Service Days per Month'!CJ$5</f>
        <v>1195</v>
      </c>
      <c r="CK38" s="18">
        <f>'Total Saturday Boardings'!CK38/'Service Days per Month'!CK$5</f>
        <v>1113.75</v>
      </c>
      <c r="CL38" s="18">
        <f>'Total Saturday Boardings'!CL38/'Service Days per Month'!CL$5</f>
        <v>1311.8</v>
      </c>
      <c r="CM38" s="18">
        <f>'Total Saturday Boardings'!CM38/'Service Days per Month'!CM$5</f>
        <v>919.75</v>
      </c>
      <c r="CN38" s="21">
        <f>'Total Saturday Boardings'!CN38/'Service Days per Month'!CN$5</f>
        <v>847.25</v>
      </c>
      <c r="CO38" s="17">
        <f>'Total Saturday Boardings'!CO38/'Service Days per Month'!CO$5</f>
        <v>807.8</v>
      </c>
      <c r="CP38" s="18">
        <f>'Total Saturday Boardings'!CP38/'Service Days per Month'!CP$5</f>
        <v>980.75</v>
      </c>
      <c r="CQ38" s="18">
        <f>'Total Saturday Boardings'!CQ38/'Service Days per Month'!CQ$5</f>
        <v>1280.75</v>
      </c>
      <c r="CR38" s="18">
        <f>'Total Saturday Boardings'!CR38/'Service Days per Month'!CR$5</f>
        <v>1200.5999999999999</v>
      </c>
      <c r="CS38" s="18">
        <f>'Total Saturday Boardings'!CS38/'Service Days per Month'!CS$5</f>
        <v>961</v>
      </c>
      <c r="CT38" s="18">
        <f>'Total Saturday Boardings'!CT38/'Service Days per Month'!CT$5</f>
        <v>915.25</v>
      </c>
      <c r="CU38" s="18">
        <f>'Total Saturday Boardings'!CU38/'Service Days per Month'!CU$5</f>
        <v>984.5</v>
      </c>
      <c r="CV38" s="18">
        <f>'Total Saturday Boardings'!CV38/'Service Days per Month'!CV$5</f>
        <v>1166</v>
      </c>
      <c r="CW38" s="18">
        <f>'Total Saturday Boardings'!CW38/'Service Days per Month'!CW$5</f>
        <v>976.25</v>
      </c>
      <c r="CX38" s="18">
        <f>'Total Saturday Boardings'!CX38/'Service Days per Month'!CX$5</f>
        <v>1373.2</v>
      </c>
      <c r="CY38" s="18">
        <f>'Total Saturday Boardings'!CY38/'Service Days per Month'!CY$5</f>
        <v>872.5</v>
      </c>
      <c r="CZ38" s="19">
        <f>'Total Saturday Boardings'!CZ38/'Service Days per Month'!CZ$5</f>
        <v>858.25</v>
      </c>
      <c r="DA38" s="17">
        <f>'Total Saturday Boardings'!DA38/'Service Days per Month'!DA$5</f>
        <v>722.6</v>
      </c>
      <c r="DB38" s="18">
        <f>'Total Saturday Boardings'!DB38/'Service Days per Month'!DB$5</f>
        <v>995.75</v>
      </c>
      <c r="DC38" s="18">
        <f>'Total Saturday Boardings'!DC38/'Service Days per Month'!DC$5</f>
        <v>1102.2</v>
      </c>
      <c r="DD38" s="18">
        <f>'Total Saturday Boardings'!DD38/'Service Days per Month'!DD$5</f>
        <v>1283.25</v>
      </c>
      <c r="DE38" s="18">
        <f>'Total Saturday Boardings'!DE38/'Service Days per Month'!DE$5</f>
        <v>1085</v>
      </c>
      <c r="DF38" s="18">
        <f>'Total Saturday Boardings'!DF38/'Service Days per Month'!DF$5</f>
        <v>862.8</v>
      </c>
      <c r="DG38" s="18">
        <f>'Total Saturday Boardings'!DG38/'Service Days per Month'!DG$5</f>
        <v>935.25</v>
      </c>
      <c r="DH38" s="18">
        <f>'Total Saturday Boardings'!DH38/'Service Days per Month'!DH$5</f>
        <v>1069.75</v>
      </c>
      <c r="DI38" s="18">
        <f>'Total Saturday Boardings'!DI38/'Service Days per Month'!DI$5</f>
        <v>1021</v>
      </c>
      <c r="DJ38" s="18">
        <f>'Total Saturday Boardings'!DJ38/'Service Days per Month'!DJ$5</f>
        <v>1092.25</v>
      </c>
      <c r="DK38" s="18">
        <f>'Total Saturday Boardings'!DK38/'Service Days per Month'!DK$5</f>
        <v>768</v>
      </c>
      <c r="DL38" s="19">
        <f>'Total Saturday Boardings'!DL38/'Service Days per Month'!DL$5</f>
        <v>742.2</v>
      </c>
      <c r="DM38" s="17">
        <f>'Total Saturday Boardings'!DM38/'Service Days per Month'!DM$5</f>
        <v>728</v>
      </c>
      <c r="DN38" s="18">
        <f>'Total Saturday Boardings'!DN38/'Service Days per Month'!DN$5</f>
        <v>916.25</v>
      </c>
      <c r="DO38" s="18">
        <f>'Total Saturday Boardings'!DO38/'Service Days per Month'!DO$5</f>
        <v>1071.8</v>
      </c>
      <c r="DP38" s="18">
        <f>'Total Saturday Boardings'!DP38/'Service Days per Month'!DP$5</f>
        <v>939.75</v>
      </c>
      <c r="DQ38" s="18">
        <f>'Total Saturday Boardings'!DQ38/'Service Days per Month'!DQ$5</f>
        <v>1080</v>
      </c>
      <c r="DR38" s="18">
        <f>'Total Saturday Boardings'!DR38/'Service Days per Month'!DR$5</f>
        <v>852.6</v>
      </c>
      <c r="DS38" s="18">
        <f>'Total Saturday Boardings'!DS38/'Service Days per Month'!DS$5</f>
        <v>932.5</v>
      </c>
      <c r="DT38" s="18">
        <f>'Total Saturday Boardings'!DT38/'Service Days per Month'!DT$5</f>
        <v>937.75</v>
      </c>
      <c r="DU38" s="18">
        <f>'Total Saturday Boardings'!DU38/'Service Days per Month'!DU$5</f>
        <v>975.2</v>
      </c>
      <c r="DV38" s="18">
        <f>'Total Saturday Boardings'!DV38/'Service Days per Month'!DV$5</f>
        <v>993.5</v>
      </c>
      <c r="DW38" s="18">
        <f>'Total Saturday Boardings'!DW38/'Service Days per Month'!DW$5</f>
        <v>820.5</v>
      </c>
      <c r="DX38" s="19">
        <f>'Total Saturday Boardings'!DX38/'Service Days per Month'!DX$5</f>
        <v>736.6</v>
      </c>
      <c r="DY38" s="17">
        <f>'Total Saturday Boardings'!DY38/'Service Days per Month'!DY$5</f>
        <v>614.5</v>
      </c>
      <c r="DZ38" s="18">
        <f>'Total Saturday Boardings'!DZ38/'Service Days per Month'!DZ$5</f>
        <v>710.6</v>
      </c>
      <c r="EA38" s="18">
        <f>'Total Saturday Boardings'!EA38/'Service Days per Month'!EA$5</f>
        <v>927.5</v>
      </c>
      <c r="EB38" s="18">
        <f>'Total Saturday Boardings'!EB38/'Service Days per Month'!EB$5</f>
        <v>975.75</v>
      </c>
      <c r="EC38" s="18">
        <f>'Total Saturday Boardings'!EC38/'Service Days per Month'!EC$5</f>
        <v>1184.4000000000001</v>
      </c>
      <c r="ED38" s="18">
        <f>'Total Saturday Boardings'!ED38/'Service Days per Month'!ED$5</f>
        <v>801.25</v>
      </c>
      <c r="EE38" s="18">
        <f>'Total Saturday Boardings'!EE38/'Service Days per Month'!EE$5</f>
        <v>855.75</v>
      </c>
      <c r="EF38" s="18">
        <f>'Total Saturday Boardings'!EF38/'Service Days per Month'!EF$5</f>
        <v>976.2</v>
      </c>
      <c r="EG38" s="18">
        <f>'Total Saturday Boardings'!EG38/'Service Days per Month'!EG$5</f>
        <v>628</v>
      </c>
      <c r="EH38" s="18">
        <f>'Total Saturday Boardings'!EH38/'Service Days per Month'!EH$5</f>
        <v>348</v>
      </c>
      <c r="EI38" s="18">
        <f>'Total Saturday Boardings'!EI38/'Service Days per Month'!EI$5</f>
        <v>315.8</v>
      </c>
      <c r="EJ38" s="19">
        <f>'Total Saturday Boardings'!EJ38/'Service Days per Month'!EJ$5</f>
        <v>305.75</v>
      </c>
      <c r="EK38" s="17">
        <f>'Total Saturday Boardings'!EK38/'Service Days per Month'!EK$5</f>
        <v>219.25</v>
      </c>
      <c r="EL38" s="18">
        <f>'Total Saturday Boardings'!EL38/'Service Days per Month'!EL$5</f>
        <v>356.2</v>
      </c>
      <c r="EM38" s="18">
        <f>'Total Saturday Boardings'!EM38/'Service Days per Month'!EM$5</f>
        <v>402.25</v>
      </c>
      <c r="EN38" s="18">
        <f>'Total Saturday Boardings'!EN38/'Service Days per Month'!EN$5</f>
        <v>423</v>
      </c>
      <c r="EO38" s="18">
        <f>'Total Saturday Boardings'!EO38/'Service Days per Month'!EO$5</f>
        <v>493.25</v>
      </c>
      <c r="EP38" s="18">
        <f>'Total Saturday Boardings'!EP38/'Service Days per Month'!EP$5</f>
        <v>321</v>
      </c>
      <c r="EQ38" s="18">
        <f>'Total Saturday Boardings'!EQ38/'Service Days per Month'!EQ$5</f>
        <v>203.8</v>
      </c>
      <c r="ER38" s="18">
        <f>'Total Saturday Boardings'!ER38/'Service Days per Month'!ER$5</f>
        <v>364.5</v>
      </c>
      <c r="ES38" s="18">
        <f>'Total Saturday Boardings'!ES38/'Service Days per Month'!ES$5</f>
        <v>395.75</v>
      </c>
      <c r="ET38" s="18">
        <f>'Total Saturday Boardings'!ET38/'Service Days per Month'!ET$5</f>
        <v>427.5</v>
      </c>
      <c r="EU38" s="18">
        <f>'Total Saturday Boardings'!EU38/'Service Days per Month'!EU$5</f>
        <v>449.4</v>
      </c>
      <c r="EV38" s="19">
        <f>'Total Saturday Boardings'!EV38/'Service Days per Month'!EV$5</f>
        <v>396</v>
      </c>
      <c r="EW38" s="17">
        <f>'Total Saturday Boardings'!EW38/'Service Days per Month'!EW$5</f>
        <v>394.6</v>
      </c>
      <c r="EX38" s="18">
        <f>'Total Saturday Boardings'!EX38/'Service Days per Month'!EX$5</f>
        <v>501.25</v>
      </c>
      <c r="EY38" s="18">
        <f>'Total Saturday Boardings'!EY38/'Service Days per Month'!EY$5</f>
        <v>656.75</v>
      </c>
      <c r="EZ38" s="18">
        <f>'Total Saturday Boardings'!EZ38/'Service Days per Month'!EZ$5</f>
        <v>673.6</v>
      </c>
      <c r="FA38" s="18">
        <f>'Total Saturday Boardings'!FA38/'Service Days per Month'!FA$5</f>
        <v>799</v>
      </c>
      <c r="FB38" s="18">
        <f>'Total Saturday Boardings'!FB38/'Service Days per Month'!FB$5</f>
        <v>525.5</v>
      </c>
      <c r="FC38" s="18">
        <f>'Total Saturday Boardings'!FC38/'Service Days per Month'!FC$5</f>
        <v>540.79999999999995</v>
      </c>
      <c r="FD38" s="18">
        <f>'Total Saturday Boardings'!FD38/'Service Days per Month'!FD$5</f>
        <v>745.75</v>
      </c>
      <c r="FE38" s="18">
        <f>'Total Saturday Boardings'!FE38/'Service Days per Month'!FE$5</f>
        <v>794</v>
      </c>
      <c r="FF38" s="18">
        <f>'Total Saturday Boardings'!FF38/'Service Days per Month'!FF$5</f>
        <v>806.4</v>
      </c>
      <c r="FG38" s="18">
        <f>'Total Saturday Boardings'!FG38/'Service Days per Month'!FG$5</f>
        <v>665</v>
      </c>
      <c r="FH38" s="19">
        <f>'Total Saturday Boardings'!FH38/'Service Days per Month'!FH$5</f>
        <v>490.25</v>
      </c>
      <c r="FI38" s="17">
        <v>473.8</v>
      </c>
      <c r="FJ38" s="18">
        <v>334.75</v>
      </c>
      <c r="FK38" s="18">
        <v>448.5</v>
      </c>
      <c r="FL38" s="18">
        <v>405.4</v>
      </c>
      <c r="FM38" s="18">
        <v>391.6</v>
      </c>
      <c r="FN38" s="18">
        <v>312.39999999999998</v>
      </c>
      <c r="FO38" s="18">
        <v>342.8</v>
      </c>
      <c r="FP38" s="18">
        <v>852.25</v>
      </c>
      <c r="FQ38" s="18">
        <v>455.5</v>
      </c>
      <c r="FR38" s="18">
        <f>'Total Saturday Boardings'!FR38/5</f>
        <v>458.8</v>
      </c>
      <c r="FS38" s="18">
        <f>'Total Saturday Boardings'!FS38/4</f>
        <v>410.25</v>
      </c>
      <c r="FT38" s="19">
        <f>'Total Saturday Boardings'!FT38/4</f>
        <v>348.5</v>
      </c>
      <c r="FU38" s="17">
        <f>'Total Saturday Boardings'!FU38/5</f>
        <v>332.8</v>
      </c>
      <c r="FV38" s="18">
        <f>'Total Saturday Boardings'!FV38/4</f>
        <v>447.75</v>
      </c>
      <c r="FW38" s="18">
        <f>'Total Saturday Boardings'!FW38/5</f>
        <v>609</v>
      </c>
      <c r="FX38" s="18">
        <f>'Total Saturday Boardings'!FX38/4</f>
        <v>576.25</v>
      </c>
      <c r="FY38" s="18">
        <f>'Total Saturday Boardings'!FY38/4</f>
        <v>608.5</v>
      </c>
      <c r="FZ38" s="18">
        <f>'Total Saturday Boardings'!FZ38/5</f>
        <v>379.8</v>
      </c>
      <c r="GA38" s="18">
        <f>'Total Saturday Boardings'!GA38/4</f>
        <v>440.75</v>
      </c>
      <c r="GB38" s="18">
        <f>'Total Saturday Boardings'!GB38/4</f>
        <v>482.75</v>
      </c>
      <c r="GC38" s="18">
        <f>'Total Saturday Boardings'!GC38/5</f>
        <v>470.2</v>
      </c>
      <c r="GD38" s="18">
        <f>'Total Saturday Boardings'!GD38/4</f>
        <v>473.75</v>
      </c>
      <c r="GE38" s="18">
        <f>'Total Saturday Boardings'!GE38/4</f>
        <v>408.5</v>
      </c>
      <c r="GF38" s="18">
        <f>'Total Saturday Boardings'!GF38/5</f>
        <v>263.39999999999998</v>
      </c>
      <c r="GG38" s="18">
        <f>'Total Saturday Boardings'!GG38/4</f>
        <v>324</v>
      </c>
      <c r="GH38" s="18">
        <f>'Total Saturday Boardings'!GH38/5</f>
        <v>456.4</v>
      </c>
      <c r="GI38" s="18">
        <f>'Total Saturday Boardings'!GI38/4</f>
        <v>500.5</v>
      </c>
      <c r="GJ38" s="18">
        <f>'Total Saturday Boardings'!GJ38/4</f>
        <v>465</v>
      </c>
      <c r="GK38" s="18">
        <f>'Total Saturday Boardings'!GK38/5</f>
        <v>504.4</v>
      </c>
      <c r="GL38" s="18">
        <f>'Total Saturday Boardings'!GL38/4</f>
        <v>349</v>
      </c>
    </row>
    <row r="39" spans="1:194" x14ac:dyDescent="0.3">
      <c r="A39" s="3" t="s">
        <v>21</v>
      </c>
      <c r="B39" s="17"/>
      <c r="C39" s="18">
        <f>'Total Saturday Boardings'!C39/'Service Days per Month'!C$5</f>
        <v>544.20000000000005</v>
      </c>
      <c r="D39" s="18">
        <f>'Total Saturday Boardings'!D39/'Service Days per Month'!D$5</f>
        <v>641.75</v>
      </c>
      <c r="E39" s="18">
        <f>'Total Saturday Boardings'!E39/'Service Days per Month'!E$5</f>
        <v>616</v>
      </c>
      <c r="F39" s="18">
        <f>'Total Saturday Boardings'!F39/'Service Days per Month'!F$5</f>
        <v>689.5</v>
      </c>
      <c r="G39" s="18">
        <f>'Total Saturday Boardings'!G39/'Service Days per Month'!G$5</f>
        <v>412.6</v>
      </c>
      <c r="H39" s="19">
        <f>'Total Saturday Boardings'!H39/'Service Days per Month'!H$5</f>
        <v>449</v>
      </c>
      <c r="I39" s="17">
        <f>'Total Saturday Boardings'!I39/'Service Days per Month'!I$5</f>
        <v>616.66666666666663</v>
      </c>
      <c r="J39" s="18">
        <f>'Total Saturday Boardings'!J39/'Service Days per Month'!J$5</f>
        <v>317.39999999999998</v>
      </c>
      <c r="K39" s="18">
        <f>'Total Saturday Boardings'!K39/'Service Days per Month'!K$5</f>
        <v>693</v>
      </c>
      <c r="L39" s="18">
        <f>'Total Saturday Boardings'!L39/'Service Days per Month'!L$5</f>
        <v>587.79999999999995</v>
      </c>
      <c r="M39" s="18">
        <f>'Total Saturday Boardings'!M39/'Service Days per Month'!M$5</f>
        <v>657.25</v>
      </c>
      <c r="N39" s="18">
        <f>'Total Saturday Boardings'!N39/'Service Days per Month'!N$5</f>
        <v>554.5</v>
      </c>
      <c r="O39" s="62">
        <f>'Total Saturday Boardings'!O39/'Service Days per Month'!O$5</f>
        <v>491</v>
      </c>
      <c r="P39" s="62">
        <f>'Total Saturday Boardings'!P39/'Service Days per Month'!P$5</f>
        <v>622</v>
      </c>
      <c r="Q39" s="62">
        <f>'Total Saturday Boardings'!Q39/'Service Days per Month'!Q$5</f>
        <v>713.25</v>
      </c>
      <c r="R39" s="62">
        <f>'Total Saturday Boardings'!R39/'Service Days per Month'!R$5</f>
        <v>716</v>
      </c>
      <c r="S39" s="62">
        <f>'Total Saturday Boardings'!S39/'Service Days per Month'!S$5</f>
        <v>429</v>
      </c>
      <c r="T39" s="63">
        <f>'Total Saturday Boardings'!T39/'Service Days per Month'!T$5</f>
        <v>427.25</v>
      </c>
      <c r="U39" s="64">
        <f>'Total Saturday Boardings'!U39/'Service Days per Month'!U$5</f>
        <v>434.8</v>
      </c>
      <c r="V39" s="62">
        <f>'Total Saturday Boardings'!V39/'Service Days per Month'!V$5</f>
        <v>2097.25</v>
      </c>
      <c r="W39" s="62">
        <f>'Total Saturday Boardings'!W39/'Service Days per Month'!W$5</f>
        <v>874.25</v>
      </c>
      <c r="X39" s="62">
        <f>'Total Saturday Boardings'!X39/'Service Days per Month'!X$5</f>
        <v>496.4</v>
      </c>
      <c r="Y39" s="62">
        <f>'Total Saturday Boardings'!Y39/'Service Days per Month'!Y$5</f>
        <v>626</v>
      </c>
      <c r="Z39" s="62">
        <f>'Total Saturday Boardings'!Z39/'Service Days per Month'!Z$5</f>
        <v>541.66666666666663</v>
      </c>
      <c r="AA39" s="18">
        <f>'Total Saturday Boardings'!AA39/'Service Days per Month'!AA$5</f>
        <v>469.4</v>
      </c>
      <c r="AB39" s="18">
        <f>'Total Saturday Boardings'!AB39/'Service Days per Month'!AB$5</f>
        <v>601.5</v>
      </c>
      <c r="AC39" s="18">
        <f>'Total Saturday Boardings'!AC39/'Service Days per Month'!AC$5</f>
        <v>715.75</v>
      </c>
      <c r="AD39" s="18">
        <f>'Total Saturday Boardings'!AD39/'Service Days per Month'!AD$5</f>
        <v>721.2</v>
      </c>
      <c r="AE39" s="18">
        <f>'Total Saturday Boardings'!AE39/'Service Days per Month'!AE$5</f>
        <v>569.75</v>
      </c>
      <c r="AF39" s="19">
        <f>'Total Saturday Boardings'!AF39/'Service Days per Month'!AF$5</f>
        <v>475.75</v>
      </c>
      <c r="AG39" s="17">
        <f>'Total Saturday Boardings'!AG39/'Service Days per Month'!AG$5</f>
        <v>428.4</v>
      </c>
      <c r="AH39" s="18">
        <f>'Total Saturday Boardings'!AH39/'Service Days per Month'!AH$5</f>
        <v>606.5</v>
      </c>
      <c r="AI39" s="18">
        <f>'Total Saturday Boardings'!AI39/'Service Days per Month'!AI$5</f>
        <v>754.75</v>
      </c>
      <c r="AJ39" s="18">
        <f>'Total Saturday Boardings'!AJ39/'Service Days per Month'!AJ$5</f>
        <v>890.6</v>
      </c>
      <c r="AK39" s="18">
        <f>'Total Saturday Boardings'!AK39/'Service Days per Month'!AK$5</f>
        <v>711.5</v>
      </c>
      <c r="AL39" s="18">
        <f>'Total Saturday Boardings'!AL39/'Service Days per Month'!AL$5</f>
        <v>834.5</v>
      </c>
      <c r="AM39" s="18">
        <f>'Total Saturday Boardings'!AM39/'Service Days per Month'!AM$5</f>
        <v>652.25</v>
      </c>
      <c r="AN39" s="18">
        <f>'Total Saturday Boardings'!AN39/'Service Days per Month'!AN$5</f>
        <v>654.75</v>
      </c>
      <c r="AO39" s="18">
        <f>'Total Saturday Boardings'!AO39/'Service Days per Month'!AO$5</f>
        <v>730.8</v>
      </c>
      <c r="AP39" s="18">
        <f>'Total Saturday Boardings'!AP39/'Service Days per Month'!AP$5</f>
        <v>752.25</v>
      </c>
      <c r="AQ39" s="18">
        <f>'Total Saturday Boardings'!AQ39/'Service Days per Month'!AQ$5</f>
        <v>660</v>
      </c>
      <c r="AR39" s="19">
        <f>'Total Saturday Boardings'!AR39/'Service Days per Month'!AR$5</f>
        <v>588.4</v>
      </c>
      <c r="AS39" s="17">
        <f>'Total Saturday Boardings'!AS39/'Service Days per Month'!AS$5</f>
        <v>565.5</v>
      </c>
      <c r="AT39" s="18">
        <f>'Total Saturday Boardings'!AT39/'Service Days per Month'!AT$5</f>
        <v>598.75</v>
      </c>
      <c r="AU39" s="18">
        <f>'Total Saturday Boardings'!AU39/'Service Days per Month'!AU$5</f>
        <v>871</v>
      </c>
      <c r="AV39" s="18">
        <f>'Total Saturday Boardings'!AV39/'Service Days per Month'!AV$5</f>
        <v>944.75</v>
      </c>
      <c r="AW39" s="18">
        <f>'Total Saturday Boardings'!AW39/'Service Days per Month'!AW$5</f>
        <v>773.75</v>
      </c>
      <c r="AX39" s="18">
        <f>'Total Saturday Boardings'!AX39/'Service Days per Month'!AX$5</f>
        <v>735.6</v>
      </c>
      <c r="AY39" s="18">
        <f>'Total Saturday Boardings'!AY39/'Service Days per Month'!AY$5</f>
        <v>685.75</v>
      </c>
      <c r="AZ39" s="18">
        <f>'Total Saturday Boardings'!AZ39/'Service Days per Month'!AZ$5</f>
        <v>708</v>
      </c>
      <c r="BA39" s="18">
        <f>'Total Saturday Boardings'!BA39/'Service Days per Month'!BA$5</f>
        <v>734</v>
      </c>
      <c r="BB39" s="18">
        <f>'Total Saturday Boardings'!BB39/'Service Days per Month'!BB$5</f>
        <v>810.5</v>
      </c>
      <c r="BC39" s="18">
        <f>'Total Saturday Boardings'!BC39/'Service Days per Month'!BC$5</f>
        <v>685</v>
      </c>
      <c r="BD39" s="19">
        <f>'Total Saturday Boardings'!BD39/'Service Days per Month'!BD$5</f>
        <v>584.4</v>
      </c>
      <c r="BE39" s="17">
        <f>'Total Saturday Boardings'!BE39/'Service Days per Month'!BE$5</f>
        <v>580</v>
      </c>
      <c r="BF39" s="18">
        <f>'Total Saturday Boardings'!BF39/'Service Days per Month'!BF$5</f>
        <v>653.4</v>
      </c>
      <c r="BG39" s="18">
        <f>'Total Saturday Boardings'!BG39/'Service Days per Month'!BG$5</f>
        <v>1053.25</v>
      </c>
      <c r="BH39" s="18">
        <f>'Total Saturday Boardings'!BH39/'Service Days per Month'!BH$5</f>
        <v>1026.75</v>
      </c>
      <c r="BI39" s="18">
        <f>'Total Saturday Boardings'!BI39/'Service Days per Month'!BI$5</f>
        <v>1013.3569770637354</v>
      </c>
      <c r="BJ39" s="18">
        <f>'Total Saturday Boardings'!BJ39/'Service Days per Month'!BJ$5</f>
        <v>1040.75</v>
      </c>
      <c r="BK39" s="18">
        <f>'Total Saturday Boardings'!BK39/'Service Days per Month'!BK$5</f>
        <v>822.75</v>
      </c>
      <c r="BL39" s="18">
        <f>'Total Saturday Boardings'!BL39/'Service Days per Month'!BL$5</f>
        <v>781.25</v>
      </c>
      <c r="BM39" s="18">
        <f>'Total Saturday Boardings'!BM39/'Service Days per Month'!BM$5</f>
        <v>818.8</v>
      </c>
      <c r="BN39" s="18">
        <f>'Total Saturday Boardings'!BN39/'Service Days per Month'!BN$5</f>
        <v>784.75</v>
      </c>
      <c r="BO39" s="18">
        <f>'Total Saturday Boardings'!BO39/'Service Days per Month'!BO$5</f>
        <v>693.8</v>
      </c>
      <c r="BP39" s="19">
        <f>'Total Saturday Boardings'!BP39/'Service Days per Month'!BP$5</f>
        <v>716.75</v>
      </c>
      <c r="BQ39" s="17">
        <f>'Total Saturday Boardings'!BQ39/'Service Days per Month'!BQ$5</f>
        <v>547.5</v>
      </c>
      <c r="BR39" s="18">
        <f>'Total Saturday Boardings'!BR39/'Service Days per Month'!BR$5</f>
        <v>682.8</v>
      </c>
      <c r="BS39" s="18">
        <f>'Total Saturday Boardings'!BS39/'Service Days per Month'!BS$5</f>
        <v>750.25</v>
      </c>
      <c r="BT39" s="18">
        <f>'Total Saturday Boardings'!BT39/'Service Days per Month'!BT$5</f>
        <v>1029.5</v>
      </c>
      <c r="BU39" s="18">
        <f>'Total Saturday Boardings'!BU39/'Service Days per Month'!BU$5</f>
        <v>1172</v>
      </c>
      <c r="BV39" s="18">
        <f>'Total Saturday Boardings'!BV39/'Service Days per Month'!BV$5</f>
        <v>666.75</v>
      </c>
      <c r="BW39" s="18">
        <f>'Total Saturday Boardings'!BW39/'Service Days per Month'!BW$5</f>
        <v>988.2</v>
      </c>
      <c r="BX39" s="18">
        <f>'Total Saturday Boardings'!BX39/'Service Days per Month'!BX$5</f>
        <v>757.5</v>
      </c>
      <c r="BY39" s="18">
        <f>'Total Saturday Boardings'!BY39/'Service Days per Month'!BY$5</f>
        <v>809.25</v>
      </c>
      <c r="BZ39" s="18">
        <f>'Total Saturday Boardings'!BZ39/'Service Days per Month'!BZ$5</f>
        <v>805.5</v>
      </c>
      <c r="CA39" s="18">
        <f>'Total Saturday Boardings'!CA39/'Service Days per Month'!CA$5</f>
        <v>690.2</v>
      </c>
      <c r="CB39" s="19">
        <f>'Total Saturday Boardings'!CB39/'Service Days per Month'!CB$5</f>
        <v>558.5</v>
      </c>
      <c r="CC39" s="20">
        <f>'Total Saturday Boardings'!CC39/'Service Days per Month'!CC$5</f>
        <v>630.25</v>
      </c>
      <c r="CD39" s="18">
        <f>'Total Saturday Boardings'!CD39/'Service Days per Month'!CD$5</f>
        <v>586.4</v>
      </c>
      <c r="CE39" s="18">
        <f>'Total Saturday Boardings'!CE39/'Service Days per Month'!CE$5</f>
        <v>977</v>
      </c>
      <c r="CF39" s="18">
        <f>'Total Saturday Boardings'!CF39/'Service Days per Month'!CF$5</f>
        <v>934</v>
      </c>
      <c r="CG39" s="18">
        <f>'Total Saturday Boardings'!CG39/'Service Days per Month'!CG$5</f>
        <v>949.5</v>
      </c>
      <c r="CH39" s="18">
        <f>'Total Saturday Boardings'!CH39/'Service Days per Month'!CH$5</f>
        <v>579.5</v>
      </c>
      <c r="CI39" s="18">
        <f>'Total Saturday Boardings'!CI39/'Service Days per Month'!CI$5</f>
        <v>705.2</v>
      </c>
      <c r="CJ39" s="18">
        <f>'Total Saturday Boardings'!CJ39/'Service Days per Month'!CJ$5</f>
        <v>713.5</v>
      </c>
      <c r="CK39" s="18">
        <f>'Total Saturday Boardings'!CK39/'Service Days per Month'!CK$5</f>
        <v>678.5</v>
      </c>
      <c r="CL39" s="18">
        <f>'Total Saturday Boardings'!CL39/'Service Days per Month'!CL$5</f>
        <v>732.6</v>
      </c>
      <c r="CM39" s="18">
        <f>'Total Saturday Boardings'!CM39/'Service Days per Month'!CM$5</f>
        <v>634.75</v>
      </c>
      <c r="CN39" s="21">
        <f>'Total Saturday Boardings'!CN39/'Service Days per Month'!CN$5</f>
        <v>607.75</v>
      </c>
      <c r="CO39" s="17">
        <f>'Total Saturday Boardings'!CO39/'Service Days per Month'!CO$5</f>
        <v>588</v>
      </c>
      <c r="CP39" s="18">
        <f>'Total Saturday Boardings'!CP39/'Service Days per Month'!CP$5</f>
        <v>639.25</v>
      </c>
      <c r="CQ39" s="18">
        <f>'Total Saturday Boardings'!CQ39/'Service Days per Month'!CQ$5</f>
        <v>915.5</v>
      </c>
      <c r="CR39" s="18">
        <f>'Total Saturday Boardings'!CR39/'Service Days per Month'!CR$5</f>
        <v>847.4</v>
      </c>
      <c r="CS39" s="18">
        <f>'Total Saturday Boardings'!CS39/'Service Days per Month'!CS$5</f>
        <v>598</v>
      </c>
      <c r="CT39" s="18">
        <f>'Total Saturday Boardings'!CT39/'Service Days per Month'!CT$5</f>
        <v>624.25</v>
      </c>
      <c r="CU39" s="18">
        <f>'Total Saturday Boardings'!CU39/'Service Days per Month'!CU$5</f>
        <v>634</v>
      </c>
      <c r="CV39" s="18">
        <f>'Total Saturday Boardings'!CV39/'Service Days per Month'!CV$5</f>
        <v>611.5</v>
      </c>
      <c r="CW39" s="18">
        <f>'Total Saturday Boardings'!CW39/'Service Days per Month'!CW$5</f>
        <v>621</v>
      </c>
      <c r="CX39" s="18">
        <f>'Total Saturday Boardings'!CX39/'Service Days per Month'!CX$5</f>
        <v>779.6</v>
      </c>
      <c r="CY39" s="18">
        <f>'Total Saturday Boardings'!CY39/'Service Days per Month'!CY$5</f>
        <v>619.5</v>
      </c>
      <c r="CZ39" s="19">
        <f>'Total Saturday Boardings'!CZ39/'Service Days per Month'!CZ$5</f>
        <v>563.25</v>
      </c>
      <c r="DA39" s="17">
        <f>'Total Saturday Boardings'!DA39/'Service Days per Month'!DA$5</f>
        <v>527.6</v>
      </c>
      <c r="DB39" s="18">
        <f>'Total Saturday Boardings'!DB39/'Service Days per Month'!DB$5</f>
        <v>629.75</v>
      </c>
      <c r="DC39" s="18">
        <f>'Total Saturday Boardings'!DC39/'Service Days per Month'!DC$5</f>
        <v>749.2</v>
      </c>
      <c r="DD39" s="18">
        <f>'Total Saturday Boardings'!DD39/'Service Days per Month'!DD$5</f>
        <v>880</v>
      </c>
      <c r="DE39" s="18">
        <f>'Total Saturday Boardings'!DE39/'Service Days per Month'!DE$5</f>
        <v>755.5</v>
      </c>
      <c r="DF39" s="18">
        <f>'Total Saturday Boardings'!DF39/'Service Days per Month'!DF$5</f>
        <v>596.79999999999995</v>
      </c>
      <c r="DG39" s="18">
        <f>'Total Saturday Boardings'!DG39/'Service Days per Month'!DG$5</f>
        <v>576.25</v>
      </c>
      <c r="DH39" s="18">
        <f>'Total Saturday Boardings'!DH39/'Service Days per Month'!DH$5</f>
        <v>650.75</v>
      </c>
      <c r="DI39" s="18">
        <f>'Total Saturday Boardings'!DI39/'Service Days per Month'!DI$5</f>
        <v>684.6</v>
      </c>
      <c r="DJ39" s="18">
        <f>'Total Saturday Boardings'!DJ39/'Service Days per Month'!DJ$5</f>
        <v>652.5</v>
      </c>
      <c r="DK39" s="18">
        <f>'Total Saturday Boardings'!DK39/'Service Days per Month'!DK$5</f>
        <v>552.75</v>
      </c>
      <c r="DL39" s="19">
        <f>'Total Saturday Boardings'!DL39/'Service Days per Month'!DL$5</f>
        <v>525.20000000000005</v>
      </c>
      <c r="DM39" s="17">
        <f>'Total Saturday Boardings'!DM39/'Service Days per Month'!DM$5</f>
        <v>481.75</v>
      </c>
      <c r="DN39" s="18">
        <f>'Total Saturday Boardings'!DN39/'Service Days per Month'!DN$5</f>
        <v>532.75</v>
      </c>
      <c r="DO39" s="18">
        <f>'Total Saturday Boardings'!DO39/'Service Days per Month'!DO$5</f>
        <v>780</v>
      </c>
      <c r="DP39" s="18">
        <f>'Total Saturday Boardings'!DP39/'Service Days per Month'!DP$5</f>
        <v>583.5</v>
      </c>
      <c r="DQ39" s="18">
        <f>'Total Saturday Boardings'!DQ39/'Service Days per Month'!DQ$5</f>
        <v>740.5</v>
      </c>
      <c r="DR39" s="18">
        <f>'Total Saturday Boardings'!DR39/'Service Days per Month'!DR$5</f>
        <v>569.20000000000005</v>
      </c>
      <c r="DS39" s="18">
        <f>'Total Saturday Boardings'!DS39/'Service Days per Month'!DS$5</f>
        <v>608</v>
      </c>
      <c r="DT39" s="18">
        <f>'Total Saturday Boardings'!DT39/'Service Days per Month'!DT$5</f>
        <v>568</v>
      </c>
      <c r="DU39" s="18">
        <f>'Total Saturday Boardings'!DU39/'Service Days per Month'!DU$5</f>
        <v>641.79999999999995</v>
      </c>
      <c r="DV39" s="18">
        <f>'Total Saturday Boardings'!DV39/'Service Days per Month'!DV$5</f>
        <v>632.25</v>
      </c>
      <c r="DW39" s="18">
        <f>'Total Saturday Boardings'!DW39/'Service Days per Month'!DW$5</f>
        <v>568.75</v>
      </c>
      <c r="DX39" s="19">
        <f>'Total Saturday Boardings'!DX39/'Service Days per Month'!DX$5</f>
        <v>509.4</v>
      </c>
      <c r="DY39" s="17">
        <f>'Total Saturday Boardings'!DY39/'Service Days per Month'!DY$5</f>
        <v>400.75</v>
      </c>
      <c r="DZ39" s="18">
        <f>'Total Saturday Boardings'!DZ39/'Service Days per Month'!DZ$5</f>
        <v>502.4</v>
      </c>
      <c r="EA39" s="18">
        <f>'Total Saturday Boardings'!EA39/'Service Days per Month'!EA$5</f>
        <v>650</v>
      </c>
      <c r="EB39" s="18">
        <f>'Total Saturday Boardings'!EB39/'Service Days per Month'!EB$5</f>
        <v>681.75</v>
      </c>
      <c r="EC39" s="18">
        <f>'Total Saturday Boardings'!EC39/'Service Days per Month'!EC$5</f>
        <v>793.2</v>
      </c>
      <c r="ED39" s="18">
        <f>'Total Saturday Boardings'!ED39/'Service Days per Month'!ED$5</f>
        <v>565.25</v>
      </c>
      <c r="EE39" s="18">
        <f>'Total Saturday Boardings'!EE39/'Service Days per Month'!EE$5</f>
        <v>557.25</v>
      </c>
      <c r="EF39" s="18">
        <f>'Total Saturday Boardings'!EF39/'Service Days per Month'!EF$5</f>
        <v>632.4</v>
      </c>
      <c r="EG39" s="18">
        <f>'Total Saturday Boardings'!EG39/'Service Days per Month'!EG$5</f>
        <v>465.5</v>
      </c>
      <c r="EH39" s="18">
        <f>'Total Saturday Boardings'!EH39/'Service Days per Month'!EH$5</f>
        <v>333.5</v>
      </c>
      <c r="EI39" s="18">
        <f>'Total Saturday Boardings'!EI39/'Service Days per Month'!EI$5</f>
        <v>370.2</v>
      </c>
      <c r="EJ39" s="19">
        <f>'Total Saturday Boardings'!EJ39/'Service Days per Month'!EJ$5</f>
        <v>364.75</v>
      </c>
      <c r="EK39" s="17">
        <f>'Total Saturday Boardings'!EK39/'Service Days per Month'!EK$5</f>
        <v>211.25</v>
      </c>
      <c r="EL39" s="18">
        <f>'Total Saturday Boardings'!EL39/'Service Days per Month'!EL$5</f>
        <v>290</v>
      </c>
      <c r="EM39" s="18">
        <f>'Total Saturday Boardings'!EM39/'Service Days per Month'!EM$5</f>
        <v>325.25</v>
      </c>
      <c r="EN39" s="18">
        <f>'Total Saturday Boardings'!EN39/'Service Days per Month'!EN$5</f>
        <v>342</v>
      </c>
      <c r="EO39" s="18">
        <f>'Total Saturday Boardings'!EO39/'Service Days per Month'!EO$5</f>
        <v>334</v>
      </c>
      <c r="EP39" s="18">
        <f>'Total Saturday Boardings'!EP39/'Service Days per Month'!EP$5</f>
        <v>248</v>
      </c>
      <c r="EQ39" s="18">
        <f>'Total Saturday Boardings'!EQ39/'Service Days per Month'!EQ$5</f>
        <v>156.6</v>
      </c>
      <c r="ER39" s="18">
        <f>'Total Saturday Boardings'!ER39/'Service Days per Month'!ER$5</f>
        <v>296</v>
      </c>
      <c r="ES39" s="18">
        <f>'Total Saturday Boardings'!ES39/'Service Days per Month'!ES$5</f>
        <v>318.5</v>
      </c>
      <c r="ET39" s="18">
        <f>'Total Saturday Boardings'!ET39/'Service Days per Month'!ET$5</f>
        <v>301.75</v>
      </c>
      <c r="EU39" s="18">
        <f>'Total Saturday Boardings'!EU39/'Service Days per Month'!EU$5</f>
        <v>280.8</v>
      </c>
      <c r="EV39" s="19">
        <f>'Total Saturday Boardings'!EV39/'Service Days per Month'!EV$5</f>
        <v>262.5</v>
      </c>
      <c r="EW39" s="17">
        <f>'Total Saturday Boardings'!EW39/'Service Days per Month'!EW$5</f>
        <v>267.2</v>
      </c>
      <c r="EX39" s="18">
        <f>'Total Saturday Boardings'!EX39/'Service Days per Month'!EX$5</f>
        <v>291.25</v>
      </c>
      <c r="EY39" s="18">
        <f>'Total Saturday Boardings'!EY39/'Service Days per Month'!EY$5</f>
        <v>475</v>
      </c>
      <c r="EZ39" s="18">
        <f>'Total Saturday Boardings'!EZ39/'Service Days per Month'!EZ$5</f>
        <v>396.2</v>
      </c>
      <c r="FA39" s="18">
        <f>'Total Saturday Boardings'!FA39/'Service Days per Month'!FA$5</f>
        <v>476.25</v>
      </c>
      <c r="FB39" s="18">
        <f>'Total Saturday Boardings'!FB39/'Service Days per Month'!FB$5</f>
        <v>303.5</v>
      </c>
      <c r="FC39" s="18">
        <f>'Total Saturday Boardings'!FC39/'Service Days per Month'!FC$5</f>
        <v>275.2</v>
      </c>
      <c r="FD39" s="18">
        <f>'Total Saturday Boardings'!FD39/'Service Days per Month'!FD$5</f>
        <v>333.75</v>
      </c>
      <c r="FE39" s="18">
        <f>'Total Saturday Boardings'!FE39/'Service Days per Month'!FE$5</f>
        <v>404.25</v>
      </c>
      <c r="FF39" s="18">
        <f>'Total Saturday Boardings'!FF39/'Service Days per Month'!FF$5</f>
        <v>381.4</v>
      </c>
      <c r="FG39" s="18">
        <f>'Total Saturday Boardings'!FG39/'Service Days per Month'!FG$5</f>
        <v>135.5</v>
      </c>
      <c r="FH39" s="19">
        <f>'Total Saturday Boardings'!FH39/'Service Days per Month'!FH$5</f>
        <v>248.75</v>
      </c>
      <c r="FI39" s="17">
        <v>269</v>
      </c>
      <c r="FJ39" s="18">
        <v>622</v>
      </c>
      <c r="FK39" s="18">
        <v>784</v>
      </c>
      <c r="FL39" s="18">
        <v>755.4</v>
      </c>
      <c r="FM39" s="18">
        <v>621.6</v>
      </c>
      <c r="FN39" s="18">
        <v>555.79999999999995</v>
      </c>
      <c r="FO39" s="18">
        <v>661.6</v>
      </c>
      <c r="FP39" s="18">
        <v>502</v>
      </c>
      <c r="FQ39" s="18">
        <v>922.25</v>
      </c>
      <c r="FR39" s="18">
        <f>'Total Saturday Boardings'!FR39/5</f>
        <v>859.6</v>
      </c>
      <c r="FS39" s="18">
        <f>'Total Saturday Boardings'!FS39/4</f>
        <v>747.75</v>
      </c>
      <c r="FT39" s="19">
        <f>'Total Saturday Boardings'!FT39/4</f>
        <v>668.25</v>
      </c>
      <c r="FU39" s="17">
        <f>'Total Saturday Boardings'!FU39/5</f>
        <v>610.6</v>
      </c>
      <c r="FV39" s="18">
        <f>'Total Saturday Boardings'!FV39/4</f>
        <v>783.75</v>
      </c>
      <c r="FW39" s="18">
        <f>'Total Saturday Boardings'!FW39/5</f>
        <v>980</v>
      </c>
      <c r="FX39" s="18">
        <f>'Total Saturday Boardings'!FX39/4</f>
        <v>1045.75</v>
      </c>
      <c r="FY39" s="18">
        <f>'Total Saturday Boardings'!FY39/4</f>
        <v>958</v>
      </c>
      <c r="FZ39" s="18">
        <f>'Total Saturday Boardings'!FZ39/5</f>
        <v>771.6</v>
      </c>
      <c r="GA39" s="18">
        <f>'Total Saturday Boardings'!GA39/4</f>
        <v>861.5</v>
      </c>
      <c r="GB39" s="18">
        <f>'Total Saturday Boardings'!GB39/4</f>
        <v>1049.5</v>
      </c>
      <c r="GC39" s="18">
        <f>'Total Saturday Boardings'!GC39/5</f>
        <v>970</v>
      </c>
      <c r="GD39" s="18">
        <f>'Total Saturday Boardings'!GD39/4</f>
        <v>904</v>
      </c>
      <c r="GE39" s="18">
        <f>'Total Saturday Boardings'!GE39/4</f>
        <v>741</v>
      </c>
      <c r="GF39" s="18">
        <f>'Total Saturday Boardings'!GF39/5</f>
        <v>576.20000000000005</v>
      </c>
      <c r="GG39" s="18">
        <f>'Total Saturday Boardings'!GG39/4</f>
        <v>576.75</v>
      </c>
      <c r="GH39" s="18">
        <f>'Total Saturday Boardings'!GH39/5</f>
        <v>788.2</v>
      </c>
      <c r="GI39" s="18">
        <f>'Total Saturday Boardings'!GI39/4</f>
        <v>863.75</v>
      </c>
      <c r="GJ39" s="18">
        <f>'Total Saturday Boardings'!GJ39/4</f>
        <v>879.75</v>
      </c>
      <c r="GK39" s="18">
        <f>'Total Saturday Boardings'!GK39/5</f>
        <v>837.8</v>
      </c>
      <c r="GL39" s="18">
        <f>'Total Saturday Boardings'!GL39/4</f>
        <v>689.75</v>
      </c>
    </row>
    <row r="40" spans="1:194" x14ac:dyDescent="0.3">
      <c r="A40" s="3" t="s">
        <v>22</v>
      </c>
      <c r="B40" s="17"/>
      <c r="C40" s="18">
        <f>'Total Saturday Boardings'!C40/'Service Days per Month'!C$5</f>
        <v>807</v>
      </c>
      <c r="D40" s="18">
        <f>'Total Saturday Boardings'!D40/'Service Days per Month'!D$5</f>
        <v>950.25</v>
      </c>
      <c r="E40" s="18">
        <f>'Total Saturday Boardings'!E40/'Service Days per Month'!E$5</f>
        <v>800.25</v>
      </c>
      <c r="F40" s="18">
        <f>'Total Saturday Boardings'!F40/'Service Days per Month'!F$5</f>
        <v>965</v>
      </c>
      <c r="G40" s="18">
        <f>'Total Saturday Boardings'!G40/'Service Days per Month'!G$5</f>
        <v>561.20000000000005</v>
      </c>
      <c r="H40" s="19">
        <f>'Total Saturday Boardings'!H40/'Service Days per Month'!H$5</f>
        <v>633.5</v>
      </c>
      <c r="I40" s="17">
        <f>'Total Saturday Boardings'!I40/'Service Days per Month'!I$5</f>
        <v>801.33333333333337</v>
      </c>
      <c r="J40" s="18">
        <f>'Total Saturday Boardings'!J40/'Service Days per Month'!J$5</f>
        <v>450.4</v>
      </c>
      <c r="K40" s="18">
        <f>'Total Saturday Boardings'!K40/'Service Days per Month'!K$5</f>
        <v>949.5</v>
      </c>
      <c r="L40" s="18">
        <f>'Total Saturday Boardings'!L40/'Service Days per Month'!L$5</f>
        <v>841.2</v>
      </c>
      <c r="M40" s="18">
        <f>'Total Saturday Boardings'!M40/'Service Days per Month'!M$5</f>
        <v>880.75</v>
      </c>
      <c r="N40" s="18">
        <f>'Total Saturday Boardings'!N40/'Service Days per Month'!N$5</f>
        <v>868.75</v>
      </c>
      <c r="O40" s="62">
        <f>'Total Saturday Boardings'!O40/'Service Days per Month'!O$5</f>
        <v>615.20000000000005</v>
      </c>
      <c r="P40" s="62">
        <f>'Total Saturday Boardings'!P40/'Service Days per Month'!P$5</f>
        <v>750</v>
      </c>
      <c r="Q40" s="62">
        <f>'Total Saturday Boardings'!Q40/'Service Days per Month'!Q$5</f>
        <v>890.75</v>
      </c>
      <c r="R40" s="62">
        <f>'Total Saturday Boardings'!R40/'Service Days per Month'!R$5</f>
        <v>1046.5</v>
      </c>
      <c r="S40" s="62">
        <f>'Total Saturday Boardings'!S40/'Service Days per Month'!S$5</f>
        <v>649</v>
      </c>
      <c r="T40" s="63">
        <f>'Total Saturday Boardings'!T40/'Service Days per Month'!T$5</f>
        <v>643.25</v>
      </c>
      <c r="U40" s="64">
        <f>'Total Saturday Boardings'!U40/'Service Days per Month'!U$5</f>
        <v>644.79999999999995</v>
      </c>
      <c r="V40" s="62">
        <f>'Total Saturday Boardings'!V40/'Service Days per Month'!V$5</f>
        <v>761.25</v>
      </c>
      <c r="W40" s="62">
        <f>'Total Saturday Boardings'!W40/'Service Days per Month'!W$5</f>
        <v>1502.75</v>
      </c>
      <c r="X40" s="62">
        <f>'Total Saturday Boardings'!X40/'Service Days per Month'!X$5</f>
        <v>711</v>
      </c>
      <c r="Y40" s="62">
        <f>'Total Saturday Boardings'!Y40/'Service Days per Month'!Y$5</f>
        <v>961.75</v>
      </c>
      <c r="Z40" s="62">
        <f>'Total Saturday Boardings'!Z40/'Service Days per Month'!Z$5</f>
        <v>884.33333333333337</v>
      </c>
      <c r="AA40" s="18">
        <f>'Total Saturday Boardings'!AA40/'Service Days per Month'!AA$5</f>
        <v>703.2</v>
      </c>
      <c r="AB40" s="18">
        <f>'Total Saturday Boardings'!AB40/'Service Days per Month'!AB$5</f>
        <v>972.25</v>
      </c>
      <c r="AC40" s="18">
        <f>'Total Saturday Boardings'!AC40/'Service Days per Month'!AC$5</f>
        <v>1152.75</v>
      </c>
      <c r="AD40" s="18">
        <f>'Total Saturday Boardings'!AD40/'Service Days per Month'!AD$5</f>
        <v>1202.8</v>
      </c>
      <c r="AE40" s="18">
        <f>'Total Saturday Boardings'!AE40/'Service Days per Month'!AE$5</f>
        <v>927.5</v>
      </c>
      <c r="AF40" s="19">
        <f>'Total Saturday Boardings'!AF40/'Service Days per Month'!AF$5</f>
        <v>775.25</v>
      </c>
      <c r="AG40" s="17">
        <f>'Total Saturday Boardings'!AG40/'Service Days per Month'!AG$5</f>
        <v>755.4</v>
      </c>
      <c r="AH40" s="18">
        <f>'Total Saturday Boardings'!AH40/'Service Days per Month'!AH$5</f>
        <v>927.5</v>
      </c>
      <c r="AI40" s="18">
        <f>'Total Saturday Boardings'!AI40/'Service Days per Month'!AI$5</f>
        <v>1266.25</v>
      </c>
      <c r="AJ40" s="18">
        <f>'Total Saturday Boardings'!AJ40/'Service Days per Month'!AJ$5</f>
        <v>1497.8</v>
      </c>
      <c r="AK40" s="18">
        <f>'Total Saturday Boardings'!AK40/'Service Days per Month'!AK$5</f>
        <v>1184.25</v>
      </c>
      <c r="AL40" s="18">
        <f>'Total Saturday Boardings'!AL40/'Service Days per Month'!AL$5</f>
        <v>1312.25</v>
      </c>
      <c r="AM40" s="18">
        <f>'Total Saturday Boardings'!AM40/'Service Days per Month'!AM$5</f>
        <v>1087.5</v>
      </c>
      <c r="AN40" s="18">
        <f>'Total Saturday Boardings'!AN40/'Service Days per Month'!AN$5</f>
        <v>1091</v>
      </c>
      <c r="AO40" s="18">
        <f>'Total Saturday Boardings'!AO40/'Service Days per Month'!AO$5</f>
        <v>1172.2</v>
      </c>
      <c r="AP40" s="18">
        <f>'Total Saturday Boardings'!AP40/'Service Days per Month'!AP$5</f>
        <v>1254</v>
      </c>
      <c r="AQ40" s="18">
        <f>'Total Saturday Boardings'!AQ40/'Service Days per Month'!AQ$5</f>
        <v>1006</v>
      </c>
      <c r="AR40" s="19">
        <f>'Total Saturday Boardings'!AR40/'Service Days per Month'!AR$5</f>
        <v>934.6</v>
      </c>
      <c r="AS40" s="17">
        <f>'Total Saturday Boardings'!AS40/'Service Days per Month'!AS$5</f>
        <v>916</v>
      </c>
      <c r="AT40" s="18">
        <f>'Total Saturday Boardings'!AT40/'Service Days per Month'!AT$5</f>
        <v>887</v>
      </c>
      <c r="AU40" s="18">
        <f>'Total Saturday Boardings'!AU40/'Service Days per Month'!AU$5</f>
        <v>1375.8</v>
      </c>
      <c r="AV40" s="18">
        <f>'Total Saturday Boardings'!AV40/'Service Days per Month'!AV$5</f>
        <v>1499.25</v>
      </c>
      <c r="AW40" s="18">
        <f>'Total Saturday Boardings'!AW40/'Service Days per Month'!AW$5</f>
        <v>1146.25</v>
      </c>
      <c r="AX40" s="18">
        <f>'Total Saturday Boardings'!AX40/'Service Days per Month'!AX$5</f>
        <v>1118.8</v>
      </c>
      <c r="AY40" s="18">
        <f>'Total Saturday Boardings'!AY40/'Service Days per Month'!AY$5</f>
        <v>1081.5</v>
      </c>
      <c r="AZ40" s="18">
        <f>'Total Saturday Boardings'!AZ40/'Service Days per Month'!AZ$5</f>
        <v>1087.75</v>
      </c>
      <c r="BA40" s="18">
        <f>'Total Saturday Boardings'!BA40/'Service Days per Month'!BA$5</f>
        <v>1117.4000000000001</v>
      </c>
      <c r="BB40" s="18">
        <f>'Total Saturday Boardings'!BB40/'Service Days per Month'!BB$5</f>
        <v>1374</v>
      </c>
      <c r="BC40" s="18">
        <f>'Total Saturday Boardings'!BC40/'Service Days per Month'!BC$5</f>
        <v>2076</v>
      </c>
      <c r="BD40" s="19">
        <f>'Total Saturday Boardings'!BD40/'Service Days per Month'!BD$5</f>
        <v>878</v>
      </c>
      <c r="BE40" s="17">
        <f>'Total Saturday Boardings'!BE40/'Service Days per Month'!BE$5</f>
        <v>832.25</v>
      </c>
      <c r="BF40" s="18">
        <f>'Total Saturday Boardings'!BF40/'Service Days per Month'!BF$5</f>
        <v>865.6</v>
      </c>
      <c r="BG40" s="18">
        <f>'Total Saturday Boardings'!BG40/'Service Days per Month'!BG$5</f>
        <v>1500</v>
      </c>
      <c r="BH40" s="18">
        <f>'Total Saturday Boardings'!BH40/'Service Days per Month'!BH$5</f>
        <v>1496.5</v>
      </c>
      <c r="BI40" s="18">
        <f>'Total Saturday Boardings'!BI40/'Service Days per Month'!BI$5</f>
        <v>1503.1507155691786</v>
      </c>
      <c r="BJ40" s="18">
        <f>'Total Saturday Boardings'!BJ40/'Service Days per Month'!BJ$5</f>
        <v>1476.75</v>
      </c>
      <c r="BK40" s="18">
        <f>'Total Saturday Boardings'!BK40/'Service Days per Month'!BK$5</f>
        <v>1126.5</v>
      </c>
      <c r="BL40" s="18">
        <f>'Total Saturday Boardings'!BL40/'Service Days per Month'!BL$5</f>
        <v>1183</v>
      </c>
      <c r="BM40" s="18">
        <f>'Total Saturday Boardings'!BM40/'Service Days per Month'!BM$5</f>
        <v>1180</v>
      </c>
      <c r="BN40" s="18">
        <f>'Total Saturday Boardings'!BN40/'Service Days per Month'!BN$5</f>
        <v>1292.25</v>
      </c>
      <c r="BO40" s="18">
        <f>'Total Saturday Boardings'!BO40/'Service Days per Month'!BO$5</f>
        <v>989.2</v>
      </c>
      <c r="BP40" s="19">
        <f>'Total Saturday Boardings'!BP40/'Service Days per Month'!BP$5</f>
        <v>1802</v>
      </c>
      <c r="BQ40" s="17">
        <f>'Total Saturday Boardings'!BQ40/'Service Days per Month'!BQ$5</f>
        <v>775.5</v>
      </c>
      <c r="BR40" s="18">
        <f>'Total Saturday Boardings'!BR40/'Service Days per Month'!BR$5</f>
        <v>1046.2</v>
      </c>
      <c r="BS40" s="18">
        <f>'Total Saturday Boardings'!BS40/'Service Days per Month'!BS$5</f>
        <v>1017.75</v>
      </c>
      <c r="BT40" s="18">
        <f>'Total Saturday Boardings'!BT40/'Service Days per Month'!BT$5</f>
        <v>1534</v>
      </c>
      <c r="BU40" s="18">
        <f>'Total Saturday Boardings'!BU40/'Service Days per Month'!BU$5</f>
        <v>1655.6</v>
      </c>
      <c r="BV40" s="18">
        <f>'Total Saturday Boardings'!BV40/'Service Days per Month'!BV$5</f>
        <v>1014</v>
      </c>
      <c r="BW40" s="18">
        <f>'Total Saturday Boardings'!BW40/'Service Days per Month'!BW$5</f>
        <v>1523.6</v>
      </c>
      <c r="BX40" s="18">
        <f>'Total Saturday Boardings'!BX40/'Service Days per Month'!BX$5</f>
        <v>1227</v>
      </c>
      <c r="BY40" s="18">
        <f>'Total Saturday Boardings'!BY40/'Service Days per Month'!BY$5</f>
        <v>1208.75</v>
      </c>
      <c r="BZ40" s="18">
        <f>'Total Saturday Boardings'!BZ40/'Service Days per Month'!BZ$5</f>
        <v>1209.75</v>
      </c>
      <c r="CA40" s="18">
        <f>'Total Saturday Boardings'!CA40/'Service Days per Month'!CA$5</f>
        <v>1071.5999999999999</v>
      </c>
      <c r="CB40" s="19">
        <f>'Total Saturday Boardings'!CB40/'Service Days per Month'!CB$5</f>
        <v>806.5</v>
      </c>
      <c r="CC40" s="20">
        <f>'Total Saturday Boardings'!CC40/'Service Days per Month'!CC$5</f>
        <v>994</v>
      </c>
      <c r="CD40" s="18">
        <f>'Total Saturday Boardings'!CD40/'Service Days per Month'!CD$5</f>
        <v>971.4</v>
      </c>
      <c r="CE40" s="18">
        <f>'Total Saturday Boardings'!CE40/'Service Days per Month'!CE$5</f>
        <v>1658</v>
      </c>
      <c r="CF40" s="18">
        <f>'Total Saturday Boardings'!CF40/'Service Days per Month'!CF$5</f>
        <v>1521.4</v>
      </c>
      <c r="CG40" s="18">
        <f>'Total Saturday Boardings'!CG40/'Service Days per Month'!CG$5</f>
        <v>1632.75</v>
      </c>
      <c r="CH40" s="18">
        <f>'Total Saturday Boardings'!CH40/'Service Days per Month'!CH$5</f>
        <v>1017.25</v>
      </c>
      <c r="CI40" s="18">
        <f>'Total Saturday Boardings'!CI40/'Service Days per Month'!CI$5</f>
        <v>1140</v>
      </c>
      <c r="CJ40" s="18">
        <f>'Total Saturday Boardings'!CJ40/'Service Days per Month'!CJ$5</f>
        <v>1163.75</v>
      </c>
      <c r="CK40" s="18">
        <f>'Total Saturday Boardings'!CK40/'Service Days per Month'!CK$5</f>
        <v>1163.25</v>
      </c>
      <c r="CL40" s="18">
        <f>'Total Saturday Boardings'!CL40/'Service Days per Month'!CL$5</f>
        <v>1240.5999999999999</v>
      </c>
      <c r="CM40" s="18">
        <f>'Total Saturday Boardings'!CM40/'Service Days per Month'!CM$5</f>
        <v>1069.25</v>
      </c>
      <c r="CN40" s="21">
        <f>'Total Saturday Boardings'!CN40/'Service Days per Month'!CN$5</f>
        <v>937.5</v>
      </c>
      <c r="CO40" s="17">
        <f>'Total Saturday Boardings'!CO40/'Service Days per Month'!CO$5</f>
        <v>918</v>
      </c>
      <c r="CP40" s="18">
        <f>'Total Saturday Boardings'!CP40/'Service Days per Month'!CP$5</f>
        <v>962.75</v>
      </c>
      <c r="CQ40" s="18">
        <f>'Total Saturday Boardings'!CQ40/'Service Days per Month'!CQ$5</f>
        <v>1489.5</v>
      </c>
      <c r="CR40" s="18">
        <f>'Total Saturday Boardings'!CR40/'Service Days per Month'!CR$5</f>
        <v>1350.2</v>
      </c>
      <c r="CS40" s="18">
        <f>'Total Saturday Boardings'!CS40/'Service Days per Month'!CS$5</f>
        <v>1033.75</v>
      </c>
      <c r="CT40" s="18">
        <f>'Total Saturday Boardings'!CT40/'Service Days per Month'!CT$5</f>
        <v>1101.5</v>
      </c>
      <c r="CU40" s="18">
        <f>'Total Saturday Boardings'!CU40/'Service Days per Month'!CU$5</f>
        <v>1051.75</v>
      </c>
      <c r="CV40" s="18">
        <f>'Total Saturday Boardings'!CV40/'Service Days per Month'!CV$5</f>
        <v>1062.75</v>
      </c>
      <c r="CW40" s="18">
        <f>'Total Saturday Boardings'!CW40/'Service Days per Month'!CW$5</f>
        <v>1119.25</v>
      </c>
      <c r="CX40" s="18">
        <f>'Total Saturday Boardings'!CX40/'Service Days per Month'!CX$5</f>
        <v>1378.4</v>
      </c>
      <c r="CY40" s="18">
        <f>'Total Saturday Boardings'!CY40/'Service Days per Month'!CY$5</f>
        <v>1070</v>
      </c>
      <c r="CZ40" s="19">
        <f>'Total Saturday Boardings'!CZ40/'Service Days per Month'!CZ$5</f>
        <v>912.75</v>
      </c>
      <c r="DA40" s="17">
        <f>'Total Saturday Boardings'!DA40/'Service Days per Month'!DA$5</f>
        <v>849.2</v>
      </c>
      <c r="DB40" s="18">
        <f>'Total Saturday Boardings'!DB40/'Service Days per Month'!DB$5</f>
        <v>930.75</v>
      </c>
      <c r="DC40" s="18">
        <f>'Total Saturday Boardings'!DC40/'Service Days per Month'!DC$5</f>
        <v>1183.4000000000001</v>
      </c>
      <c r="DD40" s="18">
        <f>'Total Saturday Boardings'!DD40/'Service Days per Month'!DD$5</f>
        <v>1381</v>
      </c>
      <c r="DE40" s="18">
        <f>'Total Saturday Boardings'!DE40/'Service Days per Month'!DE$5</f>
        <v>1224.75</v>
      </c>
      <c r="DF40" s="18">
        <f>'Total Saturday Boardings'!DF40/'Service Days per Month'!DF$5</f>
        <v>938</v>
      </c>
      <c r="DG40" s="18">
        <f>'Total Saturday Boardings'!DG40/'Service Days per Month'!DG$5</f>
        <v>940.75</v>
      </c>
      <c r="DH40" s="18">
        <f>'Total Saturday Boardings'!DH40/'Service Days per Month'!DH$5</f>
        <v>1018.5</v>
      </c>
      <c r="DI40" s="18">
        <f>'Total Saturday Boardings'!DI40/'Service Days per Month'!DI$5</f>
        <v>1066.2</v>
      </c>
      <c r="DJ40" s="18">
        <f>'Total Saturday Boardings'!DJ40/'Service Days per Month'!DJ$5</f>
        <v>1105.75</v>
      </c>
      <c r="DK40" s="18">
        <f>'Total Saturday Boardings'!DK40/'Service Days per Month'!DK$5</f>
        <v>922.75</v>
      </c>
      <c r="DL40" s="19">
        <f>'Total Saturday Boardings'!DL40/'Service Days per Month'!DL$5</f>
        <v>840.4</v>
      </c>
      <c r="DM40" s="17">
        <f>'Total Saturday Boardings'!DM40/'Service Days per Month'!DM$5</f>
        <v>753.75</v>
      </c>
      <c r="DN40" s="18">
        <f>'Total Saturday Boardings'!DN40/'Service Days per Month'!DN$5</f>
        <v>833</v>
      </c>
      <c r="DO40" s="18">
        <f>'Total Saturday Boardings'!DO40/'Service Days per Month'!DO$5</f>
        <v>1102.4000000000001</v>
      </c>
      <c r="DP40" s="18">
        <f>'Total Saturday Boardings'!DP40/'Service Days per Month'!DP$5</f>
        <v>908.25</v>
      </c>
      <c r="DQ40" s="18">
        <f>'Total Saturday Boardings'!DQ40/'Service Days per Month'!DQ$5</f>
        <v>1112.75</v>
      </c>
      <c r="DR40" s="18">
        <f>'Total Saturday Boardings'!DR40/'Service Days per Month'!DR$5</f>
        <v>879.4</v>
      </c>
      <c r="DS40" s="18">
        <f>'Total Saturday Boardings'!DS40/'Service Days per Month'!DS$5</f>
        <v>906</v>
      </c>
      <c r="DT40" s="18">
        <f>'Total Saturday Boardings'!DT40/'Service Days per Month'!DT$5</f>
        <v>900.5</v>
      </c>
      <c r="DU40" s="18">
        <f>'Total Saturday Boardings'!DU40/'Service Days per Month'!DU$5</f>
        <v>985.4</v>
      </c>
      <c r="DV40" s="18">
        <f>'Total Saturday Boardings'!DV40/'Service Days per Month'!DV$5</f>
        <v>1102</v>
      </c>
      <c r="DW40" s="18">
        <f>'Total Saturday Boardings'!DW40/'Service Days per Month'!DW$5</f>
        <v>904</v>
      </c>
      <c r="DX40" s="19">
        <f>'Total Saturday Boardings'!DX40/'Service Days per Month'!DX$5</f>
        <v>766.2</v>
      </c>
      <c r="DY40" s="17">
        <f>'Total Saturday Boardings'!DY40/'Service Days per Month'!DY$5</f>
        <v>722.25</v>
      </c>
      <c r="DZ40" s="18">
        <f>'Total Saturday Boardings'!DZ40/'Service Days per Month'!DZ$5</f>
        <v>828.6</v>
      </c>
      <c r="EA40" s="18">
        <f>'Total Saturday Boardings'!EA40/'Service Days per Month'!EA$5</f>
        <v>1028.25</v>
      </c>
      <c r="EB40" s="18">
        <f>'Total Saturday Boardings'!EB40/'Service Days per Month'!EB$5</f>
        <v>1022</v>
      </c>
      <c r="EC40" s="18">
        <f>'Total Saturday Boardings'!EC40/'Service Days per Month'!EC$5</f>
        <v>1276.4000000000001</v>
      </c>
      <c r="ED40" s="18">
        <f>'Total Saturday Boardings'!ED40/'Service Days per Month'!ED$5</f>
        <v>870.75</v>
      </c>
      <c r="EE40" s="18">
        <f>'Total Saturday Boardings'!EE40/'Service Days per Month'!EE$5</f>
        <v>853.25</v>
      </c>
      <c r="EF40" s="18">
        <f>'Total Saturday Boardings'!EF40/'Service Days per Month'!EF$5</f>
        <v>985.4</v>
      </c>
      <c r="EG40" s="18">
        <f>'Total Saturday Boardings'!EG40/'Service Days per Month'!EG$5</f>
        <v>714.5</v>
      </c>
      <c r="EH40" s="18">
        <f>'Total Saturday Boardings'!EH40/'Service Days per Month'!EH$5</f>
        <v>407.25</v>
      </c>
      <c r="EI40" s="18">
        <f>'Total Saturday Boardings'!EI40/'Service Days per Month'!EI$5</f>
        <v>424.4</v>
      </c>
      <c r="EJ40" s="19">
        <f>'Total Saturday Boardings'!EJ40/'Service Days per Month'!EJ$5</f>
        <v>430.25</v>
      </c>
      <c r="EK40" s="17">
        <f>'Total Saturday Boardings'!EK40/'Service Days per Month'!EK$5</f>
        <v>297.25</v>
      </c>
      <c r="EL40" s="18">
        <f>'Total Saturday Boardings'!EL40/'Service Days per Month'!EL$5</f>
        <v>398.2</v>
      </c>
      <c r="EM40" s="18">
        <f>'Total Saturday Boardings'!EM40/'Service Days per Month'!EM$5</f>
        <v>465.5</v>
      </c>
      <c r="EN40" s="18">
        <f>'Total Saturday Boardings'!EN40/'Service Days per Month'!EN$5</f>
        <v>500.2</v>
      </c>
      <c r="EO40" s="18">
        <f>'Total Saturday Boardings'!EO40/'Service Days per Month'!EO$5</f>
        <v>508.5</v>
      </c>
      <c r="EP40" s="18">
        <f>'Total Saturday Boardings'!EP40/'Service Days per Month'!EP$5</f>
        <v>354</v>
      </c>
      <c r="EQ40" s="18">
        <f>'Total Saturday Boardings'!EQ40/'Service Days per Month'!EQ$5</f>
        <v>224.6</v>
      </c>
      <c r="ER40" s="18">
        <f>'Total Saturday Boardings'!ER40/'Service Days per Month'!ER$5</f>
        <v>422</v>
      </c>
      <c r="ES40" s="18">
        <f>'Total Saturday Boardings'!ES40/'Service Days per Month'!ES$5</f>
        <v>419.75</v>
      </c>
      <c r="ET40" s="18">
        <f>'Total Saturday Boardings'!ET40/'Service Days per Month'!ET$5</f>
        <v>491.75</v>
      </c>
      <c r="EU40" s="18">
        <f>'Total Saturday Boardings'!EU40/'Service Days per Month'!EU$5</f>
        <v>408.2</v>
      </c>
      <c r="EV40" s="19">
        <f>'Total Saturday Boardings'!EV40/'Service Days per Month'!EV$5</f>
        <v>410.75</v>
      </c>
      <c r="EW40" s="17">
        <f>'Total Saturday Boardings'!EW40/'Service Days per Month'!EW$5</f>
        <v>406.8</v>
      </c>
      <c r="EX40" s="18">
        <f>'Total Saturday Boardings'!EX40/'Service Days per Month'!EX$5</f>
        <v>431.5</v>
      </c>
      <c r="EY40" s="18">
        <f>'Total Saturday Boardings'!EY40/'Service Days per Month'!EY$5</f>
        <v>642.5</v>
      </c>
      <c r="EZ40" s="18">
        <f>'Total Saturday Boardings'!EZ40/'Service Days per Month'!EZ$5</f>
        <v>595.79999999999995</v>
      </c>
      <c r="FA40" s="18">
        <f>'Total Saturday Boardings'!FA40/'Service Days per Month'!FA$5</f>
        <v>695.75</v>
      </c>
      <c r="FB40" s="18">
        <f>'Total Saturday Boardings'!FB40/'Service Days per Month'!FB$5</f>
        <v>491.5</v>
      </c>
      <c r="FC40" s="18">
        <f>'Total Saturday Boardings'!FC40/'Service Days per Month'!FC$5</f>
        <v>466.8</v>
      </c>
      <c r="FD40" s="18">
        <f>'Total Saturday Boardings'!FD40/'Service Days per Month'!FD$5</f>
        <v>663.75</v>
      </c>
      <c r="FE40" s="18">
        <f>'Total Saturday Boardings'!FE40/'Service Days per Month'!FE$5</f>
        <v>677.5</v>
      </c>
      <c r="FF40" s="18">
        <f>'Total Saturday Boardings'!FF40/'Service Days per Month'!FF$5</f>
        <v>707.8</v>
      </c>
      <c r="FG40" s="18">
        <f>'Total Saturday Boardings'!FG40/'Service Days per Month'!FG$5</f>
        <v>634</v>
      </c>
      <c r="FH40" s="19">
        <f>'Total Saturday Boardings'!FH40/'Service Days per Month'!FH$5</f>
        <v>499.75</v>
      </c>
      <c r="FI40" s="17">
        <v>510</v>
      </c>
      <c r="FJ40" s="18">
        <v>578.25</v>
      </c>
      <c r="FK40" s="18">
        <v>772.5</v>
      </c>
      <c r="FL40" s="18">
        <v>710</v>
      </c>
      <c r="FM40" s="18">
        <v>650.4</v>
      </c>
      <c r="FN40" s="18">
        <v>607</v>
      </c>
      <c r="FO40" s="18">
        <v>600.20000000000005</v>
      </c>
      <c r="FP40" s="18">
        <v>860.5</v>
      </c>
      <c r="FQ40" s="18">
        <v>828</v>
      </c>
      <c r="FR40" s="18">
        <f>'Total Saturday Boardings'!FR40/5</f>
        <v>752.8</v>
      </c>
      <c r="FS40" s="18">
        <f>'Total Saturday Boardings'!FS40/4</f>
        <v>712.5</v>
      </c>
      <c r="FT40" s="19">
        <f>'Total Saturday Boardings'!FT40/4</f>
        <v>658</v>
      </c>
      <c r="FU40" s="17">
        <f>'Total Saturday Boardings'!FU40/5</f>
        <v>533.6</v>
      </c>
      <c r="FV40" s="18">
        <f>'Total Saturday Boardings'!FV40/4</f>
        <v>653.25</v>
      </c>
      <c r="FW40" s="18">
        <f>'Total Saturday Boardings'!FW40/5</f>
        <v>838</v>
      </c>
      <c r="FX40" s="18">
        <f>'Total Saturday Boardings'!FX40/4</f>
        <v>907.25</v>
      </c>
      <c r="FY40" s="18">
        <f>'Total Saturday Boardings'!FY40/4</f>
        <v>835</v>
      </c>
      <c r="FZ40" s="18">
        <f>'Total Saturday Boardings'!FZ40/5</f>
        <v>619.20000000000005</v>
      </c>
      <c r="GA40" s="18">
        <f>'Total Saturday Boardings'!GA40/4</f>
        <v>737</v>
      </c>
      <c r="GB40" s="18">
        <f>'Total Saturday Boardings'!GB40/4</f>
        <v>849.25</v>
      </c>
      <c r="GC40" s="18">
        <f>'Total Saturday Boardings'!GC40/5</f>
        <v>848.8</v>
      </c>
      <c r="GD40" s="18">
        <f>'Total Saturday Boardings'!GD40/4</f>
        <v>781.5</v>
      </c>
      <c r="GE40" s="18">
        <f>'Total Saturday Boardings'!GE40/4</f>
        <v>697.25</v>
      </c>
      <c r="GF40" s="18">
        <f>'Total Saturday Boardings'!GF40/5</f>
        <v>502.4</v>
      </c>
      <c r="GG40" s="18">
        <f>'Total Saturday Boardings'!GG40/4</f>
        <v>510.25</v>
      </c>
      <c r="GH40" s="18">
        <f>'Total Saturday Boardings'!GH40/5</f>
        <v>714.2</v>
      </c>
      <c r="GI40" s="18">
        <f>'Total Saturday Boardings'!GI40/4</f>
        <v>791.75</v>
      </c>
      <c r="GJ40" s="18">
        <f>'Total Saturday Boardings'!GJ40/4</f>
        <v>772.5</v>
      </c>
      <c r="GK40" s="18">
        <f>'Total Saturday Boardings'!GK40/5</f>
        <v>775.2</v>
      </c>
      <c r="GL40" s="18">
        <f>'Total Saturday Boardings'!GL40/4</f>
        <v>582.25</v>
      </c>
    </row>
    <row r="41" spans="1:194" x14ac:dyDescent="0.3">
      <c r="A41" s="3" t="s">
        <v>23</v>
      </c>
      <c r="B41" s="17"/>
      <c r="C41" s="18">
        <f>'Total Saturday Boardings'!C41/'Service Days per Month'!C$5</f>
        <v>208.8</v>
      </c>
      <c r="D41" s="18">
        <f>'Total Saturday Boardings'!D41/'Service Days per Month'!D$5</f>
        <v>236.75</v>
      </c>
      <c r="E41" s="18">
        <f>'Total Saturday Boardings'!E41/'Service Days per Month'!E$5</f>
        <v>226.25</v>
      </c>
      <c r="F41" s="18">
        <f>'Total Saturday Boardings'!F41/'Service Days per Month'!F$5</f>
        <v>270.25</v>
      </c>
      <c r="G41" s="18">
        <f>'Total Saturday Boardings'!G41/'Service Days per Month'!G$5</f>
        <v>178.4</v>
      </c>
      <c r="H41" s="19">
        <f>'Total Saturday Boardings'!H41/'Service Days per Month'!H$5</f>
        <v>187.75</v>
      </c>
      <c r="I41" s="17">
        <f>'Total Saturday Boardings'!I41/'Service Days per Month'!I$5</f>
        <v>310.66666666666669</v>
      </c>
      <c r="J41" s="18">
        <f>'Total Saturday Boardings'!J41/'Service Days per Month'!J$5</f>
        <v>176.4</v>
      </c>
      <c r="K41" s="18">
        <f>'Total Saturday Boardings'!K41/'Service Days per Month'!K$5</f>
        <v>311</v>
      </c>
      <c r="L41" s="18">
        <f>'Total Saturday Boardings'!L41/'Service Days per Month'!L$5</f>
        <v>257.39999999999998</v>
      </c>
      <c r="M41" s="18">
        <f>'Total Saturday Boardings'!M41/'Service Days per Month'!M$5</f>
        <v>312</v>
      </c>
      <c r="N41" s="18">
        <f>'Total Saturday Boardings'!N41/'Service Days per Month'!N$5</f>
        <v>334.75</v>
      </c>
      <c r="O41" s="62">
        <f>'Total Saturday Boardings'!O41/'Service Days per Month'!O$5</f>
        <v>256</v>
      </c>
      <c r="P41" s="62">
        <f>'Total Saturday Boardings'!P41/'Service Days per Month'!P$5</f>
        <v>293.75</v>
      </c>
      <c r="Q41" s="62">
        <f>'Total Saturday Boardings'!Q41/'Service Days per Month'!Q$5</f>
        <v>313.75</v>
      </c>
      <c r="R41" s="62">
        <f>'Total Saturday Boardings'!R41/'Service Days per Month'!R$5</f>
        <v>324</v>
      </c>
      <c r="S41" s="62">
        <f>'Total Saturday Boardings'!S41/'Service Days per Month'!S$5</f>
        <v>241.2</v>
      </c>
      <c r="T41" s="63">
        <f>'Total Saturday Boardings'!T41/'Service Days per Month'!T$5</f>
        <v>241.25</v>
      </c>
      <c r="U41" s="64">
        <f>'Total Saturday Boardings'!U41/'Service Days per Month'!U$5</f>
        <v>262.60000000000002</v>
      </c>
      <c r="V41" s="62">
        <f>'Total Saturday Boardings'!V41/'Service Days per Month'!V$5</f>
        <v>289.25</v>
      </c>
      <c r="W41" s="62">
        <f>'Total Saturday Boardings'!W41/'Service Days per Month'!W$5</f>
        <v>413.75</v>
      </c>
      <c r="X41" s="62">
        <f>'Total Saturday Boardings'!X41/'Service Days per Month'!X$5</f>
        <v>236.8</v>
      </c>
      <c r="Y41" s="62">
        <f>'Total Saturday Boardings'!Y41/'Service Days per Month'!Y$5</f>
        <v>318.75</v>
      </c>
      <c r="Z41" s="62">
        <f>'Total Saturday Boardings'!Z41/'Service Days per Month'!Z$5</f>
        <v>296</v>
      </c>
      <c r="AA41" s="18">
        <f>'Total Saturday Boardings'!AA41/'Service Days per Month'!AA$5</f>
        <v>290</v>
      </c>
      <c r="AB41" s="18">
        <f>'Total Saturday Boardings'!AB41/'Service Days per Month'!AB$5</f>
        <v>305.5</v>
      </c>
      <c r="AC41" s="18">
        <f>'Total Saturday Boardings'!AC41/'Service Days per Month'!AC$5</f>
        <v>391</v>
      </c>
      <c r="AD41" s="18">
        <f>'Total Saturday Boardings'!AD41/'Service Days per Month'!AD$5</f>
        <v>349.6</v>
      </c>
      <c r="AE41" s="18">
        <f>'Total Saturday Boardings'!AE41/'Service Days per Month'!AE$5</f>
        <v>316.75</v>
      </c>
      <c r="AF41" s="19">
        <f>'Total Saturday Boardings'!AF41/'Service Days per Month'!AF$5</f>
        <v>291.25</v>
      </c>
      <c r="AG41" s="17">
        <f>'Total Saturday Boardings'!AG41/'Service Days per Month'!AG$5</f>
        <v>275.2</v>
      </c>
      <c r="AH41" s="18">
        <f>'Total Saturday Boardings'!AH41/'Service Days per Month'!AH$5</f>
        <v>351</v>
      </c>
      <c r="AI41" s="18">
        <f>'Total Saturday Boardings'!AI41/'Service Days per Month'!AI$5</f>
        <v>429.25</v>
      </c>
      <c r="AJ41" s="18">
        <f>'Total Saturday Boardings'!AJ41/'Service Days per Month'!AJ$5</f>
        <v>478.2</v>
      </c>
      <c r="AK41" s="18">
        <f>'Total Saturday Boardings'!AK41/'Service Days per Month'!AK$5</f>
        <v>426.25</v>
      </c>
      <c r="AL41" s="18">
        <f>'Total Saturday Boardings'!AL41/'Service Days per Month'!AL$5</f>
        <v>566.75</v>
      </c>
      <c r="AM41" s="18">
        <f>'Total Saturday Boardings'!AM41/'Service Days per Month'!AM$5</f>
        <v>403</v>
      </c>
      <c r="AN41" s="18">
        <f>'Total Saturday Boardings'!AN41/'Service Days per Month'!AN$5</f>
        <v>400.25</v>
      </c>
      <c r="AO41" s="18">
        <f>'Total Saturday Boardings'!AO41/'Service Days per Month'!AO$5</f>
        <v>399.8</v>
      </c>
      <c r="AP41" s="18">
        <f>'Total Saturday Boardings'!AP41/'Service Days per Month'!AP$5</f>
        <v>462.5</v>
      </c>
      <c r="AQ41" s="18">
        <f>'Total Saturday Boardings'!AQ41/'Service Days per Month'!AQ$5</f>
        <v>390.5</v>
      </c>
      <c r="AR41" s="19">
        <f>'Total Saturday Boardings'!AR41/'Service Days per Month'!AR$5</f>
        <v>345.6</v>
      </c>
      <c r="AS41" s="17">
        <f>'Total Saturday Boardings'!AS41/'Service Days per Month'!AS$5</f>
        <v>367</v>
      </c>
      <c r="AT41" s="18">
        <f>'Total Saturday Boardings'!AT41/'Service Days per Month'!AT$5</f>
        <v>371</v>
      </c>
      <c r="AU41" s="18">
        <f>'Total Saturday Boardings'!AU41/'Service Days per Month'!AU$5</f>
        <v>450</v>
      </c>
      <c r="AV41" s="18">
        <f>'Total Saturday Boardings'!AV41/'Service Days per Month'!AV$5</f>
        <v>479.5</v>
      </c>
      <c r="AW41" s="18">
        <f>'Total Saturday Boardings'!AW41/'Service Days per Month'!AW$5</f>
        <v>447.75</v>
      </c>
      <c r="AX41" s="18">
        <f>'Total Saturday Boardings'!AX41/'Service Days per Month'!AX$5</f>
        <v>460.4</v>
      </c>
      <c r="AY41" s="18">
        <f>'Total Saturday Boardings'!AY41/'Service Days per Month'!AY$5</f>
        <v>433.5</v>
      </c>
      <c r="AZ41" s="18">
        <f>'Total Saturday Boardings'!AZ41/'Service Days per Month'!AZ$5</f>
        <v>457.25</v>
      </c>
      <c r="BA41" s="18">
        <f>'Total Saturday Boardings'!BA41/'Service Days per Month'!BA$5</f>
        <v>422.8</v>
      </c>
      <c r="BB41" s="18">
        <f>'Total Saturday Boardings'!BB41/'Service Days per Month'!BB$5</f>
        <v>470.75</v>
      </c>
      <c r="BC41" s="18">
        <f>'Total Saturday Boardings'!BC41/'Service Days per Month'!BC$5</f>
        <v>384.25</v>
      </c>
      <c r="BD41" s="19">
        <f>'Total Saturday Boardings'!BD41/'Service Days per Month'!BD$5</f>
        <v>349.2</v>
      </c>
      <c r="BE41" s="17">
        <f>'Total Saturday Boardings'!BE41/'Service Days per Month'!BE$5</f>
        <v>346.25</v>
      </c>
      <c r="BF41" s="18">
        <f>'Total Saturday Boardings'!BF41/'Service Days per Month'!BF$5</f>
        <v>409.4</v>
      </c>
      <c r="BG41" s="18">
        <f>'Total Saturday Boardings'!BG41/'Service Days per Month'!BG$5</f>
        <v>522.75</v>
      </c>
      <c r="BH41" s="18">
        <f>'Total Saturday Boardings'!BH41/'Service Days per Month'!BH$5</f>
        <v>560.5</v>
      </c>
      <c r="BI41" s="18">
        <f>'Total Saturday Boardings'!BI41/'Service Days per Month'!BI$5</f>
        <v>527.49304724659123</v>
      </c>
      <c r="BJ41" s="18">
        <f>'Total Saturday Boardings'!BJ41/'Service Days per Month'!BJ$5</f>
        <v>613.5</v>
      </c>
      <c r="BK41" s="18">
        <f>'Total Saturday Boardings'!BK41/'Service Days per Month'!BK$5</f>
        <v>478.5</v>
      </c>
      <c r="BL41" s="18">
        <f>'Total Saturday Boardings'!BL41/'Service Days per Month'!BL$5</f>
        <v>481.5</v>
      </c>
      <c r="BM41" s="18">
        <f>'Total Saturday Boardings'!BM41/'Service Days per Month'!BM$5</f>
        <v>457.4</v>
      </c>
      <c r="BN41" s="18">
        <f>'Total Saturday Boardings'!BN41/'Service Days per Month'!BN$5</f>
        <v>563.5</v>
      </c>
      <c r="BO41" s="18">
        <f>'Total Saturday Boardings'!BO41/'Service Days per Month'!BO$5</f>
        <v>428.8</v>
      </c>
      <c r="BP41" s="19">
        <f>'Total Saturday Boardings'!BP41/'Service Days per Month'!BP$5</f>
        <v>509</v>
      </c>
      <c r="BQ41" s="17">
        <f>'Total Saturday Boardings'!BQ41/'Service Days per Month'!BQ$5</f>
        <v>347.75</v>
      </c>
      <c r="BR41" s="18">
        <f>'Total Saturday Boardings'!BR41/'Service Days per Month'!BR$5</f>
        <v>422</v>
      </c>
      <c r="BS41" s="18">
        <f>'Total Saturday Boardings'!BS41/'Service Days per Month'!BS$5</f>
        <v>446.75</v>
      </c>
      <c r="BT41" s="18">
        <f>'Total Saturday Boardings'!BT41/'Service Days per Month'!BT$5</f>
        <v>539.75</v>
      </c>
      <c r="BU41" s="18">
        <f>'Total Saturday Boardings'!BU41/'Service Days per Month'!BU$5</f>
        <v>578.4</v>
      </c>
      <c r="BV41" s="18">
        <f>'Total Saturday Boardings'!BV41/'Service Days per Month'!BV$5</f>
        <v>477</v>
      </c>
      <c r="BW41" s="18">
        <f>'Total Saturday Boardings'!BW41/'Service Days per Month'!BW$5</f>
        <v>568.6</v>
      </c>
      <c r="BX41" s="18">
        <f>'Total Saturday Boardings'!BX41/'Service Days per Month'!BX$5</f>
        <v>448.75</v>
      </c>
      <c r="BY41" s="18">
        <f>'Total Saturday Boardings'!BY41/'Service Days per Month'!BY$5</f>
        <v>499.75</v>
      </c>
      <c r="BZ41" s="18">
        <f>'Total Saturday Boardings'!BZ41/'Service Days per Month'!BZ$5</f>
        <v>501</v>
      </c>
      <c r="CA41" s="18">
        <f>'Total Saturday Boardings'!CA41/'Service Days per Month'!CA$5</f>
        <v>448.2</v>
      </c>
      <c r="CB41" s="19">
        <f>'Total Saturday Boardings'!CB41/'Service Days per Month'!CB$5</f>
        <v>379</v>
      </c>
      <c r="CC41" s="20">
        <f>'Total Saturday Boardings'!CC41/'Service Days per Month'!CC$5</f>
        <v>415.5</v>
      </c>
      <c r="CD41" s="18">
        <f>'Total Saturday Boardings'!CD41/'Service Days per Month'!CD$5</f>
        <v>405.2</v>
      </c>
      <c r="CE41" s="18">
        <f>'Total Saturday Boardings'!CE41/'Service Days per Month'!CE$5</f>
        <v>545.75</v>
      </c>
      <c r="CF41" s="18">
        <f>'Total Saturday Boardings'!CF41/'Service Days per Month'!CF$5</f>
        <v>515.4</v>
      </c>
      <c r="CG41" s="18">
        <f>'Total Saturday Boardings'!CG41/'Service Days per Month'!CG$5</f>
        <v>489.75</v>
      </c>
      <c r="CH41" s="18">
        <f>'Total Saturday Boardings'!CH41/'Service Days per Month'!CH$5</f>
        <v>388.25</v>
      </c>
      <c r="CI41" s="18">
        <f>'Total Saturday Boardings'!CI41/'Service Days per Month'!CI$5</f>
        <v>405.6</v>
      </c>
      <c r="CJ41" s="18">
        <f>'Total Saturday Boardings'!CJ41/'Service Days per Month'!CJ$5</f>
        <v>422.25</v>
      </c>
      <c r="CK41" s="18">
        <f>'Total Saturday Boardings'!CK41/'Service Days per Month'!CK$5</f>
        <v>406.75</v>
      </c>
      <c r="CL41" s="18">
        <f>'Total Saturday Boardings'!CL41/'Service Days per Month'!CL$5</f>
        <v>427.4</v>
      </c>
      <c r="CM41" s="18">
        <f>'Total Saturday Boardings'!CM41/'Service Days per Month'!CM$5</f>
        <v>392</v>
      </c>
      <c r="CN41" s="21">
        <f>'Total Saturday Boardings'!CN41/'Service Days per Month'!CN$5</f>
        <v>343</v>
      </c>
      <c r="CO41" s="17">
        <f>'Total Saturday Boardings'!CO41/'Service Days per Month'!CO$5</f>
        <v>362.4</v>
      </c>
      <c r="CP41" s="18">
        <f>'Total Saturday Boardings'!CP41/'Service Days per Month'!CP$5</f>
        <v>369.75</v>
      </c>
      <c r="CQ41" s="18">
        <f>'Total Saturday Boardings'!CQ41/'Service Days per Month'!CQ$5</f>
        <v>459.75</v>
      </c>
      <c r="CR41" s="18">
        <f>'Total Saturday Boardings'!CR41/'Service Days per Month'!CR$5</f>
        <v>415.4</v>
      </c>
      <c r="CS41" s="18">
        <f>'Total Saturday Boardings'!CS41/'Service Days per Month'!CS$5</f>
        <v>382.25</v>
      </c>
      <c r="CT41" s="18">
        <f>'Total Saturday Boardings'!CT41/'Service Days per Month'!CT$5</f>
        <v>426.25</v>
      </c>
      <c r="CU41" s="18">
        <f>'Total Saturday Boardings'!CU41/'Service Days per Month'!CU$5</f>
        <v>369.75</v>
      </c>
      <c r="CV41" s="18">
        <f>'Total Saturday Boardings'!CV41/'Service Days per Month'!CV$5</f>
        <v>387</v>
      </c>
      <c r="CW41" s="18">
        <f>'Total Saturday Boardings'!CW41/'Service Days per Month'!CW$5</f>
        <v>351</v>
      </c>
      <c r="CX41" s="18">
        <f>'Total Saturday Boardings'!CX41/'Service Days per Month'!CX$5</f>
        <v>374.4</v>
      </c>
      <c r="CY41" s="18">
        <f>'Total Saturday Boardings'!CY41/'Service Days per Month'!CY$5</f>
        <v>342.5</v>
      </c>
      <c r="CZ41" s="19">
        <f>'Total Saturday Boardings'!CZ41/'Service Days per Month'!CZ$5</f>
        <v>377</v>
      </c>
      <c r="DA41" s="17">
        <f>'Total Saturday Boardings'!DA41/'Service Days per Month'!DA$5</f>
        <v>362.6</v>
      </c>
      <c r="DB41" s="18">
        <f>'Total Saturday Boardings'!DB41/'Service Days per Month'!DB$5</f>
        <v>404</v>
      </c>
      <c r="DC41" s="18">
        <f>'Total Saturday Boardings'!DC41/'Service Days per Month'!DC$5</f>
        <v>439.8</v>
      </c>
      <c r="DD41" s="18">
        <f>'Total Saturday Boardings'!DD41/'Service Days per Month'!DD$5</f>
        <v>447.25</v>
      </c>
      <c r="DE41" s="18">
        <f>'Total Saturday Boardings'!DE41/'Service Days per Month'!DE$5</f>
        <v>424.75</v>
      </c>
      <c r="DF41" s="18">
        <f>'Total Saturday Boardings'!DF41/'Service Days per Month'!DF$5</f>
        <v>373.2</v>
      </c>
      <c r="DG41" s="18">
        <f>'Total Saturday Boardings'!DG41/'Service Days per Month'!DG$5</f>
        <v>390</v>
      </c>
      <c r="DH41" s="18">
        <f>'Total Saturday Boardings'!DH41/'Service Days per Month'!DH$5</f>
        <v>416.5</v>
      </c>
      <c r="DI41" s="18">
        <f>'Total Saturday Boardings'!DI41/'Service Days per Month'!DI$5</f>
        <v>385.6</v>
      </c>
      <c r="DJ41" s="18">
        <f>'Total Saturday Boardings'!DJ41/'Service Days per Month'!DJ$5</f>
        <v>390.5</v>
      </c>
      <c r="DK41" s="18">
        <f>'Total Saturday Boardings'!DK41/'Service Days per Month'!DK$5</f>
        <v>329</v>
      </c>
      <c r="DL41" s="19">
        <f>'Total Saturday Boardings'!DL41/'Service Days per Month'!DL$5</f>
        <v>338.4</v>
      </c>
      <c r="DM41" s="17">
        <f>'Total Saturday Boardings'!DM41/'Service Days per Month'!DM$5</f>
        <v>317.5</v>
      </c>
      <c r="DN41" s="18">
        <f>'Total Saturday Boardings'!DN41/'Service Days per Month'!DN$5</f>
        <v>351.5</v>
      </c>
      <c r="DO41" s="18">
        <f>'Total Saturday Boardings'!DO41/'Service Days per Month'!DO$5</f>
        <v>369.2</v>
      </c>
      <c r="DP41" s="18">
        <f>'Total Saturday Boardings'!DP41/'Service Days per Month'!DP$5</f>
        <v>327.25</v>
      </c>
      <c r="DQ41" s="18">
        <f>'Total Saturday Boardings'!DQ41/'Service Days per Month'!DQ$5</f>
        <v>373.25</v>
      </c>
      <c r="DR41" s="18">
        <f>'Total Saturday Boardings'!DR41/'Service Days per Month'!DR$5</f>
        <v>326</v>
      </c>
      <c r="DS41" s="18">
        <f>'Total Saturday Boardings'!DS41/'Service Days per Month'!DS$5</f>
        <v>363.75</v>
      </c>
      <c r="DT41" s="18">
        <f>'Total Saturday Boardings'!DT41/'Service Days per Month'!DT$5</f>
        <v>303</v>
      </c>
      <c r="DU41" s="18">
        <f>'Total Saturday Boardings'!DU41/'Service Days per Month'!DU$5</f>
        <v>350.4</v>
      </c>
      <c r="DV41" s="18">
        <f>'Total Saturday Boardings'!DV41/'Service Days per Month'!DV$5</f>
        <v>86.5</v>
      </c>
      <c r="DW41" s="18">
        <f>'Total Saturday Boardings'!DW41/'Service Days per Month'!DW$5</f>
        <v>373.5</v>
      </c>
      <c r="DX41" s="19">
        <f>'Total Saturday Boardings'!DX41/'Service Days per Month'!DX$5</f>
        <v>325</v>
      </c>
      <c r="DY41" s="17">
        <f>'Total Saturday Boardings'!DY41/'Service Days per Month'!DY$5</f>
        <v>271.25</v>
      </c>
      <c r="DZ41" s="18">
        <f>'Total Saturday Boardings'!DZ41/'Service Days per Month'!DZ$5</f>
        <v>327</v>
      </c>
      <c r="EA41" s="18">
        <f>'Total Saturday Boardings'!EA41/'Service Days per Month'!EA$5</f>
        <v>406</v>
      </c>
      <c r="EB41" s="18">
        <f>'Total Saturday Boardings'!EB41/'Service Days per Month'!EB$5</f>
        <v>400.5</v>
      </c>
      <c r="EC41" s="18">
        <f>'Total Saturday Boardings'!EC41/'Service Days per Month'!EC$5</f>
        <v>425.4</v>
      </c>
      <c r="ED41" s="18">
        <f>'Total Saturday Boardings'!ED41/'Service Days per Month'!ED$5</f>
        <v>361.25</v>
      </c>
      <c r="EE41" s="18">
        <f>'Total Saturday Boardings'!EE41/'Service Days per Month'!EE$5</f>
        <v>312.5</v>
      </c>
      <c r="EF41" s="18">
        <f>'Total Saturday Boardings'!EF41/'Service Days per Month'!EF$5</f>
        <v>354.4</v>
      </c>
      <c r="EG41" s="18">
        <f>'Total Saturday Boardings'!EG41/'Service Days per Month'!EG$5</f>
        <v>279.25</v>
      </c>
      <c r="EH41" s="18">
        <f>'Total Saturday Boardings'!EH41/'Service Days per Month'!EH$5</f>
        <v>273.5</v>
      </c>
      <c r="EI41" s="18">
        <f>'Total Saturday Boardings'!EI41/'Service Days per Month'!EI$5</f>
        <v>315.39999999999998</v>
      </c>
      <c r="EJ41" s="19">
        <f>'Total Saturday Boardings'!EJ41/'Service Days per Month'!EJ$5</f>
        <v>226.75</v>
      </c>
      <c r="EK41" s="17">
        <f>'Total Saturday Boardings'!EK41/'Service Days per Month'!EK$5</f>
        <v>170.5</v>
      </c>
      <c r="EL41" s="18">
        <f>'Total Saturday Boardings'!EL41/'Service Days per Month'!EL$5</f>
        <v>241.4</v>
      </c>
      <c r="EM41" s="18">
        <f>'Total Saturday Boardings'!EM41/'Service Days per Month'!EM$5</f>
        <v>261.25</v>
      </c>
      <c r="EN41" s="18">
        <f>'Total Saturday Boardings'!EN41/'Service Days per Month'!EN$5</f>
        <v>285.39999999999998</v>
      </c>
      <c r="EO41" s="18">
        <f>'Total Saturday Boardings'!EO41/'Service Days per Month'!EO$5</f>
        <v>198</v>
      </c>
      <c r="EP41" s="18">
        <f>'Total Saturday Boardings'!EP41/'Service Days per Month'!EP$5</f>
        <v>191.25</v>
      </c>
      <c r="EQ41" s="18">
        <f>'Total Saturday Boardings'!EQ41/'Service Days per Month'!EQ$5</f>
        <v>111.8</v>
      </c>
      <c r="ER41" s="18">
        <f>'Total Saturday Boardings'!ER41/'Service Days per Month'!ER$5</f>
        <v>195</v>
      </c>
      <c r="ES41" s="18">
        <f>'Total Saturday Boardings'!ES41/'Service Days per Month'!ES$5</f>
        <v>199.5</v>
      </c>
      <c r="ET41" s="18">
        <f>'Total Saturday Boardings'!ET41/'Service Days per Month'!ET$5</f>
        <v>220.25</v>
      </c>
      <c r="EU41" s="18">
        <f>'Total Saturday Boardings'!EU41/'Service Days per Month'!EU$5</f>
        <v>176.8</v>
      </c>
      <c r="EV41" s="19">
        <f>'Total Saturday Boardings'!EV41/'Service Days per Month'!EV$5</f>
        <v>192.75</v>
      </c>
      <c r="EW41" s="17">
        <f>'Total Saturday Boardings'!EW41/'Service Days per Month'!EW$5</f>
        <v>158.4</v>
      </c>
      <c r="EX41" s="18">
        <f>'Total Saturday Boardings'!EX41/'Service Days per Month'!EX$5</f>
        <v>175.25</v>
      </c>
      <c r="EY41" s="18">
        <f>'Total Saturday Boardings'!EY41/'Service Days per Month'!EY$5</f>
        <v>187</v>
      </c>
      <c r="EZ41" s="18">
        <f>'Total Saturday Boardings'!EZ41/'Service Days per Month'!EZ$5</f>
        <v>210.6</v>
      </c>
      <c r="FA41" s="18">
        <f>'Total Saturday Boardings'!FA41/'Service Days per Month'!FA$5</f>
        <v>227.75</v>
      </c>
      <c r="FB41" s="18">
        <f>'Total Saturday Boardings'!FB41/'Service Days per Month'!FB$5</f>
        <v>206.75</v>
      </c>
      <c r="FC41" s="18">
        <f>'Total Saturday Boardings'!FC41/'Service Days per Month'!FC$5</f>
        <v>186.4</v>
      </c>
      <c r="FD41" s="18">
        <f>'Total Saturday Boardings'!FD41/'Service Days per Month'!FD$5</f>
        <v>243.25</v>
      </c>
      <c r="FE41" s="18">
        <f>'Total Saturday Boardings'!FE41/'Service Days per Month'!FE$5</f>
        <v>240.5</v>
      </c>
      <c r="FF41" s="18">
        <f>'Total Saturday Boardings'!FF41/'Service Days per Month'!FF$5</f>
        <v>282.60000000000002</v>
      </c>
      <c r="FG41" s="18">
        <f>'Total Saturday Boardings'!FG41/'Service Days per Month'!FG$5</f>
        <v>249</v>
      </c>
      <c r="FH41" s="19">
        <f>'Total Saturday Boardings'!FH41/'Service Days per Month'!FH$5</f>
        <v>184.5</v>
      </c>
      <c r="FI41" s="17">
        <v>199</v>
      </c>
      <c r="FJ41" s="18">
        <v>235.5</v>
      </c>
      <c r="FK41" s="18">
        <v>256.25</v>
      </c>
      <c r="FL41" s="18">
        <v>229.6</v>
      </c>
      <c r="FM41" s="18">
        <v>185.6</v>
      </c>
      <c r="FN41" s="18">
        <v>220.8</v>
      </c>
      <c r="FO41" s="18">
        <v>204.6</v>
      </c>
      <c r="FP41" s="18">
        <v>263.75</v>
      </c>
      <c r="FQ41" s="18">
        <v>269.25</v>
      </c>
      <c r="FR41" s="18">
        <f>'Total Saturday Boardings'!FR41/5</f>
        <v>252.2</v>
      </c>
      <c r="FS41" s="18">
        <f>'Total Saturday Boardings'!FS41/4</f>
        <v>253</v>
      </c>
      <c r="FT41" s="19">
        <f>'Total Saturday Boardings'!FT41/4</f>
        <v>229.5</v>
      </c>
      <c r="FU41" s="17">
        <f>'Total Saturday Boardings'!FU41/5</f>
        <v>213.4</v>
      </c>
      <c r="FV41" s="18">
        <f>'Total Saturday Boardings'!FV41/4</f>
        <v>211.25</v>
      </c>
      <c r="FW41" s="18">
        <f>'Total Saturday Boardings'!FW41/5</f>
        <v>226.8</v>
      </c>
      <c r="FX41" s="18">
        <f>'Total Saturday Boardings'!FX41/4</f>
        <v>255.5</v>
      </c>
      <c r="FY41" s="18">
        <f>'Total Saturday Boardings'!FY41/4</f>
        <v>242.25</v>
      </c>
      <c r="FZ41" s="18">
        <f>'Total Saturday Boardings'!FZ41/5</f>
        <v>237.2</v>
      </c>
      <c r="GA41" s="18">
        <f>'Total Saturday Boardings'!GA41/4</f>
        <v>252.75</v>
      </c>
      <c r="GB41" s="18">
        <f>'Total Saturday Boardings'!GB41/4</f>
        <v>296</v>
      </c>
      <c r="GC41" s="18">
        <f>'Total Saturday Boardings'!GC41/5</f>
        <v>270.2</v>
      </c>
      <c r="GD41" s="18">
        <f>'Total Saturday Boardings'!GD41/4</f>
        <v>294</v>
      </c>
      <c r="GE41" s="18">
        <f>'Total Saturday Boardings'!GE41/4</f>
        <v>238.75</v>
      </c>
      <c r="GF41" s="18">
        <f>'Total Saturday Boardings'!GF41/5</f>
        <v>220.2</v>
      </c>
      <c r="GG41" s="18">
        <f>'Total Saturday Boardings'!GG41/4</f>
        <v>217.5</v>
      </c>
      <c r="GH41" s="18">
        <f>'Total Saturday Boardings'!GH41/5</f>
        <v>291.8</v>
      </c>
      <c r="GI41" s="18">
        <f>'Total Saturday Boardings'!GI41/4</f>
        <v>322.5</v>
      </c>
      <c r="GJ41" s="18">
        <f>'Total Saturday Boardings'!GJ41/4</f>
        <v>267.25</v>
      </c>
      <c r="GK41" s="18">
        <f>'Total Saturday Boardings'!GK41/5</f>
        <v>306.39999999999998</v>
      </c>
      <c r="GL41" s="18">
        <f>'Total Saturday Boardings'!GL41/4</f>
        <v>256</v>
      </c>
    </row>
    <row r="42" spans="1:194" x14ac:dyDescent="0.3">
      <c r="A42" s="3" t="s">
        <v>24</v>
      </c>
      <c r="B42" s="17"/>
      <c r="C42" s="18">
        <f>'Total Saturday Boardings'!C42/'Service Days per Month'!C$5</f>
        <v>621.6</v>
      </c>
      <c r="D42" s="18">
        <f>'Total Saturday Boardings'!D42/'Service Days per Month'!D$5</f>
        <v>864</v>
      </c>
      <c r="E42" s="18">
        <f>'Total Saturday Boardings'!E42/'Service Days per Month'!E$5</f>
        <v>769.75</v>
      </c>
      <c r="F42" s="18">
        <f>'Total Saturday Boardings'!F42/'Service Days per Month'!F$5</f>
        <v>1024.5</v>
      </c>
      <c r="G42" s="18">
        <f>'Total Saturday Boardings'!G42/'Service Days per Month'!G$5</f>
        <v>481.2</v>
      </c>
      <c r="H42" s="19">
        <f>'Total Saturday Boardings'!H42/'Service Days per Month'!H$5</f>
        <v>574</v>
      </c>
      <c r="I42" s="17">
        <f>'Total Saturday Boardings'!I42/'Service Days per Month'!I$5</f>
        <v>889.33333333333337</v>
      </c>
      <c r="J42" s="18">
        <f>'Total Saturday Boardings'!J42/'Service Days per Month'!J$5</f>
        <v>378.6</v>
      </c>
      <c r="K42" s="18">
        <f>'Total Saturday Boardings'!K42/'Service Days per Month'!K$5</f>
        <v>1068.5</v>
      </c>
      <c r="L42" s="18">
        <f>'Total Saturday Boardings'!L42/'Service Days per Month'!L$5</f>
        <v>853.4</v>
      </c>
      <c r="M42" s="18">
        <f>'Total Saturday Boardings'!M42/'Service Days per Month'!M$5</f>
        <v>1014.5</v>
      </c>
      <c r="N42" s="18">
        <f>'Total Saturday Boardings'!N42/'Service Days per Month'!N$5</f>
        <v>797</v>
      </c>
      <c r="O42" s="62">
        <f>'Total Saturday Boardings'!O42/'Service Days per Month'!O$5</f>
        <v>655.20000000000005</v>
      </c>
      <c r="P42" s="62">
        <f>'Total Saturday Boardings'!P42/'Service Days per Month'!P$5</f>
        <v>665.75</v>
      </c>
      <c r="Q42" s="62">
        <f>'Total Saturday Boardings'!Q42/'Service Days per Month'!Q$5</f>
        <v>872.5</v>
      </c>
      <c r="R42" s="62">
        <f>'Total Saturday Boardings'!R42/'Service Days per Month'!R$5</f>
        <v>1004.5</v>
      </c>
      <c r="S42" s="62">
        <f>'Total Saturday Boardings'!S42/'Service Days per Month'!S$5</f>
        <v>574</v>
      </c>
      <c r="T42" s="63">
        <f>'Total Saturday Boardings'!T42/'Service Days per Month'!T$5</f>
        <v>591.75</v>
      </c>
      <c r="U42" s="64">
        <f>'Total Saturday Boardings'!U42/'Service Days per Month'!U$5</f>
        <v>587</v>
      </c>
      <c r="V42" s="62">
        <f>'Total Saturday Boardings'!V42/'Service Days per Month'!V$5</f>
        <v>634</v>
      </c>
      <c r="W42" s="62">
        <f>'Total Saturday Boardings'!W42/'Service Days per Month'!W$5</f>
        <v>1294</v>
      </c>
      <c r="X42" s="62">
        <f>'Total Saturday Boardings'!X42/'Service Days per Month'!X$5</f>
        <v>683.2</v>
      </c>
      <c r="Y42" s="62">
        <f>'Total Saturday Boardings'!Y42/'Service Days per Month'!Y$5</f>
        <v>1049.25</v>
      </c>
      <c r="Z42" s="62">
        <f>'Total Saturday Boardings'!Z42/'Service Days per Month'!Z$5</f>
        <v>795</v>
      </c>
      <c r="AA42" s="18">
        <f>'Total Saturday Boardings'!AA42/'Service Days per Month'!AA$5</f>
        <v>646.6</v>
      </c>
      <c r="AB42" s="18">
        <f>'Total Saturday Boardings'!AB42/'Service Days per Month'!AB$5</f>
        <v>718.75</v>
      </c>
      <c r="AC42" s="18">
        <f>'Total Saturday Boardings'!AC42/'Service Days per Month'!AC$5</f>
        <v>1076</v>
      </c>
      <c r="AD42" s="18">
        <f>'Total Saturday Boardings'!AD42/'Service Days per Month'!AD$5</f>
        <v>1072.4000000000001</v>
      </c>
      <c r="AE42" s="18">
        <f>'Total Saturday Boardings'!AE42/'Service Days per Month'!AE$5</f>
        <v>736.25</v>
      </c>
      <c r="AF42" s="19">
        <f>'Total Saturday Boardings'!AF42/'Service Days per Month'!AF$5</f>
        <v>618.75</v>
      </c>
      <c r="AG42" s="17">
        <f>'Total Saturday Boardings'!AG42/'Service Days per Month'!AG$5</f>
        <v>597.6</v>
      </c>
      <c r="AH42" s="18">
        <f>'Total Saturday Boardings'!AH42/'Service Days per Month'!AH$5</f>
        <v>809.75</v>
      </c>
      <c r="AI42" s="18">
        <f>'Total Saturday Boardings'!AI42/'Service Days per Month'!AI$5</f>
        <v>1043</v>
      </c>
      <c r="AJ42" s="18">
        <f>'Total Saturday Boardings'!AJ42/'Service Days per Month'!AJ$5</f>
        <v>1254</v>
      </c>
      <c r="AK42" s="18">
        <f>'Total Saturday Boardings'!AK42/'Service Days per Month'!AK$5</f>
        <v>992.5</v>
      </c>
      <c r="AL42" s="18">
        <f>'Total Saturday Boardings'!AL42/'Service Days per Month'!AL$5</f>
        <v>1236</v>
      </c>
      <c r="AM42" s="18">
        <f>'Total Saturday Boardings'!AM42/'Service Days per Month'!AM$5</f>
        <v>853.25</v>
      </c>
      <c r="AN42" s="18">
        <f>'Total Saturday Boardings'!AN42/'Service Days per Month'!AN$5</f>
        <v>917.5</v>
      </c>
      <c r="AO42" s="18">
        <f>'Total Saturday Boardings'!AO42/'Service Days per Month'!AO$5</f>
        <v>918</v>
      </c>
      <c r="AP42" s="18">
        <f>'Total Saturday Boardings'!AP42/'Service Days per Month'!AP$5</f>
        <v>1264</v>
      </c>
      <c r="AQ42" s="18">
        <f>'Total Saturday Boardings'!AQ42/'Service Days per Month'!AQ$5</f>
        <v>888.25</v>
      </c>
      <c r="AR42" s="19">
        <f>'Total Saturday Boardings'!AR42/'Service Days per Month'!AR$5</f>
        <v>773.6</v>
      </c>
      <c r="AS42" s="17">
        <f>'Total Saturday Boardings'!AS42/'Service Days per Month'!AS$5</f>
        <v>757.75</v>
      </c>
      <c r="AT42" s="18">
        <f>'Total Saturday Boardings'!AT42/'Service Days per Month'!AT$5</f>
        <v>691.25</v>
      </c>
      <c r="AU42" s="18">
        <f>'Total Saturday Boardings'!AU42/'Service Days per Month'!AU$5</f>
        <v>1114.4000000000001</v>
      </c>
      <c r="AV42" s="18">
        <f>'Total Saturday Boardings'!AV42/'Service Days per Month'!AV$5</f>
        <v>1274.75</v>
      </c>
      <c r="AW42" s="18">
        <f>'Total Saturday Boardings'!AW42/'Service Days per Month'!AW$5</f>
        <v>967.5</v>
      </c>
      <c r="AX42" s="18">
        <f>'Total Saturday Boardings'!AX42/'Service Days per Month'!AX$5</f>
        <v>919.6</v>
      </c>
      <c r="AY42" s="18">
        <f>'Total Saturday Boardings'!AY42/'Service Days per Month'!AY$5</f>
        <v>824.5</v>
      </c>
      <c r="AZ42" s="18">
        <f>'Total Saturday Boardings'!AZ42/'Service Days per Month'!AZ$5</f>
        <v>838.5</v>
      </c>
      <c r="BA42" s="18">
        <f>'Total Saturday Boardings'!BA42/'Service Days per Month'!BA$5</f>
        <v>857.6</v>
      </c>
      <c r="BB42" s="18">
        <f>'Total Saturday Boardings'!BB42/'Service Days per Month'!BB$5</f>
        <v>1349.5</v>
      </c>
      <c r="BC42" s="18">
        <f>'Total Saturday Boardings'!BC42/'Service Days per Month'!BC$5</f>
        <v>816.5</v>
      </c>
      <c r="BD42" s="19">
        <f>'Total Saturday Boardings'!BD42/'Service Days per Month'!BD$5</f>
        <v>596.6</v>
      </c>
      <c r="BE42" s="17">
        <f>'Total Saturday Boardings'!BE42/'Service Days per Month'!BE$5</f>
        <v>626</v>
      </c>
      <c r="BF42" s="18">
        <f>'Total Saturday Boardings'!BF42/'Service Days per Month'!BF$5</f>
        <v>671.6</v>
      </c>
      <c r="BG42" s="18">
        <f>'Total Saturday Boardings'!BG42/'Service Days per Month'!BG$5</f>
        <v>1405.25</v>
      </c>
      <c r="BH42" s="18">
        <f>'Total Saturday Boardings'!BH42/'Service Days per Month'!BH$5</f>
        <v>1319.75</v>
      </c>
      <c r="BI42" s="18">
        <f>'Total Saturday Boardings'!BI42/'Service Days per Month'!BI$5</f>
        <v>1383.0578332100201</v>
      </c>
      <c r="BJ42" s="18">
        <f>'Total Saturday Boardings'!BJ42/'Service Days per Month'!BJ$5</f>
        <v>1628.5</v>
      </c>
      <c r="BK42" s="18">
        <f>'Total Saturday Boardings'!BK42/'Service Days per Month'!BK$5</f>
        <v>920</v>
      </c>
      <c r="BL42" s="18">
        <f>'Total Saturday Boardings'!BL42/'Service Days per Month'!BL$5</f>
        <v>816.25</v>
      </c>
      <c r="BM42" s="18">
        <f>'Total Saturday Boardings'!BM42/'Service Days per Month'!BM$5</f>
        <v>916.6</v>
      </c>
      <c r="BN42" s="18">
        <f>'Total Saturday Boardings'!BN42/'Service Days per Month'!BN$5</f>
        <v>1142.5</v>
      </c>
      <c r="BO42" s="18">
        <f>'Total Saturday Boardings'!BO42/'Service Days per Month'!BO$5</f>
        <v>658.4</v>
      </c>
      <c r="BP42" s="19">
        <f>'Total Saturday Boardings'!BP42/'Service Days per Month'!BP$5</f>
        <v>790</v>
      </c>
      <c r="BQ42" s="17">
        <f>'Total Saturday Boardings'!BQ42/'Service Days per Month'!BQ$5</f>
        <v>604</v>
      </c>
      <c r="BR42" s="18">
        <f>'Total Saturday Boardings'!BR42/'Service Days per Month'!BR$5</f>
        <v>723.6</v>
      </c>
      <c r="BS42" s="18">
        <f>'Total Saturday Boardings'!BS42/'Service Days per Month'!BS$5</f>
        <v>633.25</v>
      </c>
      <c r="BT42" s="18">
        <f>'Total Saturday Boardings'!BT42/'Service Days per Month'!BT$5</f>
        <v>1240.25</v>
      </c>
      <c r="BU42" s="18">
        <f>'Total Saturday Boardings'!BU42/'Service Days per Month'!BU$5</f>
        <v>1657.2</v>
      </c>
      <c r="BV42" s="18">
        <f>'Total Saturday Boardings'!BV42/'Service Days per Month'!BV$5</f>
        <v>801.25</v>
      </c>
      <c r="BW42" s="18">
        <f>'Total Saturday Boardings'!BW42/'Service Days per Month'!BW$5</f>
        <v>2338.8000000000002</v>
      </c>
      <c r="BX42" s="18">
        <f>'Total Saturday Boardings'!BX42/'Service Days per Month'!BX$5</f>
        <v>819</v>
      </c>
      <c r="BY42" s="18">
        <f>'Total Saturday Boardings'!BY42/'Service Days per Month'!BY$5</f>
        <v>981.25</v>
      </c>
      <c r="BZ42" s="18">
        <f>'Total Saturday Boardings'!BZ42/'Service Days per Month'!BZ$5</f>
        <v>1168.75</v>
      </c>
      <c r="CA42" s="18">
        <f>'Total Saturday Boardings'!CA42/'Service Days per Month'!CA$5</f>
        <v>865.4</v>
      </c>
      <c r="CB42" s="19">
        <f>'Total Saturday Boardings'!CB42/'Service Days per Month'!CB$5</f>
        <v>599.5</v>
      </c>
      <c r="CC42" s="20">
        <f>'Total Saturday Boardings'!CC42/'Service Days per Month'!CC$5</f>
        <v>923.5</v>
      </c>
      <c r="CD42" s="18">
        <f>'Total Saturday Boardings'!CD42/'Service Days per Month'!CD$5</f>
        <v>652.20000000000005</v>
      </c>
      <c r="CE42" s="18">
        <f>'Total Saturday Boardings'!CE42/'Service Days per Month'!CE$5</f>
        <v>1338.5</v>
      </c>
      <c r="CF42" s="18">
        <f>'Total Saturday Boardings'!CF42/'Service Days per Month'!CF$5</f>
        <v>1291.4000000000001</v>
      </c>
      <c r="CG42" s="18">
        <f>'Total Saturday Boardings'!CG42/'Service Days per Month'!CG$5</f>
        <v>1517</v>
      </c>
      <c r="CH42" s="18">
        <f>'Total Saturday Boardings'!CH42/'Service Days per Month'!CH$5</f>
        <v>812.5</v>
      </c>
      <c r="CI42" s="18">
        <f>'Total Saturday Boardings'!CI42/'Service Days per Month'!CI$5</f>
        <v>955.8</v>
      </c>
      <c r="CJ42" s="18">
        <f>'Total Saturday Boardings'!CJ42/'Service Days per Month'!CJ$5</f>
        <v>838.25</v>
      </c>
      <c r="CK42" s="18">
        <f>'Total Saturday Boardings'!CK42/'Service Days per Month'!CK$5</f>
        <v>833.25</v>
      </c>
      <c r="CL42" s="18">
        <f>'Total Saturday Boardings'!CL42/'Service Days per Month'!CL$5</f>
        <v>1140.8</v>
      </c>
      <c r="CM42" s="18">
        <f>'Total Saturday Boardings'!CM42/'Service Days per Month'!CM$5</f>
        <v>853.5</v>
      </c>
      <c r="CN42" s="21">
        <f>'Total Saturday Boardings'!CN42/'Service Days per Month'!CN$5</f>
        <v>780.25</v>
      </c>
      <c r="CO42" s="17">
        <f>'Total Saturday Boardings'!CO42/'Service Days per Month'!CO$5</f>
        <v>592</v>
      </c>
      <c r="CP42" s="18">
        <f>'Total Saturday Boardings'!CP42/'Service Days per Month'!CP$5</f>
        <v>709</v>
      </c>
      <c r="CQ42" s="18">
        <f>'Total Saturday Boardings'!CQ42/'Service Days per Month'!CQ$5</f>
        <v>1344</v>
      </c>
      <c r="CR42" s="18">
        <f>'Total Saturday Boardings'!CR42/'Service Days per Month'!CR$5</f>
        <v>1170.2</v>
      </c>
      <c r="CS42" s="18">
        <f>'Total Saturday Boardings'!CS42/'Service Days per Month'!CS$5</f>
        <v>713.75</v>
      </c>
      <c r="CT42" s="18">
        <f>'Total Saturday Boardings'!CT42/'Service Days per Month'!CT$5</f>
        <v>782.5</v>
      </c>
      <c r="CU42" s="18">
        <f>'Total Saturday Boardings'!CU42/'Service Days per Month'!CU$5</f>
        <v>786.5</v>
      </c>
      <c r="CV42" s="18">
        <f>'Total Saturday Boardings'!CV42/'Service Days per Month'!CV$5</f>
        <v>742.25</v>
      </c>
      <c r="CW42" s="18">
        <f>'Total Saturday Boardings'!CW42/'Service Days per Month'!CW$5</f>
        <v>804.5</v>
      </c>
      <c r="CX42" s="18">
        <f>'Total Saturday Boardings'!CX42/'Service Days per Month'!CX$5</f>
        <v>1298.8</v>
      </c>
      <c r="CY42" s="18">
        <f>'Total Saturday Boardings'!CY42/'Service Days per Month'!CY$5</f>
        <v>824.25</v>
      </c>
      <c r="CZ42" s="19">
        <f>'Total Saturday Boardings'!CZ42/'Service Days per Month'!CZ$5</f>
        <v>673.5</v>
      </c>
      <c r="DA42" s="17">
        <f>'Total Saturday Boardings'!DA42/'Service Days per Month'!DA$5</f>
        <v>664.2</v>
      </c>
      <c r="DB42" s="18">
        <f>'Total Saturday Boardings'!DB42/'Service Days per Month'!DB$5</f>
        <v>693.5</v>
      </c>
      <c r="DC42" s="18">
        <f>'Total Saturday Boardings'!DC42/'Service Days per Month'!DC$5</f>
        <v>994.6</v>
      </c>
      <c r="DD42" s="18">
        <f>'Total Saturday Boardings'!DD42/'Service Days per Month'!DD$5</f>
        <v>1237.75</v>
      </c>
      <c r="DE42" s="18">
        <f>'Total Saturday Boardings'!DE42/'Service Days per Month'!DE$5</f>
        <v>1123.25</v>
      </c>
      <c r="DF42" s="18">
        <f>'Total Saturday Boardings'!DF42/'Service Days per Month'!DF$5</f>
        <v>702</v>
      </c>
      <c r="DG42" s="18">
        <f>'Total Saturday Boardings'!DG42/'Service Days per Month'!DG$5</f>
        <v>711.5</v>
      </c>
      <c r="DH42" s="18">
        <f>'Total Saturday Boardings'!DH42/'Service Days per Month'!DH$5</f>
        <v>740</v>
      </c>
      <c r="DI42" s="18">
        <f>'Total Saturday Boardings'!DI42/'Service Days per Month'!DI$5</f>
        <v>866.8</v>
      </c>
      <c r="DJ42" s="18">
        <f>'Total Saturday Boardings'!DJ42/'Service Days per Month'!DJ$5</f>
        <v>947</v>
      </c>
      <c r="DK42" s="18">
        <f>'Total Saturday Boardings'!DK42/'Service Days per Month'!DK$5</f>
        <v>688.25</v>
      </c>
      <c r="DL42" s="19">
        <f>'Total Saturday Boardings'!DL42/'Service Days per Month'!DL$5</f>
        <v>622.6</v>
      </c>
      <c r="DM42" s="17">
        <f>'Total Saturday Boardings'!DM42/'Service Days per Month'!DM$5</f>
        <v>531.75</v>
      </c>
      <c r="DN42" s="18">
        <f>'Total Saturday Boardings'!DN42/'Service Days per Month'!DN$5</f>
        <v>585</v>
      </c>
      <c r="DO42" s="18">
        <f>'Total Saturday Boardings'!DO42/'Service Days per Month'!DO$5</f>
        <v>1053.4000000000001</v>
      </c>
      <c r="DP42" s="18">
        <f>'Total Saturday Boardings'!DP42/'Service Days per Month'!DP$5</f>
        <v>626.25</v>
      </c>
      <c r="DQ42" s="18">
        <f>'Total Saturday Boardings'!DQ42/'Service Days per Month'!DQ$5</f>
        <v>1035.25</v>
      </c>
      <c r="DR42" s="18">
        <f>'Total Saturday Boardings'!DR42/'Service Days per Month'!DR$5</f>
        <v>722</v>
      </c>
      <c r="DS42" s="18">
        <f>'Total Saturday Boardings'!DS42/'Service Days per Month'!DS$5</f>
        <v>673.5</v>
      </c>
      <c r="DT42" s="18">
        <f>'Total Saturday Boardings'!DT42/'Service Days per Month'!DT$5</f>
        <v>567.5</v>
      </c>
      <c r="DU42" s="18">
        <f>'Total Saturday Boardings'!DU42/'Service Days per Month'!DU$5</f>
        <v>788.2</v>
      </c>
      <c r="DV42" s="18">
        <f>'Total Saturday Boardings'!DV42/'Service Days per Month'!DV$5</f>
        <v>970.5</v>
      </c>
      <c r="DW42" s="18">
        <f>'Total Saturday Boardings'!DW42/'Service Days per Month'!DW$5</f>
        <v>699.5</v>
      </c>
      <c r="DX42" s="19">
        <f>'Total Saturday Boardings'!DX42/'Service Days per Month'!DX$5</f>
        <v>512</v>
      </c>
      <c r="DY42" s="17">
        <f>'Total Saturday Boardings'!DY42/'Service Days per Month'!DY$5</f>
        <v>459</v>
      </c>
      <c r="DZ42" s="18">
        <f>'Total Saturday Boardings'!DZ42/'Service Days per Month'!DZ$5</f>
        <v>546.20000000000005</v>
      </c>
      <c r="EA42" s="18">
        <f>'Total Saturday Boardings'!EA42/'Service Days per Month'!EA$5</f>
        <v>761.25</v>
      </c>
      <c r="EB42" s="18">
        <f>'Total Saturday Boardings'!EB42/'Service Days per Month'!EB$5</f>
        <v>813.5</v>
      </c>
      <c r="EC42" s="18">
        <f>'Total Saturday Boardings'!EC42/'Service Days per Month'!EC$5</f>
        <v>1098.5999999999999</v>
      </c>
      <c r="ED42" s="18">
        <f>'Total Saturday Boardings'!ED42/'Service Days per Month'!ED$5</f>
        <v>659.25</v>
      </c>
      <c r="EE42" s="18">
        <f>'Total Saturday Boardings'!EE42/'Service Days per Month'!EE$5</f>
        <v>555</v>
      </c>
      <c r="EF42" s="18">
        <f>'Total Saturday Boardings'!EF42/'Service Days per Month'!EF$5</f>
        <v>568.20000000000005</v>
      </c>
      <c r="EG42" s="18">
        <f>'Total Saturday Boardings'!EG42/'Service Days per Month'!EG$5</f>
        <v>446.5</v>
      </c>
      <c r="EH42" s="18">
        <f>'Total Saturday Boardings'!EH42/'Service Days per Month'!EH$5</f>
        <v>312</v>
      </c>
      <c r="EI42" s="18">
        <f>'Total Saturday Boardings'!EI42/'Service Days per Month'!EI$5</f>
        <v>284.39999999999998</v>
      </c>
      <c r="EJ42" s="19">
        <f>'Total Saturday Boardings'!EJ42/'Service Days per Month'!EJ$5</f>
        <v>264</v>
      </c>
      <c r="EK42" s="17">
        <f>'Total Saturday Boardings'!EK42/'Service Days per Month'!EK$5</f>
        <v>226</v>
      </c>
      <c r="EL42" s="18">
        <f>'Total Saturday Boardings'!EL42/'Service Days per Month'!EL$5</f>
        <v>287.2</v>
      </c>
      <c r="EM42" s="18">
        <f>'Total Saturday Boardings'!EM42/'Service Days per Month'!EM$5</f>
        <v>299.25</v>
      </c>
      <c r="EN42" s="18">
        <f>'Total Saturday Boardings'!EN42/'Service Days per Month'!EN$5</f>
        <v>365.6</v>
      </c>
      <c r="EO42" s="18">
        <f>'Total Saturday Boardings'!EO42/'Service Days per Month'!EO$5</f>
        <v>350.25</v>
      </c>
      <c r="EP42" s="18">
        <f>'Total Saturday Boardings'!EP42/'Service Days per Month'!EP$5</f>
        <v>245.75</v>
      </c>
      <c r="EQ42" s="18">
        <f>'Total Saturday Boardings'!EQ42/'Service Days per Month'!EQ$5</f>
        <v>149</v>
      </c>
      <c r="ER42" s="18">
        <f>'Total Saturday Boardings'!ER42/'Service Days per Month'!ER$5</f>
        <v>284.75</v>
      </c>
      <c r="ES42" s="18">
        <f>'Total Saturday Boardings'!ES42/'Service Days per Month'!ES$5</f>
        <v>288</v>
      </c>
      <c r="ET42" s="18">
        <f>'Total Saturday Boardings'!ET42/'Service Days per Month'!ET$5</f>
        <v>303</v>
      </c>
      <c r="EU42" s="18">
        <f>'Total Saturday Boardings'!EU42/'Service Days per Month'!EU$5</f>
        <v>295</v>
      </c>
      <c r="EV42" s="19">
        <f>'Total Saturday Boardings'!EV42/'Service Days per Month'!EV$5</f>
        <v>295.25</v>
      </c>
      <c r="EW42" s="17">
        <f>'Total Saturday Boardings'!EW42/'Service Days per Month'!EW$5</f>
        <v>280.2</v>
      </c>
      <c r="EX42" s="18">
        <f>'Total Saturday Boardings'!EX42/'Service Days per Month'!EX$5</f>
        <v>266.5</v>
      </c>
      <c r="EY42" s="18">
        <f>'Total Saturday Boardings'!EY42/'Service Days per Month'!EY$5</f>
        <v>515</v>
      </c>
      <c r="EZ42" s="18">
        <f>'Total Saturday Boardings'!EZ42/'Service Days per Month'!EZ$5</f>
        <v>452.2</v>
      </c>
      <c r="FA42" s="18">
        <f>'Total Saturday Boardings'!FA42/'Service Days per Month'!FA$5</f>
        <v>624.5</v>
      </c>
      <c r="FB42" s="18">
        <f>'Total Saturday Boardings'!FB42/'Service Days per Month'!FB$5</f>
        <v>379.25</v>
      </c>
      <c r="FC42" s="18">
        <f>'Total Saturday Boardings'!FC42/'Service Days per Month'!FC$5</f>
        <v>269.60000000000002</v>
      </c>
      <c r="FD42" s="18">
        <f>'Total Saturday Boardings'!FD42/'Service Days per Month'!FD$5</f>
        <v>392.5</v>
      </c>
      <c r="FE42" s="18">
        <f>'Total Saturday Boardings'!FE42/'Service Days per Month'!FE$5</f>
        <v>472.75</v>
      </c>
      <c r="FF42" s="18">
        <f>'Total Saturday Boardings'!FF42/'Service Days per Month'!FF$5</f>
        <v>525</v>
      </c>
      <c r="FG42" s="18">
        <f>'Total Saturday Boardings'!FG42/'Service Days per Month'!FG$5</f>
        <v>439.5</v>
      </c>
      <c r="FH42" s="19">
        <f>'Total Saturday Boardings'!FH42/'Service Days per Month'!FH$5</f>
        <v>247</v>
      </c>
      <c r="FI42" s="17">
        <v>255.8</v>
      </c>
      <c r="FJ42" s="18">
        <v>324.5</v>
      </c>
      <c r="FK42" s="18">
        <v>554.75</v>
      </c>
      <c r="FL42" s="18">
        <v>422.4</v>
      </c>
      <c r="FM42" s="18">
        <v>466.8</v>
      </c>
      <c r="FN42" s="18">
        <v>338.6</v>
      </c>
      <c r="FO42" s="18">
        <v>286.60000000000002</v>
      </c>
      <c r="FP42" s="18">
        <v>694.5</v>
      </c>
      <c r="FQ42" s="18">
        <v>468</v>
      </c>
      <c r="FR42" s="18">
        <f>'Total Saturday Boardings'!FR42/5</f>
        <v>552.6</v>
      </c>
      <c r="FS42" s="18">
        <f>'Total Saturday Boardings'!FS42/4</f>
        <v>428.25</v>
      </c>
      <c r="FT42" s="19">
        <f>'Total Saturday Boardings'!FT42/4</f>
        <v>428.25</v>
      </c>
      <c r="FU42" s="17">
        <f>'Total Saturday Boardings'!FU42/5</f>
        <v>321.2</v>
      </c>
      <c r="FV42" s="18">
        <f>'Total Saturday Boardings'!FV42/4</f>
        <v>370</v>
      </c>
      <c r="FW42" s="18">
        <f>'Total Saturday Boardings'!FW42/5</f>
        <v>621.79999999999995</v>
      </c>
      <c r="FX42" s="18">
        <f>'Total Saturday Boardings'!FX42/4</f>
        <v>679.75</v>
      </c>
      <c r="FY42" s="18">
        <f>'Total Saturday Boardings'!FY42/4</f>
        <v>749</v>
      </c>
      <c r="FZ42" s="18">
        <f>'Total Saturday Boardings'!FZ42/5</f>
        <v>449</v>
      </c>
      <c r="GA42" s="18">
        <f>'Total Saturday Boardings'!GA42/4</f>
        <v>467.75</v>
      </c>
      <c r="GB42" s="18">
        <f>'Total Saturday Boardings'!GB42/4</f>
        <v>505</v>
      </c>
      <c r="GC42" s="18">
        <f>'Total Saturday Boardings'!GC42/5</f>
        <v>554</v>
      </c>
      <c r="GD42" s="18">
        <f>'Total Saturday Boardings'!GD42/4</f>
        <v>630</v>
      </c>
      <c r="GE42" s="18">
        <f>'Total Saturday Boardings'!GE42/4</f>
        <v>490.75</v>
      </c>
      <c r="GF42" s="18">
        <f>'Total Saturday Boardings'!GF42/5</f>
        <v>361</v>
      </c>
      <c r="GG42" s="18">
        <f>'Total Saturday Boardings'!GG42/4</f>
        <v>376.25</v>
      </c>
      <c r="GH42" s="18">
        <f>'Total Saturday Boardings'!GH42/5</f>
        <v>525.79999999999995</v>
      </c>
      <c r="GI42" s="18">
        <f>'Total Saturday Boardings'!GI42/4</f>
        <v>567.75</v>
      </c>
      <c r="GJ42" s="18">
        <f>'Total Saturday Boardings'!GJ42/4</f>
        <v>556.75</v>
      </c>
      <c r="GK42" s="18">
        <f>'Total Saturday Boardings'!GK42/5</f>
        <v>701</v>
      </c>
      <c r="GL42" s="18">
        <f>'Total Saturday Boardings'!GL42/4</f>
        <v>438.5</v>
      </c>
    </row>
    <row r="43" spans="1:194" ht="15" thickBot="1" x14ac:dyDescent="0.35">
      <c r="A43" s="9" t="s">
        <v>25</v>
      </c>
      <c r="B43" s="22"/>
      <c r="C43" s="23">
        <f>'Total Saturday Boardings'!C43/'Service Days per Month'!C$5</f>
        <v>5021</v>
      </c>
      <c r="D43" s="23">
        <f>'Total Saturday Boardings'!D43/'Service Days per Month'!D$5</f>
        <v>4133.75</v>
      </c>
      <c r="E43" s="23">
        <f>'Total Saturday Boardings'!E43/'Service Days per Month'!E$5</f>
        <v>3691.25</v>
      </c>
      <c r="F43" s="23">
        <f>'Total Saturday Boardings'!F43/'Service Days per Month'!F$5</f>
        <v>4237.75</v>
      </c>
      <c r="G43" s="23">
        <f>'Total Saturday Boardings'!G43/'Service Days per Month'!G$5</f>
        <v>2491.6</v>
      </c>
      <c r="H43" s="24">
        <f>'Total Saturday Boardings'!H43/'Service Days per Month'!H$5</f>
        <v>2392</v>
      </c>
      <c r="I43" s="22">
        <f>'Total Saturday Boardings'!I43/'Service Days per Month'!I$5</f>
        <v>3113.6666666666665</v>
      </c>
      <c r="J43" s="23">
        <f>'Total Saturday Boardings'!J43/'Service Days per Month'!J$5</f>
        <v>1588</v>
      </c>
      <c r="K43" s="23">
        <f>'Total Saturday Boardings'!K43/'Service Days per Month'!K$5</f>
        <v>3145</v>
      </c>
      <c r="L43" s="23">
        <f>'Total Saturday Boardings'!L43/'Service Days per Month'!L$5</f>
        <v>2571</v>
      </c>
      <c r="M43" s="23">
        <f>'Total Saturday Boardings'!M43/'Service Days per Month'!M$5</f>
        <v>3176.25</v>
      </c>
      <c r="N43" s="23">
        <f>'Total Saturday Boardings'!N43/'Service Days per Month'!N$5</f>
        <v>3028.5</v>
      </c>
      <c r="O43" s="65">
        <f>'Total Saturday Boardings'!O43/'Service Days per Month'!O$5</f>
        <v>2827.2</v>
      </c>
      <c r="P43" s="65">
        <f>'Total Saturday Boardings'!P43/'Service Days per Month'!P$5</f>
        <v>3116</v>
      </c>
      <c r="Q43" s="65">
        <f>'Total Saturday Boardings'!Q43/'Service Days per Month'!Q$5</f>
        <v>3591.25</v>
      </c>
      <c r="R43" s="65">
        <f>'Total Saturday Boardings'!R43/'Service Days per Month'!R$5</f>
        <v>3381.25</v>
      </c>
      <c r="S43" s="65">
        <f>'Total Saturday Boardings'!S43/'Service Days per Month'!S$5</f>
        <v>2334.6</v>
      </c>
      <c r="T43" s="66">
        <f>'Total Saturday Boardings'!T43/'Service Days per Month'!T$5</f>
        <v>2545.75</v>
      </c>
      <c r="U43" s="67">
        <f>'Total Saturday Boardings'!U43/'Service Days per Month'!U$5</f>
        <v>2604</v>
      </c>
      <c r="V43" s="65">
        <f>'Total Saturday Boardings'!V43/'Service Days per Month'!V$5</f>
        <v>2831</v>
      </c>
      <c r="W43" s="65">
        <f>'Total Saturday Boardings'!W43/'Service Days per Month'!W$5</f>
        <v>3768.25</v>
      </c>
      <c r="X43" s="65">
        <f>'Total Saturday Boardings'!X43/'Service Days per Month'!X$5</f>
        <v>2425.8000000000002</v>
      </c>
      <c r="Y43" s="65">
        <f>'Total Saturday Boardings'!Y43/'Service Days per Month'!Y$5</f>
        <v>3056.25</v>
      </c>
      <c r="Z43" s="65">
        <f>'Total Saturday Boardings'!Z43/'Service Days per Month'!Z$5</f>
        <v>3113.3333333333335</v>
      </c>
      <c r="AA43" s="23">
        <f>'Total Saturday Boardings'!AA43/'Service Days per Month'!AA$5</f>
        <v>2594</v>
      </c>
      <c r="AB43" s="23">
        <f>'Total Saturday Boardings'!AB43/'Service Days per Month'!AB$5</f>
        <v>3011</v>
      </c>
      <c r="AC43" s="23">
        <f>'Total Saturday Boardings'!AC43/'Service Days per Month'!AC$5</f>
        <v>3794.75</v>
      </c>
      <c r="AD43" s="23">
        <f>'Total Saturday Boardings'!AD43/'Service Days per Month'!AD$5</f>
        <v>3664.6</v>
      </c>
      <c r="AE43" s="23">
        <f>'Total Saturday Boardings'!AE43/'Service Days per Month'!AE$5</f>
        <v>3095.75</v>
      </c>
      <c r="AF43" s="24">
        <f>'Total Saturday Boardings'!AF43/'Service Days per Month'!AF$5</f>
        <v>2969.75</v>
      </c>
      <c r="AG43" s="22">
        <f>'Total Saturday Boardings'!AG43/'Service Days per Month'!AG$5</f>
        <v>2855.4</v>
      </c>
      <c r="AH43" s="23">
        <f>'Total Saturday Boardings'!AH43/'Service Days per Month'!AH$5</f>
        <v>3140.5</v>
      </c>
      <c r="AI43" s="23">
        <f>'Total Saturday Boardings'!AI43/'Service Days per Month'!AI$5</f>
        <v>3499.25</v>
      </c>
      <c r="AJ43" s="23">
        <f>'Total Saturday Boardings'!AJ43/'Service Days per Month'!AJ$5</f>
        <v>3861</v>
      </c>
      <c r="AK43" s="23">
        <f>'Total Saturday Boardings'!AK43/'Service Days per Month'!AK$5</f>
        <v>3265.25</v>
      </c>
      <c r="AL43" s="23">
        <f>'Total Saturday Boardings'!AL43/'Service Days per Month'!AL$5</f>
        <v>3965.5</v>
      </c>
      <c r="AM43" s="23">
        <f>'Total Saturday Boardings'!AM43/'Service Days per Month'!AM$5</f>
        <v>3593</v>
      </c>
      <c r="AN43" s="23">
        <f>'Total Saturday Boardings'!AN43/'Service Days per Month'!AN$5</f>
        <v>3689</v>
      </c>
      <c r="AO43" s="23">
        <f>'Total Saturday Boardings'!AO43/'Service Days per Month'!AO$5</f>
        <v>3567</v>
      </c>
      <c r="AP43" s="23">
        <f>'Total Saturday Boardings'!AP43/'Service Days per Month'!AP$5</f>
        <v>3865.75</v>
      </c>
      <c r="AQ43" s="23">
        <f>'Total Saturday Boardings'!AQ43/'Service Days per Month'!AQ$5</f>
        <v>3186</v>
      </c>
      <c r="AR43" s="24">
        <f>'Total Saturday Boardings'!AR43/'Service Days per Month'!AR$5</f>
        <v>3058.4</v>
      </c>
      <c r="AS43" s="22">
        <f>'Total Saturday Boardings'!AS43/'Service Days per Month'!AS$5</f>
        <v>2929.5</v>
      </c>
      <c r="AT43" s="23">
        <f>'Total Saturday Boardings'!AT43/'Service Days per Month'!AT$5</f>
        <v>3019.25</v>
      </c>
      <c r="AU43" s="23">
        <f>'Total Saturday Boardings'!AU43/'Service Days per Month'!AU$5</f>
        <v>3417.6</v>
      </c>
      <c r="AV43" s="23">
        <f>'Total Saturday Boardings'!AV43/'Service Days per Month'!AV$5</f>
        <v>3733.5</v>
      </c>
      <c r="AW43" s="23">
        <f>'Total Saturday Boardings'!AW43/'Service Days per Month'!AW$5</f>
        <v>3357</v>
      </c>
      <c r="AX43" s="23">
        <f>'Total Saturday Boardings'!AX43/'Service Days per Month'!AX$5</f>
        <v>3604</v>
      </c>
      <c r="AY43" s="23">
        <f>'Total Saturday Boardings'!AY43/'Service Days per Month'!AY$5</f>
        <v>3299.5</v>
      </c>
      <c r="AZ43" s="23">
        <f>'Total Saturday Boardings'!AZ43/'Service Days per Month'!AZ$5</f>
        <v>3620.75</v>
      </c>
      <c r="BA43" s="23">
        <f>'Total Saturday Boardings'!BA43/'Service Days per Month'!BA$5</f>
        <v>3652.2</v>
      </c>
      <c r="BB43" s="23">
        <f>'Total Saturday Boardings'!BB43/'Service Days per Month'!BB$5</f>
        <v>4205</v>
      </c>
      <c r="BC43" s="23">
        <f>'Total Saturday Boardings'!BC43/'Service Days per Month'!BC$5</f>
        <v>3280</v>
      </c>
      <c r="BD43" s="24">
        <f>'Total Saturday Boardings'!BD43/'Service Days per Month'!BD$5</f>
        <v>2772.4</v>
      </c>
      <c r="BE43" s="22">
        <f>'Total Saturday Boardings'!BE43/'Service Days per Month'!BE$5</f>
        <v>2885.75</v>
      </c>
      <c r="BF43" s="23">
        <f>'Total Saturday Boardings'!BF43/'Service Days per Month'!BF$5</f>
        <v>2864</v>
      </c>
      <c r="BG43" s="23">
        <f>'Total Saturday Boardings'!BG43/'Service Days per Month'!BG$5</f>
        <v>3693.25</v>
      </c>
      <c r="BH43" s="23">
        <f>'Total Saturday Boardings'!BH43/'Service Days per Month'!BH$5</f>
        <v>3773.25</v>
      </c>
      <c r="BI43" s="23">
        <f>'Total Saturday Boardings'!BI43/'Service Days per Month'!BI$5</f>
        <v>3613.1989514850438</v>
      </c>
      <c r="BJ43" s="23">
        <f>'Total Saturday Boardings'!BJ43/'Service Days per Month'!BJ$5</f>
        <v>4596.25</v>
      </c>
      <c r="BK43" s="23">
        <f>'Total Saturday Boardings'!BK43/'Service Days per Month'!BK$5</f>
        <v>3780</v>
      </c>
      <c r="BL43" s="23">
        <f>'Total Saturday Boardings'!BL43/'Service Days per Month'!BL$5</f>
        <v>3591</v>
      </c>
      <c r="BM43" s="23">
        <f>'Total Saturday Boardings'!BM43/'Service Days per Month'!BM$5</f>
        <v>3753.6</v>
      </c>
      <c r="BN43" s="23">
        <f>'Total Saturday Boardings'!BN43/'Service Days per Month'!BN$5</f>
        <v>3700.25</v>
      </c>
      <c r="BO43" s="23">
        <f>'Total Saturday Boardings'!BO43/'Service Days per Month'!BO$5</f>
        <v>2855</v>
      </c>
      <c r="BP43" s="24">
        <f>'Total Saturday Boardings'!BP43/'Service Days per Month'!BP$5</f>
        <v>3025.5</v>
      </c>
      <c r="BQ43" s="22">
        <f>'Total Saturday Boardings'!BQ43/'Service Days per Month'!BQ$5</f>
        <v>2605.75</v>
      </c>
      <c r="BR43" s="23">
        <f>'Total Saturday Boardings'!BR43/'Service Days per Month'!BR$5</f>
        <v>2882.8</v>
      </c>
      <c r="BS43" s="23">
        <f>'Total Saturday Boardings'!BS43/'Service Days per Month'!BS$5</f>
        <v>2672</v>
      </c>
      <c r="BT43" s="23">
        <f>'Total Saturday Boardings'!BT43/'Service Days per Month'!BT$5</f>
        <v>3623.25</v>
      </c>
      <c r="BU43" s="23">
        <f>'Total Saturday Boardings'!BU43/'Service Days per Month'!BU$5</f>
        <v>4002.6</v>
      </c>
      <c r="BV43" s="23">
        <f>'Total Saturday Boardings'!BV43/'Service Days per Month'!BV$5</f>
        <v>3186.25</v>
      </c>
      <c r="BW43" s="23">
        <f>'Total Saturday Boardings'!BW43/'Service Days per Month'!BW$5</f>
        <v>4118.8</v>
      </c>
      <c r="BX43" s="23">
        <f>'Total Saturday Boardings'!BX43/'Service Days per Month'!BX$5</f>
        <v>3365.75</v>
      </c>
      <c r="BY43" s="23">
        <f>'Total Saturday Boardings'!BY43/'Service Days per Month'!BY$5</f>
        <v>3442.5</v>
      </c>
      <c r="BZ43" s="23">
        <f>'Total Saturday Boardings'!BZ43/'Service Days per Month'!BZ$5</f>
        <v>3614</v>
      </c>
      <c r="CA43" s="23">
        <f>'Total Saturday Boardings'!CA43/'Service Days per Month'!CA$5</f>
        <v>3218.8</v>
      </c>
      <c r="CB43" s="24">
        <f>'Total Saturday Boardings'!CB43/'Service Days per Month'!CB$5</f>
        <v>2799.75</v>
      </c>
      <c r="CC43" s="25">
        <f>'Total Saturday Boardings'!CC43/'Service Days per Month'!CC$5</f>
        <v>3334.5</v>
      </c>
      <c r="CD43" s="23">
        <f>'Total Saturday Boardings'!CD43/'Service Days per Month'!CD$5</f>
        <v>2752.4</v>
      </c>
      <c r="CE43" s="23">
        <f>'Total Saturday Boardings'!CE43/'Service Days per Month'!CE$5</f>
        <v>1684.5</v>
      </c>
      <c r="CF43" s="23">
        <f>'Total Saturday Boardings'!CF43/'Service Days per Month'!CF$5</f>
        <v>1748.4</v>
      </c>
      <c r="CG43" s="23">
        <f>'Total Saturday Boardings'!CG43/'Service Days per Month'!CG$5</f>
        <v>1624.25</v>
      </c>
      <c r="CH43" s="23">
        <f>'Total Saturday Boardings'!CH43/'Service Days per Month'!CH$5</f>
        <v>1302.5</v>
      </c>
      <c r="CI43" s="23">
        <f>'Total Saturday Boardings'!CI43/'Service Days per Month'!CI$5</f>
        <v>1391</v>
      </c>
      <c r="CJ43" s="23">
        <f>'Total Saturday Boardings'!CJ43/'Service Days per Month'!CJ$5</f>
        <v>1414.5</v>
      </c>
      <c r="CK43" s="23">
        <f>'Total Saturday Boardings'!CK43/'Service Days per Month'!CK$5</f>
        <v>1314.25</v>
      </c>
      <c r="CL43" s="23">
        <f>'Total Saturday Boardings'!CL43/'Service Days per Month'!CL$5</f>
        <v>1550.6</v>
      </c>
      <c r="CM43" s="23">
        <f>'Total Saturday Boardings'!CM43/'Service Days per Month'!CM$5</f>
        <v>1304.75</v>
      </c>
      <c r="CN43" s="26">
        <f>'Total Saturday Boardings'!CN43/'Service Days per Month'!CN$5</f>
        <v>1237</v>
      </c>
      <c r="CO43" s="22">
        <f>'Total Saturday Boardings'!CO43/'Service Days per Month'!CO$5</f>
        <v>1127.5999999999999</v>
      </c>
      <c r="CP43" s="23">
        <f>'Total Saturday Boardings'!CP43/'Service Days per Month'!CP$5</f>
        <v>1209.5</v>
      </c>
      <c r="CQ43" s="23">
        <f>'Total Saturday Boardings'!CQ43/'Service Days per Month'!CQ$5</f>
        <v>1411.5</v>
      </c>
      <c r="CR43" s="23">
        <f>'Total Saturday Boardings'!CR43/'Service Days per Month'!CR$5</f>
        <v>1393.8</v>
      </c>
      <c r="CS43" s="23">
        <f>'Total Saturday Boardings'!CS43/'Service Days per Month'!CS$5</f>
        <v>1164.75</v>
      </c>
      <c r="CT43" s="23">
        <f>'Total Saturday Boardings'!CT43/'Service Days per Month'!CT$5</f>
        <v>1322.25</v>
      </c>
      <c r="CU43" s="23">
        <f>'Total Saturday Boardings'!CU43/'Service Days per Month'!CU$5</f>
        <v>1249.25</v>
      </c>
      <c r="CV43" s="23">
        <f>'Total Saturday Boardings'!CV43/'Service Days per Month'!CV$5</f>
        <v>1183</v>
      </c>
      <c r="CW43" s="23">
        <f>'Total Saturday Boardings'!CW43/'Service Days per Month'!CW$5</f>
        <v>1212.75</v>
      </c>
      <c r="CX43" s="23">
        <f>'Total Saturday Boardings'!CX43/'Service Days per Month'!CX$5</f>
        <v>1449.2</v>
      </c>
      <c r="CY43" s="23">
        <f>'Total Saturday Boardings'!CY43/'Service Days per Month'!CY$5</f>
        <v>1270.25</v>
      </c>
      <c r="CZ43" s="24">
        <f>'Total Saturday Boardings'!CZ43/'Service Days per Month'!CZ$5</f>
        <v>1114.25</v>
      </c>
      <c r="DA43" s="22">
        <f>'Total Saturday Boardings'!DA43/'Service Days per Month'!DA$5</f>
        <v>1087.2</v>
      </c>
      <c r="DB43" s="23">
        <f>'Total Saturday Boardings'!DB43/'Service Days per Month'!DB$5</f>
        <v>1098.5</v>
      </c>
      <c r="DC43" s="23">
        <f>'Total Saturday Boardings'!DC43/'Service Days per Month'!DC$5</f>
        <v>1219.4000000000001</v>
      </c>
      <c r="DD43" s="23">
        <f>'Total Saturday Boardings'!DD43/'Service Days per Month'!DD$5</f>
        <v>1265.75</v>
      </c>
      <c r="DE43" s="23">
        <f>'Total Saturday Boardings'!DE43/'Service Days per Month'!DE$5</f>
        <v>1249.75</v>
      </c>
      <c r="DF43" s="23">
        <f>'Total Saturday Boardings'!DF43/'Service Days per Month'!DF$5</f>
        <v>1130.2</v>
      </c>
      <c r="DG43" s="23">
        <f>'Total Saturday Boardings'!DG43/'Service Days per Month'!DG$5</f>
        <v>1166.5</v>
      </c>
      <c r="DH43" s="23">
        <f>'Total Saturday Boardings'!DH43/'Service Days per Month'!DH$5</f>
        <v>1227.75</v>
      </c>
      <c r="DI43" s="23">
        <f>'Total Saturday Boardings'!DI43/'Service Days per Month'!DI$5</f>
        <v>1262.2</v>
      </c>
      <c r="DJ43" s="23">
        <f>'Total Saturday Boardings'!DJ43/'Service Days per Month'!DJ$5</f>
        <v>1266.25</v>
      </c>
      <c r="DK43" s="23">
        <f>'Total Saturday Boardings'!DK43/'Service Days per Month'!DK$5</f>
        <v>1068.5</v>
      </c>
      <c r="DL43" s="24">
        <f>'Total Saturday Boardings'!DL43/'Service Days per Month'!DL$5</f>
        <v>1030.5999999999999</v>
      </c>
      <c r="DM43" s="22">
        <f>'Total Saturday Boardings'!DM43/'Service Days per Month'!DM$5</f>
        <v>937.25</v>
      </c>
      <c r="DN43" s="23">
        <f>'Total Saturday Boardings'!DN43/'Service Days per Month'!DN$5</f>
        <v>1023.75</v>
      </c>
      <c r="DO43" s="23">
        <f>'Total Saturday Boardings'!DO43/'Service Days per Month'!DO$5</f>
        <v>1192.8</v>
      </c>
      <c r="DP43" s="23">
        <f>'Total Saturday Boardings'!DP43/'Service Days per Month'!DP$5</f>
        <v>1133</v>
      </c>
      <c r="DQ43" s="23">
        <f>'Total Saturday Boardings'!DQ43/'Service Days per Month'!DQ$5</f>
        <v>1190.75</v>
      </c>
      <c r="DR43" s="23">
        <f>'Total Saturday Boardings'!DR43/'Service Days per Month'!DR$5</f>
        <v>1138.8</v>
      </c>
      <c r="DS43" s="23">
        <f>'Total Saturday Boardings'!DS43/'Service Days per Month'!DS$5</f>
        <v>1073.75</v>
      </c>
      <c r="DT43" s="23">
        <f>'Total Saturday Boardings'!DT43/'Service Days per Month'!DT$5</f>
        <v>1213.75</v>
      </c>
      <c r="DU43" s="23">
        <f>'Total Saturday Boardings'!DU43/'Service Days per Month'!DU$5</f>
        <v>1185.4000000000001</v>
      </c>
      <c r="DV43" s="23">
        <f>'Total Saturday Boardings'!DV43/'Service Days per Month'!DV$5</f>
        <v>1231.25</v>
      </c>
      <c r="DW43" s="28">
        <f>'Total Saturday Boardings'!DW43/'Service Days per Month'!DW$5</f>
        <v>1116.5</v>
      </c>
      <c r="DX43" s="29">
        <f>'Total Saturday Boardings'!DX43/'Service Days per Month'!DX$5</f>
        <v>916.4</v>
      </c>
      <c r="DY43" s="27">
        <f>'Total Saturday Boardings'!DY43/'Service Days per Month'!DY$5</f>
        <v>867.5</v>
      </c>
      <c r="DZ43" s="28">
        <f>'Total Saturday Boardings'!DZ43/'Service Days per Month'!DZ$5</f>
        <v>988.4</v>
      </c>
      <c r="EA43" s="28">
        <f>'Total Saturday Boardings'!EA43/'Service Days per Month'!EA$5</f>
        <v>1036.25</v>
      </c>
      <c r="EB43" s="28">
        <f>'Total Saturday Boardings'!EB43/'Service Days per Month'!EB$5</f>
        <v>1065.25</v>
      </c>
      <c r="EC43" s="28">
        <f>'Total Saturday Boardings'!EC43/'Service Days per Month'!EC$5</f>
        <v>1142.4000000000001</v>
      </c>
      <c r="ED43" s="28">
        <f>'Total Saturday Boardings'!ED43/'Service Days per Month'!ED$5</f>
        <v>911.25</v>
      </c>
      <c r="EE43" s="28">
        <f>'Total Saturday Boardings'!EE43/'Service Days per Month'!EE$5</f>
        <v>981.5</v>
      </c>
      <c r="EF43" s="28">
        <f>'Total Saturday Boardings'!EF43/'Service Days per Month'!EF$5</f>
        <v>1058</v>
      </c>
      <c r="EG43" s="28">
        <f>'Total Saturday Boardings'!EG43/'Service Days per Month'!EG$5</f>
        <v>851.25</v>
      </c>
      <c r="EH43" s="28">
        <f>'Total Saturday Boardings'!EH43/'Service Days per Month'!EH$5</f>
        <v>604.75</v>
      </c>
      <c r="EI43" s="28">
        <f>'Total Saturday Boardings'!EI43/'Service Days per Month'!EI$5</f>
        <v>533.79999999999995</v>
      </c>
      <c r="EJ43" s="29">
        <f>'Total Saturday Boardings'!EJ43/'Service Days per Month'!EJ$5</f>
        <v>506.25</v>
      </c>
      <c r="EK43" s="27">
        <f>'Total Saturday Boardings'!EK43/'Service Days per Month'!EK$5</f>
        <v>367.25</v>
      </c>
      <c r="EL43" s="28">
        <f>'Total Saturday Boardings'!EL43/'Service Days per Month'!EL$5</f>
        <v>483</v>
      </c>
      <c r="EM43" s="28">
        <f>'Total Saturday Boardings'!EM43/'Service Days per Month'!EM$5</f>
        <v>530.75</v>
      </c>
      <c r="EN43" s="28">
        <f>'Total Saturday Boardings'!EN43/'Service Days per Month'!EN$5</f>
        <v>563.4</v>
      </c>
      <c r="EO43" s="28">
        <f>'Total Saturday Boardings'!EO43/'Service Days per Month'!EO$5</f>
        <v>607.75</v>
      </c>
      <c r="EP43" s="28">
        <f>'Total Saturday Boardings'!EP43/'Service Days per Month'!EP$5</f>
        <v>425</v>
      </c>
      <c r="EQ43" s="28">
        <f>'Total Saturday Boardings'!EQ43/'Service Days per Month'!EQ$5</f>
        <v>240.6</v>
      </c>
      <c r="ER43" s="28">
        <f>'Total Saturday Boardings'!ER43/'Service Days per Month'!ER$5</f>
        <v>491.25</v>
      </c>
      <c r="ES43" s="28">
        <f>'Total Saturday Boardings'!ES43/'Service Days per Month'!ES$5</f>
        <v>555.5</v>
      </c>
      <c r="ET43" s="28">
        <f>'Total Saturday Boardings'!ET43/'Service Days per Month'!ET$5</f>
        <v>559.5</v>
      </c>
      <c r="EU43" s="28">
        <f>'Total Saturday Boardings'!EU43/'Service Days per Month'!EU$5</f>
        <v>499.4</v>
      </c>
      <c r="EV43" s="29">
        <f>'Total Saturday Boardings'!EV43/'Service Days per Month'!EV$5</f>
        <v>516.75</v>
      </c>
      <c r="EW43" s="27">
        <f>'Total Saturday Boardings'!EW43/'Service Days per Month'!EW$5</f>
        <v>486.2</v>
      </c>
      <c r="EX43" s="28">
        <f>'Total Saturday Boardings'!EX43/'Service Days per Month'!EX$5</f>
        <v>536.5</v>
      </c>
      <c r="EY43" s="28">
        <f>'Total Saturday Boardings'!EY43/'Service Days per Month'!EY$5</f>
        <v>646</v>
      </c>
      <c r="EZ43" s="28">
        <f>'Total Saturday Boardings'!EZ43/'Service Days per Month'!EZ$5</f>
        <v>656.2</v>
      </c>
      <c r="FA43" s="28">
        <f>'Total Saturday Boardings'!FA43/'Service Days per Month'!FA$5</f>
        <v>742.5</v>
      </c>
      <c r="FB43" s="28">
        <f>'Total Saturday Boardings'!FB43/'Service Days per Month'!FB$5</f>
        <v>635.75</v>
      </c>
      <c r="FC43" s="28">
        <f>'Total Saturday Boardings'!FC43/'Service Days per Month'!FC$5</f>
        <v>560.6</v>
      </c>
      <c r="FD43" s="28">
        <f>'Total Saturday Boardings'!FD43/'Service Days per Month'!FD$5</f>
        <v>805.75</v>
      </c>
      <c r="FE43" s="28">
        <f>'Total Saturday Boardings'!FE43/'Service Days per Month'!FE$5</f>
        <v>824.5</v>
      </c>
      <c r="FF43" s="28">
        <f>'Total Saturday Boardings'!FF43/'Service Days per Month'!FF$5</f>
        <v>838.6</v>
      </c>
      <c r="FG43" s="28">
        <f>'Total Saturday Boardings'!FG43/'Service Days per Month'!FG$5</f>
        <v>724</v>
      </c>
      <c r="FH43" s="29">
        <f>'Total Saturday Boardings'!FH43/'Service Days per Month'!FH$5</f>
        <v>565.5</v>
      </c>
      <c r="FI43" s="27">
        <v>589.4</v>
      </c>
      <c r="FJ43" s="28">
        <v>661.5</v>
      </c>
      <c r="FK43" s="28">
        <v>714</v>
      </c>
      <c r="FL43" s="28">
        <v>694.8</v>
      </c>
      <c r="FM43" s="28">
        <v>557.4</v>
      </c>
      <c r="FN43" s="28">
        <v>598.4</v>
      </c>
      <c r="FO43" s="28">
        <v>594</v>
      </c>
      <c r="FP43" s="28">
        <v>772</v>
      </c>
      <c r="FQ43" s="28">
        <v>794.75</v>
      </c>
      <c r="FR43" s="28">
        <f>'Total Saturday Boardings'!FR43/5</f>
        <v>778.4</v>
      </c>
      <c r="FS43" s="28">
        <f>'Total Saturday Boardings'!FS43/4</f>
        <v>754.25</v>
      </c>
      <c r="FT43" s="29">
        <f>'Total Saturday Boardings'!FT43/4</f>
        <v>732.25</v>
      </c>
      <c r="FU43" s="27">
        <f>'Total Saturday Boardings'!FU43/5</f>
        <v>664.2</v>
      </c>
      <c r="FV43" s="28">
        <f>'Total Saturday Boardings'!FV43/4</f>
        <v>685.25</v>
      </c>
      <c r="FW43" s="28">
        <f>'Total Saturday Boardings'!FW43/5</f>
        <v>714</v>
      </c>
      <c r="FX43" s="28">
        <f>'Total Saturday Boardings'!FX43/4</f>
        <v>789</v>
      </c>
      <c r="FY43" s="28">
        <f>'Total Saturday Boardings'!FY43/4</f>
        <v>762</v>
      </c>
      <c r="FZ43" s="28">
        <f>'Total Saturday Boardings'!FZ43/5</f>
        <v>727.2</v>
      </c>
      <c r="GA43" s="28">
        <f>'Total Saturday Boardings'!GA43/4</f>
        <v>822.5</v>
      </c>
      <c r="GB43" s="28">
        <f>'Total Saturday Boardings'!GB43/4</f>
        <v>857.75</v>
      </c>
      <c r="GC43" s="28">
        <f>'Total Saturday Boardings'!GC43/5</f>
        <v>858.8</v>
      </c>
      <c r="GD43" s="28">
        <f>'Total Saturday Boardings'!GD43/4</f>
        <v>781.25</v>
      </c>
      <c r="GE43" s="28">
        <f>'Total Saturday Boardings'!GE43/4</f>
        <v>778.75</v>
      </c>
      <c r="GF43" s="18">
        <f>'Total Saturday Boardings'!GF43/5</f>
        <v>696.6</v>
      </c>
      <c r="GG43" s="18">
        <f>'Total Saturday Boardings'!GG43/4</f>
        <v>661</v>
      </c>
      <c r="GH43" s="18">
        <f>'Total Saturday Boardings'!GH43/5</f>
        <v>751.8</v>
      </c>
      <c r="GI43" s="18">
        <f>'Total Saturday Boardings'!GI43/4</f>
        <v>760.5</v>
      </c>
      <c r="GJ43" s="18">
        <f>'Total Saturday Boardings'!GJ43/4</f>
        <v>752.75</v>
      </c>
      <c r="GK43" s="18">
        <f>'Total Saturday Boardings'!GK43/5</f>
        <v>765.2</v>
      </c>
      <c r="GL43" s="18">
        <f>'Total Saturday Boardings'!GL43/4</f>
        <v>663</v>
      </c>
    </row>
    <row r="44" spans="1:194" x14ac:dyDescent="0.3">
      <c r="A44" s="10" t="s">
        <v>26</v>
      </c>
      <c r="B44" s="12"/>
      <c r="C44" s="13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4"/>
      <c r="AG44" s="12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2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4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4"/>
      <c r="BQ44" s="12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4"/>
      <c r="CC44" s="15"/>
      <c r="CD44" s="13">
        <f>'Total Saturday Boardings'!CD44/'Service Days per Month'!CD$9</f>
        <v>1129.5</v>
      </c>
      <c r="CE44" s="13">
        <f>'Total Saturday Boardings'!CE44/'Service Days per Month'!CE$5</f>
        <v>761.75</v>
      </c>
      <c r="CF44" s="13">
        <f>'Total Saturday Boardings'!CF44/'Service Days per Month'!CF$5</f>
        <v>862.6</v>
      </c>
      <c r="CG44" s="13">
        <f>'Total Saturday Boardings'!CG44/'Service Days per Month'!CG$5</f>
        <v>899.75</v>
      </c>
      <c r="CH44" s="13">
        <f>'Total Saturday Boardings'!CH44/'Service Days per Month'!CH$5</f>
        <v>857.75</v>
      </c>
      <c r="CI44" s="13">
        <f>'Total Saturday Boardings'!CI44/'Service Days per Month'!CI$5</f>
        <v>943.6</v>
      </c>
      <c r="CJ44" s="13">
        <f>'Total Saturday Boardings'!CJ44/'Service Days per Month'!CJ$5</f>
        <v>922.25</v>
      </c>
      <c r="CK44" s="13">
        <f>'Total Saturday Boardings'!CK44/'Service Days per Month'!CK$5</f>
        <v>960.5</v>
      </c>
      <c r="CL44" s="13">
        <f>'Total Saturday Boardings'!CL44/'Service Days per Month'!CL$5</f>
        <v>952.6</v>
      </c>
      <c r="CM44" s="13">
        <f>'Total Saturday Boardings'!CM44/'Service Days per Month'!CM$5</f>
        <v>907.25</v>
      </c>
      <c r="CN44" s="16">
        <f>'Total Saturday Boardings'!CN44/'Service Days per Month'!CN$5</f>
        <v>885</v>
      </c>
      <c r="CO44" s="12">
        <f>'Total Saturday Boardings'!CO44/'Service Days per Month'!CO$5</f>
        <v>874.2</v>
      </c>
      <c r="CP44" s="13">
        <f>'Total Saturday Boardings'!CP44/'Service Days per Month'!CP$5</f>
        <v>981.5</v>
      </c>
      <c r="CQ44" s="13">
        <f>'Total Saturday Boardings'!CQ44/'Service Days per Month'!CQ$5</f>
        <v>934.5</v>
      </c>
      <c r="CR44" s="13">
        <f>'Total Saturday Boardings'!CR44/'Service Days per Month'!CR$5</f>
        <v>1049.5999999999999</v>
      </c>
      <c r="CS44" s="13">
        <f>'Total Saturday Boardings'!CS44/'Service Days per Month'!CS$5</f>
        <v>925.25</v>
      </c>
      <c r="CT44" s="13">
        <f>'Total Saturday Boardings'!CT44/'Service Days per Month'!CT$5</f>
        <v>1019.5</v>
      </c>
      <c r="CU44" s="13">
        <f>'Total Saturday Boardings'!CU44/'Service Days per Month'!CU$5</f>
        <v>946.25</v>
      </c>
      <c r="CV44" s="13">
        <f>'Total Saturday Boardings'!CV44/'Service Days per Month'!CV$5</f>
        <v>965.5</v>
      </c>
      <c r="CW44" s="13">
        <f>'Total Saturday Boardings'!CW44/'Service Days per Month'!CW$5</f>
        <v>953.25</v>
      </c>
      <c r="CX44" s="13">
        <f>'Total Saturday Boardings'!CX44/'Service Days per Month'!CX$5</f>
        <v>968.2</v>
      </c>
      <c r="CY44" s="13">
        <f>'Total Saturday Boardings'!CY44/'Service Days per Month'!CY$5</f>
        <v>936.25</v>
      </c>
      <c r="CZ44" s="14">
        <f>'Total Saturday Boardings'!CZ44/'Service Days per Month'!CZ$5</f>
        <v>956</v>
      </c>
      <c r="DA44" s="12">
        <f>'Total Saturday Boardings'!DA44/'Service Days per Month'!DA$5</f>
        <v>967.8</v>
      </c>
      <c r="DB44" s="13">
        <f>'Total Saturday Boardings'!DB44/'Service Days per Month'!DB$5</f>
        <v>957.5</v>
      </c>
      <c r="DC44" s="13">
        <f>'Total Saturday Boardings'!DC44/'Service Days per Month'!DC$5</f>
        <v>971</v>
      </c>
      <c r="DD44" s="13">
        <f>'Total Saturday Boardings'!DD44/'Service Days per Month'!DD$5</f>
        <v>967.5</v>
      </c>
      <c r="DE44" s="13">
        <f>'Total Saturday Boardings'!DE44/'Service Days per Month'!DE$5</f>
        <v>947.75</v>
      </c>
      <c r="DF44" s="13">
        <f>'Total Saturday Boardings'!DF44/'Service Days per Month'!DF$5</f>
        <v>979.6</v>
      </c>
      <c r="DG44" s="13">
        <f>'Total Saturday Boardings'!DG44/'Service Days per Month'!DG$5</f>
        <v>983.5</v>
      </c>
      <c r="DH44" s="13">
        <f>'Total Saturday Boardings'!DH44/'Service Days per Month'!DH$5</f>
        <v>1054.25</v>
      </c>
      <c r="DI44" s="13">
        <f>'Total Saturday Boardings'!DI44/'Service Days per Month'!DI$5</f>
        <v>1001.8</v>
      </c>
      <c r="DJ44" s="13">
        <f>'Total Saturday Boardings'!DJ44/'Service Days per Month'!DJ$5</f>
        <v>975.25</v>
      </c>
      <c r="DK44" s="13">
        <f>'Total Saturday Boardings'!DK44/'Service Days per Month'!DK$5</f>
        <v>912.75</v>
      </c>
      <c r="DL44" s="14">
        <f>'Total Saturday Boardings'!DL44/'Service Days per Month'!DL$5</f>
        <v>932.6</v>
      </c>
      <c r="DM44" s="12">
        <f>'Total Saturday Boardings'!DM44/'Service Days per Month'!DM$5</f>
        <v>934.5</v>
      </c>
      <c r="DN44" s="13">
        <f>'Total Saturday Boardings'!DN44/'Service Days per Month'!DN$5</f>
        <v>972.5</v>
      </c>
      <c r="DO44" s="13">
        <f>'Total Saturday Boardings'!DO44/'Service Days per Month'!DO$5</f>
        <v>924</v>
      </c>
      <c r="DP44" s="13">
        <f>'Total Saturday Boardings'!DP44/'Service Days per Month'!DP$5</f>
        <v>967.75</v>
      </c>
      <c r="DQ44" s="13">
        <f>'Total Saturday Boardings'!DQ44/'Service Days per Month'!DQ$5</f>
        <v>1007.5</v>
      </c>
      <c r="DR44" s="13">
        <f>'Total Saturday Boardings'!DR44/'Service Days per Month'!DR$5</f>
        <v>988.8</v>
      </c>
      <c r="DS44" s="13">
        <f>'Total Saturday Boardings'!DS44/'Service Days per Month'!DS$5</f>
        <v>923</v>
      </c>
      <c r="DT44" s="13">
        <f>'Total Saturday Boardings'!DT44/'Service Days per Month'!DT$5</f>
        <v>974.75</v>
      </c>
      <c r="DU44" s="13">
        <f>'Total Saturday Boardings'!DU44/'Service Days per Month'!DU$5</f>
        <v>939.2</v>
      </c>
      <c r="DV44" s="13">
        <f>'Total Saturday Boardings'!DV44/'Service Days per Month'!DV$5</f>
        <v>957.25</v>
      </c>
      <c r="DW44" s="33">
        <f>'Total Saturday Boardings'!DW44/'Service Days per Month'!DW$5</f>
        <v>938.75</v>
      </c>
      <c r="DX44" s="34">
        <f>'Total Saturday Boardings'!DX44/'Service Days per Month'!DX$5</f>
        <v>885.8</v>
      </c>
      <c r="DY44" s="32">
        <f>'Total Saturday Boardings'!DY44/'Service Days per Month'!DY$5</f>
        <v>790.5</v>
      </c>
      <c r="DZ44" s="33">
        <f>'Total Saturday Boardings'!DZ44/'Service Days per Month'!DZ$5</f>
        <v>876.6</v>
      </c>
      <c r="EA44" s="33">
        <f>'Total Saturday Boardings'!EA44/'Service Days per Month'!EA$5</f>
        <v>934.25</v>
      </c>
      <c r="EB44" s="33">
        <f>'Total Saturday Boardings'!EB44/'Service Days per Month'!EB$5</f>
        <v>972</v>
      </c>
      <c r="EC44" s="33">
        <f>'Total Saturday Boardings'!EC44/'Service Days per Month'!EC$5</f>
        <v>995.8</v>
      </c>
      <c r="ED44" s="33">
        <f>'Total Saturday Boardings'!ED44/'Service Days per Month'!ED$5</f>
        <v>950.25</v>
      </c>
      <c r="EE44" s="33">
        <f>'Total Saturday Boardings'!EE44/'Service Days per Month'!EE$5</f>
        <v>899.25</v>
      </c>
      <c r="EF44" s="33">
        <f>'Total Saturday Boardings'!EF44/'Service Days per Month'!EF$5</f>
        <v>954.8</v>
      </c>
      <c r="EG44" s="33">
        <f>'Total Saturday Boardings'!EG44/'Service Days per Month'!EG$5</f>
        <v>857.25</v>
      </c>
      <c r="EH44" s="33">
        <f>'Total Saturday Boardings'!EH44/'Service Days per Month'!EH$5</f>
        <v>685.5</v>
      </c>
      <c r="EI44" s="33">
        <f>'Total Saturday Boardings'!EI44/'Service Days per Month'!EI$5</f>
        <v>613.20000000000005</v>
      </c>
      <c r="EJ44" s="34">
        <f>'Total Saturday Boardings'!EJ44/'Service Days per Month'!EJ$5</f>
        <v>637.75</v>
      </c>
      <c r="EK44" s="32">
        <f>'Total Saturday Boardings'!EK44/'Service Days per Month'!EK$5</f>
        <v>439</v>
      </c>
      <c r="EL44" s="33">
        <f>'Total Saturday Boardings'!EL44/'Service Days per Month'!EL$5</f>
        <v>579.79999999999995</v>
      </c>
      <c r="EM44" s="33">
        <f>'Total Saturday Boardings'!EM44/'Service Days per Month'!EM$5</f>
        <v>576.75</v>
      </c>
      <c r="EN44" s="33">
        <f>'Total Saturday Boardings'!EN44/'Service Days per Month'!EN$5</f>
        <v>588.20000000000005</v>
      </c>
      <c r="EO44" s="33">
        <f>'Total Saturday Boardings'!EO44/'Service Days per Month'!EO$5</f>
        <v>585.75</v>
      </c>
      <c r="EP44" s="33">
        <f>'Total Saturday Boardings'!EP44/'Service Days per Month'!EP$5</f>
        <v>431.25</v>
      </c>
      <c r="EQ44" s="33">
        <f>'Total Saturday Boardings'!EQ44/'Service Days per Month'!EQ$5</f>
        <v>249.8</v>
      </c>
      <c r="ER44" s="33">
        <f>'Total Saturday Boardings'!ER44/'Service Days per Month'!ER$5</f>
        <v>498.5</v>
      </c>
      <c r="ES44" s="33">
        <f>'Total Saturday Boardings'!ES44/'Service Days per Month'!ES$5</f>
        <v>472.75</v>
      </c>
      <c r="ET44" s="33">
        <f>'Total Saturday Boardings'!ET44/'Service Days per Month'!ET$5</f>
        <v>509.75</v>
      </c>
      <c r="EU44" s="33">
        <f>'Total Saturday Boardings'!EU44/'Service Days per Month'!EU$5</f>
        <v>471.2</v>
      </c>
      <c r="EV44" s="34">
        <f>'Total Saturday Boardings'!EV44/'Service Days per Month'!EV$5</f>
        <v>509.25</v>
      </c>
      <c r="EW44" s="32">
        <f>'Total Saturday Boardings'!EW44/'Service Days per Month'!EW$5</f>
        <v>468.6</v>
      </c>
      <c r="EX44" s="33">
        <f>'Total Saturday Boardings'!EX44/'Service Days per Month'!EX$5</f>
        <v>503.75</v>
      </c>
      <c r="EY44" s="33">
        <f>'Total Saturday Boardings'!EY44/'Service Days per Month'!EY$5</f>
        <v>529</v>
      </c>
      <c r="EZ44" s="33">
        <f>'Total Saturday Boardings'!EZ44/'Service Days per Month'!EZ$5</f>
        <v>573.20000000000005</v>
      </c>
      <c r="FA44" s="33">
        <f>'Total Saturday Boardings'!FA44/'Service Days per Month'!FA$5</f>
        <v>631</v>
      </c>
      <c r="FB44" s="33">
        <f>'Total Saturday Boardings'!FB44/'Service Days per Month'!FB$5</f>
        <v>578.5</v>
      </c>
      <c r="FC44" s="33">
        <f>'Total Saturday Boardings'!FC44/'Service Days per Month'!FC$5</f>
        <v>594</v>
      </c>
      <c r="FD44" s="33">
        <f>'Total Saturday Boardings'!FD44/'Service Days per Month'!FD$5</f>
        <v>684</v>
      </c>
      <c r="FE44" s="33">
        <f>'Total Saturday Boardings'!FE44/'Service Days per Month'!FE$5</f>
        <v>774.25</v>
      </c>
      <c r="FF44" s="33">
        <f>'Total Saturday Boardings'!FF44/'Service Days per Month'!FF$5</f>
        <v>794.2</v>
      </c>
      <c r="FG44" s="33">
        <f>'Total Saturday Boardings'!FG44/'Service Days per Month'!FG$5</f>
        <v>744.75</v>
      </c>
      <c r="FH44" s="34">
        <f>'Total Saturday Boardings'!FH44/'Service Days per Month'!FH$5</f>
        <v>657.5</v>
      </c>
      <c r="FI44" s="32">
        <v>678</v>
      </c>
      <c r="FJ44" s="33">
        <v>700.75</v>
      </c>
      <c r="FK44" s="33">
        <v>687</v>
      </c>
      <c r="FL44" s="33">
        <v>655.20000000000005</v>
      </c>
      <c r="FM44" s="33">
        <v>541.4</v>
      </c>
      <c r="FN44" s="33">
        <v>547.4</v>
      </c>
      <c r="FO44" s="33">
        <v>485.4</v>
      </c>
      <c r="FP44" s="33">
        <v>594</v>
      </c>
      <c r="FQ44" s="33">
        <v>644.5</v>
      </c>
      <c r="FR44" s="33">
        <f>'Total Saturday Boardings'!FR44/5</f>
        <v>633</v>
      </c>
      <c r="FS44" s="33">
        <f>'Total Saturday Boardings'!FS44/4</f>
        <v>670.25</v>
      </c>
      <c r="FT44" s="34">
        <f>'Total Saturday Boardings'!FT44/4</f>
        <v>626.25</v>
      </c>
      <c r="FU44" s="32">
        <f>'Total Saturday Boardings'!FU44/5</f>
        <v>605.6</v>
      </c>
      <c r="FV44" s="33">
        <f>'Total Saturday Boardings'!FV44/4</f>
        <v>610.75</v>
      </c>
      <c r="FW44" s="33">
        <f>'Total Saturday Boardings'!FW44/5</f>
        <v>610.20000000000005</v>
      </c>
      <c r="FX44" s="33">
        <f>'Total Saturday Boardings'!FX44/4</f>
        <v>647.75</v>
      </c>
      <c r="FY44" s="33">
        <f>'Total Saturday Boardings'!FY44/4</f>
        <v>676.75</v>
      </c>
      <c r="FZ44" s="33">
        <f>'Total Saturday Boardings'!FZ44/5</f>
        <v>673.6</v>
      </c>
      <c r="GA44" s="33">
        <f>'Total Saturday Boardings'!GA44/4</f>
        <v>682.5</v>
      </c>
      <c r="GB44" s="33">
        <f>'Total Saturday Boardings'!GB44/4</f>
        <v>738.25</v>
      </c>
      <c r="GC44" s="33">
        <f>'Total Saturday Boardings'!GC44/5</f>
        <v>736.6</v>
      </c>
      <c r="GD44" s="33">
        <f>'Total Saturday Boardings'!GD44/4</f>
        <v>650.25</v>
      </c>
      <c r="GE44" s="33">
        <f>'Total Saturday Boardings'!GE44/4</f>
        <v>677.25</v>
      </c>
      <c r="GF44" s="18">
        <f>'Total Saturday Boardings'!GF44/5</f>
        <v>639.20000000000005</v>
      </c>
      <c r="GG44" s="18">
        <f>'Total Saturday Boardings'!GG44/4</f>
        <v>664</v>
      </c>
      <c r="GH44" s="18">
        <f>'Total Saturday Boardings'!GH44/5</f>
        <v>658.2</v>
      </c>
      <c r="GI44" s="18">
        <f>'Total Saturday Boardings'!GI44/4</f>
        <v>669.75</v>
      </c>
      <c r="GJ44" s="18">
        <f>'Total Saturday Boardings'!GJ44/4</f>
        <v>665.75</v>
      </c>
      <c r="GK44" s="18">
        <f>'Total Saturday Boardings'!GK44/5</f>
        <v>630</v>
      </c>
      <c r="GL44" s="18">
        <f>'Total Saturday Boardings'!GL44/4</f>
        <v>570.25</v>
      </c>
    </row>
    <row r="45" spans="1:194" x14ac:dyDescent="0.3">
      <c r="A45" s="4" t="s">
        <v>27</v>
      </c>
      <c r="B45" s="17"/>
      <c r="C45" s="18"/>
      <c r="D45" s="18"/>
      <c r="E45" s="18"/>
      <c r="F45" s="18"/>
      <c r="G45" s="18"/>
      <c r="H45" s="19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9"/>
      <c r="U45" s="17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9"/>
      <c r="AG45" s="17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9"/>
      <c r="AS45" s="17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9"/>
      <c r="BE45" s="17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9"/>
      <c r="BQ45" s="17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9"/>
      <c r="CC45" s="20"/>
      <c r="CD45" s="18">
        <f>'Total Saturday Boardings'!CD45/'Service Days per Month'!CD$9</f>
        <v>1232</v>
      </c>
      <c r="CE45" s="18">
        <f>'Total Saturday Boardings'!CE45/'Service Days per Month'!CE$5</f>
        <v>826.25</v>
      </c>
      <c r="CF45" s="18">
        <f>'Total Saturday Boardings'!CF45/'Service Days per Month'!CF$5</f>
        <v>890.4</v>
      </c>
      <c r="CG45" s="18">
        <f>'Total Saturday Boardings'!CG45/'Service Days per Month'!CG$5</f>
        <v>917.75</v>
      </c>
      <c r="CH45" s="18">
        <f>'Total Saturday Boardings'!CH45/'Service Days per Month'!CH$5</f>
        <v>929.25</v>
      </c>
      <c r="CI45" s="18">
        <f>'Total Saturday Boardings'!CI45/'Service Days per Month'!CI$5</f>
        <v>936.4</v>
      </c>
      <c r="CJ45" s="18">
        <f>'Total Saturday Boardings'!CJ45/'Service Days per Month'!CJ$5</f>
        <v>954</v>
      </c>
      <c r="CK45" s="18">
        <f>'Total Saturday Boardings'!CK45/'Service Days per Month'!CK$5</f>
        <v>921</v>
      </c>
      <c r="CL45" s="18">
        <f>'Total Saturday Boardings'!CL45/'Service Days per Month'!CL$5</f>
        <v>951</v>
      </c>
      <c r="CM45" s="18">
        <f>'Total Saturday Boardings'!CM45/'Service Days per Month'!CM$5</f>
        <v>876</v>
      </c>
      <c r="CN45" s="21">
        <f>'Total Saturday Boardings'!CN45/'Service Days per Month'!CN$5</f>
        <v>821.25</v>
      </c>
      <c r="CO45" s="17">
        <f>'Total Saturday Boardings'!CO45/'Service Days per Month'!CO$5</f>
        <v>830.8</v>
      </c>
      <c r="CP45" s="18">
        <f>'Total Saturday Boardings'!CP45/'Service Days per Month'!CP$5</f>
        <v>906.75</v>
      </c>
      <c r="CQ45" s="18">
        <f>'Total Saturday Boardings'!CQ45/'Service Days per Month'!CQ$5</f>
        <v>899.25</v>
      </c>
      <c r="CR45" s="18">
        <f>'Total Saturday Boardings'!CR45/'Service Days per Month'!CR$5</f>
        <v>940.2</v>
      </c>
      <c r="CS45" s="18">
        <f>'Total Saturday Boardings'!CS45/'Service Days per Month'!CS$5</f>
        <v>975.75</v>
      </c>
      <c r="CT45" s="18">
        <f>'Total Saturday Boardings'!CT45/'Service Days per Month'!CT$5</f>
        <v>989.75</v>
      </c>
      <c r="CU45" s="18">
        <f>'Total Saturday Boardings'!CU45/'Service Days per Month'!CU$5</f>
        <v>971.25</v>
      </c>
      <c r="CV45" s="18">
        <f>'Total Saturday Boardings'!CV45/'Service Days per Month'!CV$5</f>
        <v>967.75</v>
      </c>
      <c r="CW45" s="18">
        <f>'Total Saturday Boardings'!CW45/'Service Days per Month'!CW$5</f>
        <v>1022</v>
      </c>
      <c r="CX45" s="18">
        <f>'Total Saturday Boardings'!CX45/'Service Days per Month'!CX$5</f>
        <v>1073.8</v>
      </c>
      <c r="CY45" s="18">
        <f>'Total Saturday Boardings'!CY45/'Service Days per Month'!CY$5</f>
        <v>982</v>
      </c>
      <c r="CZ45" s="19">
        <f>'Total Saturday Boardings'!CZ45/'Service Days per Month'!CZ$5</f>
        <v>923.25</v>
      </c>
      <c r="DA45" s="17">
        <f>'Total Saturday Boardings'!DA45/'Service Days per Month'!DA$5</f>
        <v>899.4</v>
      </c>
      <c r="DB45" s="18">
        <f>'Total Saturday Boardings'!DB45/'Service Days per Month'!DB$5</f>
        <v>917.75</v>
      </c>
      <c r="DC45" s="18">
        <f>'Total Saturday Boardings'!DC45/'Service Days per Month'!DC$5</f>
        <v>975.8</v>
      </c>
      <c r="DD45" s="18">
        <f>'Total Saturday Boardings'!DD45/'Service Days per Month'!DD$5</f>
        <v>999</v>
      </c>
      <c r="DE45" s="18">
        <f>'Total Saturday Boardings'!DE45/'Service Days per Month'!DE$5</f>
        <v>975.25</v>
      </c>
      <c r="DF45" s="18">
        <f>'Total Saturday Boardings'!DF45/'Service Days per Month'!DF$5</f>
        <v>945.2</v>
      </c>
      <c r="DG45" s="18">
        <f>'Total Saturday Boardings'!DG45/'Service Days per Month'!DG$5</f>
        <v>986.5</v>
      </c>
      <c r="DH45" s="18">
        <f>'Total Saturday Boardings'!DH45/'Service Days per Month'!DH$5</f>
        <v>1031.25</v>
      </c>
      <c r="DI45" s="18">
        <f>'Total Saturday Boardings'!DI45/'Service Days per Month'!DI$5</f>
        <v>976.8</v>
      </c>
      <c r="DJ45" s="18">
        <f>'Total Saturday Boardings'!DJ45/'Service Days per Month'!DJ$5</f>
        <v>954</v>
      </c>
      <c r="DK45" s="18">
        <f>'Total Saturday Boardings'!DK45/'Service Days per Month'!DK$5</f>
        <v>936.25</v>
      </c>
      <c r="DL45" s="19">
        <f>'Total Saturday Boardings'!DL45/'Service Days per Month'!DL$5</f>
        <v>904</v>
      </c>
      <c r="DM45" s="17">
        <f>'Total Saturday Boardings'!DM45/'Service Days per Month'!DM$5</f>
        <v>923.5</v>
      </c>
      <c r="DN45" s="18">
        <f>'Total Saturday Boardings'!DN45/'Service Days per Month'!DN$5</f>
        <v>909.75</v>
      </c>
      <c r="DO45" s="18">
        <f>'Total Saturday Boardings'!DO45/'Service Days per Month'!DO$5</f>
        <v>927.8</v>
      </c>
      <c r="DP45" s="18">
        <f>'Total Saturday Boardings'!DP45/'Service Days per Month'!DP$5</f>
        <v>981.25</v>
      </c>
      <c r="DQ45" s="18">
        <f>'Total Saturday Boardings'!DQ45/'Service Days per Month'!DQ$5</f>
        <v>1019.75</v>
      </c>
      <c r="DR45" s="18">
        <f>'Total Saturday Boardings'!DR45/'Service Days per Month'!DR$5</f>
        <v>994.2</v>
      </c>
      <c r="DS45" s="18">
        <f>'Total Saturday Boardings'!DS45/'Service Days per Month'!DS$5</f>
        <v>932</v>
      </c>
      <c r="DT45" s="18">
        <f>'Total Saturday Boardings'!DT45/'Service Days per Month'!DT$5</f>
        <v>961.5</v>
      </c>
      <c r="DU45" s="18">
        <f>'Total Saturday Boardings'!DU45/'Service Days per Month'!DU$5</f>
        <v>966.8</v>
      </c>
      <c r="DV45" s="18">
        <f>'Total Saturday Boardings'!DV45/'Service Days per Month'!DV$5</f>
        <v>928.25</v>
      </c>
      <c r="DW45" s="18">
        <f>'Total Saturday Boardings'!DW45/'Service Days per Month'!DW$5</f>
        <v>950.5</v>
      </c>
      <c r="DX45" s="19">
        <f>'Total Saturday Boardings'!DX45/'Service Days per Month'!DX$5</f>
        <v>946.2</v>
      </c>
      <c r="DY45" s="17">
        <f>'Total Saturday Boardings'!DY45/'Service Days per Month'!DY$5</f>
        <v>831.25</v>
      </c>
      <c r="DZ45" s="18">
        <f>'Total Saturday Boardings'!DZ45/'Service Days per Month'!DZ$5</f>
        <v>876.8</v>
      </c>
      <c r="EA45" s="18">
        <f>'Total Saturday Boardings'!EA45/'Service Days per Month'!EA$5</f>
        <v>969.75</v>
      </c>
      <c r="EB45" s="18">
        <f>'Total Saturday Boardings'!EB45/'Service Days per Month'!EB$5</f>
        <v>985.25</v>
      </c>
      <c r="EC45" s="18">
        <f>'Total Saturday Boardings'!EC45/'Service Days per Month'!EC$5</f>
        <v>998</v>
      </c>
      <c r="ED45" s="18">
        <f>'Total Saturday Boardings'!ED45/'Service Days per Month'!ED$5</f>
        <v>906.5</v>
      </c>
      <c r="EE45" s="18">
        <f>'Total Saturday Boardings'!EE45/'Service Days per Month'!EE$5</f>
        <v>903.25</v>
      </c>
      <c r="EF45" s="18">
        <f>'Total Saturday Boardings'!EF45/'Service Days per Month'!EF$5</f>
        <v>977.2</v>
      </c>
      <c r="EG45" s="18">
        <f>'Total Saturday Boardings'!EG45/'Service Days per Month'!EG$5</f>
        <v>854.25</v>
      </c>
      <c r="EH45" s="18">
        <f>'Total Saturday Boardings'!EH45/'Service Days per Month'!EH$5</f>
        <v>620.5</v>
      </c>
      <c r="EI45" s="18">
        <f>'Total Saturday Boardings'!EI45/'Service Days per Month'!EI$5</f>
        <v>608.6</v>
      </c>
      <c r="EJ45" s="19">
        <f>'Total Saturday Boardings'!EJ45/'Service Days per Month'!EJ$5</f>
        <v>564.5</v>
      </c>
      <c r="EK45" s="17">
        <f>'Total Saturday Boardings'!EK45/'Service Days per Month'!EK$5</f>
        <v>361.75</v>
      </c>
      <c r="EL45" s="18">
        <f>'Total Saturday Boardings'!EL45/'Service Days per Month'!EL$5</f>
        <v>491.8</v>
      </c>
      <c r="EM45" s="18">
        <f>'Total Saturday Boardings'!EM45/'Service Days per Month'!EM$5</f>
        <v>506.25</v>
      </c>
      <c r="EN45" s="18">
        <f>'Total Saturday Boardings'!EN45/'Service Days per Month'!EN$5</f>
        <v>537.79999999999995</v>
      </c>
      <c r="EO45" s="18">
        <f>'Total Saturday Boardings'!EO45/'Service Days per Month'!EO$5</f>
        <v>532</v>
      </c>
      <c r="EP45" s="18">
        <f>'Total Saturday Boardings'!EP45/'Service Days per Month'!EP$5</f>
        <v>389.25</v>
      </c>
      <c r="EQ45" s="18">
        <f>'Total Saturday Boardings'!EQ45/'Service Days per Month'!EQ$5</f>
        <v>226.2</v>
      </c>
      <c r="ER45" s="18">
        <f>'Total Saturday Boardings'!ER45/'Service Days per Month'!ER$5</f>
        <v>419.25</v>
      </c>
      <c r="ES45" s="18">
        <f>'Total Saturday Boardings'!ES45/'Service Days per Month'!ES$5</f>
        <v>479.75</v>
      </c>
      <c r="ET45" s="18">
        <f>'Total Saturday Boardings'!ET45/'Service Days per Month'!ET$5</f>
        <v>469.25</v>
      </c>
      <c r="EU45" s="18">
        <f>'Total Saturday Boardings'!EU45/'Service Days per Month'!EU$5</f>
        <v>476.6</v>
      </c>
      <c r="EV45" s="19">
        <f>'Total Saturday Boardings'!EV45/'Service Days per Month'!EV$5</f>
        <v>456.5</v>
      </c>
      <c r="EW45" s="17">
        <f>'Total Saturday Boardings'!EW45/'Service Days per Month'!EW$5</f>
        <v>425.6</v>
      </c>
      <c r="EX45" s="18">
        <f>'Total Saturday Boardings'!EX45/'Service Days per Month'!EX$5</f>
        <v>441</v>
      </c>
      <c r="EY45" s="18">
        <f>'Total Saturday Boardings'!EY45/'Service Days per Month'!EY$5</f>
        <v>494.75</v>
      </c>
      <c r="EZ45" s="18">
        <f>'Total Saturday Boardings'!EZ45/'Service Days per Month'!EZ$5</f>
        <v>535.6</v>
      </c>
      <c r="FA45" s="18">
        <f>'Total Saturday Boardings'!FA45/'Service Days per Month'!FA$5</f>
        <v>551.75</v>
      </c>
      <c r="FB45" s="18">
        <f>'Total Saturday Boardings'!FB45/'Service Days per Month'!FB$5</f>
        <v>509.5</v>
      </c>
      <c r="FC45" s="18">
        <f>'Total Saturday Boardings'!FC45/'Service Days per Month'!FC$5</f>
        <v>477</v>
      </c>
      <c r="FD45" s="18">
        <f>'Total Saturday Boardings'!FD45/'Service Days per Month'!FD$5</f>
        <v>561.75</v>
      </c>
      <c r="FE45" s="18">
        <f>'Total Saturday Boardings'!FE45/'Service Days per Month'!FE$5</f>
        <v>704</v>
      </c>
      <c r="FF45" s="18">
        <f>'Total Saturday Boardings'!FF45/'Service Days per Month'!FF$5</f>
        <v>675.4</v>
      </c>
      <c r="FG45" s="18">
        <f>'Total Saturday Boardings'!FG45/'Service Days per Month'!FG$5</f>
        <v>627.25</v>
      </c>
      <c r="FH45" s="19">
        <f>'Total Saturday Boardings'!FH45/'Service Days per Month'!FH$5</f>
        <v>532.25</v>
      </c>
      <c r="FI45" s="17">
        <v>546.4</v>
      </c>
      <c r="FJ45" s="18">
        <v>543</v>
      </c>
      <c r="FK45" s="18">
        <v>539.5</v>
      </c>
      <c r="FL45" s="18">
        <v>569</v>
      </c>
      <c r="FM45" s="18">
        <v>428.2</v>
      </c>
      <c r="FN45" s="18">
        <v>520.20000000000005</v>
      </c>
      <c r="FO45" s="18">
        <v>430.4</v>
      </c>
      <c r="FP45" s="18">
        <v>589.25</v>
      </c>
      <c r="FQ45" s="18">
        <v>622.25</v>
      </c>
      <c r="FR45" s="18">
        <f>'Total Saturday Boardings'!FR45/5</f>
        <v>610.6</v>
      </c>
      <c r="FS45" s="18">
        <f>'Total Saturday Boardings'!FS45/4</f>
        <v>615</v>
      </c>
      <c r="FT45" s="19">
        <f>'Total Saturday Boardings'!FT45/4</f>
        <v>586.5</v>
      </c>
      <c r="FU45" s="17">
        <f>'Total Saturday Boardings'!FU45/5</f>
        <v>552.4</v>
      </c>
      <c r="FV45" s="18">
        <f>'Total Saturday Boardings'!FV45/4</f>
        <v>548</v>
      </c>
      <c r="FW45" s="18">
        <f>'Total Saturday Boardings'!FW45/5</f>
        <v>570.79999999999995</v>
      </c>
      <c r="FX45" s="18">
        <f>'Total Saturday Boardings'!FX45/4</f>
        <v>598</v>
      </c>
      <c r="FY45" s="18">
        <f>'Total Saturday Boardings'!FY45/4</f>
        <v>615.25</v>
      </c>
      <c r="FZ45" s="18">
        <f>'Total Saturday Boardings'!FZ45/5</f>
        <v>584</v>
      </c>
      <c r="GA45" s="18">
        <f>'Total Saturday Boardings'!GA45/4</f>
        <v>639</v>
      </c>
      <c r="GB45" s="18">
        <f>'Total Saturday Boardings'!GB45/4</f>
        <v>676.25</v>
      </c>
      <c r="GC45" s="18">
        <f>'Total Saturday Boardings'!GC45/5</f>
        <v>682.2</v>
      </c>
      <c r="GD45" s="18">
        <f>'Total Saturday Boardings'!GD45/4</f>
        <v>581.75</v>
      </c>
      <c r="GE45" s="18">
        <f>'Total Saturday Boardings'!GE45/4</f>
        <v>600</v>
      </c>
      <c r="GF45" s="18">
        <f>'Total Saturday Boardings'!GF45/5</f>
        <v>552.79999999999995</v>
      </c>
      <c r="GG45" s="18">
        <f>'Total Saturday Boardings'!GG45/4</f>
        <v>565.25</v>
      </c>
      <c r="GH45" s="18">
        <f>'Total Saturday Boardings'!GH45/5</f>
        <v>577.79999999999995</v>
      </c>
      <c r="GI45" s="18">
        <f>'Total Saturday Boardings'!GI45/4</f>
        <v>597.75</v>
      </c>
      <c r="GJ45" s="18">
        <f>'Total Saturday Boardings'!GJ45/4</f>
        <v>567</v>
      </c>
      <c r="GK45" s="18">
        <f>'Total Saturday Boardings'!GK45/5</f>
        <v>546.6</v>
      </c>
      <c r="GL45" s="18">
        <f>'Total Saturday Boardings'!GL45/4</f>
        <v>560.25</v>
      </c>
    </row>
    <row r="46" spans="1:194" x14ac:dyDescent="0.3">
      <c r="A46" s="4" t="s">
        <v>28</v>
      </c>
      <c r="B46" s="17"/>
      <c r="C46" s="18"/>
      <c r="D46" s="18"/>
      <c r="E46" s="18"/>
      <c r="F46" s="18"/>
      <c r="G46" s="18"/>
      <c r="H46" s="19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  <c r="U46" s="17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9"/>
      <c r="AG46" s="17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9"/>
      <c r="AS46" s="17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9"/>
      <c r="BE46" s="17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9"/>
      <c r="BQ46" s="17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9"/>
      <c r="CC46" s="20"/>
      <c r="CD46" s="18">
        <f>'Total Saturday Boardings'!CD46/'Service Days per Month'!CD$9</f>
        <v>1470.5</v>
      </c>
      <c r="CE46" s="18">
        <f>'Total Saturday Boardings'!CE46/'Service Days per Month'!CE$5</f>
        <v>340.25</v>
      </c>
      <c r="CF46" s="18">
        <f>'Total Saturday Boardings'!CF46/'Service Days per Month'!CF$5</f>
        <v>410.6</v>
      </c>
      <c r="CG46" s="18">
        <f>'Total Saturday Boardings'!CG46/'Service Days per Month'!CG$5</f>
        <v>494.75</v>
      </c>
      <c r="CH46" s="18">
        <f>'Total Saturday Boardings'!CH46/'Service Days per Month'!CH$5</f>
        <v>556.25</v>
      </c>
      <c r="CI46" s="18">
        <f>'Total Saturday Boardings'!CI46/'Service Days per Month'!CI$5</f>
        <v>406.6</v>
      </c>
      <c r="CJ46" s="18">
        <f>'Total Saturday Boardings'!CJ46/'Service Days per Month'!CJ$5</f>
        <v>387</v>
      </c>
      <c r="CK46" s="18">
        <f>'Total Saturday Boardings'!CK46/'Service Days per Month'!CK$5</f>
        <v>430.25</v>
      </c>
      <c r="CL46" s="18">
        <f>'Total Saturday Boardings'!CL46/'Service Days per Month'!CL$5</f>
        <v>402.8</v>
      </c>
      <c r="CM46" s="18">
        <f>'Total Saturday Boardings'!CM46/'Service Days per Month'!CM$5</f>
        <v>366</v>
      </c>
      <c r="CN46" s="21">
        <f>'Total Saturday Boardings'!CN46/'Service Days per Month'!CN$5</f>
        <v>306.5</v>
      </c>
      <c r="CO46" s="17">
        <f>'Total Saturday Boardings'!CO46/'Service Days per Month'!CO$5</f>
        <v>317.8</v>
      </c>
      <c r="CP46" s="18">
        <f>'Total Saturday Boardings'!CP46/'Service Days per Month'!CP$5</f>
        <v>372.75</v>
      </c>
      <c r="CQ46" s="18">
        <f>'Total Saturday Boardings'!CQ46/'Service Days per Month'!CQ$5</f>
        <v>364.75</v>
      </c>
      <c r="CR46" s="18">
        <f>'Total Saturday Boardings'!CR46/'Service Days per Month'!CR$5</f>
        <v>399.4</v>
      </c>
      <c r="CS46" s="18">
        <f>'Total Saturday Boardings'!CS46/'Service Days per Month'!CS$5</f>
        <v>434</v>
      </c>
      <c r="CT46" s="18">
        <f>'Total Saturday Boardings'!CT46/'Service Days per Month'!CT$5</f>
        <v>552</v>
      </c>
      <c r="CU46" s="18">
        <f>'Total Saturday Boardings'!CU46/'Service Days per Month'!CU$5</f>
        <v>376</v>
      </c>
      <c r="CV46" s="18">
        <f>'Total Saturday Boardings'!CV46/'Service Days per Month'!CV$5</f>
        <v>358.5</v>
      </c>
      <c r="CW46" s="18">
        <f>'Total Saturday Boardings'!CW46/'Service Days per Month'!CW$5</f>
        <v>417.75</v>
      </c>
      <c r="CX46" s="18">
        <f>'Total Saturday Boardings'!CX46/'Service Days per Month'!CX$5</f>
        <v>407.6</v>
      </c>
      <c r="CY46" s="18">
        <f>'Total Saturday Boardings'!CY46/'Service Days per Month'!CY$5</f>
        <v>387.25</v>
      </c>
      <c r="CZ46" s="19">
        <f>'Total Saturday Boardings'!CZ46/'Service Days per Month'!CZ$5</f>
        <v>372</v>
      </c>
      <c r="DA46" s="17">
        <f>'Total Saturday Boardings'!DA46/'Service Days per Month'!DA$5</f>
        <v>369.4</v>
      </c>
      <c r="DB46" s="18">
        <f>'Total Saturday Boardings'!DB46/'Service Days per Month'!DB$5</f>
        <v>425.75</v>
      </c>
      <c r="DC46" s="18">
        <f>'Total Saturday Boardings'!DC46/'Service Days per Month'!DC$5</f>
        <v>412.8</v>
      </c>
      <c r="DD46" s="18">
        <f>'Total Saturday Boardings'!DD46/'Service Days per Month'!DD$5</f>
        <v>510.25</v>
      </c>
      <c r="DE46" s="18">
        <f>'Total Saturday Boardings'!DE46/'Service Days per Month'!DE$5</f>
        <v>510</v>
      </c>
      <c r="DF46" s="18">
        <f>'Total Saturday Boardings'!DF46/'Service Days per Month'!DF$5</f>
        <v>555</v>
      </c>
      <c r="DG46" s="18">
        <f>'Total Saturday Boardings'!DG46/'Service Days per Month'!DG$5</f>
        <v>397.75</v>
      </c>
      <c r="DH46" s="18">
        <f>'Total Saturday Boardings'!DH46/'Service Days per Month'!DH$5</f>
        <v>481.75</v>
      </c>
      <c r="DI46" s="18">
        <f>'Total Saturday Boardings'!DI46/'Service Days per Month'!DI$5</f>
        <v>448.4</v>
      </c>
      <c r="DJ46" s="18">
        <f>'Total Saturday Boardings'!DJ46/'Service Days per Month'!DJ$5</f>
        <v>396.5</v>
      </c>
      <c r="DK46" s="18">
        <f>'Total Saturday Boardings'!DK46/'Service Days per Month'!DK$5</f>
        <v>354.25</v>
      </c>
      <c r="DL46" s="19">
        <f>'Total Saturday Boardings'!DL46/'Service Days per Month'!DL$5</f>
        <v>364.2</v>
      </c>
      <c r="DM46" s="17">
        <f>'Total Saturday Boardings'!DM46/'Service Days per Month'!DM$5</f>
        <v>356.75</v>
      </c>
      <c r="DN46" s="18">
        <f>'Total Saturday Boardings'!DN46/'Service Days per Month'!DN$5</f>
        <v>349</v>
      </c>
      <c r="DO46" s="18">
        <f>'Total Saturday Boardings'!DO46/'Service Days per Month'!DO$5</f>
        <v>412</v>
      </c>
      <c r="DP46" s="18">
        <f>'Total Saturday Boardings'!DP46/'Service Days per Month'!DP$5</f>
        <v>414.25</v>
      </c>
      <c r="DQ46" s="18">
        <f>'Total Saturday Boardings'!DQ46/'Service Days per Month'!DQ$5</f>
        <v>421.75</v>
      </c>
      <c r="DR46" s="18">
        <f>'Total Saturday Boardings'!DR46/'Service Days per Month'!DR$5</f>
        <v>492.4</v>
      </c>
      <c r="DS46" s="18">
        <f>'Total Saturday Boardings'!DS46/'Service Days per Month'!DS$5</f>
        <v>363.25</v>
      </c>
      <c r="DT46" s="18">
        <f>'Total Saturday Boardings'!DT46/'Service Days per Month'!DT$5</f>
        <v>423.75</v>
      </c>
      <c r="DU46" s="18">
        <f>'Total Saturday Boardings'!DU46/'Service Days per Month'!DU$5</f>
        <v>408.4</v>
      </c>
      <c r="DV46" s="18">
        <f>'Total Saturday Boardings'!DV46/'Service Days per Month'!DV$5</f>
        <v>382.5</v>
      </c>
      <c r="DW46" s="18">
        <f>'Total Saturday Boardings'!DW46/'Service Days per Month'!DW$5</f>
        <v>397</v>
      </c>
      <c r="DX46" s="19">
        <f>'Total Saturday Boardings'!DX46/'Service Days per Month'!DX$5</f>
        <v>362</v>
      </c>
      <c r="DY46" s="17">
        <f>'Total Saturday Boardings'!DY46/'Service Days per Month'!DY$5</f>
        <v>337.75</v>
      </c>
      <c r="DZ46" s="18">
        <f>'Total Saturday Boardings'!DZ46/'Service Days per Month'!DZ$5</f>
        <v>368.8</v>
      </c>
      <c r="EA46" s="18">
        <f>'Total Saturday Boardings'!EA46/'Service Days per Month'!EA$5</f>
        <v>431.75</v>
      </c>
      <c r="EB46" s="18">
        <f>'Total Saturday Boardings'!EB46/'Service Days per Month'!EB$5</f>
        <v>500</v>
      </c>
      <c r="EC46" s="18">
        <f>'Total Saturday Boardings'!EC46/'Service Days per Month'!EC$5</f>
        <v>495.4</v>
      </c>
      <c r="ED46" s="18">
        <f>'Total Saturday Boardings'!ED46/'Service Days per Month'!ED$5</f>
        <v>545.25</v>
      </c>
      <c r="EE46" s="18">
        <f>'Total Saturday Boardings'!EE46/'Service Days per Month'!EE$5</f>
        <v>380.5</v>
      </c>
      <c r="EF46" s="18">
        <f>'Total Saturday Boardings'!EF46/'Service Days per Month'!EF$5</f>
        <v>437</v>
      </c>
      <c r="EG46" s="18">
        <f>'Total Saturday Boardings'!EG46/'Service Days per Month'!EG$5</f>
        <v>480.75</v>
      </c>
      <c r="EH46" s="18">
        <f>'Total Saturday Boardings'!EH46/'Service Days per Month'!EH$5</f>
        <v>262.25</v>
      </c>
      <c r="EI46" s="18">
        <f>'Total Saturday Boardings'!EI46/'Service Days per Month'!EI$5</f>
        <v>223.8</v>
      </c>
      <c r="EJ46" s="19">
        <f>'Total Saturday Boardings'!EJ46/'Service Days per Month'!EJ$5</f>
        <v>197.25</v>
      </c>
      <c r="EK46" s="17">
        <f>'Total Saturday Boardings'!EK46/'Service Days per Month'!EK$5</f>
        <v>151.25</v>
      </c>
      <c r="EL46" s="18">
        <f>'Total Saturday Boardings'!EL46/'Service Days per Month'!EL$5</f>
        <v>201.8</v>
      </c>
      <c r="EM46" s="18">
        <f>'Total Saturday Boardings'!EM46/'Service Days per Month'!EM$5</f>
        <v>190.25</v>
      </c>
      <c r="EN46" s="18">
        <f>'Total Saturday Boardings'!EN46/'Service Days per Month'!EN$5</f>
        <v>235</v>
      </c>
      <c r="EO46" s="18">
        <f>'Total Saturday Boardings'!EO46/'Service Days per Month'!EO$5</f>
        <v>215</v>
      </c>
      <c r="EP46" s="18">
        <f>'Total Saturday Boardings'!EP46/'Service Days per Month'!EP$5</f>
        <v>173.5</v>
      </c>
      <c r="EQ46" s="18">
        <f>'Total Saturday Boardings'!EQ46/'Service Days per Month'!EQ$5</f>
        <v>96.8</v>
      </c>
      <c r="ER46" s="18">
        <f>'Total Saturday Boardings'!ER46/'Service Days per Month'!ER$5</f>
        <v>181</v>
      </c>
      <c r="ES46" s="18">
        <f>'Total Saturday Boardings'!ES46/'Service Days per Month'!ES$5</f>
        <v>193.5</v>
      </c>
      <c r="ET46" s="18">
        <f>'Total Saturday Boardings'!ET46/'Service Days per Month'!ET$5</f>
        <v>233.5</v>
      </c>
      <c r="EU46" s="18">
        <f>'Total Saturday Boardings'!EU46/'Service Days per Month'!EU$5</f>
        <v>190.4</v>
      </c>
      <c r="EV46" s="19">
        <f>'Total Saturday Boardings'!EV46/'Service Days per Month'!EV$5</f>
        <v>208.5</v>
      </c>
      <c r="EW46" s="17">
        <f>'Total Saturday Boardings'!EW46/'Service Days per Month'!EW$5</f>
        <v>172</v>
      </c>
      <c r="EX46" s="18">
        <f>'Total Saturday Boardings'!EX46/'Service Days per Month'!EX$5</f>
        <v>201.25</v>
      </c>
      <c r="EY46" s="18">
        <f>'Total Saturday Boardings'!EY46/'Service Days per Month'!EY$5</f>
        <v>211.75</v>
      </c>
      <c r="EZ46" s="18">
        <f>'Total Saturday Boardings'!EZ46/'Service Days per Month'!EZ$5</f>
        <v>279</v>
      </c>
      <c r="FA46" s="18">
        <f>'Total Saturday Boardings'!FA46/'Service Days per Month'!FA$5</f>
        <v>260.5</v>
      </c>
      <c r="FB46" s="18">
        <f>'Total Saturday Boardings'!FB46/'Service Days per Month'!FB$5</f>
        <v>296.5</v>
      </c>
      <c r="FC46" s="18">
        <f>'Total Saturday Boardings'!FC46/'Service Days per Month'!FC$5</f>
        <v>214.8</v>
      </c>
      <c r="FD46" s="18">
        <f>'Total Saturday Boardings'!FD46/'Service Days per Month'!FD$5</f>
        <v>261.5</v>
      </c>
      <c r="FE46" s="18">
        <f>'Total Saturday Boardings'!FE46/'Service Days per Month'!FE$5</f>
        <v>304.25</v>
      </c>
      <c r="FF46" s="18">
        <f>'Total Saturday Boardings'!FF46/'Service Days per Month'!FF$5</f>
        <v>288.60000000000002</v>
      </c>
      <c r="FG46" s="18">
        <f>'Total Saturday Boardings'!FG46/'Service Days per Month'!FG$5</f>
        <v>279.5</v>
      </c>
      <c r="FH46" s="19">
        <f>'Total Saturday Boardings'!FH46/'Service Days per Month'!FH$5</f>
        <v>225.25</v>
      </c>
      <c r="FI46" s="17">
        <v>237.6</v>
      </c>
      <c r="FJ46" s="18">
        <v>254</v>
      </c>
      <c r="FK46" s="18">
        <v>248</v>
      </c>
      <c r="FL46" s="18">
        <v>345.2</v>
      </c>
      <c r="FM46" s="18">
        <v>251</v>
      </c>
      <c r="FN46" s="18">
        <v>273.60000000000002</v>
      </c>
      <c r="FO46" s="18">
        <v>231.8</v>
      </c>
      <c r="FP46" s="18">
        <v>311.25</v>
      </c>
      <c r="FQ46" s="18">
        <v>315</v>
      </c>
      <c r="FR46" s="18">
        <f>'Total Saturday Boardings'!FR46/5</f>
        <v>346.6</v>
      </c>
      <c r="FS46" s="18">
        <f>'Total Saturday Boardings'!FS46/4</f>
        <v>292.75</v>
      </c>
      <c r="FT46" s="19">
        <f>'Total Saturday Boardings'!FT46/4</f>
        <v>286</v>
      </c>
      <c r="FU46" s="17">
        <f>'Total Saturday Boardings'!FU46/5</f>
        <v>266.39999999999998</v>
      </c>
      <c r="FV46" s="18">
        <f>'Total Saturday Boardings'!FV46/4</f>
        <v>275.75</v>
      </c>
      <c r="FW46" s="18">
        <f>'Total Saturday Boardings'!FW46/5</f>
        <v>288.39999999999998</v>
      </c>
      <c r="FX46" s="18">
        <f>'Total Saturday Boardings'!FX46/4</f>
        <v>351</v>
      </c>
      <c r="FY46" s="18">
        <f>'Total Saturday Boardings'!FY46/4</f>
        <v>351.5</v>
      </c>
      <c r="FZ46" s="18">
        <f>'Total Saturday Boardings'!FZ46/5</f>
        <v>361</v>
      </c>
      <c r="GA46" s="18">
        <f>'Total Saturday Boardings'!GA46/4</f>
        <v>333.75</v>
      </c>
      <c r="GB46" s="18">
        <f>'Total Saturday Boardings'!GB46/4</f>
        <v>370.25</v>
      </c>
      <c r="GC46" s="18">
        <f>'Total Saturday Boardings'!GC46/5</f>
        <v>338.8</v>
      </c>
      <c r="GD46" s="18">
        <f>'Total Saturday Boardings'!GD46/4</f>
        <v>304.5</v>
      </c>
      <c r="GE46" s="18">
        <f>'Total Saturday Boardings'!GE46/4</f>
        <v>308.75</v>
      </c>
      <c r="GF46" s="18">
        <f>'Total Saturday Boardings'!GF46/5</f>
        <v>289.2</v>
      </c>
      <c r="GG46" s="18">
        <f>'Total Saturday Boardings'!GG46/4</f>
        <v>277.75</v>
      </c>
      <c r="GH46" s="18">
        <f>'Total Saturday Boardings'!GH46/5</f>
        <v>338.8</v>
      </c>
      <c r="GI46" s="18">
        <f>'Total Saturday Boardings'!GI46/4</f>
        <v>328.75</v>
      </c>
      <c r="GJ46" s="18">
        <f>'Total Saturday Boardings'!GJ46/4</f>
        <v>380.75</v>
      </c>
      <c r="GK46" s="18">
        <f>'Total Saturday Boardings'!GK46/5</f>
        <v>322.39999999999998</v>
      </c>
      <c r="GL46" s="18">
        <f>'Total Saturday Boardings'!GL46/4</f>
        <v>382</v>
      </c>
    </row>
    <row r="47" spans="1:194" ht="15" thickBot="1" x14ac:dyDescent="0.35">
      <c r="A47" s="11" t="s">
        <v>29</v>
      </c>
      <c r="B47" s="27"/>
      <c r="C47" s="28"/>
      <c r="D47" s="28"/>
      <c r="E47" s="28"/>
      <c r="F47" s="28"/>
      <c r="G47" s="28"/>
      <c r="H47" s="29"/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9"/>
      <c r="U47" s="27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9"/>
      <c r="AG47" s="27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9"/>
      <c r="AS47" s="27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9"/>
      <c r="BE47" s="27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9"/>
      <c r="BQ47" s="27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9"/>
      <c r="CC47" s="30"/>
      <c r="CD47" s="28">
        <f>'Total Saturday Boardings'!CD47/'Service Days per Month'!CD$9</f>
        <v>2887.5</v>
      </c>
      <c r="CE47" s="28">
        <f>'Total Saturday Boardings'!CE47/'Service Days per Month'!CE$5</f>
        <v>2197.75</v>
      </c>
      <c r="CF47" s="28">
        <f>'Total Saturday Boardings'!CF47/'Service Days per Month'!CF$5</f>
        <v>2279.8000000000002</v>
      </c>
      <c r="CG47" s="28">
        <f>'Total Saturday Boardings'!CG47/'Service Days per Month'!CG$5</f>
        <v>2501</v>
      </c>
      <c r="CH47" s="28">
        <f>'Total Saturday Boardings'!CH47/'Service Days per Month'!CH$5</f>
        <v>2293</v>
      </c>
      <c r="CI47" s="28">
        <f>'Total Saturday Boardings'!CI47/'Service Days per Month'!CI$5</f>
        <v>2176.1999999999998</v>
      </c>
      <c r="CJ47" s="28">
        <f>'Total Saturday Boardings'!CJ47/'Service Days per Month'!CJ$5</f>
        <v>2055.5</v>
      </c>
      <c r="CK47" s="28">
        <f>'Total Saturday Boardings'!CK47/'Service Days per Month'!CK$5</f>
        <v>2122.75</v>
      </c>
      <c r="CL47" s="28">
        <f>'Total Saturday Boardings'!CL47/'Service Days per Month'!CL$5</f>
        <v>2472.8000000000002</v>
      </c>
      <c r="CM47" s="28">
        <f>'Total Saturday Boardings'!CM47/'Service Days per Month'!CM$5</f>
        <v>1918.5</v>
      </c>
      <c r="CN47" s="31">
        <f>'Total Saturday Boardings'!CN47/'Service Days per Month'!CN$5</f>
        <v>1882.75</v>
      </c>
      <c r="CO47" s="27">
        <f>'Total Saturday Boardings'!CO47/'Service Days per Month'!CO$5</f>
        <v>1919.2</v>
      </c>
      <c r="CP47" s="28">
        <f>'Total Saturday Boardings'!CP47/'Service Days per Month'!CP$5</f>
        <v>1932.25</v>
      </c>
      <c r="CQ47" s="28">
        <f>'Total Saturday Boardings'!CQ47/'Service Days per Month'!CQ$5</f>
        <v>2332.5</v>
      </c>
      <c r="CR47" s="28">
        <f>'Total Saturday Boardings'!CR47/'Service Days per Month'!CR$5</f>
        <v>2308.6</v>
      </c>
      <c r="CS47" s="28">
        <f>'Total Saturday Boardings'!CS47/'Service Days per Month'!CS$5</f>
        <v>1811.75</v>
      </c>
      <c r="CT47" s="28">
        <f>'Total Saturday Boardings'!CT47/'Service Days per Month'!CT$5</f>
        <v>2836</v>
      </c>
      <c r="CU47" s="28">
        <f>'Total Saturday Boardings'!CU47/'Service Days per Month'!CU$5</f>
        <v>2005.75</v>
      </c>
      <c r="CV47" s="28">
        <f>'Total Saturday Boardings'!CV47/'Service Days per Month'!CV$5</f>
        <v>2135.5</v>
      </c>
      <c r="CW47" s="28">
        <f>'Total Saturday Boardings'!CW47/'Service Days per Month'!CW$5</f>
        <v>2216.75</v>
      </c>
      <c r="CX47" s="28">
        <f>'Total Saturday Boardings'!CX47/'Service Days per Month'!CX$5</f>
        <v>2640.8</v>
      </c>
      <c r="CY47" s="28">
        <f>'Total Saturday Boardings'!CY47/'Service Days per Month'!CY$5</f>
        <v>2167.25</v>
      </c>
      <c r="CZ47" s="29">
        <f>'Total Saturday Boardings'!CZ47/'Service Days per Month'!CZ$5</f>
        <v>1920</v>
      </c>
      <c r="DA47" s="27">
        <f>'Total Saturday Boardings'!DA47/'Service Days per Month'!DA$5</f>
        <v>2006.6</v>
      </c>
      <c r="DB47" s="28">
        <f>'Total Saturday Boardings'!DB47/'Service Days per Month'!DB$5</f>
        <v>2172</v>
      </c>
      <c r="DC47" s="28">
        <f>'Total Saturday Boardings'!DC47/'Service Days per Month'!DC$5</f>
        <v>2304.1999999999998</v>
      </c>
      <c r="DD47" s="28">
        <f>'Total Saturday Boardings'!DD47/'Service Days per Month'!DD$5</f>
        <v>2407.25</v>
      </c>
      <c r="DE47" s="28">
        <f>'Total Saturday Boardings'!DE47/'Service Days per Month'!DE$5</f>
        <v>2346</v>
      </c>
      <c r="DF47" s="28">
        <f>'Total Saturday Boardings'!DF47/'Service Days per Month'!DF$5</f>
        <v>2887.8</v>
      </c>
      <c r="DG47" s="28">
        <f>'Total Saturday Boardings'!DG47/'Service Days per Month'!DG$5</f>
        <v>1924.5</v>
      </c>
      <c r="DH47" s="28">
        <f>'Total Saturday Boardings'!DH47/'Service Days per Month'!DH$5</f>
        <v>2169.5</v>
      </c>
      <c r="DI47" s="28">
        <f>'Total Saturday Boardings'!DI47/'Service Days per Month'!DI$5</f>
        <v>2355.1999999999998</v>
      </c>
      <c r="DJ47" s="28">
        <f>'Total Saturday Boardings'!DJ47/'Service Days per Month'!DJ$5</f>
        <v>2328.75</v>
      </c>
      <c r="DK47" s="28">
        <f>'Total Saturday Boardings'!DK47/'Service Days per Month'!DK$5</f>
        <v>1960.25</v>
      </c>
      <c r="DL47" s="29">
        <f>'Total Saturday Boardings'!DL47/'Service Days per Month'!DL$5</f>
        <v>1926</v>
      </c>
      <c r="DM47" s="27">
        <f>'Total Saturday Boardings'!DM47/'Service Days per Month'!DM$5</f>
        <v>1957</v>
      </c>
      <c r="DN47" s="28">
        <f>'Total Saturday Boardings'!DN47/'Service Days per Month'!DN$5</f>
        <v>2059.75</v>
      </c>
      <c r="DO47" s="28">
        <f>'Total Saturday Boardings'!DO47/'Service Days per Month'!DO$5</f>
        <v>2322.6</v>
      </c>
      <c r="DP47" s="28">
        <f>'Total Saturday Boardings'!DP47/'Service Days per Month'!DP$5</f>
        <v>1844.25</v>
      </c>
      <c r="DQ47" s="28">
        <f>'Total Saturday Boardings'!DQ47/'Service Days per Month'!DQ$5</f>
        <v>2357</v>
      </c>
      <c r="DR47" s="28">
        <f>'Total Saturday Boardings'!DR47/'Service Days per Month'!DR$5</f>
        <v>3253.8</v>
      </c>
      <c r="DS47" s="28">
        <f>'Total Saturday Boardings'!DS47/'Service Days per Month'!DS$5</f>
        <v>2131.25</v>
      </c>
      <c r="DT47" s="28">
        <f>'Total Saturday Boardings'!DT47/'Service Days per Month'!DT$5</f>
        <v>2229.75</v>
      </c>
      <c r="DU47" s="28">
        <f>'Total Saturday Boardings'!DU47/'Service Days per Month'!DU$5</f>
        <v>2426.8000000000002</v>
      </c>
      <c r="DV47" s="28">
        <f>'Total Saturday Boardings'!DV47/'Service Days per Month'!DV$5</f>
        <v>2440.25</v>
      </c>
      <c r="DW47" s="28">
        <f>'Total Saturday Boardings'!DW47/'Service Days per Month'!DW$5</f>
        <v>1685.25</v>
      </c>
      <c r="DX47" s="29">
        <f>'Total Saturday Boardings'!DX47/'Service Days per Month'!DX$5</f>
        <v>663.2</v>
      </c>
      <c r="DY47" s="27">
        <f>'Total Saturday Boardings'!DY47/'Service Days per Month'!DY$5</f>
        <v>610.25</v>
      </c>
      <c r="DZ47" s="28">
        <f>'Total Saturday Boardings'!DZ47/'Service Days per Month'!DZ$5</f>
        <v>678.2</v>
      </c>
      <c r="EA47" s="28">
        <f>'Total Saturday Boardings'!EA47/'Service Days per Month'!EA$5</f>
        <v>774.5</v>
      </c>
      <c r="EB47" s="28">
        <f>'Total Saturday Boardings'!EB47/'Service Days per Month'!EB$5</f>
        <v>790.75</v>
      </c>
      <c r="EC47" s="28">
        <f>'Total Saturday Boardings'!EC47/'Service Days per Month'!EC$5</f>
        <v>870.4</v>
      </c>
      <c r="ED47" s="28">
        <f>'Total Saturday Boardings'!ED47/'Service Days per Month'!ED$5</f>
        <v>1997</v>
      </c>
      <c r="EE47" s="28">
        <f>'Total Saturday Boardings'!EE47/'Service Days per Month'!EE$5</f>
        <v>636.25</v>
      </c>
      <c r="EF47" s="28">
        <f>'Total Saturday Boardings'!EF47/'Service Days per Month'!EF$5</f>
        <v>697</v>
      </c>
      <c r="EG47" s="28">
        <f>'Total Saturday Boardings'!EG47/'Service Days per Month'!EG$5</f>
        <v>614.75</v>
      </c>
      <c r="EH47" s="28">
        <f>'Total Saturday Boardings'!EH47/'Service Days per Month'!EH$5</f>
        <v>421.5</v>
      </c>
      <c r="EI47" s="28">
        <f>'Total Saturday Boardings'!EI47/'Service Days per Month'!EI$5</f>
        <v>363</v>
      </c>
      <c r="EJ47" s="29">
        <f>'Total Saturday Boardings'!EJ47/'Service Days per Month'!EJ$5</f>
        <v>344.5</v>
      </c>
      <c r="EK47" s="27">
        <f>'Total Saturday Boardings'!EK47/'Service Days per Month'!EK$5</f>
        <v>237</v>
      </c>
      <c r="EL47" s="28">
        <f>'Total Saturday Boardings'!EL47/'Service Days per Month'!EL$5</f>
        <v>353.4</v>
      </c>
      <c r="EM47" s="28">
        <f>'Total Saturday Boardings'!EM47/'Service Days per Month'!EM$5</f>
        <v>328.25</v>
      </c>
      <c r="EN47" s="28">
        <f>'Total Saturday Boardings'!EN47/'Service Days per Month'!EN$5</f>
        <v>364.8</v>
      </c>
      <c r="EO47" s="28">
        <f>'Total Saturday Boardings'!EO47/'Service Days per Month'!EO$5</f>
        <v>388.5</v>
      </c>
      <c r="EP47" s="28">
        <f>'Total Saturday Boardings'!EP47/'Service Days per Month'!EP$5</f>
        <v>256.25</v>
      </c>
      <c r="EQ47" s="28">
        <f>'Total Saturday Boardings'!EQ47/'Service Days per Month'!EQ$5</f>
        <v>153.19999999999999</v>
      </c>
      <c r="ER47" s="28">
        <f>'Total Saturday Boardings'!ER47/'Service Days per Month'!ER$5</f>
        <v>302.5</v>
      </c>
      <c r="ES47" s="28">
        <f>'Total Saturday Boardings'!ES47/'Service Days per Month'!ES$5</f>
        <v>316.25</v>
      </c>
      <c r="ET47" s="28">
        <f>'Total Saturday Boardings'!ET47/'Service Days per Month'!ET$5</f>
        <v>340.5</v>
      </c>
      <c r="EU47" s="28">
        <f>'Total Saturday Boardings'!EU47/'Service Days per Month'!EU$5</f>
        <v>299</v>
      </c>
      <c r="EV47" s="29">
        <f>'Total Saturday Boardings'!EV47/'Service Days per Month'!EV$5</f>
        <v>321.25</v>
      </c>
      <c r="EW47" s="27">
        <f>'Total Saturday Boardings'!EW47/'Service Days per Month'!EW$5</f>
        <v>310.8</v>
      </c>
      <c r="EX47" s="28">
        <f>'Total Saturday Boardings'!EX47/'Service Days per Month'!EX$5</f>
        <v>332.75</v>
      </c>
      <c r="EY47" s="28">
        <f>'Total Saturday Boardings'!EY47/'Service Days per Month'!EY$5</f>
        <v>372.5</v>
      </c>
      <c r="EZ47" s="28">
        <f>'Total Saturday Boardings'!EZ47/'Service Days per Month'!EZ$5</f>
        <v>478.4</v>
      </c>
      <c r="FA47" s="28">
        <f>'Total Saturday Boardings'!FA47/'Service Days per Month'!FA$5</f>
        <v>494.75</v>
      </c>
      <c r="FB47" s="28">
        <f>'Total Saturday Boardings'!FB47/'Service Days per Month'!FB$5</f>
        <v>897.5</v>
      </c>
      <c r="FC47" s="28">
        <f>'Total Saturday Boardings'!FC47/'Service Days per Month'!FC$5</f>
        <v>343.2</v>
      </c>
      <c r="FD47" s="28">
        <f>'Total Saturday Boardings'!FD47/'Service Days per Month'!FD$5</f>
        <v>434</v>
      </c>
      <c r="FE47" s="28">
        <f>'Total Saturday Boardings'!FE47/'Service Days per Month'!FE$5</f>
        <v>493</v>
      </c>
      <c r="FF47" s="28">
        <f>'Total Saturday Boardings'!FF47/'Service Days per Month'!FF$5</f>
        <v>548.4</v>
      </c>
      <c r="FG47" s="28">
        <f>'Total Saturday Boardings'!FG47/'Service Days per Month'!FG$5</f>
        <v>520.75</v>
      </c>
      <c r="FH47" s="29">
        <f>'Total Saturday Boardings'!FH47/'Service Days per Month'!FH$5</f>
        <v>370.5</v>
      </c>
      <c r="FI47" s="27">
        <v>404.6</v>
      </c>
      <c r="FJ47" s="28">
        <v>445.25</v>
      </c>
      <c r="FK47" s="28">
        <v>506.75</v>
      </c>
      <c r="FL47" s="28">
        <v>522.20000000000005</v>
      </c>
      <c r="FM47" s="28">
        <v>461.6</v>
      </c>
      <c r="FN47" s="28">
        <v>1367.2</v>
      </c>
      <c r="FO47" s="28">
        <v>416.4</v>
      </c>
      <c r="FP47" s="28">
        <v>546.75</v>
      </c>
      <c r="FQ47" s="28">
        <v>519.5</v>
      </c>
      <c r="FR47" s="28">
        <f>'Total Saturday Boardings'!FR47/5</f>
        <v>563.79999999999995</v>
      </c>
      <c r="FS47" s="28">
        <f>'Total Saturday Boardings'!FS47/4</f>
        <v>446.75</v>
      </c>
      <c r="FT47" s="29">
        <f>'Total Saturday Boardings'!FT47/4</f>
        <v>436</v>
      </c>
      <c r="FU47" s="27">
        <f>'Total Saturday Boardings'!FU47/5</f>
        <v>449.6</v>
      </c>
      <c r="FV47" s="28">
        <f>'Total Saturday Boardings'!FV47/4</f>
        <v>479.5</v>
      </c>
      <c r="FW47" s="28">
        <f>'Total Saturday Boardings'!FW47/5</f>
        <v>505.8</v>
      </c>
      <c r="FX47" s="28">
        <f>'Total Saturday Boardings'!FX47/4</f>
        <v>505.75</v>
      </c>
      <c r="FY47" s="28">
        <f>'Total Saturday Boardings'!FY47/4</f>
        <v>536.25</v>
      </c>
      <c r="FZ47" s="28">
        <f>'Total Saturday Boardings'!FZ47/5</f>
        <v>953.2</v>
      </c>
      <c r="GA47" s="28">
        <f>'Total Saturday Boardings'!GA47/4</f>
        <v>451</v>
      </c>
      <c r="GB47" s="28">
        <f>'Total Saturday Boardings'!GB47/4</f>
        <v>456.75</v>
      </c>
      <c r="GC47" s="28">
        <f>'Total Saturday Boardings'!GC47/5</f>
        <v>716</v>
      </c>
      <c r="GD47" s="28">
        <f>'Total Saturday Boardings'!GD47/4</f>
        <v>488.75</v>
      </c>
      <c r="GE47" s="28">
        <f>'Total Saturday Boardings'!GE47/4</f>
        <v>499.75</v>
      </c>
      <c r="GF47" s="18">
        <f>'Total Saturday Boardings'!GF47/5</f>
        <v>420</v>
      </c>
      <c r="GG47" s="18">
        <f>'Total Saturday Boardings'!GG47/4</f>
        <v>446</v>
      </c>
      <c r="GH47" s="18">
        <f>'Total Saturday Boardings'!GH47/5</f>
        <v>456.2</v>
      </c>
      <c r="GI47" s="18">
        <f>'Total Saturday Boardings'!GI47/4</f>
        <v>465.75</v>
      </c>
      <c r="GJ47" s="18">
        <f>'Total Saturday Boardings'!GJ47/4</f>
        <v>420.5</v>
      </c>
      <c r="GK47" s="18">
        <f>'Total Saturday Boardings'!GK47/5</f>
        <v>583.20000000000005</v>
      </c>
      <c r="GL47" s="18">
        <f>'Total Saturday Boardings'!GL47/4</f>
        <v>1238.75</v>
      </c>
    </row>
    <row r="48" spans="1:194" x14ac:dyDescent="0.3">
      <c r="A48" s="93" t="s">
        <v>69</v>
      </c>
      <c r="B48" s="12"/>
      <c r="C48" s="13"/>
      <c r="D48" s="13"/>
      <c r="E48" s="13"/>
      <c r="F48" s="13"/>
      <c r="G48" s="13"/>
      <c r="H48" s="14"/>
      <c r="I48" s="1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6"/>
      <c r="U48" s="12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4"/>
      <c r="AS48" s="15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6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4"/>
      <c r="BQ48" s="15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6"/>
      <c r="CC48" s="12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4"/>
      <c r="CO48" s="15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4"/>
      <c r="DA48" s="12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4"/>
      <c r="DM48" s="12"/>
      <c r="DN48" s="13"/>
      <c r="DO48" s="13"/>
      <c r="DP48" s="13"/>
      <c r="DQ48" s="13"/>
      <c r="DR48" s="13"/>
      <c r="DS48" s="13"/>
      <c r="DT48" s="13"/>
      <c r="DU48" s="13"/>
      <c r="DV48" s="13"/>
      <c r="DW48" s="13">
        <f>'Total Saturday Boardings'!DW48/'Service Days per Month'!DW$9</f>
        <v>322.5</v>
      </c>
      <c r="DX48" s="34">
        <f>'Total Saturday Boardings'!DX48/'Service Days per Month'!DX$5</f>
        <v>318.8</v>
      </c>
      <c r="DY48" s="32">
        <f>'Total Saturday Boardings'!DY48/'Service Days per Month'!DY$5</f>
        <v>365</v>
      </c>
      <c r="DZ48" s="33">
        <f>'Total Saturday Boardings'!DZ48/'Service Days per Month'!DZ$5</f>
        <v>386</v>
      </c>
      <c r="EA48" s="33">
        <f>'Total Saturday Boardings'!EA48/'Service Days per Month'!EA$5</f>
        <v>432.75</v>
      </c>
      <c r="EB48" s="33">
        <f>'Total Saturday Boardings'!EB48/'Service Days per Month'!EB$5</f>
        <v>465.5</v>
      </c>
      <c r="EC48" s="33">
        <f>'Total Saturday Boardings'!EC48/'Service Days per Month'!EC$5</f>
        <v>494</v>
      </c>
      <c r="ED48" s="33">
        <f>'Total Saturday Boardings'!ED48/'Service Days per Month'!ED$5</f>
        <v>451.5</v>
      </c>
      <c r="EE48" s="33">
        <f>'Total Saturday Boardings'!EE48/'Service Days per Month'!EE$5</f>
        <v>459.75</v>
      </c>
      <c r="EF48" s="33">
        <f>'Total Saturday Boardings'!EF48/'Service Days per Month'!EF$5</f>
        <v>462.8</v>
      </c>
      <c r="EG48" s="33">
        <f>'Total Saturday Boardings'!EG48/'Service Days per Month'!EG$5</f>
        <v>418</v>
      </c>
      <c r="EH48" s="33">
        <f>'Total Saturday Boardings'!EH48/'Service Days per Month'!EH$5</f>
        <v>342.25</v>
      </c>
      <c r="EI48" s="33">
        <f>'Total Saturday Boardings'!EI48/'Service Days per Month'!EI$5</f>
        <v>284.39999999999998</v>
      </c>
      <c r="EJ48" s="34">
        <f>'Total Saturday Boardings'!EJ48/'Service Days per Month'!EJ$5</f>
        <v>268.5</v>
      </c>
      <c r="EK48" s="32">
        <f>'Total Saturday Boardings'!EK48/'Service Days per Month'!EK$5</f>
        <v>202.5</v>
      </c>
      <c r="EL48" s="33">
        <f>'Total Saturday Boardings'!EL48/'Service Days per Month'!EL$5</f>
        <v>298.39999999999998</v>
      </c>
      <c r="EM48" s="33">
        <f>'Total Saturday Boardings'!EM48/'Service Days per Month'!EM$5</f>
        <v>283</v>
      </c>
      <c r="EN48" s="33">
        <f>'Total Saturday Boardings'!EN48/'Service Days per Month'!EN$5</f>
        <v>292.60000000000002</v>
      </c>
      <c r="EO48" s="33">
        <f>'Total Saturday Boardings'!EO48/'Service Days per Month'!EO$5</f>
        <v>284.75</v>
      </c>
      <c r="EP48" s="33">
        <f>'Total Saturday Boardings'!EP48/'Service Days per Month'!EP$5</f>
        <v>247.25</v>
      </c>
      <c r="EQ48" s="33">
        <f>'Total Saturday Boardings'!EQ48/'Service Days per Month'!EQ$5</f>
        <v>142</v>
      </c>
      <c r="ER48" s="33">
        <f>'Total Saturday Boardings'!ER48/'Service Days per Month'!ER$5</f>
        <v>264.5</v>
      </c>
      <c r="ES48" s="33">
        <f>'Total Saturday Boardings'!ES48/'Service Days per Month'!ES$5</f>
        <v>138.75</v>
      </c>
      <c r="ET48" s="33">
        <f>'Total Saturday Boardings'!ET48/'Service Days per Month'!ET$5</f>
        <v>257</v>
      </c>
      <c r="EU48" s="33">
        <f>'Total Saturday Boardings'!EU48/'Service Days per Month'!EU$5</f>
        <v>252.6</v>
      </c>
      <c r="EV48" s="34">
        <f>'Total Saturday Boardings'!EV48/'Service Days per Month'!EV$5</f>
        <v>250</v>
      </c>
      <c r="EW48" s="32">
        <f>'Total Saturday Boardings'!EW48/'Service Days per Month'!EW$5</f>
        <v>227.8</v>
      </c>
      <c r="EX48" s="33">
        <f>'Total Saturday Boardings'!EX48/'Service Days per Month'!EX$5</f>
        <v>256.75</v>
      </c>
      <c r="EY48" s="33">
        <f>'Total Saturday Boardings'!EY48/'Service Days per Month'!EY$5</f>
        <v>290.75</v>
      </c>
      <c r="EZ48" s="33">
        <f>'Total Saturday Boardings'!EZ48/'Service Days per Month'!EZ$5</f>
        <v>316.2</v>
      </c>
      <c r="FA48" s="33">
        <f>'Total Saturday Boardings'!FA48/'Service Days per Month'!FA$5</f>
        <v>333.5</v>
      </c>
      <c r="FB48" s="33">
        <f>'Total Saturday Boardings'!FB48/'Service Days per Month'!FB$5</f>
        <v>311.5</v>
      </c>
      <c r="FC48" s="33">
        <f>'Total Saturday Boardings'!FC48/'Service Days per Month'!FC$5</f>
        <v>291</v>
      </c>
      <c r="FD48" s="33">
        <f>'Total Saturday Boardings'!FD48/'Service Days per Month'!FD$5</f>
        <v>388.5</v>
      </c>
      <c r="FE48" s="33">
        <f>'Total Saturday Boardings'!FE48/'Service Days per Month'!FE$5</f>
        <v>438.75</v>
      </c>
      <c r="FF48" s="33">
        <f>'Total Saturday Boardings'!FF48/'Service Days per Month'!FF$5</f>
        <v>422.4</v>
      </c>
      <c r="FG48" s="33">
        <f>'Total Saturday Boardings'!FG48/'Service Days per Month'!FG$5</f>
        <v>359</v>
      </c>
      <c r="FH48" s="34">
        <f>'Total Saturday Boardings'!FH48/'Service Days per Month'!FH$5</f>
        <v>291</v>
      </c>
      <c r="FI48" s="32">
        <v>315.39999999999998</v>
      </c>
      <c r="FJ48" s="33">
        <v>354.25</v>
      </c>
      <c r="FK48" s="33">
        <v>334.75</v>
      </c>
      <c r="FL48" s="33">
        <v>345.6</v>
      </c>
      <c r="FM48" s="33">
        <v>288.8</v>
      </c>
      <c r="FN48" s="33">
        <v>363.6</v>
      </c>
      <c r="FO48" s="33">
        <v>300.2</v>
      </c>
      <c r="FP48" s="33">
        <v>367</v>
      </c>
      <c r="FQ48" s="33">
        <v>417.25</v>
      </c>
      <c r="FR48" s="33">
        <f>'Total Saturday Boardings'!FR48/5</f>
        <v>385</v>
      </c>
      <c r="FS48" s="33">
        <f>'Total Saturday Boardings'!FS48/4</f>
        <v>374.75</v>
      </c>
      <c r="FT48" s="34">
        <f>'Total Saturday Boardings'!FT48/4</f>
        <v>361.5</v>
      </c>
      <c r="FU48" s="32">
        <f>'Total Saturday Boardings'!FU48/5</f>
        <v>402.4</v>
      </c>
      <c r="FV48" s="33">
        <f>'Total Saturday Boardings'!FV48/4</f>
        <v>430.75</v>
      </c>
      <c r="FW48" s="33">
        <f>'Total Saturday Boardings'!FW48/5</f>
        <v>393.6</v>
      </c>
      <c r="FX48" s="33">
        <f>'Total Saturday Boardings'!FX48/4</f>
        <v>381.25</v>
      </c>
      <c r="FY48" s="33">
        <f>'Total Saturday Boardings'!FY48/4</f>
        <v>367.5</v>
      </c>
      <c r="FZ48" s="33">
        <f>'Total Saturday Boardings'!FZ48/5</f>
        <v>365.2</v>
      </c>
      <c r="GA48" s="33">
        <f>'Total Saturday Boardings'!GA48/4</f>
        <v>373.75</v>
      </c>
      <c r="GB48" s="33">
        <f>'Total Saturday Boardings'!GB48/4</f>
        <v>381.25</v>
      </c>
      <c r="GC48" s="33">
        <f>'Total Saturday Boardings'!GC48/5</f>
        <v>380</v>
      </c>
      <c r="GD48" s="33">
        <f>'Total Saturday Boardings'!GD48/4</f>
        <v>321</v>
      </c>
      <c r="GE48" s="33">
        <f>'Total Saturday Boardings'!GE48/4</f>
        <v>374.5</v>
      </c>
      <c r="GF48" s="18">
        <f>'Total Saturday Boardings'!GF48/5</f>
        <v>378</v>
      </c>
      <c r="GG48" s="18">
        <f>'Total Saturday Boardings'!GG48/4</f>
        <v>406</v>
      </c>
      <c r="GH48" s="18">
        <f>'Total Saturday Boardings'!GH48/5</f>
        <v>445.8</v>
      </c>
      <c r="GI48" s="18">
        <f>'Total Saturday Boardings'!GI48/4</f>
        <v>449</v>
      </c>
      <c r="GJ48" s="18">
        <f>'Total Saturday Boardings'!GJ48/4</f>
        <v>423.75</v>
      </c>
      <c r="GK48" s="18">
        <f>'Total Saturday Boardings'!GK48/5</f>
        <v>366.2</v>
      </c>
      <c r="GL48" s="18">
        <f>'Total Saturday Boardings'!GL48/4</f>
        <v>315.25</v>
      </c>
    </row>
    <row r="49" spans="1:194" ht="15" thickBot="1" x14ac:dyDescent="0.35">
      <c r="A49" s="94" t="s">
        <v>70</v>
      </c>
      <c r="B49" s="27"/>
      <c r="C49" s="28"/>
      <c r="D49" s="28"/>
      <c r="E49" s="28"/>
      <c r="F49" s="28"/>
      <c r="G49" s="28"/>
      <c r="H49" s="29"/>
      <c r="I49" s="30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27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9"/>
      <c r="AS49" s="30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31"/>
      <c r="BE49" s="27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9"/>
      <c r="BQ49" s="30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31"/>
      <c r="CC49" s="27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9"/>
      <c r="CO49" s="30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9"/>
      <c r="DA49" s="27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9"/>
      <c r="DM49" s="27"/>
      <c r="DN49" s="28"/>
      <c r="DO49" s="28"/>
      <c r="DP49" s="28"/>
      <c r="DQ49" s="28"/>
      <c r="DR49" s="28"/>
      <c r="DS49" s="28"/>
      <c r="DT49" s="28"/>
      <c r="DU49" s="28"/>
      <c r="DV49" s="28"/>
      <c r="DW49" s="28">
        <f>'Total Saturday Boardings'!DW49/'Service Days per Month'!DW$9</f>
        <v>1851</v>
      </c>
      <c r="DX49" s="29">
        <f>'Total Saturday Boardings'!DX49/'Service Days per Month'!DX$5</f>
        <v>1653</v>
      </c>
      <c r="DY49" s="27">
        <f>'Total Saturday Boardings'!DY49/'Service Days per Month'!DY$5</f>
        <v>1782.5</v>
      </c>
      <c r="DZ49" s="28">
        <f>'Total Saturday Boardings'!DZ49/'Service Days per Month'!DZ$5</f>
        <v>1729.6</v>
      </c>
      <c r="EA49" s="28">
        <f>'Total Saturday Boardings'!EA49/'Service Days per Month'!EA$5</f>
        <v>1868.5</v>
      </c>
      <c r="EB49" s="28">
        <f>'Total Saturday Boardings'!EB49/'Service Days per Month'!EB$5</f>
        <v>1865.75</v>
      </c>
      <c r="EC49" s="28">
        <f>'Total Saturday Boardings'!EC49/'Service Days per Month'!EC$5</f>
        <v>2125.6</v>
      </c>
      <c r="ED49" s="28">
        <f>'Total Saturday Boardings'!ED49/'Service Days per Month'!ED$5</f>
        <v>1839.25</v>
      </c>
      <c r="EE49" s="28">
        <f>'Total Saturday Boardings'!EE49/'Service Days per Month'!EE$5</f>
        <v>1768</v>
      </c>
      <c r="EF49" s="28">
        <f>'Total Saturday Boardings'!EF49/'Service Days per Month'!EF$5</f>
        <v>1956.6</v>
      </c>
      <c r="EG49" s="28">
        <f>'Total Saturday Boardings'!EG49/'Service Days per Month'!EG$5</f>
        <v>918.25</v>
      </c>
      <c r="EH49" s="28">
        <f>'Total Saturday Boardings'!EH49/'Service Days per Month'!EH$5</f>
        <v>563.75</v>
      </c>
      <c r="EI49" s="28">
        <f>'Total Saturday Boardings'!EI49/'Service Days per Month'!EI$5</f>
        <v>586.4</v>
      </c>
      <c r="EJ49" s="29">
        <f>'Total Saturday Boardings'!EJ49/'Service Days per Month'!EJ$5</f>
        <v>648</v>
      </c>
      <c r="EK49" s="27">
        <f>'Total Saturday Boardings'!EK49/'Service Days per Month'!EK$5</f>
        <v>431.75</v>
      </c>
      <c r="EL49" s="28">
        <f>'Total Saturday Boardings'!EL49/'Service Days per Month'!EL$5</f>
        <v>494.8</v>
      </c>
      <c r="EM49" s="28">
        <f>'Total Saturday Boardings'!EM49/'Service Days per Month'!EM$5</f>
        <v>610.75</v>
      </c>
      <c r="EN49" s="28">
        <f>'Total Saturday Boardings'!EN49/'Service Days per Month'!EN$5</f>
        <v>589</v>
      </c>
      <c r="EO49" s="28">
        <f>'Total Saturday Boardings'!EO49/'Service Days per Month'!EO$5</f>
        <v>1274</v>
      </c>
      <c r="EP49" s="28">
        <f>'Total Saturday Boardings'!EP49/'Service Days per Month'!EP$5</f>
        <v>294.5</v>
      </c>
      <c r="EQ49" s="28">
        <f>'Total Saturday Boardings'!EQ49/'Service Days per Month'!EQ$5</f>
        <v>287.60000000000002</v>
      </c>
      <c r="ER49" s="28">
        <f>'Total Saturday Boardings'!ER49/'Service Days per Month'!ER$5</f>
        <v>547.75</v>
      </c>
      <c r="ES49" s="28">
        <f>'Total Saturday Boardings'!ES49/'Service Days per Month'!ES$5</f>
        <v>438.25</v>
      </c>
      <c r="ET49" s="28">
        <f>'Total Saturday Boardings'!ET49/'Service Days per Month'!ET$5</f>
        <v>907.5</v>
      </c>
      <c r="EU49" s="28">
        <f>'Total Saturday Boardings'!EU49/'Service Days per Month'!EU$5</f>
        <v>904.4</v>
      </c>
      <c r="EV49" s="29">
        <f>'Total Saturday Boardings'!EV49/'Service Days per Month'!EV$5</f>
        <v>1041.25</v>
      </c>
      <c r="EW49" s="27">
        <f>'Total Saturday Boardings'!EW49/'Service Days per Month'!EW$5</f>
        <v>1019.2</v>
      </c>
      <c r="EX49" s="28">
        <f>'Total Saturday Boardings'!EX49/'Service Days per Month'!EX$5</f>
        <v>709.25</v>
      </c>
      <c r="EY49" s="28">
        <f>'Total Saturday Boardings'!EY49/'Service Days per Month'!EY$5</f>
        <v>1162</v>
      </c>
      <c r="EZ49" s="28">
        <f>'Total Saturday Boardings'!EZ49/'Service Days per Month'!EZ$5</f>
        <v>1190.4000000000001</v>
      </c>
      <c r="FA49" s="28">
        <f>'Total Saturday Boardings'!FA49/'Service Days per Month'!FA$5</f>
        <v>1235.5</v>
      </c>
      <c r="FB49" s="28">
        <f>'Total Saturday Boardings'!FB49/'Service Days per Month'!FB$5</f>
        <v>1321.5</v>
      </c>
      <c r="FC49" s="28">
        <f>'Total Saturday Boardings'!FC49/'Service Days per Month'!FC$5</f>
        <v>1163.2</v>
      </c>
      <c r="FD49" s="28">
        <f>'Total Saturday Boardings'!FD49/'Service Days per Month'!FD$5</f>
        <v>1379.5</v>
      </c>
      <c r="FE49" s="28">
        <f>'Total Saturday Boardings'!FE49/'Service Days per Month'!FE$5</f>
        <v>1486.75</v>
      </c>
      <c r="FF49" s="28">
        <f>'Total Saturday Boardings'!FF49/'Service Days per Month'!FF$5</f>
        <v>1419.4</v>
      </c>
      <c r="FG49" s="28">
        <f>'Total Saturday Boardings'!FG49/'Service Days per Month'!FG$5</f>
        <v>1347.5</v>
      </c>
      <c r="FH49" s="29">
        <f>'Total Saturday Boardings'!FH49/'Service Days per Month'!FH$5</f>
        <v>1183.75</v>
      </c>
      <c r="FI49" s="27">
        <v>1183.2</v>
      </c>
      <c r="FJ49" s="28">
        <v>1143</v>
      </c>
      <c r="FK49" s="28">
        <v>1411.75</v>
      </c>
      <c r="FL49" s="28">
        <v>1182.2</v>
      </c>
      <c r="FM49" s="28">
        <v>1064</v>
      </c>
      <c r="FN49" s="28">
        <v>1221.2</v>
      </c>
      <c r="FO49" s="28">
        <v>1013.8</v>
      </c>
      <c r="FP49" s="28">
        <v>599.75</v>
      </c>
      <c r="FQ49" s="28">
        <v>1513.5</v>
      </c>
      <c r="FR49" s="28">
        <f>'Total Saturday Boardings'!FR49/5</f>
        <v>1456.6</v>
      </c>
      <c r="FS49" s="28">
        <f>'Total Saturday Boardings'!FS49/4</f>
        <v>1335.25</v>
      </c>
      <c r="FT49" s="29">
        <f>'Total Saturday Boardings'!FT49/4</f>
        <v>1360.25</v>
      </c>
      <c r="FU49" s="27">
        <f>'Total Saturday Boardings'!FU49/5</f>
        <v>1397.2</v>
      </c>
      <c r="FV49" s="28">
        <f>'Total Saturday Boardings'!FV49/4</f>
        <v>1375.25</v>
      </c>
      <c r="FW49" s="28">
        <f>'Total Saturday Boardings'!FW49/5</f>
        <v>1450.8</v>
      </c>
      <c r="FX49" s="28">
        <f>'Total Saturday Boardings'!FX49/4</f>
        <v>1503</v>
      </c>
      <c r="FY49" s="28">
        <f>'Total Saturday Boardings'!FY49/4</f>
        <v>1531.75</v>
      </c>
      <c r="FZ49" s="28">
        <f>'Total Saturday Boardings'!FZ49/5</f>
        <v>1463.2</v>
      </c>
      <c r="GA49" s="28">
        <f>'Total Saturday Boardings'!GA49/4</f>
        <v>1495.25</v>
      </c>
      <c r="GB49" s="28">
        <f>'Total Saturday Boardings'!GB49/4</f>
        <v>1668.25</v>
      </c>
      <c r="GC49" s="28">
        <f>'Total Saturday Boardings'!GC49/5</f>
        <v>1524.4</v>
      </c>
      <c r="GD49" s="28">
        <f>'Total Saturday Boardings'!GD49/4</f>
        <v>1549.75</v>
      </c>
      <c r="GE49" s="28">
        <f>'Total Saturday Boardings'!GE49/4</f>
        <v>1752.75</v>
      </c>
      <c r="GF49" s="18">
        <f>'Total Saturday Boardings'!GF49/5</f>
        <v>1433.6</v>
      </c>
      <c r="GG49" s="18">
        <f>'Total Saturday Boardings'!GG49/4</f>
        <v>1719</v>
      </c>
      <c r="GH49" s="18">
        <f>'Total Saturday Boardings'!GH49/5</f>
        <v>1811.8</v>
      </c>
      <c r="GI49" s="18">
        <f>'Total Saturday Boardings'!GI49/4</f>
        <v>1684.75</v>
      </c>
      <c r="GJ49" s="18">
        <f>'Total Saturday Boardings'!GJ49/4</f>
        <v>1990.5</v>
      </c>
      <c r="GK49" s="18">
        <f>'Total Saturday Boardings'!GK49/5</f>
        <v>1827.2</v>
      </c>
      <c r="GL49" s="18">
        <f>'Total Saturday Boardings'!GL49/4</f>
        <v>1515.25</v>
      </c>
    </row>
    <row r="50" spans="1:194" s="5" customFormat="1" x14ac:dyDescent="0.3">
      <c r="A50" s="45" t="s">
        <v>51</v>
      </c>
      <c r="B50" s="47"/>
      <c r="C50" s="48">
        <f t="shared" ref="C50:AH50" si="0">SUM(C10:C43)</f>
        <v>32329.600000000002</v>
      </c>
      <c r="D50" s="48">
        <f t="shared" si="0"/>
        <v>37682.5</v>
      </c>
      <c r="E50" s="48">
        <f t="shared" si="0"/>
        <v>31779.75</v>
      </c>
      <c r="F50" s="48">
        <f t="shared" si="0"/>
        <v>36850.25</v>
      </c>
      <c r="G50" s="48">
        <f t="shared" si="0"/>
        <v>21887.399999999998</v>
      </c>
      <c r="H50" s="49">
        <f t="shared" si="0"/>
        <v>23050.5</v>
      </c>
      <c r="I50" s="47">
        <f t="shared" si="0"/>
        <v>29394.333333333336</v>
      </c>
      <c r="J50" s="48">
        <f t="shared" si="0"/>
        <v>16971.599999999999</v>
      </c>
      <c r="K50" s="48">
        <f t="shared" si="0"/>
        <v>30751.5</v>
      </c>
      <c r="L50" s="48">
        <f t="shared" si="0"/>
        <v>25492.800000000003</v>
      </c>
      <c r="M50" s="48">
        <f t="shared" si="0"/>
        <v>29758.5</v>
      </c>
      <c r="N50" s="48">
        <f t="shared" si="0"/>
        <v>29475.5</v>
      </c>
      <c r="O50" s="48">
        <f t="shared" si="0"/>
        <v>25717.400000000009</v>
      </c>
      <c r="P50" s="48">
        <f t="shared" si="0"/>
        <v>30361</v>
      </c>
      <c r="Q50" s="48">
        <f t="shared" si="0"/>
        <v>33054</v>
      </c>
      <c r="R50" s="48">
        <f t="shared" si="0"/>
        <v>33984.75</v>
      </c>
      <c r="S50" s="48">
        <f t="shared" si="0"/>
        <v>22442.6</v>
      </c>
      <c r="T50" s="49">
        <f t="shared" si="0"/>
        <v>24830.25</v>
      </c>
      <c r="U50" s="47">
        <f t="shared" si="0"/>
        <v>24321.199999999997</v>
      </c>
      <c r="V50" s="48">
        <f t="shared" si="0"/>
        <v>27529.25</v>
      </c>
      <c r="W50" s="48">
        <f t="shared" si="0"/>
        <v>35325.25</v>
      </c>
      <c r="X50" s="48">
        <f t="shared" si="0"/>
        <v>23110.2</v>
      </c>
      <c r="Y50" s="48">
        <f t="shared" si="0"/>
        <v>30056</v>
      </c>
      <c r="Z50" s="48">
        <f t="shared" si="0"/>
        <v>29925.666666666664</v>
      </c>
      <c r="AA50" s="48">
        <f t="shared" si="0"/>
        <v>24517.800000000007</v>
      </c>
      <c r="AB50" s="48">
        <f t="shared" si="0"/>
        <v>29005.75</v>
      </c>
      <c r="AC50" s="48">
        <f t="shared" si="0"/>
        <v>35691.75</v>
      </c>
      <c r="AD50" s="48">
        <f t="shared" si="0"/>
        <v>35046.800000000003</v>
      </c>
      <c r="AE50" s="48">
        <f t="shared" si="0"/>
        <v>28613.25</v>
      </c>
      <c r="AF50" s="49">
        <f t="shared" si="0"/>
        <v>26295.75</v>
      </c>
      <c r="AG50" s="47">
        <f t="shared" si="0"/>
        <v>25558.200000000004</v>
      </c>
      <c r="AH50" s="48">
        <f t="shared" si="0"/>
        <v>28846.5</v>
      </c>
      <c r="AI50" s="48">
        <f t="shared" ref="AI50:BN50" si="1">SUM(AI10:AI43)</f>
        <v>34519.75</v>
      </c>
      <c r="AJ50" s="48">
        <f t="shared" si="1"/>
        <v>36725.399999999994</v>
      </c>
      <c r="AK50" s="48">
        <f t="shared" si="1"/>
        <v>30671.5</v>
      </c>
      <c r="AL50" s="48">
        <f t="shared" si="1"/>
        <v>38091.25</v>
      </c>
      <c r="AM50" s="48">
        <f t="shared" si="1"/>
        <v>32320</v>
      </c>
      <c r="AN50" s="48">
        <f t="shared" si="1"/>
        <v>34356.75</v>
      </c>
      <c r="AO50" s="48">
        <f t="shared" si="1"/>
        <v>33399.599999999999</v>
      </c>
      <c r="AP50" s="48">
        <f t="shared" si="1"/>
        <v>38251.75</v>
      </c>
      <c r="AQ50" s="48">
        <f t="shared" si="1"/>
        <v>31447.75</v>
      </c>
      <c r="AR50" s="49">
        <f t="shared" si="1"/>
        <v>29015.599999999995</v>
      </c>
      <c r="AS50" s="47">
        <f t="shared" si="1"/>
        <v>27934.5</v>
      </c>
      <c r="AT50" s="48">
        <f t="shared" si="1"/>
        <v>28592</v>
      </c>
      <c r="AU50" s="48">
        <f t="shared" si="1"/>
        <v>34451.80000000001</v>
      </c>
      <c r="AV50" s="48">
        <f t="shared" si="1"/>
        <v>38344.25</v>
      </c>
      <c r="AW50" s="48">
        <f t="shared" si="1"/>
        <v>33806.75</v>
      </c>
      <c r="AX50" s="48">
        <f t="shared" si="1"/>
        <v>33963.800000000003</v>
      </c>
      <c r="AY50" s="48">
        <f t="shared" si="1"/>
        <v>31322.25</v>
      </c>
      <c r="AZ50" s="48">
        <f t="shared" si="1"/>
        <v>34121</v>
      </c>
      <c r="BA50" s="48">
        <f t="shared" si="1"/>
        <v>34981.199999999997</v>
      </c>
      <c r="BB50" s="48">
        <f t="shared" si="1"/>
        <v>41942.25</v>
      </c>
      <c r="BC50" s="48">
        <f t="shared" si="1"/>
        <v>34440</v>
      </c>
      <c r="BD50" s="49">
        <f t="shared" si="1"/>
        <v>27237.8</v>
      </c>
      <c r="BE50" s="47">
        <f t="shared" si="1"/>
        <v>28381.75</v>
      </c>
      <c r="BF50" s="48">
        <f t="shared" si="1"/>
        <v>29025.600000000006</v>
      </c>
      <c r="BG50" s="48">
        <f t="shared" si="1"/>
        <v>37762.75</v>
      </c>
      <c r="BH50" s="48">
        <f t="shared" si="1"/>
        <v>38713.25</v>
      </c>
      <c r="BI50" s="48">
        <f t="shared" si="1"/>
        <v>37008.400000000009</v>
      </c>
      <c r="BJ50" s="48">
        <f t="shared" si="1"/>
        <v>41487.5</v>
      </c>
      <c r="BK50" s="48">
        <f t="shared" si="1"/>
        <v>35478</v>
      </c>
      <c r="BL50" s="48">
        <f t="shared" si="1"/>
        <v>36057.25</v>
      </c>
      <c r="BM50" s="48">
        <f t="shared" si="1"/>
        <v>35971.799999999996</v>
      </c>
      <c r="BN50" s="48">
        <f t="shared" si="1"/>
        <v>38747</v>
      </c>
      <c r="BO50" s="48">
        <f t="shared" ref="BO50:CC50" si="2">SUM(BO10:BO43)</f>
        <v>29827</v>
      </c>
      <c r="BP50" s="49">
        <f t="shared" si="2"/>
        <v>33350.5</v>
      </c>
      <c r="BQ50" s="47">
        <f t="shared" si="2"/>
        <v>26089</v>
      </c>
      <c r="BR50" s="48">
        <f t="shared" si="2"/>
        <v>29789.8</v>
      </c>
      <c r="BS50" s="48">
        <f t="shared" si="2"/>
        <v>29342</v>
      </c>
      <c r="BT50" s="48">
        <f t="shared" si="2"/>
        <v>39636</v>
      </c>
      <c r="BU50" s="48">
        <f t="shared" si="2"/>
        <v>40187.999999999993</v>
      </c>
      <c r="BV50" s="48">
        <f t="shared" si="2"/>
        <v>32732.5</v>
      </c>
      <c r="BW50" s="48">
        <f t="shared" si="2"/>
        <v>53536.2</v>
      </c>
      <c r="BX50" s="48">
        <f t="shared" si="2"/>
        <v>34385.75</v>
      </c>
      <c r="BY50" s="48">
        <f t="shared" si="2"/>
        <v>35918</v>
      </c>
      <c r="BZ50" s="48">
        <f t="shared" si="2"/>
        <v>37868</v>
      </c>
      <c r="CA50" s="48">
        <f t="shared" si="2"/>
        <v>34656.199999999997</v>
      </c>
      <c r="CB50" s="49">
        <f t="shared" si="2"/>
        <v>28257.5</v>
      </c>
      <c r="CC50" s="50">
        <f t="shared" si="2"/>
        <v>34112.5</v>
      </c>
      <c r="CD50" s="48">
        <f t="shared" ref="CD50:CJ50" si="3">SUM(CD10:CD47)</f>
        <v>35879.100000000006</v>
      </c>
      <c r="CE50" s="48">
        <f t="shared" si="3"/>
        <v>41676.75</v>
      </c>
      <c r="CF50" s="48">
        <f t="shared" si="3"/>
        <v>43145.8</v>
      </c>
      <c r="CG50" s="48">
        <f t="shared" si="3"/>
        <v>42532.25</v>
      </c>
      <c r="CH50" s="48">
        <f t="shared" si="3"/>
        <v>34761.5</v>
      </c>
      <c r="CI50" s="48">
        <f t="shared" si="3"/>
        <v>37551.599999999999</v>
      </c>
      <c r="CJ50" s="48">
        <f t="shared" si="3"/>
        <v>38101.75</v>
      </c>
      <c r="CK50" s="48">
        <f t="shared" ref="CK50:DV50" si="4">SUM(CK7:CK47)</f>
        <v>41302.5</v>
      </c>
      <c r="CL50" s="48">
        <f t="shared" si="4"/>
        <v>45986.400000000009</v>
      </c>
      <c r="CM50" s="48">
        <f t="shared" si="4"/>
        <v>38859.25</v>
      </c>
      <c r="CN50" s="51">
        <f t="shared" si="4"/>
        <v>37565</v>
      </c>
      <c r="CO50" s="47">
        <f t="shared" si="4"/>
        <v>34636.799999999996</v>
      </c>
      <c r="CP50" s="48">
        <f t="shared" si="4"/>
        <v>37013.75</v>
      </c>
      <c r="CQ50" s="48">
        <f t="shared" si="4"/>
        <v>44244.75</v>
      </c>
      <c r="CR50" s="48">
        <f t="shared" si="4"/>
        <v>42950.2</v>
      </c>
      <c r="CS50" s="48">
        <f t="shared" si="4"/>
        <v>36277.75</v>
      </c>
      <c r="CT50" s="48">
        <f t="shared" si="4"/>
        <v>40537.25</v>
      </c>
      <c r="CU50" s="48">
        <f t="shared" si="4"/>
        <v>38012.5</v>
      </c>
      <c r="CV50" s="48">
        <f t="shared" si="4"/>
        <v>38646</v>
      </c>
      <c r="CW50" s="48">
        <f t="shared" si="4"/>
        <v>40144.75</v>
      </c>
      <c r="CX50" s="48">
        <f t="shared" si="4"/>
        <v>49898.600000000006</v>
      </c>
      <c r="CY50" s="48">
        <f t="shared" si="4"/>
        <v>39761</v>
      </c>
      <c r="CZ50" s="49">
        <f t="shared" si="4"/>
        <v>34628.25</v>
      </c>
      <c r="DA50" s="47">
        <f t="shared" si="4"/>
        <v>33695.4</v>
      </c>
      <c r="DB50" s="48">
        <f t="shared" si="4"/>
        <v>36167.25</v>
      </c>
      <c r="DC50" s="48">
        <f t="shared" si="4"/>
        <v>38738.200000000004</v>
      </c>
      <c r="DD50" s="48">
        <f t="shared" si="4"/>
        <v>44615.5</v>
      </c>
      <c r="DE50" s="48">
        <f t="shared" si="4"/>
        <v>40582.5</v>
      </c>
      <c r="DF50" s="48">
        <f t="shared" si="4"/>
        <v>37641.200000000004</v>
      </c>
      <c r="DG50" s="48">
        <f t="shared" si="4"/>
        <v>35024.5</v>
      </c>
      <c r="DH50" s="48">
        <f t="shared" si="4"/>
        <v>38244.5</v>
      </c>
      <c r="DI50" s="48">
        <f t="shared" si="4"/>
        <v>40194.799999999996</v>
      </c>
      <c r="DJ50" s="48">
        <f t="shared" si="4"/>
        <v>39717.75</v>
      </c>
      <c r="DK50" s="48">
        <f t="shared" si="4"/>
        <v>35235.75</v>
      </c>
      <c r="DL50" s="49">
        <f t="shared" si="4"/>
        <v>34943.399999999994</v>
      </c>
      <c r="DM50" s="47">
        <f t="shared" si="4"/>
        <v>31198.5</v>
      </c>
      <c r="DN50" s="48">
        <f t="shared" si="4"/>
        <v>33088.75</v>
      </c>
      <c r="DO50" s="48">
        <f t="shared" si="4"/>
        <v>38498.199999999997</v>
      </c>
      <c r="DP50" s="48">
        <f t="shared" si="4"/>
        <v>33517.75</v>
      </c>
      <c r="DQ50" s="48">
        <f t="shared" si="4"/>
        <v>38498.75</v>
      </c>
      <c r="DR50" s="48">
        <f t="shared" si="4"/>
        <v>36838.200000000004</v>
      </c>
      <c r="DS50" s="48">
        <f t="shared" si="4"/>
        <v>34376</v>
      </c>
      <c r="DT50" s="48">
        <f t="shared" si="4"/>
        <v>34846.5</v>
      </c>
      <c r="DU50" s="48">
        <f t="shared" si="4"/>
        <v>38526.600000000013</v>
      </c>
      <c r="DV50" s="48">
        <f t="shared" si="4"/>
        <v>36791.5</v>
      </c>
      <c r="DW50" s="48">
        <f t="shared" ref="DW50:EJ50" si="5">SUM(DW7:DW49)</f>
        <v>36440.75</v>
      </c>
      <c r="DX50" s="49">
        <f t="shared" si="5"/>
        <v>31572.199999999997</v>
      </c>
      <c r="DY50" s="47">
        <f t="shared" si="5"/>
        <v>28808.5</v>
      </c>
      <c r="DZ50" s="48">
        <f t="shared" si="5"/>
        <v>33305.000000000007</v>
      </c>
      <c r="EA50" s="48">
        <f t="shared" si="5"/>
        <v>35609.5</v>
      </c>
      <c r="EB50" s="48">
        <f t="shared" si="5"/>
        <v>36779.75</v>
      </c>
      <c r="EC50" s="48">
        <f t="shared" si="5"/>
        <v>40565.600000000006</v>
      </c>
      <c r="ED50" s="48">
        <f t="shared" si="5"/>
        <v>35746.25</v>
      </c>
      <c r="EE50" s="48">
        <f t="shared" si="5"/>
        <v>32767.75</v>
      </c>
      <c r="EF50" s="48">
        <f t="shared" si="5"/>
        <v>35702.400000000001</v>
      </c>
      <c r="EG50" s="48">
        <f t="shared" si="5"/>
        <v>27382.25</v>
      </c>
      <c r="EH50" s="48">
        <f t="shared" si="5"/>
        <v>18118</v>
      </c>
      <c r="EI50" s="48">
        <f t="shared" si="5"/>
        <v>17229.599999999999</v>
      </c>
      <c r="EJ50" s="49">
        <f t="shared" si="5"/>
        <v>16645.25</v>
      </c>
      <c r="EK50" s="47">
        <f t="shared" ref="EK50:EV50" si="6">SUM(EK7:EK49)</f>
        <v>11482.25</v>
      </c>
      <c r="EL50" s="48">
        <f t="shared" si="6"/>
        <v>16205.599999999997</v>
      </c>
      <c r="EM50" s="48">
        <f t="shared" si="6"/>
        <v>17040.25</v>
      </c>
      <c r="EN50" s="48">
        <f t="shared" si="6"/>
        <v>17617.8</v>
      </c>
      <c r="EO50" s="48">
        <f t="shared" si="6"/>
        <v>20694.75</v>
      </c>
      <c r="EP50" s="48">
        <f t="shared" si="6"/>
        <v>12717</v>
      </c>
      <c r="EQ50" s="48">
        <f t="shared" si="6"/>
        <v>7928.0000000000027</v>
      </c>
      <c r="ER50" s="48">
        <f t="shared" si="6"/>
        <v>15451.25</v>
      </c>
      <c r="ES50" s="48">
        <f t="shared" si="6"/>
        <v>15803.25</v>
      </c>
      <c r="ET50" s="48">
        <f t="shared" si="6"/>
        <v>18573.75</v>
      </c>
      <c r="EU50" s="48">
        <f t="shared" si="6"/>
        <v>16447</v>
      </c>
      <c r="EV50" s="49">
        <f t="shared" si="6"/>
        <v>16590</v>
      </c>
      <c r="EW50" s="47">
        <f t="shared" ref="EW50:FH50" si="7">SUM(EW7:EW49)</f>
        <v>16555.8</v>
      </c>
      <c r="EX50" s="48">
        <f t="shared" si="7"/>
        <v>15778</v>
      </c>
      <c r="EY50" s="48">
        <f t="shared" si="7"/>
        <v>20328</v>
      </c>
      <c r="EZ50" s="48">
        <f t="shared" si="7"/>
        <v>20180.400000000001</v>
      </c>
      <c r="FA50" s="48">
        <f t="shared" si="7"/>
        <v>23267</v>
      </c>
      <c r="FB50" s="48">
        <f t="shared" si="7"/>
        <v>20941.25</v>
      </c>
      <c r="FC50" s="48">
        <f t="shared" si="7"/>
        <v>17911</v>
      </c>
      <c r="FD50" s="48">
        <f t="shared" si="7"/>
        <v>23202</v>
      </c>
      <c r="FE50" s="48">
        <f t="shared" si="7"/>
        <v>25802.25</v>
      </c>
      <c r="FF50" s="48">
        <f t="shared" si="7"/>
        <v>24732.600000000006</v>
      </c>
      <c r="FG50" s="48">
        <f t="shared" si="7"/>
        <v>23351</v>
      </c>
      <c r="FH50" s="49">
        <f t="shared" si="7"/>
        <v>17835.5</v>
      </c>
      <c r="FI50" s="47">
        <v>17931</v>
      </c>
      <c r="FJ50" s="48">
        <v>19969</v>
      </c>
      <c r="FK50" s="48">
        <v>24011.75</v>
      </c>
      <c r="FL50" s="48">
        <v>22296.400000000001</v>
      </c>
      <c r="FM50" s="48">
        <v>20357.2</v>
      </c>
      <c r="FN50" s="48">
        <v>20887</v>
      </c>
      <c r="FO50" s="48">
        <v>18495.600000000002</v>
      </c>
      <c r="FP50" s="48">
        <v>30301.5</v>
      </c>
      <c r="FQ50" s="48">
        <v>27324.25</v>
      </c>
      <c r="FR50" s="48">
        <v>25771.599999999991</v>
      </c>
      <c r="FS50" s="48">
        <v>24712</v>
      </c>
      <c r="FT50" s="49">
        <v>24642</v>
      </c>
      <c r="FU50" s="47">
        <f>SUM(FU7:FU49)</f>
        <v>22056.400000000005</v>
      </c>
      <c r="FV50" s="48">
        <f t="shared" ref="FV50:FZ50" si="8">SUM(FV7:FV49)</f>
        <v>23663</v>
      </c>
      <c r="FW50" s="48">
        <f t="shared" si="8"/>
        <v>26152.999999999996</v>
      </c>
      <c r="FX50" s="48">
        <f t="shared" si="8"/>
        <v>28189</v>
      </c>
      <c r="FY50" s="48">
        <f t="shared" si="8"/>
        <v>26764.5</v>
      </c>
      <c r="FZ50" s="48">
        <f t="shared" si="8"/>
        <v>24836.799999999999</v>
      </c>
      <c r="GA50" s="48">
        <f t="shared" ref="GA50:GF50" si="9">SUM(GA4:GA49)</f>
        <v>26172</v>
      </c>
      <c r="GB50" s="48">
        <f t="shared" si="9"/>
        <v>28461.75</v>
      </c>
      <c r="GC50" s="48">
        <f t="shared" si="9"/>
        <v>29138.400000000001</v>
      </c>
      <c r="GD50" s="48">
        <f t="shared" si="9"/>
        <v>27778</v>
      </c>
      <c r="GE50" s="48">
        <f t="shared" si="9"/>
        <v>27353.25</v>
      </c>
      <c r="GF50" s="48">
        <f t="shared" si="9"/>
        <v>23150.200000000004</v>
      </c>
      <c r="GG50" s="18">
        <f>'Total Saturday Boardings'!GG50/4</f>
        <v>24421</v>
      </c>
      <c r="GH50" s="18">
        <f>'Total Saturday Boardings'!GH50/5</f>
        <v>26352.799999999999</v>
      </c>
      <c r="GI50" s="18">
        <f>'Total Saturday Boardings'!GI50/4</f>
        <v>27057.5</v>
      </c>
      <c r="GJ50" s="18">
        <f>'Total Saturday Boardings'!GJ50/4</f>
        <v>26281.5</v>
      </c>
      <c r="GK50" s="18">
        <f>'Total Saturday Boardings'!GK50/5</f>
        <v>26270.799999999999</v>
      </c>
      <c r="GL50" s="18">
        <f>'Total Saturday Boardings'!GL50/4</f>
        <v>23888.25</v>
      </c>
    </row>
    <row r="51" spans="1:194" s="5" customFormat="1" x14ac:dyDescent="0.3">
      <c r="A51" s="45" t="s">
        <v>56</v>
      </c>
      <c r="B51" s="198">
        <f>AVERAGE(C50:H50)</f>
        <v>30596.666666666668</v>
      </c>
      <c r="C51" s="199"/>
      <c r="D51" s="199"/>
      <c r="E51" s="199"/>
      <c r="F51" s="199"/>
      <c r="G51" s="199"/>
      <c r="H51" s="200"/>
      <c r="I51" s="198">
        <f t="shared" ref="I51" si="10">AVERAGE(I50:T50)</f>
        <v>27686.18611111111</v>
      </c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200"/>
      <c r="U51" s="198">
        <f>AVERAGE(U50:AF50)</f>
        <v>29119.888888888891</v>
      </c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200"/>
      <c r="AG51" s="198">
        <f>AVERAGE(AG50:AR50)</f>
        <v>32767.004166666666</v>
      </c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200"/>
      <c r="AS51" s="198">
        <f>AVERAGE(AS50:BD50)</f>
        <v>33428.133333333339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200"/>
      <c r="BE51" s="198">
        <f>AVERAGE(BE50:BP50)</f>
        <v>35150.9</v>
      </c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200"/>
      <c r="BQ51" s="198">
        <f>AVERAGE(BQ50:CB50)</f>
        <v>35199.912499999999</v>
      </c>
      <c r="BR51" s="199"/>
      <c r="BS51" s="199"/>
      <c r="BT51" s="199"/>
      <c r="BU51" s="199"/>
      <c r="BV51" s="199"/>
      <c r="BW51" s="199"/>
      <c r="BX51" s="199"/>
      <c r="BY51" s="199"/>
      <c r="BZ51" s="199"/>
      <c r="CA51" s="199"/>
      <c r="CB51" s="200"/>
      <c r="CC51" s="198">
        <f>AVERAGE(CC50:CN50)</f>
        <v>39289.533333333333</v>
      </c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200"/>
      <c r="CO51" s="198">
        <f>AVERAGE(CO50:CZ50)</f>
        <v>39729.299999999996</v>
      </c>
      <c r="CP51" s="199"/>
      <c r="CQ51" s="199"/>
      <c r="CR51" s="199"/>
      <c r="CS51" s="199"/>
      <c r="CT51" s="199"/>
      <c r="CU51" s="199"/>
      <c r="CV51" s="199"/>
      <c r="CW51" s="199"/>
      <c r="CX51" s="199"/>
      <c r="CY51" s="199"/>
      <c r="CZ51" s="200"/>
      <c r="DA51" s="198">
        <f>AVERAGE(DA50:DL50)</f>
        <v>37900.0625</v>
      </c>
      <c r="DB51" s="199"/>
      <c r="DC51" s="199"/>
      <c r="DD51" s="199"/>
      <c r="DE51" s="199"/>
      <c r="DF51" s="199"/>
      <c r="DG51" s="199"/>
      <c r="DH51" s="199"/>
      <c r="DI51" s="199"/>
      <c r="DJ51" s="199"/>
      <c r="DK51" s="199"/>
      <c r="DL51" s="200"/>
      <c r="DM51" s="198">
        <f>AVERAGE(DM50:DX50)</f>
        <v>35349.475000000006</v>
      </c>
      <c r="DN51" s="199"/>
      <c r="DO51" s="199"/>
      <c r="DP51" s="199"/>
      <c r="DQ51" s="199"/>
      <c r="DR51" s="199"/>
      <c r="DS51" s="199"/>
      <c r="DT51" s="199"/>
      <c r="DU51" s="199"/>
      <c r="DV51" s="199"/>
      <c r="DW51" s="199"/>
      <c r="DX51" s="200"/>
      <c r="DY51" s="198">
        <f>AVERAGE(DY50:EJ50)</f>
        <v>29888.320833333331</v>
      </c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200"/>
      <c r="EK51" s="198">
        <f>AVERAGE(EK50:EV50)</f>
        <v>15545.908333333333</v>
      </c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200"/>
      <c r="EW51" s="198">
        <f>AVERAGE(EW50:FH50)</f>
        <v>20823.733333333334</v>
      </c>
      <c r="EX51" s="199"/>
      <c r="EY51" s="199"/>
      <c r="EZ51" s="199"/>
      <c r="FA51" s="199"/>
      <c r="FB51" s="199"/>
      <c r="FC51" s="199"/>
      <c r="FD51" s="199"/>
      <c r="FE51" s="199"/>
      <c r="FF51" s="199"/>
      <c r="FG51" s="199"/>
      <c r="FH51" s="200"/>
      <c r="FI51" s="198">
        <f>AVERAGE(FI50:FT50)</f>
        <v>23058.274999999998</v>
      </c>
      <c r="FJ51" s="199"/>
      <c r="FK51" s="199"/>
      <c r="FL51" s="199"/>
      <c r="FM51" s="199"/>
      <c r="FN51" s="199"/>
      <c r="FO51" s="199"/>
      <c r="FP51" s="199"/>
      <c r="FQ51" s="199"/>
      <c r="FR51" s="199"/>
      <c r="FS51" s="199"/>
      <c r="FT51" s="200"/>
      <c r="FU51" s="198">
        <f>AVERAGE(FU50:GA50)</f>
        <v>25404.957142857143</v>
      </c>
      <c r="FV51" s="199"/>
      <c r="FW51" s="199"/>
      <c r="FX51" s="199"/>
      <c r="FY51" s="199"/>
      <c r="FZ51" s="199"/>
      <c r="GA51" s="199"/>
      <c r="GB51" s="199"/>
      <c r="GC51" s="199"/>
      <c r="GD51" s="199"/>
      <c r="GE51" s="199"/>
      <c r="GF51" s="200"/>
    </row>
    <row r="54" spans="1:194" x14ac:dyDescent="0.3">
      <c r="DA54" s="89"/>
    </row>
    <row r="55" spans="1:194" x14ac:dyDescent="0.3">
      <c r="DA55" s="90"/>
    </row>
    <row r="56" spans="1:194" x14ac:dyDescent="0.3">
      <c r="A56" s="150"/>
      <c r="FG56" s="206"/>
      <c r="FH56" s="206"/>
      <c r="FI56" s="206" t="s">
        <v>79</v>
      </c>
      <c r="FJ56" s="206"/>
      <c r="FK56" s="206"/>
      <c r="FL56" s="206"/>
      <c r="FM56" s="206"/>
      <c r="FN56" s="206"/>
      <c r="FO56" s="206"/>
      <c r="FP56" s="206"/>
      <c r="FQ56" s="206"/>
      <c r="FR56" s="206"/>
      <c r="FS56" s="206"/>
      <c r="FT56" s="206"/>
    </row>
    <row r="57" spans="1:194" ht="15" thickBot="1" x14ac:dyDescent="0.35">
      <c r="A57" s="150"/>
      <c r="DA57" s="89"/>
      <c r="FG57" s="152"/>
      <c r="FH57" s="152"/>
      <c r="FI57" s="152"/>
      <c r="FJ57" s="152"/>
      <c r="FK57" s="152"/>
      <c r="FL57" s="152"/>
      <c r="FM57" s="152"/>
      <c r="FN57" s="152"/>
      <c r="FO57" s="172">
        <v>44949</v>
      </c>
      <c r="FP57" s="172">
        <v>44980</v>
      </c>
      <c r="FQ57" s="172">
        <v>45008</v>
      </c>
      <c r="FR57" s="172">
        <v>45039</v>
      </c>
      <c r="FS57" s="172">
        <v>45069</v>
      </c>
      <c r="FT57" s="172">
        <v>45100</v>
      </c>
      <c r="FU57" s="173">
        <v>45130</v>
      </c>
      <c r="FV57" s="173">
        <v>45161</v>
      </c>
      <c r="FW57" s="173">
        <v>45192</v>
      </c>
      <c r="FX57" s="173">
        <v>45222</v>
      </c>
      <c r="FY57" s="173">
        <v>45253</v>
      </c>
      <c r="FZ57" s="173">
        <v>45283</v>
      </c>
      <c r="GA57" s="173">
        <v>45315</v>
      </c>
      <c r="GB57" s="173">
        <v>45345</v>
      </c>
      <c r="GC57" s="173">
        <v>45374</v>
      </c>
      <c r="GD57" s="173">
        <v>45405</v>
      </c>
      <c r="GE57" s="173">
        <v>45435</v>
      </c>
      <c r="GF57" s="173">
        <v>45466</v>
      </c>
      <c r="GG57" s="173">
        <v>45496</v>
      </c>
      <c r="GH57" s="173">
        <v>45527</v>
      </c>
      <c r="GI57" s="173">
        <v>45559</v>
      </c>
      <c r="GJ57" s="173">
        <v>45590</v>
      </c>
      <c r="GK57" s="173">
        <v>45622</v>
      </c>
      <c r="GL57" s="173">
        <v>45653</v>
      </c>
    </row>
    <row r="58" spans="1:194" x14ac:dyDescent="0.3">
      <c r="A58" s="156" t="s">
        <v>80</v>
      </c>
      <c r="DA58" s="89"/>
      <c r="DD58" s="89"/>
      <c r="FO58" s="174">
        <v>84</v>
      </c>
      <c r="FP58" s="174">
        <v>116</v>
      </c>
      <c r="FQ58" s="145">
        <v>181</v>
      </c>
      <c r="FR58" s="145">
        <v>130</v>
      </c>
      <c r="FS58" s="145">
        <v>134</v>
      </c>
      <c r="FT58" s="145">
        <v>115.25</v>
      </c>
      <c r="FU58" s="18">
        <f>'Total Saturday Boardings'!FU56/5</f>
        <v>126.8</v>
      </c>
      <c r="FV58" s="18">
        <f>'Total Saturday Boardings'!FV56/4</f>
        <v>144.75</v>
      </c>
      <c r="FW58" s="18">
        <f>'Total Saturday Boardings'!FW56/5</f>
        <v>214.4</v>
      </c>
      <c r="FX58" s="18">
        <f>'Total Saturday Boardings'!FX56/4</f>
        <v>219.75</v>
      </c>
      <c r="FY58" s="18">
        <f>'Total Saturday Boardings'!FY56/4</f>
        <v>140</v>
      </c>
      <c r="FZ58" s="18">
        <f>'Total Saturday Boardings'!FZ56/5</f>
        <v>97.4</v>
      </c>
      <c r="GA58" s="18">
        <f>'Total Saturday Boardings'!GA56/4</f>
        <v>90.5</v>
      </c>
      <c r="GB58" s="18">
        <f>'Total Saturday Boardings'!GB56/4</f>
        <v>138.75</v>
      </c>
      <c r="GC58" s="18">
        <f>'Total Saturday Boardings'!GC56/5</f>
        <v>88.163328197226505</v>
      </c>
      <c r="GD58" s="18">
        <f>'Total Saturday Boardings'!GD56/4</f>
        <v>148</v>
      </c>
      <c r="GE58" s="18">
        <f>'Total Saturday Boardings'!GE56/4</f>
        <v>143</v>
      </c>
      <c r="GF58" s="18">
        <f>'Total Saturday Boardings'!GF56/5</f>
        <v>128.4</v>
      </c>
      <c r="GG58" s="18">
        <f>'Total Saturday Boardings'!GG56/4</f>
        <v>155.5</v>
      </c>
      <c r="GH58" s="18">
        <f>'Total Saturday Boardings'!GH56/5</f>
        <v>135.6</v>
      </c>
      <c r="GI58" s="18">
        <f>'Total Saturday Boardings'!GI56/4</f>
        <v>171.25</v>
      </c>
      <c r="GJ58" s="18">
        <f>'Total Saturday Boardings'!GJ56/4</f>
        <v>199.75</v>
      </c>
      <c r="GK58" s="18">
        <f>'Total Saturday Boardings'!GK56/5</f>
        <v>141.4</v>
      </c>
      <c r="GL58" s="18">
        <f>'Total Saturday Boardings'!GL56/4</f>
        <v>104.25</v>
      </c>
    </row>
    <row r="59" spans="1:194" x14ac:dyDescent="0.3">
      <c r="A59" s="157" t="s">
        <v>81</v>
      </c>
      <c r="FO59" s="174">
        <v>42</v>
      </c>
      <c r="FP59" s="174">
        <v>66</v>
      </c>
      <c r="FQ59" s="145">
        <v>94</v>
      </c>
      <c r="FR59" s="145">
        <v>57.4</v>
      </c>
      <c r="FS59" s="145">
        <v>72.599999999999994</v>
      </c>
      <c r="FT59" s="145">
        <v>95</v>
      </c>
      <c r="FU59" s="18">
        <f>'Total Saturday Boardings'!FU57/5</f>
        <v>88.2</v>
      </c>
      <c r="FV59" s="18">
        <f>'Total Saturday Boardings'!FV57/4</f>
        <v>94.75</v>
      </c>
      <c r="FW59" s="18">
        <f>'Total Saturday Boardings'!FW57/5</f>
        <v>84</v>
      </c>
      <c r="FX59" s="18">
        <f>'Total Saturday Boardings'!FX57/4</f>
        <v>42.75</v>
      </c>
      <c r="FY59" s="18">
        <f>'Total Saturday Boardings'!FY57/4</f>
        <v>27.75</v>
      </c>
      <c r="FZ59" s="18">
        <f>'Total Saturday Boardings'!FZ57/5</f>
        <v>29.4</v>
      </c>
      <c r="GA59" s="18">
        <f>'Total Saturday Boardings'!GA57/4</f>
        <v>27.75</v>
      </c>
      <c r="GB59" s="18">
        <f>'Total Saturday Boardings'!GB57/4</f>
        <v>37.5</v>
      </c>
      <c r="GC59" s="18">
        <f>'Total Saturday Boardings'!GC57/5</f>
        <v>25.189522342064716</v>
      </c>
      <c r="GD59" s="18">
        <f>'Total Saturday Boardings'!GD57/4</f>
        <v>33.5</v>
      </c>
      <c r="GE59" s="18">
        <f>'Total Saturday Boardings'!GE57/4</f>
        <v>36.75</v>
      </c>
      <c r="GF59" s="18">
        <f>'Total Saturday Boardings'!GF57/5</f>
        <v>31.4</v>
      </c>
      <c r="GG59" s="18">
        <f>'Total Saturday Boardings'!GG57/4</f>
        <v>34.75</v>
      </c>
      <c r="GH59" s="18">
        <f>'Total Saturday Boardings'!GH57/5</f>
        <v>30.8</v>
      </c>
      <c r="GI59" s="18">
        <f>'Total Saturday Boardings'!GI57/4</f>
        <v>47.25</v>
      </c>
      <c r="GJ59" s="18">
        <f>'Total Saturday Boardings'!GJ57/4</f>
        <v>39</v>
      </c>
      <c r="GK59" s="18">
        <f>'Total Saturday Boardings'!GK57/5</f>
        <v>25.2</v>
      </c>
      <c r="GL59" s="18">
        <f>'Total Saturday Boardings'!GL57/4</f>
        <v>29.75</v>
      </c>
    </row>
    <row r="60" spans="1:194" x14ac:dyDescent="0.3">
      <c r="A60" s="157" t="s">
        <v>82</v>
      </c>
      <c r="DA60" s="91"/>
      <c r="FO60" s="174">
        <v>16</v>
      </c>
      <c r="FP60" s="174">
        <v>43</v>
      </c>
      <c r="FQ60" s="145">
        <v>62</v>
      </c>
      <c r="FR60" s="145">
        <v>32</v>
      </c>
      <c r="FS60" s="145">
        <v>23.6</v>
      </c>
      <c r="FT60" s="145">
        <v>41</v>
      </c>
      <c r="FU60" s="18">
        <f>'Total Saturday Boardings'!FU58/5</f>
        <v>33</v>
      </c>
      <c r="FV60" s="18">
        <f>'Total Saturday Boardings'!FV58/4</f>
        <v>41.5</v>
      </c>
      <c r="FW60" s="18">
        <f>'Total Saturday Boardings'!FW58/5</f>
        <v>41.2</v>
      </c>
      <c r="FX60" s="18">
        <f>'Total Saturday Boardings'!FX58/4</f>
        <v>47.5</v>
      </c>
      <c r="FY60" s="18">
        <f>'Total Saturday Boardings'!FY58/4</f>
        <v>22.25</v>
      </c>
      <c r="FZ60" s="18">
        <f>'Total Saturday Boardings'!FZ58/5</f>
        <v>32</v>
      </c>
      <c r="GA60" s="18">
        <f>'Total Saturday Boardings'!GA58/4</f>
        <v>27.75</v>
      </c>
      <c r="GB60" s="18">
        <f>'Total Saturday Boardings'!GB58/4</f>
        <v>31</v>
      </c>
      <c r="GC60" s="18">
        <f>'Total Saturday Boardings'!GC58/5</f>
        <v>45.836671802773502</v>
      </c>
      <c r="GD60" s="18">
        <f>'Total Saturday Boardings'!GD58/4</f>
        <v>30.5</v>
      </c>
      <c r="GE60" s="18">
        <f>'Total Saturday Boardings'!GE58/4</f>
        <v>48.5</v>
      </c>
      <c r="GF60" s="18">
        <f>'Total Saturday Boardings'!GF58/5</f>
        <v>13.4</v>
      </c>
      <c r="GG60" s="18">
        <f>'Total Saturday Boardings'!GG58/4</f>
        <v>30.5</v>
      </c>
      <c r="GH60" s="18">
        <f>'Total Saturday Boardings'!GH58/5</f>
        <v>32.200000000000003</v>
      </c>
      <c r="GI60" s="18">
        <f>'Total Saturday Boardings'!GI58/4</f>
        <v>54</v>
      </c>
      <c r="GJ60" s="18">
        <f>'Total Saturday Boardings'!GJ58/4</f>
        <v>53.25</v>
      </c>
      <c r="GK60" s="18">
        <f>'Total Saturday Boardings'!GK58/5</f>
        <v>11.6</v>
      </c>
      <c r="GL60" s="18">
        <f>'Total Saturday Boardings'!GL58/4</f>
        <v>34.25</v>
      </c>
    </row>
    <row r="61" spans="1:194" x14ac:dyDescent="0.3">
      <c r="A61" s="157" t="s">
        <v>83</v>
      </c>
      <c r="FO61" s="174">
        <v>16</v>
      </c>
      <c r="FP61" s="174">
        <v>18</v>
      </c>
      <c r="FQ61" s="145">
        <v>42</v>
      </c>
      <c r="FR61" s="145">
        <v>22.8</v>
      </c>
      <c r="FS61" s="145">
        <v>25</v>
      </c>
      <c r="FT61" s="145">
        <v>29.75</v>
      </c>
      <c r="FU61" s="18">
        <f>'Total Saturday Boardings'!FU59/5</f>
        <v>26.6</v>
      </c>
      <c r="FV61" s="18">
        <f>'Total Saturday Boardings'!FV59/4</f>
        <v>35.25</v>
      </c>
      <c r="FW61" s="18">
        <f>'Total Saturday Boardings'!FW59/5</f>
        <v>34</v>
      </c>
      <c r="FX61" s="18">
        <f>'Total Saturday Boardings'!FX59/4</f>
        <v>25</v>
      </c>
      <c r="FY61" s="18">
        <f>'Total Saturday Boardings'!FY59/4</f>
        <v>19.25</v>
      </c>
      <c r="FZ61" s="18">
        <f>'Total Saturday Boardings'!FZ59/5</f>
        <v>17.600000000000001</v>
      </c>
      <c r="GA61" s="18">
        <f>'Total Saturday Boardings'!GA59/4</f>
        <v>17</v>
      </c>
      <c r="GB61" s="18">
        <f>'Total Saturday Boardings'!GB59/4</f>
        <v>77</v>
      </c>
      <c r="GC61" s="18">
        <f>'Total Saturday Boardings'!GC59/5</f>
        <v>22.918335901386751</v>
      </c>
      <c r="GD61" s="18">
        <f>'Total Saturday Boardings'!GD59/4</f>
        <v>20.5</v>
      </c>
      <c r="GE61" s="18">
        <f>'Total Saturday Boardings'!GE59/4</f>
        <v>8</v>
      </c>
      <c r="GF61" s="18">
        <f>'Total Saturday Boardings'!GF59/5</f>
        <v>45.2</v>
      </c>
      <c r="GG61" s="18">
        <f>'Total Saturday Boardings'!GG59/4</f>
        <v>171.5</v>
      </c>
      <c r="GH61" s="18">
        <f>'Total Saturday Boardings'!GH59/5</f>
        <v>166.4</v>
      </c>
      <c r="GI61" s="18">
        <f>'Total Saturday Boardings'!GI59/4</f>
        <v>129</v>
      </c>
      <c r="GJ61" s="18">
        <f>'Total Saturday Boardings'!GJ59/4</f>
        <v>40</v>
      </c>
      <c r="GK61" s="18">
        <f>'Total Saturday Boardings'!GK59/5</f>
        <v>41</v>
      </c>
      <c r="GL61" s="18">
        <f>'Total Saturday Boardings'!GL59/4</f>
        <v>26</v>
      </c>
    </row>
    <row r="62" spans="1:194" x14ac:dyDescent="0.3">
      <c r="A62" s="157" t="s">
        <v>84</v>
      </c>
      <c r="FO62" s="174">
        <v>29</v>
      </c>
      <c r="FP62" s="174">
        <v>39</v>
      </c>
      <c r="FQ62" s="145">
        <v>47</v>
      </c>
      <c r="FR62" s="145">
        <v>38.4</v>
      </c>
      <c r="FS62" s="145">
        <v>34.6</v>
      </c>
      <c r="FT62" s="145">
        <v>43.25</v>
      </c>
      <c r="FU62" s="18">
        <f>'Total Saturday Boardings'!FU60/5</f>
        <v>48</v>
      </c>
      <c r="FV62" s="18">
        <f>'Total Saturday Boardings'!FV60/4</f>
        <v>63.75</v>
      </c>
      <c r="FW62" s="18">
        <f>'Total Saturday Boardings'!FW60/5</f>
        <v>75.400000000000006</v>
      </c>
      <c r="FX62" s="18">
        <f>'Total Saturday Boardings'!FX60/4</f>
        <v>50.25</v>
      </c>
      <c r="FY62" s="18">
        <f>'Total Saturday Boardings'!FY60/4</f>
        <v>33</v>
      </c>
      <c r="FZ62" s="18">
        <f>'Total Saturday Boardings'!FZ60/5</f>
        <v>30.2</v>
      </c>
      <c r="GA62" s="18">
        <f>'Total Saturday Boardings'!GA60/4</f>
        <v>31.75</v>
      </c>
      <c r="GB62" s="18">
        <f>'Total Saturday Boardings'!GB60/4</f>
        <v>50.25</v>
      </c>
      <c r="GC62" s="18">
        <f>'Total Saturday Boardings'!GC60/5</f>
        <v>36.132511556240374</v>
      </c>
      <c r="GD62" s="18">
        <f>'Total Saturday Boardings'!GD60/4</f>
        <v>49.75</v>
      </c>
      <c r="GE62" s="18">
        <f>'Total Saturday Boardings'!GE60/4</f>
        <v>41.5</v>
      </c>
      <c r="GF62" s="18">
        <f>'Total Saturday Boardings'!GF60/5</f>
        <v>27.8</v>
      </c>
      <c r="GG62" s="18">
        <f>'Total Saturday Boardings'!GG60/4</f>
        <v>29.5</v>
      </c>
      <c r="GH62" s="18">
        <f>'Total Saturday Boardings'!GH60/5</f>
        <v>39.6</v>
      </c>
      <c r="GI62" s="18">
        <f>'Total Saturday Boardings'!GI60/4</f>
        <v>62.5</v>
      </c>
      <c r="GJ62" s="18">
        <f>'Total Saturday Boardings'!GJ60/4</f>
        <v>58.75</v>
      </c>
      <c r="GK62" s="18">
        <f>'Total Saturday Boardings'!GK60/5</f>
        <v>33.6</v>
      </c>
      <c r="GL62" s="18">
        <f>'Total Saturday Boardings'!GL60/4</f>
        <v>24.75</v>
      </c>
    </row>
    <row r="63" spans="1:194" x14ac:dyDescent="0.3">
      <c r="A63" s="157" t="s">
        <v>85</v>
      </c>
      <c r="FO63" s="174">
        <v>30</v>
      </c>
      <c r="FP63" s="174">
        <v>60</v>
      </c>
      <c r="FQ63" s="145">
        <v>63</v>
      </c>
      <c r="FR63" s="145">
        <v>61.8</v>
      </c>
      <c r="FS63" s="145">
        <v>49.6</v>
      </c>
      <c r="FT63" s="145">
        <v>50.75</v>
      </c>
      <c r="FU63" s="18">
        <f>'Total Saturday Boardings'!FU61/5</f>
        <v>48.6</v>
      </c>
      <c r="FV63" s="18">
        <f>'Total Saturday Boardings'!FV61/4</f>
        <v>59.75</v>
      </c>
      <c r="FW63" s="18">
        <f>'Total Saturday Boardings'!FW61/5</f>
        <v>91.8</v>
      </c>
      <c r="FX63" s="18">
        <f>'Total Saturday Boardings'!FX61/4</f>
        <v>69.25</v>
      </c>
      <c r="FY63" s="18">
        <f>'Total Saturday Boardings'!FY61/4</f>
        <v>55</v>
      </c>
      <c r="FZ63" s="18">
        <f>'Total Saturday Boardings'!FZ61/5</f>
        <v>30</v>
      </c>
      <c r="GA63" s="18">
        <f>'Total Saturday Boardings'!GA61/4</f>
        <v>55</v>
      </c>
      <c r="GB63" s="18">
        <f>'Total Saturday Boardings'!GB61/4</f>
        <v>60.25</v>
      </c>
      <c r="GC63" s="18">
        <f>'Total Saturday Boardings'!GC61/5</f>
        <v>126.36055469953776</v>
      </c>
      <c r="GD63" s="18">
        <f>'Total Saturday Boardings'!GD61/4</f>
        <v>64</v>
      </c>
      <c r="GE63" s="18">
        <f>'Total Saturday Boardings'!GE61/4</f>
        <v>44.25</v>
      </c>
      <c r="GF63" s="18">
        <f>'Total Saturday Boardings'!GF61/5</f>
        <v>35.4</v>
      </c>
      <c r="GG63" s="18">
        <f>'Total Saturday Boardings'!GG61/4</f>
        <v>33</v>
      </c>
      <c r="GH63" s="18">
        <f>'Total Saturday Boardings'!GH61/5</f>
        <v>43.8</v>
      </c>
      <c r="GI63" s="18">
        <f>'Total Saturday Boardings'!GI61/4</f>
        <v>70.25</v>
      </c>
      <c r="GJ63" s="18">
        <f>'Total Saturday Boardings'!GJ61/4</f>
        <v>75.75</v>
      </c>
      <c r="GK63" s="18">
        <f>'Total Saturday Boardings'!GK61/5</f>
        <v>41.4</v>
      </c>
      <c r="GL63" s="18">
        <f>'Total Saturday Boardings'!GL61/4</f>
        <v>35</v>
      </c>
    </row>
    <row r="64" spans="1:194" x14ac:dyDescent="0.3">
      <c r="A64" s="157" t="s">
        <v>86</v>
      </c>
      <c r="FO64" s="174">
        <v>178</v>
      </c>
      <c r="FP64" s="174">
        <v>172</v>
      </c>
      <c r="FQ64" s="145">
        <v>248</v>
      </c>
      <c r="FR64" s="145">
        <v>284.39999999999998</v>
      </c>
      <c r="FS64" s="145">
        <v>122.4</v>
      </c>
      <c r="FT64" s="145">
        <v>164.5</v>
      </c>
      <c r="FU64" s="18">
        <f>'Total Saturday Boardings'!FU62/5</f>
        <v>143.80000000000001</v>
      </c>
      <c r="FV64" s="18">
        <f>'Total Saturday Boardings'!FV62/4</f>
        <v>215.5</v>
      </c>
      <c r="FW64" s="18">
        <f>'Total Saturday Boardings'!FW62/5</f>
        <v>305.2</v>
      </c>
      <c r="FX64" s="18">
        <f>'Total Saturday Boardings'!FX62/4</f>
        <v>267.25</v>
      </c>
      <c r="FY64" s="18">
        <f>'Total Saturday Boardings'!FY62/4</f>
        <v>273.5</v>
      </c>
      <c r="FZ64" s="18">
        <f>'Total Saturday Boardings'!FZ62/5</f>
        <v>178.4</v>
      </c>
      <c r="GA64" s="18">
        <f>'Total Saturday Boardings'!GA62/4</f>
        <v>268</v>
      </c>
      <c r="GB64" s="18">
        <f>'Total Saturday Boardings'!GB62/4</f>
        <v>221.5</v>
      </c>
      <c r="GC64" s="18">
        <f>'Total Saturday Boardings'!GC62/5</f>
        <v>188.92141756548537</v>
      </c>
      <c r="GD64" s="18">
        <f>'Total Saturday Boardings'!GD62/4</f>
        <v>255.25</v>
      </c>
      <c r="GE64" s="18">
        <f>'Total Saturday Boardings'!GE62/4</f>
        <v>138.75</v>
      </c>
      <c r="GF64" s="18">
        <f>'Total Saturday Boardings'!GF62/5</f>
        <v>100.2</v>
      </c>
      <c r="GG64" s="18">
        <f>'Total Saturday Boardings'!GG62/4</f>
        <v>105.75</v>
      </c>
      <c r="GH64" s="18">
        <f>'Total Saturday Boardings'!GH62/5</f>
        <v>204.8</v>
      </c>
      <c r="GI64" s="18">
        <f>'Total Saturday Boardings'!GI62/4</f>
        <v>255.5</v>
      </c>
      <c r="GJ64" s="18">
        <f>'Total Saturday Boardings'!GJ62/4</f>
        <v>284.5</v>
      </c>
      <c r="GK64" s="18">
        <f>'Total Saturday Boardings'!GK62/5</f>
        <v>269.60000000000002</v>
      </c>
      <c r="GL64" s="18">
        <f>'Total Saturday Boardings'!GL62/4</f>
        <v>211</v>
      </c>
    </row>
    <row r="65" spans="1:194" x14ac:dyDescent="0.3">
      <c r="A65" s="157" t="s">
        <v>87</v>
      </c>
      <c r="FO65" s="174">
        <v>87</v>
      </c>
      <c r="FP65" s="174">
        <v>83</v>
      </c>
      <c r="FQ65" s="145">
        <v>126</v>
      </c>
      <c r="FR65" s="145">
        <v>160.4</v>
      </c>
      <c r="FS65" s="145">
        <v>67.599999999999994</v>
      </c>
      <c r="FT65" s="145">
        <v>87</v>
      </c>
      <c r="FU65" s="18">
        <f>'Total Saturday Boardings'!FU63/5</f>
        <v>69.8</v>
      </c>
      <c r="FV65" s="18">
        <f>'Total Saturday Boardings'!FV63/4</f>
        <v>114.5</v>
      </c>
      <c r="FW65" s="18">
        <f>'Total Saturday Boardings'!FW63/5</f>
        <v>168.8</v>
      </c>
      <c r="FX65" s="18">
        <f>'Total Saturday Boardings'!FX63/4</f>
        <v>118</v>
      </c>
      <c r="FY65" s="18">
        <f>'Total Saturday Boardings'!FY63/4</f>
        <v>96.25</v>
      </c>
      <c r="FZ65" s="18">
        <f>'Total Saturday Boardings'!FZ63/5</f>
        <v>58</v>
      </c>
      <c r="GA65" s="18">
        <f>'Total Saturday Boardings'!GA63/4</f>
        <v>114</v>
      </c>
      <c r="GB65" s="18">
        <f>'Total Saturday Boardings'!GB63/4</f>
        <v>107.75</v>
      </c>
      <c r="GC65" s="18">
        <f>'Total Saturday Boardings'!GC63/5</f>
        <v>119.95993836671803</v>
      </c>
      <c r="GD65" s="18">
        <f>'Total Saturday Boardings'!GD63/4</f>
        <v>133.25</v>
      </c>
      <c r="GE65" s="18">
        <f>'Total Saturday Boardings'!GE63/4</f>
        <v>55.25</v>
      </c>
      <c r="GF65" s="18">
        <f>'Total Saturday Boardings'!GF63/5</f>
        <v>42</v>
      </c>
      <c r="GG65" s="18">
        <f>'Total Saturday Boardings'!GG63/4</f>
        <v>48.25</v>
      </c>
      <c r="GH65" s="18">
        <f>'Total Saturday Boardings'!GH63/5</f>
        <v>75</v>
      </c>
      <c r="GI65" s="18">
        <f>'Total Saturday Boardings'!GI63/4</f>
        <v>110.5</v>
      </c>
      <c r="GJ65" s="18">
        <f>'Total Saturday Boardings'!GJ63/4</f>
        <v>127</v>
      </c>
      <c r="GK65" s="18">
        <f>'Total Saturday Boardings'!GK63/5</f>
        <v>124.8</v>
      </c>
      <c r="GL65" s="18">
        <f>'Total Saturday Boardings'!GL63/4</f>
        <v>91.5</v>
      </c>
    </row>
    <row r="66" spans="1:194" x14ac:dyDescent="0.3">
      <c r="A66" s="157" t="s">
        <v>88</v>
      </c>
      <c r="FO66" s="174">
        <v>106</v>
      </c>
      <c r="FP66" s="174">
        <v>134</v>
      </c>
      <c r="FQ66" s="145">
        <v>175</v>
      </c>
      <c r="FR66" s="145">
        <v>184</v>
      </c>
      <c r="FS66" s="145">
        <v>71.2</v>
      </c>
      <c r="FT66" s="145">
        <v>85.5</v>
      </c>
      <c r="FU66" s="18">
        <f>'Total Saturday Boardings'!FU64/5</f>
        <v>83</v>
      </c>
      <c r="FV66" s="18">
        <f>'Total Saturday Boardings'!FV64/4</f>
        <v>154.25</v>
      </c>
      <c r="FW66" s="18">
        <f>'Total Saturday Boardings'!FW64/5</f>
        <v>177.2</v>
      </c>
      <c r="FX66" s="18">
        <f>'Total Saturday Boardings'!FX64/4</f>
        <v>161.25</v>
      </c>
      <c r="FY66" s="18">
        <f>'Total Saturday Boardings'!FY64/4</f>
        <v>105</v>
      </c>
      <c r="FZ66" s="18">
        <f>'Total Saturday Boardings'!FZ64/5</f>
        <v>79.400000000000006</v>
      </c>
      <c r="GA66" s="18">
        <f>'Total Saturday Boardings'!GA64/4</f>
        <v>120.5</v>
      </c>
      <c r="GB66" s="18">
        <f>'Total Saturday Boardings'!GB64/4</f>
        <v>133.5</v>
      </c>
      <c r="GC66" s="18">
        <f>'Total Saturday Boardings'!GC64/5</f>
        <v>115.83050847457628</v>
      </c>
      <c r="GD66" s="18">
        <f>'Total Saturday Boardings'!GD64/4</f>
        <v>158.25</v>
      </c>
      <c r="GE66" s="18">
        <f>'Total Saturday Boardings'!GE64/4</f>
        <v>65.25</v>
      </c>
      <c r="GF66" s="18">
        <f>'Total Saturday Boardings'!GF64/5</f>
        <v>57.8</v>
      </c>
      <c r="GG66" s="18">
        <f>'Total Saturday Boardings'!GG64/4</f>
        <v>71.5</v>
      </c>
      <c r="GH66" s="18">
        <f>'Total Saturday Boardings'!GH64/5</f>
        <v>113.2</v>
      </c>
      <c r="GI66" s="18">
        <f>'Total Saturday Boardings'!GI64/4</f>
        <v>117.75</v>
      </c>
      <c r="GJ66" s="18">
        <f>'Total Saturday Boardings'!GJ64/4</f>
        <v>142</v>
      </c>
      <c r="GK66" s="18">
        <f>'Total Saturday Boardings'!GK64/5</f>
        <v>139.19999999999999</v>
      </c>
      <c r="GL66" s="18">
        <f>'Total Saturday Boardings'!GL64/4</f>
        <v>72.5</v>
      </c>
    </row>
    <row r="67" spans="1:194" x14ac:dyDescent="0.3">
      <c r="A67" s="157" t="s">
        <v>89</v>
      </c>
      <c r="FO67" s="174">
        <v>190</v>
      </c>
      <c r="FP67" s="174">
        <v>213</v>
      </c>
      <c r="FQ67" s="145">
        <v>293</v>
      </c>
      <c r="FR67" s="145">
        <v>371.8</v>
      </c>
      <c r="FS67" s="145">
        <v>87.2</v>
      </c>
      <c r="FT67" s="145">
        <v>139.75</v>
      </c>
      <c r="FU67" s="18">
        <f>'Total Saturday Boardings'!FU65/5</f>
        <v>95.8</v>
      </c>
      <c r="FV67" s="18">
        <f>'Total Saturday Boardings'!FV65/4</f>
        <v>236.5</v>
      </c>
      <c r="FW67" s="18">
        <f>'Total Saturday Boardings'!FW65/5</f>
        <v>388.4</v>
      </c>
      <c r="FX67" s="18">
        <f>'Total Saturday Boardings'!FX65/4</f>
        <v>284</v>
      </c>
      <c r="FY67" s="18">
        <f>'Total Saturday Boardings'!FY65/4</f>
        <v>240.5</v>
      </c>
      <c r="FZ67" s="18">
        <f>'Total Saturday Boardings'!FZ65/5</f>
        <v>121</v>
      </c>
      <c r="GA67" s="18">
        <f>'Total Saturday Boardings'!GA65/4</f>
        <v>237.75</v>
      </c>
      <c r="GB67" s="18">
        <f>'Total Saturday Boardings'!GB65/4</f>
        <v>297.5</v>
      </c>
      <c r="GC67" s="18">
        <f>'Total Saturday Boardings'!GC65/5</f>
        <v>238.68104776579352</v>
      </c>
      <c r="GD67" s="18">
        <f>'Total Saturday Boardings'!GD65/4</f>
        <v>332.5</v>
      </c>
      <c r="GE67" s="18">
        <f>'Total Saturday Boardings'!GE65/4</f>
        <v>94.5</v>
      </c>
      <c r="GF67" s="18">
        <f>'Total Saturday Boardings'!GF65/5</f>
        <v>57</v>
      </c>
      <c r="GG67" s="18">
        <f>'Total Saturday Boardings'!GG65/4</f>
        <v>57.75</v>
      </c>
      <c r="GH67" s="18">
        <f>'Total Saturday Boardings'!GH65/5</f>
        <v>203.2</v>
      </c>
      <c r="GI67" s="18">
        <f>'Total Saturday Boardings'!GI65/4</f>
        <v>292</v>
      </c>
      <c r="GJ67" s="18">
        <f>'Total Saturday Boardings'!GJ65/4</f>
        <v>307.5</v>
      </c>
      <c r="GK67" s="18">
        <f>'Total Saturday Boardings'!GK65/5</f>
        <v>247.4</v>
      </c>
      <c r="GL67" s="18">
        <f>'Total Saturday Boardings'!GL65/4</f>
        <v>137</v>
      </c>
    </row>
    <row r="68" spans="1:194" x14ac:dyDescent="0.3">
      <c r="A68" s="157" t="s">
        <v>90</v>
      </c>
      <c r="FO68" s="174">
        <v>274</v>
      </c>
      <c r="FP68" s="174">
        <v>316</v>
      </c>
      <c r="FQ68" s="145">
        <v>404</v>
      </c>
      <c r="FR68" s="145">
        <v>381.2</v>
      </c>
      <c r="FS68" s="145">
        <v>231.6</v>
      </c>
      <c r="FT68" s="145">
        <v>227</v>
      </c>
      <c r="FU68" s="18">
        <f>'Total Saturday Boardings'!FU66/5</f>
        <v>244.2</v>
      </c>
      <c r="FV68" s="18">
        <f>'Total Saturday Boardings'!FV66/4</f>
        <v>373.25</v>
      </c>
      <c r="FW68" s="18">
        <f>'Total Saturday Boardings'!FW66/5</f>
        <v>625</v>
      </c>
      <c r="FX68" s="18">
        <f>'Total Saturday Boardings'!FX66/4</f>
        <v>403.75</v>
      </c>
      <c r="FY68" s="18">
        <f>'Total Saturday Boardings'!FY66/4</f>
        <v>311.25</v>
      </c>
      <c r="FZ68" s="18">
        <f>'Total Saturday Boardings'!FZ66/5</f>
        <v>207</v>
      </c>
      <c r="GA68" s="18">
        <f>'Total Saturday Boardings'!GA66/4</f>
        <v>313.75</v>
      </c>
      <c r="GB68" s="18">
        <f>'Total Saturday Boardings'!GB66/4</f>
        <v>380</v>
      </c>
      <c r="GC68" s="18">
        <f>'Total Saturday Boardings'!GC66/5</f>
        <v>327.4637904468413</v>
      </c>
      <c r="GD68" s="18">
        <f>'Total Saturday Boardings'!GD66/4</f>
        <v>409.5</v>
      </c>
      <c r="GE68" s="18">
        <f>'Total Saturday Boardings'!GE66/4</f>
        <v>249.75</v>
      </c>
      <c r="GF68" s="18">
        <f>'Total Saturday Boardings'!GF66/5</f>
        <v>163.4</v>
      </c>
      <c r="GG68" s="18">
        <f>'Total Saturday Boardings'!GG66/4</f>
        <v>147.75</v>
      </c>
      <c r="GH68" s="18">
        <f>'Total Saturday Boardings'!GH66/5</f>
        <v>246.6</v>
      </c>
      <c r="GI68" s="18">
        <f>'Total Saturday Boardings'!GI66/4</f>
        <v>371.5</v>
      </c>
      <c r="GJ68" s="18">
        <f>'Total Saturday Boardings'!GJ66/4</f>
        <v>349</v>
      </c>
      <c r="GK68" s="18">
        <f>'Total Saturday Boardings'!GK66/5</f>
        <v>348.2</v>
      </c>
      <c r="GL68" s="18">
        <f>'Total Saturday Boardings'!GL66/4</f>
        <v>195.5</v>
      </c>
    </row>
    <row r="69" spans="1:194" x14ac:dyDescent="0.3">
      <c r="A69" s="157" t="s">
        <v>91</v>
      </c>
      <c r="FO69" s="174">
        <v>207</v>
      </c>
      <c r="FP69" s="174">
        <v>197</v>
      </c>
      <c r="FQ69" s="145">
        <v>322</v>
      </c>
      <c r="FR69" s="145">
        <v>306.60000000000002</v>
      </c>
      <c r="FS69" s="145">
        <v>167.4</v>
      </c>
      <c r="FT69" s="145">
        <v>186.75</v>
      </c>
      <c r="FU69" s="18">
        <f>'Total Saturday Boardings'!FU67/5</f>
        <v>179</v>
      </c>
      <c r="FV69" s="18">
        <f>'Total Saturday Boardings'!FV67/4</f>
        <v>332.5</v>
      </c>
      <c r="FW69" s="18">
        <f>'Total Saturday Boardings'!FW67/5</f>
        <v>375</v>
      </c>
      <c r="FX69" s="18">
        <f>'Total Saturday Boardings'!FX67/4</f>
        <v>317.75</v>
      </c>
      <c r="FY69" s="18">
        <f>'Total Saturday Boardings'!FY67/4</f>
        <v>319.75</v>
      </c>
      <c r="FZ69" s="18">
        <f>'Total Saturday Boardings'!FZ67/5</f>
        <v>220</v>
      </c>
      <c r="GA69" s="18">
        <f>'Total Saturday Boardings'!GA67/4</f>
        <v>268.75</v>
      </c>
      <c r="GB69" s="18">
        <f>'Total Saturday Boardings'!GB67/4</f>
        <v>285.5</v>
      </c>
      <c r="GC69" s="18">
        <f>'Total Saturday Boardings'!GC67/5</f>
        <v>250.44992295839756</v>
      </c>
      <c r="GD69" s="18">
        <f>'Total Saturday Boardings'!GD67/4</f>
        <v>289</v>
      </c>
      <c r="GE69" s="18">
        <f>'Total Saturday Boardings'!GE67/4</f>
        <v>217.25</v>
      </c>
      <c r="GF69" s="18">
        <f>'Total Saturday Boardings'!GF67/5</f>
        <v>166.2</v>
      </c>
      <c r="GG69" s="18">
        <f>'Total Saturday Boardings'!GG67/4</f>
        <v>180.5</v>
      </c>
      <c r="GH69" s="18">
        <f>'Total Saturday Boardings'!GH67/5</f>
        <v>285.8</v>
      </c>
      <c r="GI69" s="18">
        <f>'Total Saturday Boardings'!GI67/4</f>
        <v>328.75</v>
      </c>
      <c r="GJ69" s="18">
        <f>'Total Saturday Boardings'!GJ67/4</f>
        <v>323.75</v>
      </c>
      <c r="GK69" s="18">
        <f>'Total Saturday Boardings'!GK67/5</f>
        <v>286.60000000000002</v>
      </c>
      <c r="GL69" s="18">
        <f>'Total Saturday Boardings'!GL67/4</f>
        <v>278</v>
      </c>
    </row>
    <row r="70" spans="1:194" x14ac:dyDescent="0.3">
      <c r="A70" s="157" t="s">
        <v>92</v>
      </c>
      <c r="FO70" s="174">
        <v>22</v>
      </c>
      <c r="FP70" s="174">
        <v>30</v>
      </c>
      <c r="FQ70" s="145">
        <v>37</v>
      </c>
      <c r="FR70" s="145">
        <v>31.8</v>
      </c>
      <c r="FS70" s="145">
        <v>29.6</v>
      </c>
      <c r="FT70" s="145">
        <v>44</v>
      </c>
      <c r="FU70" s="18">
        <f>'Total Saturday Boardings'!FU68/5</f>
        <v>33.799999999999997</v>
      </c>
      <c r="FV70" s="18">
        <f>'Total Saturday Boardings'!FV68/4</f>
        <v>59.5</v>
      </c>
      <c r="FW70" s="18">
        <f>'Total Saturday Boardings'!FW68/5</f>
        <v>48.8</v>
      </c>
      <c r="FX70" s="18">
        <f>'Total Saturday Boardings'!FX68/4</f>
        <v>31.25</v>
      </c>
      <c r="FY70" s="18">
        <f>'Total Saturday Boardings'!FY68/4</f>
        <v>25.25</v>
      </c>
      <c r="FZ70" s="18">
        <f>'Total Saturday Boardings'!FZ68/5</f>
        <v>24.2</v>
      </c>
      <c r="GA70" s="18">
        <f>'Total Saturday Boardings'!GA68/4</f>
        <v>22</v>
      </c>
      <c r="GB70" s="18">
        <f>'Total Saturday Boardings'!GB68/4</f>
        <v>30</v>
      </c>
      <c r="GC70" s="18">
        <f>'Total Saturday Boardings'!GC68/5</f>
        <v>20.853620955315872</v>
      </c>
      <c r="GD70" s="18">
        <f>'Total Saturday Boardings'!GD68/4</f>
        <v>24.5</v>
      </c>
      <c r="GE70" s="18">
        <f>'Total Saturday Boardings'!GE68/4</f>
        <v>22</v>
      </c>
      <c r="GF70" s="18">
        <f>'Total Saturday Boardings'!GF68/5</f>
        <v>18.8</v>
      </c>
      <c r="GG70" s="18">
        <f>'Total Saturday Boardings'!GG68/4</f>
        <v>24.75</v>
      </c>
      <c r="GH70" s="18">
        <f>'Total Saturday Boardings'!GH68/5</f>
        <v>25.6</v>
      </c>
      <c r="GI70" s="18">
        <f>'Total Saturday Boardings'!GI68/4</f>
        <v>32</v>
      </c>
      <c r="GJ70" s="18">
        <f>'Total Saturday Boardings'!GJ68/4</f>
        <v>34</v>
      </c>
      <c r="GK70" s="18">
        <f>'Total Saturday Boardings'!GK68/5</f>
        <v>30</v>
      </c>
      <c r="GL70" s="18">
        <f>'Total Saturday Boardings'!GL68/4</f>
        <v>19.5</v>
      </c>
    </row>
    <row r="71" spans="1:194" x14ac:dyDescent="0.3">
      <c r="A71" s="157" t="s">
        <v>93</v>
      </c>
      <c r="FO71" s="174">
        <v>18</v>
      </c>
      <c r="FP71" s="174">
        <v>36</v>
      </c>
      <c r="FQ71" s="145">
        <v>39</v>
      </c>
      <c r="FR71" s="145">
        <v>22.8</v>
      </c>
      <c r="FS71" s="145">
        <v>23.2</v>
      </c>
      <c r="FT71" s="145">
        <v>32.75</v>
      </c>
      <c r="FU71" s="18">
        <f>'Total Saturday Boardings'!FU69/5</f>
        <v>35.200000000000003</v>
      </c>
      <c r="FV71" s="18">
        <f>'Total Saturday Boardings'!FV69/4</f>
        <v>38.5</v>
      </c>
      <c r="FW71" s="18">
        <f>'Total Saturday Boardings'!FW69/5</f>
        <v>28.8</v>
      </c>
      <c r="FX71" s="18">
        <f>'Total Saturday Boardings'!FX69/4</f>
        <v>34</v>
      </c>
      <c r="FY71" s="18">
        <f>'Total Saturday Boardings'!FY69/4</f>
        <v>30.25</v>
      </c>
      <c r="FZ71" s="18">
        <f>'Total Saturday Boardings'!FZ69/5</f>
        <v>18.2</v>
      </c>
      <c r="GA71" s="18">
        <f>'Total Saturday Boardings'!GA69/4</f>
        <v>21.5</v>
      </c>
      <c r="GB71" s="18">
        <f>'Total Saturday Boardings'!GB69/4</f>
        <v>29</v>
      </c>
      <c r="GC71" s="18">
        <f>'Total Saturday Boardings'!GC69/5</f>
        <v>17.343605546995381</v>
      </c>
      <c r="GD71" s="18">
        <f>'Total Saturday Boardings'!GD69/4</f>
        <v>21.75</v>
      </c>
      <c r="GE71" s="18">
        <f>'Total Saturday Boardings'!GE69/4</f>
        <v>24.25</v>
      </c>
      <c r="GF71" s="18">
        <f>'Total Saturday Boardings'!GF69/5</f>
        <v>23.2</v>
      </c>
      <c r="GG71" s="18">
        <f>'Total Saturday Boardings'!GG69/4</f>
        <v>21.75</v>
      </c>
      <c r="GH71" s="18">
        <f>'Total Saturday Boardings'!GH69/5</f>
        <v>19.600000000000001</v>
      </c>
      <c r="GI71" s="18">
        <f>'Total Saturday Boardings'!GI69/4</f>
        <v>28.5</v>
      </c>
      <c r="GJ71" s="18">
        <f>'Total Saturday Boardings'!GJ69/4</f>
        <v>28.75</v>
      </c>
      <c r="GK71" s="18">
        <f>'Total Saturday Boardings'!GK69/5</f>
        <v>25</v>
      </c>
      <c r="GL71" s="18">
        <f>'Total Saturday Boardings'!GL69/4</f>
        <v>14.75</v>
      </c>
    </row>
    <row r="72" spans="1:194" ht="15" thickBot="1" x14ac:dyDescent="0.35">
      <c r="A72" s="158" t="s">
        <v>95</v>
      </c>
      <c r="FO72" s="145">
        <f t="shared" ref="FO72:GD72" si="11">SUM(FO58:FO71)</f>
        <v>1299</v>
      </c>
      <c r="FP72" s="145">
        <f t="shared" si="11"/>
        <v>1523</v>
      </c>
      <c r="FQ72" s="145">
        <f t="shared" si="11"/>
        <v>2133</v>
      </c>
      <c r="FR72" s="145">
        <f t="shared" si="11"/>
        <v>2085.4000000000005</v>
      </c>
      <c r="FS72" s="145">
        <f t="shared" si="11"/>
        <v>1139.6000000000001</v>
      </c>
      <c r="FT72" s="145">
        <f t="shared" si="11"/>
        <v>1342.25</v>
      </c>
      <c r="FU72" s="145">
        <f t="shared" si="11"/>
        <v>1255.8</v>
      </c>
      <c r="FV72" s="145">
        <f t="shared" si="11"/>
        <v>1964.25</v>
      </c>
      <c r="FW72" s="145">
        <f t="shared" si="11"/>
        <v>2658.0000000000005</v>
      </c>
      <c r="FX72" s="145">
        <f t="shared" si="11"/>
        <v>2071.75</v>
      </c>
      <c r="FY72" s="145">
        <f t="shared" si="11"/>
        <v>1699</v>
      </c>
      <c r="FZ72" s="145">
        <f t="shared" si="11"/>
        <v>1142.8000000000002</v>
      </c>
      <c r="GA72" s="145">
        <f t="shared" si="11"/>
        <v>1616</v>
      </c>
      <c r="GB72" s="145">
        <f t="shared" si="11"/>
        <v>1879.5</v>
      </c>
      <c r="GC72" s="145">
        <f t="shared" si="11"/>
        <v>1624.1047765793528</v>
      </c>
      <c r="GD72" s="145">
        <f t="shared" si="11"/>
        <v>1970.25</v>
      </c>
      <c r="GE72" s="145">
        <f>SUM(GE58:GE71)</f>
        <v>1189</v>
      </c>
      <c r="GF72" s="145">
        <f>SUM(GF58:GF71)</f>
        <v>910.2</v>
      </c>
      <c r="GG72" s="145">
        <f t="shared" ref="GG72:GH72" si="12">SUM(GG58:GG71)</f>
        <v>1112.75</v>
      </c>
      <c r="GH72" s="145">
        <f t="shared" si="12"/>
        <v>1622.1999999999998</v>
      </c>
      <c r="GI72" s="18">
        <f>SUM(GI58:GI71)</f>
        <v>2070.75</v>
      </c>
      <c r="GJ72" s="18">
        <f>SUM(GJ58:GJ71)</f>
        <v>2063</v>
      </c>
      <c r="GK72" s="18">
        <f>SUM(GK58:GK71)</f>
        <v>1765</v>
      </c>
      <c r="GL72" s="18">
        <f>SUM(GL58:GL71)</f>
        <v>1273.75</v>
      </c>
    </row>
    <row r="73" spans="1:194" x14ac:dyDescent="0.3">
      <c r="A73" s="153"/>
    </row>
  </sheetData>
  <mergeCells count="35">
    <mergeCell ref="EK2:EV2"/>
    <mergeCell ref="DY51:EJ51"/>
    <mergeCell ref="EK51:EV51"/>
    <mergeCell ref="DY2:EJ2"/>
    <mergeCell ref="A2:A3"/>
    <mergeCell ref="B2:H2"/>
    <mergeCell ref="I2:T2"/>
    <mergeCell ref="U2:AF2"/>
    <mergeCell ref="AG2:AR2"/>
    <mergeCell ref="AS2:BD2"/>
    <mergeCell ref="CO2:CZ2"/>
    <mergeCell ref="DM2:DX2"/>
    <mergeCell ref="DM51:DX51"/>
    <mergeCell ref="BE51:BP51"/>
    <mergeCell ref="DA2:DL2"/>
    <mergeCell ref="DA51:DL51"/>
    <mergeCell ref="BQ51:CB51"/>
    <mergeCell ref="CC51:CN51"/>
    <mergeCell ref="CO51:CZ51"/>
    <mergeCell ref="BE2:BP2"/>
    <mergeCell ref="BQ2:CB2"/>
    <mergeCell ref="CC2:CN2"/>
    <mergeCell ref="B51:H51"/>
    <mergeCell ref="I51:T51"/>
    <mergeCell ref="U51:AF51"/>
    <mergeCell ref="AG51:AR51"/>
    <mergeCell ref="AS51:BD51"/>
    <mergeCell ref="FU2:GF2"/>
    <mergeCell ref="FU51:GF51"/>
    <mergeCell ref="FI2:FT2"/>
    <mergeCell ref="FI51:FT51"/>
    <mergeCell ref="FG56:FH56"/>
    <mergeCell ref="FI56:FT56"/>
    <mergeCell ref="EW2:FH2"/>
    <mergeCell ref="EW51:FH5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GL70"/>
  <sheetViews>
    <sheetView zoomScale="63" zoomScaleNormal="100" workbookViewId="0">
      <pane xSplit="1" ySplit="3" topLeftCell="FO4" activePane="bottomRight" state="frozen"/>
      <selection pane="topRight" activeCell="B1" sqref="B1"/>
      <selection pane="bottomLeft" activeCell="A4" sqref="A4"/>
      <selection pane="bottomRight" activeCell="GQ60" sqref="GQ60"/>
    </sheetView>
  </sheetViews>
  <sheetFormatPr defaultRowHeight="14.4" x14ac:dyDescent="0.3"/>
  <cols>
    <col min="1" max="1" width="40.33203125" bestFit="1" customWidth="1"/>
    <col min="2" max="128" width="11.109375" customWidth="1"/>
    <col min="161" max="161" width="10.5546875" customWidth="1"/>
    <col min="162" max="162" width="15.44140625" customWidth="1"/>
    <col min="163" max="165" width="9.33203125" bestFit="1" customWidth="1"/>
    <col min="166" max="166" width="9.88671875" bestFit="1" customWidth="1"/>
    <col min="167" max="167" width="13.6640625" bestFit="1" customWidth="1"/>
    <col min="168" max="168" width="10.88671875" bestFit="1" customWidth="1"/>
    <col min="169" max="169" width="13.33203125" bestFit="1" customWidth="1"/>
    <col min="170" max="170" width="12.88671875" bestFit="1" customWidth="1"/>
    <col min="171" max="171" width="10.44140625" bestFit="1" customWidth="1"/>
    <col min="172" max="172" width="11.5546875" bestFit="1" customWidth="1"/>
    <col min="173" max="176" width="9.33203125" bestFit="1" customWidth="1"/>
  </cols>
  <sheetData>
    <row r="1" spans="1:194" s="5" customFormat="1" x14ac:dyDescent="0.3">
      <c r="A1" s="43" t="s">
        <v>67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</row>
    <row r="2" spans="1:194" s="5" customFormat="1" x14ac:dyDescent="0.3">
      <c r="A2" s="193"/>
      <c r="B2" s="195" t="s">
        <v>49</v>
      </c>
      <c r="C2" s="196"/>
      <c r="D2" s="196"/>
      <c r="E2" s="196"/>
      <c r="F2" s="196"/>
      <c r="G2" s="196"/>
      <c r="H2" s="197"/>
      <c r="I2" s="195" t="s">
        <v>48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95" t="s">
        <v>47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7"/>
      <c r="AG2" s="192" t="s">
        <v>46</v>
      </c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 t="s">
        <v>45</v>
      </c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 t="s">
        <v>44</v>
      </c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 t="s">
        <v>2</v>
      </c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 t="s">
        <v>1</v>
      </c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 t="s">
        <v>0</v>
      </c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 t="s">
        <v>50</v>
      </c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 t="s">
        <v>72</v>
      </c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 t="s">
        <v>75</v>
      </c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 t="s">
        <v>76</v>
      </c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 t="s">
        <v>77</v>
      </c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 t="s">
        <v>79</v>
      </c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5"/>
      <c r="FU2" s="211" t="s">
        <v>99</v>
      </c>
      <c r="FV2" s="211"/>
      <c r="FW2" s="211"/>
      <c r="FX2" s="211"/>
      <c r="FY2" s="211"/>
      <c r="FZ2" s="211"/>
      <c r="GA2" s="211"/>
      <c r="GB2" s="211"/>
      <c r="GC2" s="211"/>
      <c r="GD2" s="211"/>
      <c r="GE2" s="211"/>
      <c r="GF2" s="211"/>
    </row>
    <row r="3" spans="1:194" s="1" customFormat="1" ht="15" thickBot="1" x14ac:dyDescent="0.35">
      <c r="A3" s="194"/>
      <c r="B3" s="46">
        <v>39783</v>
      </c>
      <c r="C3" s="38">
        <v>39814</v>
      </c>
      <c r="D3" s="38">
        <v>39845</v>
      </c>
      <c r="E3" s="37">
        <v>39873</v>
      </c>
      <c r="F3" s="38">
        <v>39904</v>
      </c>
      <c r="G3" s="38">
        <v>39934</v>
      </c>
      <c r="H3" s="41">
        <v>39965</v>
      </c>
      <c r="I3" s="40">
        <v>39995</v>
      </c>
      <c r="J3" s="38">
        <v>40026</v>
      </c>
      <c r="K3" s="38">
        <v>40057</v>
      </c>
      <c r="L3" s="38">
        <v>40087</v>
      </c>
      <c r="M3" s="37">
        <v>40118</v>
      </c>
      <c r="N3" s="38">
        <v>40148</v>
      </c>
      <c r="O3" s="38">
        <v>40179</v>
      </c>
      <c r="P3" s="38">
        <v>40210</v>
      </c>
      <c r="Q3" s="37">
        <v>40238</v>
      </c>
      <c r="R3" s="38">
        <v>40269</v>
      </c>
      <c r="S3" s="38">
        <v>40299</v>
      </c>
      <c r="T3" s="41">
        <v>40330</v>
      </c>
      <c r="U3" s="40">
        <v>40360</v>
      </c>
      <c r="V3" s="38">
        <v>40391</v>
      </c>
      <c r="W3" s="38">
        <v>40422</v>
      </c>
      <c r="X3" s="38">
        <v>40452</v>
      </c>
      <c r="Y3" s="37">
        <v>40483</v>
      </c>
      <c r="Z3" s="38">
        <v>40513</v>
      </c>
      <c r="AA3" s="38">
        <v>40544</v>
      </c>
      <c r="AB3" s="38">
        <v>40575</v>
      </c>
      <c r="AC3" s="37">
        <v>40603</v>
      </c>
      <c r="AD3" s="38">
        <v>40634</v>
      </c>
      <c r="AE3" s="38">
        <v>40664</v>
      </c>
      <c r="AF3" s="41">
        <v>40695</v>
      </c>
      <c r="AG3" s="40">
        <v>40725</v>
      </c>
      <c r="AH3" s="38">
        <v>40756</v>
      </c>
      <c r="AI3" s="38">
        <v>40787</v>
      </c>
      <c r="AJ3" s="38">
        <v>40817</v>
      </c>
      <c r="AK3" s="37">
        <v>40848</v>
      </c>
      <c r="AL3" s="38">
        <v>40878</v>
      </c>
      <c r="AM3" s="38">
        <v>40909</v>
      </c>
      <c r="AN3" s="38">
        <v>40940</v>
      </c>
      <c r="AO3" s="37">
        <v>40969</v>
      </c>
      <c r="AP3" s="38">
        <v>41000</v>
      </c>
      <c r="AQ3" s="38">
        <v>41030</v>
      </c>
      <c r="AR3" s="41">
        <v>41061</v>
      </c>
      <c r="AS3" s="40">
        <v>41091</v>
      </c>
      <c r="AT3" s="38">
        <v>41122</v>
      </c>
      <c r="AU3" s="38">
        <v>41153</v>
      </c>
      <c r="AV3" s="38">
        <v>41183</v>
      </c>
      <c r="AW3" s="37">
        <v>41214</v>
      </c>
      <c r="AX3" s="38">
        <v>41244</v>
      </c>
      <c r="AY3" s="38">
        <v>41275</v>
      </c>
      <c r="AZ3" s="38">
        <v>41306</v>
      </c>
      <c r="BA3" s="37">
        <v>41334</v>
      </c>
      <c r="BB3" s="38">
        <v>41365</v>
      </c>
      <c r="BC3" s="38">
        <v>41395</v>
      </c>
      <c r="BD3" s="41">
        <v>41426</v>
      </c>
      <c r="BE3" s="40">
        <v>41456</v>
      </c>
      <c r="BF3" s="38">
        <v>41487</v>
      </c>
      <c r="BG3" s="38">
        <v>41518</v>
      </c>
      <c r="BH3" s="38">
        <v>41548</v>
      </c>
      <c r="BI3" s="37">
        <v>41579</v>
      </c>
      <c r="BJ3" s="38">
        <v>41609</v>
      </c>
      <c r="BK3" s="38">
        <v>41640</v>
      </c>
      <c r="BL3" s="38">
        <v>41671</v>
      </c>
      <c r="BM3" s="37">
        <v>41699</v>
      </c>
      <c r="BN3" s="38">
        <v>41730</v>
      </c>
      <c r="BO3" s="38">
        <v>41760</v>
      </c>
      <c r="BP3" s="41">
        <v>41791</v>
      </c>
      <c r="BQ3" s="40">
        <v>41821</v>
      </c>
      <c r="BR3" s="38">
        <v>41852</v>
      </c>
      <c r="BS3" s="38">
        <v>41883</v>
      </c>
      <c r="BT3" s="38">
        <v>41913</v>
      </c>
      <c r="BU3" s="37">
        <v>41944</v>
      </c>
      <c r="BV3" s="38">
        <v>41974</v>
      </c>
      <c r="BW3" s="38">
        <v>42005</v>
      </c>
      <c r="BX3" s="38">
        <v>42036</v>
      </c>
      <c r="BY3" s="37">
        <v>42064</v>
      </c>
      <c r="BZ3" s="38">
        <v>42095</v>
      </c>
      <c r="CA3" s="38">
        <v>42125</v>
      </c>
      <c r="CB3" s="41">
        <v>42156</v>
      </c>
      <c r="CC3" s="42">
        <v>42186</v>
      </c>
      <c r="CD3" s="38">
        <v>42217</v>
      </c>
      <c r="CE3" s="38">
        <v>42248</v>
      </c>
      <c r="CF3" s="38">
        <v>42278</v>
      </c>
      <c r="CG3" s="37">
        <v>42309</v>
      </c>
      <c r="CH3" s="38">
        <v>42339</v>
      </c>
      <c r="CI3" s="38">
        <v>42370</v>
      </c>
      <c r="CJ3" s="38">
        <v>42401</v>
      </c>
      <c r="CK3" s="37">
        <v>42430</v>
      </c>
      <c r="CL3" s="38">
        <v>42461</v>
      </c>
      <c r="CM3" s="38">
        <v>42491</v>
      </c>
      <c r="CN3" s="39">
        <v>42522</v>
      </c>
      <c r="CO3" s="40">
        <v>42552</v>
      </c>
      <c r="CP3" s="38">
        <v>42583</v>
      </c>
      <c r="CQ3" s="38">
        <v>42614</v>
      </c>
      <c r="CR3" s="38">
        <v>42644</v>
      </c>
      <c r="CS3" s="37">
        <v>42675</v>
      </c>
      <c r="CT3" s="38">
        <v>42705</v>
      </c>
      <c r="CU3" s="38">
        <v>42736</v>
      </c>
      <c r="CV3" s="38">
        <v>42767</v>
      </c>
      <c r="CW3" s="37">
        <v>42795</v>
      </c>
      <c r="CX3" s="38">
        <v>42826</v>
      </c>
      <c r="CY3" s="38">
        <v>42856</v>
      </c>
      <c r="CZ3" s="41">
        <v>42887</v>
      </c>
      <c r="DA3" s="40">
        <v>42917</v>
      </c>
      <c r="DB3" s="38">
        <v>42948</v>
      </c>
      <c r="DC3" s="38">
        <v>42979</v>
      </c>
      <c r="DD3" s="38">
        <v>43009</v>
      </c>
      <c r="DE3" s="37">
        <v>43040</v>
      </c>
      <c r="DF3" s="38">
        <v>43070</v>
      </c>
      <c r="DG3" s="38">
        <v>43101</v>
      </c>
      <c r="DH3" s="38">
        <v>43132</v>
      </c>
      <c r="DI3" s="37">
        <v>43160</v>
      </c>
      <c r="DJ3" s="38">
        <v>43191</v>
      </c>
      <c r="DK3" s="38">
        <v>43221</v>
      </c>
      <c r="DL3" s="41">
        <v>43252</v>
      </c>
      <c r="DM3" s="40">
        <v>43282</v>
      </c>
      <c r="DN3" s="38">
        <v>43313</v>
      </c>
      <c r="DO3" s="38">
        <v>43344</v>
      </c>
      <c r="DP3" s="38">
        <v>43374</v>
      </c>
      <c r="DQ3" s="37">
        <v>43405</v>
      </c>
      <c r="DR3" s="38">
        <v>43435</v>
      </c>
      <c r="DS3" s="38">
        <v>43466</v>
      </c>
      <c r="DT3" s="38">
        <v>43497</v>
      </c>
      <c r="DU3" s="37">
        <v>43525</v>
      </c>
      <c r="DV3" s="38">
        <v>43556</v>
      </c>
      <c r="DW3" s="38">
        <v>43586</v>
      </c>
      <c r="DX3" s="41">
        <v>43617</v>
      </c>
      <c r="DY3" s="40">
        <v>43647</v>
      </c>
      <c r="DZ3" s="38">
        <v>43678</v>
      </c>
      <c r="EA3" s="38">
        <v>43709</v>
      </c>
      <c r="EB3" s="38">
        <v>43739</v>
      </c>
      <c r="EC3" s="37">
        <v>43770</v>
      </c>
      <c r="ED3" s="38">
        <v>43800</v>
      </c>
      <c r="EE3" s="38">
        <v>43831</v>
      </c>
      <c r="EF3" s="38">
        <v>43862</v>
      </c>
      <c r="EG3" s="37">
        <v>43891</v>
      </c>
      <c r="EH3" s="38">
        <v>43922</v>
      </c>
      <c r="EI3" s="38">
        <v>43952</v>
      </c>
      <c r="EJ3" s="41">
        <v>43983</v>
      </c>
      <c r="EK3" s="40">
        <v>44013</v>
      </c>
      <c r="EL3" s="38">
        <v>44044</v>
      </c>
      <c r="EM3" s="38">
        <v>44075</v>
      </c>
      <c r="EN3" s="38">
        <v>44105</v>
      </c>
      <c r="EO3" s="37">
        <v>44136</v>
      </c>
      <c r="EP3" s="38">
        <v>44166</v>
      </c>
      <c r="EQ3" s="38">
        <v>44197</v>
      </c>
      <c r="ER3" s="38">
        <v>44228</v>
      </c>
      <c r="ES3" s="37">
        <v>44256</v>
      </c>
      <c r="ET3" s="38">
        <v>44287</v>
      </c>
      <c r="EU3" s="38">
        <v>44317</v>
      </c>
      <c r="EV3" s="41">
        <v>44348</v>
      </c>
      <c r="EW3" s="40">
        <v>44378</v>
      </c>
      <c r="EX3" s="38">
        <v>44409</v>
      </c>
      <c r="EY3" s="38">
        <v>44440</v>
      </c>
      <c r="EZ3" s="38">
        <v>44470</v>
      </c>
      <c r="FA3" s="37">
        <v>44501</v>
      </c>
      <c r="FB3" s="38">
        <v>44531</v>
      </c>
      <c r="FC3" s="38">
        <v>44562</v>
      </c>
      <c r="FD3" s="38">
        <v>44593</v>
      </c>
      <c r="FE3" s="37">
        <v>44621</v>
      </c>
      <c r="FF3" s="38">
        <v>44652</v>
      </c>
      <c r="FG3" s="38">
        <v>44682</v>
      </c>
      <c r="FH3" s="41">
        <v>44713</v>
      </c>
      <c r="FI3" s="40">
        <v>44764</v>
      </c>
      <c r="FJ3" s="38">
        <v>44795</v>
      </c>
      <c r="FK3" s="38">
        <v>44826</v>
      </c>
      <c r="FL3" s="38">
        <v>44856</v>
      </c>
      <c r="FM3" s="37">
        <v>44887</v>
      </c>
      <c r="FN3" s="38">
        <v>44917</v>
      </c>
      <c r="FO3" s="38">
        <v>44949</v>
      </c>
      <c r="FP3" s="38">
        <v>44980</v>
      </c>
      <c r="FQ3" s="37">
        <v>45008</v>
      </c>
      <c r="FR3" s="38">
        <v>45039</v>
      </c>
      <c r="FS3" s="38">
        <v>45069</v>
      </c>
      <c r="FT3" s="39">
        <v>45100</v>
      </c>
      <c r="FU3" s="173">
        <v>45130</v>
      </c>
      <c r="FV3" s="173">
        <v>45161</v>
      </c>
      <c r="FW3" s="173">
        <v>45192</v>
      </c>
      <c r="FX3" s="173">
        <v>45222</v>
      </c>
      <c r="FY3" s="173">
        <v>45253</v>
      </c>
      <c r="FZ3" s="173">
        <v>45283</v>
      </c>
      <c r="GA3" s="173">
        <v>45315</v>
      </c>
      <c r="GB3" s="173">
        <v>45345</v>
      </c>
      <c r="GC3" s="173">
        <v>45374</v>
      </c>
      <c r="GD3" s="173">
        <v>45405</v>
      </c>
      <c r="GE3" s="173">
        <v>45435</v>
      </c>
      <c r="GF3" s="173">
        <v>45466</v>
      </c>
      <c r="GG3" s="173">
        <v>45496</v>
      </c>
      <c r="GH3" s="173">
        <v>45527</v>
      </c>
      <c r="GI3" s="173">
        <v>45559</v>
      </c>
      <c r="GJ3" s="173">
        <v>45590</v>
      </c>
      <c r="GK3" s="173">
        <v>45622</v>
      </c>
      <c r="GL3" s="173">
        <v>45653</v>
      </c>
    </row>
    <row r="4" spans="1:194" s="1" customFormat="1" x14ac:dyDescent="0.3">
      <c r="A4" s="168" t="s">
        <v>96</v>
      </c>
      <c r="B4" s="160"/>
      <c r="C4" s="161"/>
      <c r="D4" s="161"/>
      <c r="E4" s="162"/>
      <c r="F4" s="161"/>
      <c r="G4" s="161"/>
      <c r="H4" s="163"/>
      <c r="I4" s="164"/>
      <c r="J4" s="161"/>
      <c r="K4" s="161"/>
      <c r="L4" s="161"/>
      <c r="M4" s="162"/>
      <c r="N4" s="161"/>
      <c r="O4" s="161"/>
      <c r="P4" s="161"/>
      <c r="Q4" s="162"/>
      <c r="R4" s="161"/>
      <c r="S4" s="161"/>
      <c r="T4" s="163"/>
      <c r="U4" s="164"/>
      <c r="V4" s="161"/>
      <c r="W4" s="161"/>
      <c r="X4" s="161"/>
      <c r="Y4" s="162"/>
      <c r="Z4" s="161"/>
      <c r="AA4" s="161"/>
      <c r="AB4" s="161"/>
      <c r="AC4" s="162"/>
      <c r="AD4" s="161"/>
      <c r="AE4" s="161"/>
      <c r="AF4" s="163"/>
      <c r="AG4" s="164"/>
      <c r="AH4" s="161"/>
      <c r="AI4" s="161"/>
      <c r="AJ4" s="161"/>
      <c r="AK4" s="162"/>
      <c r="AL4" s="161"/>
      <c r="AM4" s="161"/>
      <c r="AN4" s="161"/>
      <c r="AO4" s="162"/>
      <c r="AP4" s="161"/>
      <c r="AQ4" s="161"/>
      <c r="AR4" s="163"/>
      <c r="AS4" s="164"/>
      <c r="AT4" s="161"/>
      <c r="AU4" s="161"/>
      <c r="AV4" s="161"/>
      <c r="AW4" s="162"/>
      <c r="AX4" s="161"/>
      <c r="AY4" s="161"/>
      <c r="AZ4" s="161"/>
      <c r="BA4" s="162"/>
      <c r="BB4" s="161"/>
      <c r="BC4" s="161"/>
      <c r="BD4" s="163"/>
      <c r="BE4" s="164"/>
      <c r="BF4" s="161"/>
      <c r="BG4" s="161"/>
      <c r="BH4" s="161"/>
      <c r="BI4" s="162"/>
      <c r="BJ4" s="161"/>
      <c r="BK4" s="161"/>
      <c r="BL4" s="161"/>
      <c r="BM4" s="162"/>
      <c r="BN4" s="161"/>
      <c r="BO4" s="161"/>
      <c r="BP4" s="163"/>
      <c r="BQ4" s="164"/>
      <c r="BR4" s="161"/>
      <c r="BS4" s="161"/>
      <c r="BT4" s="161"/>
      <c r="BU4" s="162"/>
      <c r="BV4" s="161"/>
      <c r="BW4" s="161"/>
      <c r="BX4" s="161"/>
      <c r="BY4" s="162"/>
      <c r="BZ4" s="161"/>
      <c r="CA4" s="161"/>
      <c r="CB4" s="163"/>
      <c r="CC4" s="165"/>
      <c r="CD4" s="161"/>
      <c r="CE4" s="161"/>
      <c r="CF4" s="161"/>
      <c r="CG4" s="162"/>
      <c r="CH4" s="161"/>
      <c r="CI4" s="161"/>
      <c r="CJ4" s="161"/>
      <c r="CK4" s="162"/>
      <c r="CL4" s="161"/>
      <c r="CM4" s="161"/>
      <c r="CN4" s="166"/>
      <c r="CO4" s="164"/>
      <c r="CP4" s="161"/>
      <c r="CQ4" s="161"/>
      <c r="CR4" s="161"/>
      <c r="CS4" s="162"/>
      <c r="CT4" s="161"/>
      <c r="CU4" s="161"/>
      <c r="CV4" s="161"/>
      <c r="CW4" s="162"/>
      <c r="CX4" s="161"/>
      <c r="CY4" s="161"/>
      <c r="CZ4" s="163"/>
      <c r="DA4" s="164"/>
      <c r="DB4" s="161"/>
      <c r="DC4" s="161"/>
      <c r="DD4" s="161"/>
      <c r="DE4" s="162"/>
      <c r="DF4" s="161"/>
      <c r="DG4" s="161"/>
      <c r="DH4" s="161"/>
      <c r="DI4" s="162"/>
      <c r="DJ4" s="161"/>
      <c r="DK4" s="161"/>
      <c r="DL4" s="163"/>
      <c r="DM4" s="164"/>
      <c r="DN4" s="161"/>
      <c r="DO4" s="161"/>
      <c r="DP4" s="161"/>
      <c r="DQ4" s="162"/>
      <c r="DR4" s="161"/>
      <c r="DS4" s="161"/>
      <c r="DT4" s="161"/>
      <c r="DU4" s="162"/>
      <c r="DV4" s="161"/>
      <c r="DW4" s="161"/>
      <c r="DX4" s="166"/>
      <c r="DY4" s="164"/>
      <c r="DZ4" s="161"/>
      <c r="EA4" s="161"/>
      <c r="EB4" s="161"/>
      <c r="EC4" s="162"/>
      <c r="ED4" s="161"/>
      <c r="EE4" s="161"/>
      <c r="EF4" s="161"/>
      <c r="EG4" s="162"/>
      <c r="EH4" s="161"/>
      <c r="EI4" s="161"/>
      <c r="EJ4" s="166"/>
      <c r="EK4" s="164"/>
      <c r="EL4" s="161"/>
      <c r="EM4" s="161"/>
      <c r="EN4" s="161"/>
      <c r="EO4" s="162"/>
      <c r="EP4" s="161"/>
      <c r="EQ4" s="161"/>
      <c r="ER4" s="161"/>
      <c r="ES4" s="162"/>
      <c r="ET4" s="161"/>
      <c r="EU4" s="161"/>
      <c r="EV4" s="166"/>
      <c r="EW4" s="164"/>
      <c r="EX4" s="161"/>
      <c r="EY4" s="161"/>
      <c r="EZ4" s="161"/>
      <c r="FA4" s="162"/>
      <c r="FB4" s="161"/>
      <c r="FC4" s="161"/>
      <c r="FD4" s="161"/>
      <c r="FE4" s="162"/>
      <c r="FF4" s="161"/>
      <c r="FG4" s="161"/>
      <c r="FH4" s="166"/>
      <c r="FI4" s="164"/>
      <c r="FJ4" s="161"/>
      <c r="FK4" s="161"/>
      <c r="FL4" s="161"/>
      <c r="FM4" s="162"/>
      <c r="FN4" s="161"/>
      <c r="FO4" s="161"/>
      <c r="FP4" s="161"/>
      <c r="FQ4" s="162"/>
      <c r="FR4" s="161"/>
      <c r="FS4" s="161"/>
      <c r="FT4" s="166"/>
      <c r="FU4" s="173"/>
      <c r="FV4" s="173"/>
      <c r="FW4" s="173"/>
      <c r="FX4" s="173"/>
      <c r="FY4" s="173"/>
      <c r="FZ4" s="173"/>
      <c r="GA4" s="18">
        <f>'Total Sunday-Holiday Boardings'!GA4/4</f>
        <v>372</v>
      </c>
      <c r="GB4" s="18">
        <f>'Total Sunday-Holiday Boardings'!GB4/4</f>
        <v>1351</v>
      </c>
      <c r="GC4" s="18">
        <f>'Total Sunday-Holiday Boardings'!GC4/5</f>
        <v>1223</v>
      </c>
      <c r="GD4" s="18">
        <f>'Total Sunday-Holiday Boardings'!GD4/4</f>
        <v>1294</v>
      </c>
      <c r="GE4" s="18">
        <f>'Total Sunday-Holiday Boardings'!GE4/4</f>
        <v>1612.5</v>
      </c>
      <c r="GF4" s="18">
        <f>'Total Sunday-Holiday Boardings'!GF4/5</f>
        <v>1112</v>
      </c>
      <c r="GG4" s="18">
        <f>'Total Sunday-Holiday Boardings'!GG4/4</f>
        <v>1619</v>
      </c>
      <c r="GH4" s="18">
        <f>'Total Sunday-Holiday Boardings'!GH4/4</f>
        <v>1339</v>
      </c>
      <c r="GI4" s="18">
        <f>'Total Sunday-Holiday Boardings'!GI4/5</f>
        <v>276.8</v>
      </c>
      <c r="GJ4" s="18">
        <f>'Total Sunday-Holiday Boardings'!GJ4/4</f>
        <v>1319.75</v>
      </c>
      <c r="GK4" s="18">
        <f>'Total Sunday-Holiday Boardings'!GK4/4</f>
        <v>1175</v>
      </c>
      <c r="GL4" s="18">
        <f>'Total Sunday-Holiday Boardings'!GL4/5</f>
        <v>1448.6</v>
      </c>
    </row>
    <row r="5" spans="1:194" s="1" customFormat="1" x14ac:dyDescent="0.3">
      <c r="A5" s="168" t="s">
        <v>97</v>
      </c>
      <c r="B5" s="160"/>
      <c r="C5" s="161"/>
      <c r="D5" s="161"/>
      <c r="E5" s="162"/>
      <c r="F5" s="161"/>
      <c r="G5" s="161"/>
      <c r="H5" s="163"/>
      <c r="I5" s="164"/>
      <c r="J5" s="161"/>
      <c r="K5" s="161"/>
      <c r="L5" s="161"/>
      <c r="M5" s="162"/>
      <c r="N5" s="161"/>
      <c r="O5" s="161"/>
      <c r="P5" s="161"/>
      <c r="Q5" s="162"/>
      <c r="R5" s="161"/>
      <c r="S5" s="161"/>
      <c r="T5" s="163"/>
      <c r="U5" s="164"/>
      <c r="V5" s="161"/>
      <c r="W5" s="161"/>
      <c r="X5" s="161"/>
      <c r="Y5" s="162"/>
      <c r="Z5" s="161"/>
      <c r="AA5" s="161"/>
      <c r="AB5" s="161"/>
      <c r="AC5" s="162"/>
      <c r="AD5" s="161"/>
      <c r="AE5" s="161"/>
      <c r="AF5" s="163"/>
      <c r="AG5" s="164"/>
      <c r="AH5" s="161"/>
      <c r="AI5" s="161"/>
      <c r="AJ5" s="161"/>
      <c r="AK5" s="162"/>
      <c r="AL5" s="161"/>
      <c r="AM5" s="161"/>
      <c r="AN5" s="161"/>
      <c r="AO5" s="162"/>
      <c r="AP5" s="161"/>
      <c r="AQ5" s="161"/>
      <c r="AR5" s="163"/>
      <c r="AS5" s="164"/>
      <c r="AT5" s="161"/>
      <c r="AU5" s="161"/>
      <c r="AV5" s="161"/>
      <c r="AW5" s="162"/>
      <c r="AX5" s="161"/>
      <c r="AY5" s="161"/>
      <c r="AZ5" s="161"/>
      <c r="BA5" s="162"/>
      <c r="BB5" s="161"/>
      <c r="BC5" s="161"/>
      <c r="BD5" s="163"/>
      <c r="BE5" s="164"/>
      <c r="BF5" s="161"/>
      <c r="BG5" s="161"/>
      <c r="BH5" s="161"/>
      <c r="BI5" s="162"/>
      <c r="BJ5" s="161"/>
      <c r="BK5" s="161"/>
      <c r="BL5" s="161"/>
      <c r="BM5" s="162"/>
      <c r="BN5" s="161"/>
      <c r="BO5" s="161"/>
      <c r="BP5" s="163"/>
      <c r="BQ5" s="164"/>
      <c r="BR5" s="161"/>
      <c r="BS5" s="161"/>
      <c r="BT5" s="161"/>
      <c r="BU5" s="162"/>
      <c r="BV5" s="161"/>
      <c r="BW5" s="161"/>
      <c r="BX5" s="161"/>
      <c r="BY5" s="162"/>
      <c r="BZ5" s="161"/>
      <c r="CA5" s="161"/>
      <c r="CB5" s="163"/>
      <c r="CC5" s="165"/>
      <c r="CD5" s="161"/>
      <c r="CE5" s="161"/>
      <c r="CF5" s="161"/>
      <c r="CG5" s="162"/>
      <c r="CH5" s="161"/>
      <c r="CI5" s="161"/>
      <c r="CJ5" s="161"/>
      <c r="CK5" s="162"/>
      <c r="CL5" s="161"/>
      <c r="CM5" s="161"/>
      <c r="CN5" s="166"/>
      <c r="CO5" s="164"/>
      <c r="CP5" s="161"/>
      <c r="CQ5" s="161"/>
      <c r="CR5" s="161"/>
      <c r="CS5" s="162"/>
      <c r="CT5" s="161"/>
      <c r="CU5" s="161"/>
      <c r="CV5" s="161"/>
      <c r="CW5" s="162"/>
      <c r="CX5" s="161"/>
      <c r="CY5" s="161"/>
      <c r="CZ5" s="163"/>
      <c r="DA5" s="164"/>
      <c r="DB5" s="161"/>
      <c r="DC5" s="161"/>
      <c r="DD5" s="161"/>
      <c r="DE5" s="162"/>
      <c r="DF5" s="161"/>
      <c r="DG5" s="161"/>
      <c r="DH5" s="161"/>
      <c r="DI5" s="162"/>
      <c r="DJ5" s="161"/>
      <c r="DK5" s="161"/>
      <c r="DL5" s="163"/>
      <c r="DM5" s="164"/>
      <c r="DN5" s="161"/>
      <c r="DO5" s="161"/>
      <c r="DP5" s="161"/>
      <c r="DQ5" s="162"/>
      <c r="DR5" s="161"/>
      <c r="DS5" s="161"/>
      <c r="DT5" s="161"/>
      <c r="DU5" s="162"/>
      <c r="DV5" s="161"/>
      <c r="DW5" s="161"/>
      <c r="DX5" s="166"/>
      <c r="DY5" s="164"/>
      <c r="DZ5" s="161"/>
      <c r="EA5" s="161"/>
      <c r="EB5" s="161"/>
      <c r="EC5" s="162"/>
      <c r="ED5" s="161"/>
      <c r="EE5" s="161"/>
      <c r="EF5" s="161"/>
      <c r="EG5" s="162"/>
      <c r="EH5" s="161"/>
      <c r="EI5" s="161"/>
      <c r="EJ5" s="166"/>
      <c r="EK5" s="164"/>
      <c r="EL5" s="161"/>
      <c r="EM5" s="161"/>
      <c r="EN5" s="161"/>
      <c r="EO5" s="162"/>
      <c r="EP5" s="161"/>
      <c r="EQ5" s="161"/>
      <c r="ER5" s="161"/>
      <c r="ES5" s="162"/>
      <c r="ET5" s="161"/>
      <c r="EU5" s="161"/>
      <c r="EV5" s="166"/>
      <c r="EW5" s="164"/>
      <c r="EX5" s="161"/>
      <c r="EY5" s="161"/>
      <c r="EZ5" s="161"/>
      <c r="FA5" s="162"/>
      <c r="FB5" s="161"/>
      <c r="FC5" s="161"/>
      <c r="FD5" s="161"/>
      <c r="FE5" s="162"/>
      <c r="FF5" s="161"/>
      <c r="FG5" s="161"/>
      <c r="FH5" s="166"/>
      <c r="FI5" s="164"/>
      <c r="FJ5" s="161"/>
      <c r="FK5" s="161"/>
      <c r="FL5" s="161"/>
      <c r="FM5" s="162"/>
      <c r="FN5" s="161"/>
      <c r="FO5" s="161"/>
      <c r="FP5" s="161"/>
      <c r="FQ5" s="162"/>
      <c r="FR5" s="161"/>
      <c r="FS5" s="161"/>
      <c r="FT5" s="166"/>
      <c r="FU5" s="173"/>
      <c r="FV5" s="173"/>
      <c r="FW5" s="173"/>
      <c r="FX5" s="173"/>
      <c r="FY5" s="173"/>
      <c r="FZ5" s="173"/>
      <c r="GA5" s="18">
        <f>'Total Sunday-Holiday Boardings'!GA5/4</f>
        <v>29.5</v>
      </c>
      <c r="GB5" s="18">
        <f>'Total Sunday-Holiday Boardings'!GB5/4</f>
        <v>94.25</v>
      </c>
      <c r="GC5" s="18">
        <f>'Total Sunday-Holiday Boardings'!GC5/5</f>
        <v>83.8</v>
      </c>
      <c r="GD5" s="18">
        <f>'Total Sunday-Holiday Boardings'!GD5/4</f>
        <v>101.25</v>
      </c>
      <c r="GE5" s="18">
        <f>'Total Sunday-Holiday Boardings'!GE5/4</f>
        <v>119.5</v>
      </c>
      <c r="GF5" s="18">
        <f>'Total Sunday-Holiday Boardings'!GF5/5</f>
        <v>94.8</v>
      </c>
      <c r="GG5" s="18">
        <f>'Total Sunday-Holiday Boardings'!GG5/4</f>
        <v>117</v>
      </c>
      <c r="GH5" s="18">
        <f>'Total Sunday-Holiday Boardings'!GH5/4</f>
        <v>109</v>
      </c>
      <c r="GI5" s="18">
        <f>'Total Sunday-Holiday Boardings'!GI5/5</f>
        <v>21</v>
      </c>
      <c r="GJ5" s="18">
        <f>'Total Sunday-Holiday Boardings'!GJ5/4</f>
        <v>124</v>
      </c>
      <c r="GK5" s="18">
        <f>'Total Sunday-Holiday Boardings'!GK5/4</f>
        <v>141.5</v>
      </c>
      <c r="GL5" s="18">
        <f>'Total Sunday-Holiday Boardings'!GL5/5</f>
        <v>123.6</v>
      </c>
    </row>
    <row r="6" spans="1:194" s="1" customFormat="1" ht="15" thickBot="1" x14ac:dyDescent="0.35">
      <c r="A6" s="168" t="s">
        <v>98</v>
      </c>
      <c r="B6" s="160"/>
      <c r="C6" s="161"/>
      <c r="D6" s="161"/>
      <c r="E6" s="162"/>
      <c r="F6" s="161"/>
      <c r="G6" s="161"/>
      <c r="H6" s="163"/>
      <c r="I6" s="164"/>
      <c r="J6" s="161"/>
      <c r="K6" s="161"/>
      <c r="L6" s="161"/>
      <c r="M6" s="162"/>
      <c r="N6" s="161"/>
      <c r="O6" s="161"/>
      <c r="P6" s="161"/>
      <c r="Q6" s="162"/>
      <c r="R6" s="161"/>
      <c r="S6" s="161"/>
      <c r="T6" s="163"/>
      <c r="U6" s="164"/>
      <c r="V6" s="161"/>
      <c r="W6" s="161"/>
      <c r="X6" s="161"/>
      <c r="Y6" s="162"/>
      <c r="Z6" s="161"/>
      <c r="AA6" s="161"/>
      <c r="AB6" s="161"/>
      <c r="AC6" s="162"/>
      <c r="AD6" s="161"/>
      <c r="AE6" s="161"/>
      <c r="AF6" s="163"/>
      <c r="AG6" s="164"/>
      <c r="AH6" s="161"/>
      <c r="AI6" s="161"/>
      <c r="AJ6" s="161"/>
      <c r="AK6" s="162"/>
      <c r="AL6" s="161"/>
      <c r="AM6" s="161"/>
      <c r="AN6" s="161"/>
      <c r="AO6" s="162"/>
      <c r="AP6" s="161"/>
      <c r="AQ6" s="161"/>
      <c r="AR6" s="163"/>
      <c r="AS6" s="164"/>
      <c r="AT6" s="161"/>
      <c r="AU6" s="161"/>
      <c r="AV6" s="161"/>
      <c r="AW6" s="162"/>
      <c r="AX6" s="161"/>
      <c r="AY6" s="161"/>
      <c r="AZ6" s="161"/>
      <c r="BA6" s="162"/>
      <c r="BB6" s="161"/>
      <c r="BC6" s="161"/>
      <c r="BD6" s="163"/>
      <c r="BE6" s="164"/>
      <c r="BF6" s="161"/>
      <c r="BG6" s="161"/>
      <c r="BH6" s="161"/>
      <c r="BI6" s="162"/>
      <c r="BJ6" s="161"/>
      <c r="BK6" s="161"/>
      <c r="BL6" s="161"/>
      <c r="BM6" s="162"/>
      <c r="BN6" s="161"/>
      <c r="BO6" s="161"/>
      <c r="BP6" s="163"/>
      <c r="BQ6" s="164"/>
      <c r="BR6" s="161"/>
      <c r="BS6" s="161"/>
      <c r="BT6" s="161"/>
      <c r="BU6" s="162"/>
      <c r="BV6" s="161"/>
      <c r="BW6" s="161"/>
      <c r="BX6" s="161"/>
      <c r="BY6" s="162"/>
      <c r="BZ6" s="161"/>
      <c r="CA6" s="161"/>
      <c r="CB6" s="163"/>
      <c r="CC6" s="165"/>
      <c r="CD6" s="161"/>
      <c r="CE6" s="161"/>
      <c r="CF6" s="161"/>
      <c r="CG6" s="162"/>
      <c r="CH6" s="161"/>
      <c r="CI6" s="161"/>
      <c r="CJ6" s="161"/>
      <c r="CK6" s="162"/>
      <c r="CL6" s="161"/>
      <c r="CM6" s="161"/>
      <c r="CN6" s="166"/>
      <c r="CO6" s="164"/>
      <c r="CP6" s="161"/>
      <c r="CQ6" s="161"/>
      <c r="CR6" s="161"/>
      <c r="CS6" s="162"/>
      <c r="CT6" s="161"/>
      <c r="CU6" s="161"/>
      <c r="CV6" s="161"/>
      <c r="CW6" s="162"/>
      <c r="CX6" s="161"/>
      <c r="CY6" s="161"/>
      <c r="CZ6" s="163"/>
      <c r="DA6" s="164"/>
      <c r="DB6" s="161"/>
      <c r="DC6" s="161"/>
      <c r="DD6" s="161"/>
      <c r="DE6" s="162"/>
      <c r="DF6" s="161"/>
      <c r="DG6" s="161"/>
      <c r="DH6" s="161"/>
      <c r="DI6" s="162"/>
      <c r="DJ6" s="161"/>
      <c r="DK6" s="161"/>
      <c r="DL6" s="163"/>
      <c r="DM6" s="164"/>
      <c r="DN6" s="161"/>
      <c r="DO6" s="161"/>
      <c r="DP6" s="161"/>
      <c r="DQ6" s="162"/>
      <c r="DR6" s="161"/>
      <c r="DS6" s="161"/>
      <c r="DT6" s="161"/>
      <c r="DU6" s="162"/>
      <c r="DV6" s="161"/>
      <c r="DW6" s="161"/>
      <c r="DX6" s="166"/>
      <c r="DY6" s="164"/>
      <c r="DZ6" s="161"/>
      <c r="EA6" s="161"/>
      <c r="EB6" s="161"/>
      <c r="EC6" s="162"/>
      <c r="ED6" s="161"/>
      <c r="EE6" s="161"/>
      <c r="EF6" s="161"/>
      <c r="EG6" s="162"/>
      <c r="EH6" s="161"/>
      <c r="EI6" s="161"/>
      <c r="EJ6" s="166"/>
      <c r="EK6" s="164"/>
      <c r="EL6" s="161"/>
      <c r="EM6" s="161"/>
      <c r="EN6" s="161"/>
      <c r="EO6" s="162"/>
      <c r="EP6" s="161"/>
      <c r="EQ6" s="161"/>
      <c r="ER6" s="161"/>
      <c r="ES6" s="162"/>
      <c r="ET6" s="161"/>
      <c r="EU6" s="161"/>
      <c r="EV6" s="166"/>
      <c r="EW6" s="164"/>
      <c r="EX6" s="161"/>
      <c r="EY6" s="161"/>
      <c r="EZ6" s="161"/>
      <c r="FA6" s="162"/>
      <c r="FB6" s="161"/>
      <c r="FC6" s="161"/>
      <c r="FD6" s="161"/>
      <c r="FE6" s="162"/>
      <c r="FF6" s="161"/>
      <c r="FG6" s="161"/>
      <c r="FH6" s="166"/>
      <c r="FI6" s="164"/>
      <c r="FJ6" s="161"/>
      <c r="FK6" s="161"/>
      <c r="FL6" s="161"/>
      <c r="FM6" s="162"/>
      <c r="FN6" s="161"/>
      <c r="FO6" s="161"/>
      <c r="FP6" s="161"/>
      <c r="FQ6" s="162"/>
      <c r="FR6" s="161"/>
      <c r="FS6" s="161"/>
      <c r="FT6" s="166"/>
      <c r="FU6" s="173"/>
      <c r="FV6" s="173"/>
      <c r="FW6" s="173"/>
      <c r="FX6" s="173"/>
      <c r="FY6" s="173"/>
      <c r="FZ6" s="173"/>
      <c r="GA6" s="18">
        <f>'Total Sunday-Holiday Boardings'!GA6/4</f>
        <v>31.5</v>
      </c>
      <c r="GB6" s="18">
        <f>'Total Sunday-Holiday Boardings'!GB6/4</f>
        <v>140.5</v>
      </c>
      <c r="GC6" s="18">
        <f>'Total Sunday-Holiday Boardings'!GC6/5</f>
        <v>120</v>
      </c>
      <c r="GD6" s="18">
        <f>'Total Sunday-Holiday Boardings'!GD6/4</f>
        <v>105.25</v>
      </c>
      <c r="GE6" s="18">
        <f>'Total Sunday-Holiday Boardings'!GE6/4</f>
        <v>143</v>
      </c>
      <c r="GF6" s="18">
        <f>'Total Sunday-Holiday Boardings'!GF6/5</f>
        <v>135.6</v>
      </c>
      <c r="GG6" s="18">
        <f>'Total Sunday-Holiday Boardings'!GG6/4</f>
        <v>147</v>
      </c>
      <c r="GH6" s="18">
        <f>'Total Sunday-Holiday Boardings'!GH6/4</f>
        <v>122.5</v>
      </c>
      <c r="GI6" s="18">
        <f>'Total Sunday-Holiday Boardings'!GI6/5</f>
        <v>26</v>
      </c>
      <c r="GJ6" s="18">
        <f>'Total Sunday-Holiday Boardings'!GJ6/4</f>
        <v>177.5</v>
      </c>
      <c r="GK6" s="18">
        <f>'Total Sunday-Holiday Boardings'!GK6/4</f>
        <v>156.75</v>
      </c>
      <c r="GL6" s="18">
        <f>'Total Sunday-Holiday Boardings'!GL6/5</f>
        <v>146.6</v>
      </c>
    </row>
    <row r="7" spans="1:194" x14ac:dyDescent="0.3">
      <c r="A7" s="6" t="s">
        <v>32</v>
      </c>
      <c r="B7" s="12"/>
      <c r="C7" s="13"/>
      <c r="D7" s="13"/>
      <c r="E7" s="13"/>
      <c r="F7" s="13"/>
      <c r="G7" s="13"/>
      <c r="H7" s="14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  <c r="U7" s="12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2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2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4"/>
      <c r="BE7" s="12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4"/>
      <c r="BQ7" s="12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4"/>
      <c r="CC7" s="15"/>
      <c r="CD7" s="13"/>
      <c r="CE7" s="13"/>
      <c r="CF7" s="13"/>
      <c r="CG7" s="13"/>
      <c r="CH7" s="13"/>
      <c r="CI7" s="13"/>
      <c r="CJ7" s="13"/>
      <c r="CK7" s="13">
        <f>'Total Sunday-Holiday Boardings'!CK7/SUM('Service Days per Month'!CK$10:CK$11)</f>
        <v>1481</v>
      </c>
      <c r="CL7" s="13">
        <f>'Total Sunday-Holiday Boardings'!CL7/SUM('Service Days per Month'!CL$6:CL$7)</f>
        <v>1685</v>
      </c>
      <c r="CM7" s="13">
        <f>'Total Sunday-Holiday Boardings'!CM7/SUM('Service Days per Month'!CM$6:CM$7)</f>
        <v>1647</v>
      </c>
      <c r="CN7" s="16">
        <f>'Total Sunday-Holiday Boardings'!CN7/SUM('Service Days per Month'!CN$6:CN$7)</f>
        <v>1812.5</v>
      </c>
      <c r="CO7" s="12">
        <f>'Total Sunday-Holiday Boardings'!CO7/SUM('Service Days per Month'!CO$6:CO$7)</f>
        <v>1851.5</v>
      </c>
      <c r="CP7" s="13">
        <f>'Total Sunday-Holiday Boardings'!CP7/SUM('Service Days per Month'!CP$6:CP$7)</f>
        <v>1734</v>
      </c>
      <c r="CQ7" s="13">
        <f>'Total Sunday-Holiday Boardings'!CQ7/SUM('Service Days per Month'!CQ$6:CQ$7)</f>
        <v>1564</v>
      </c>
      <c r="CR7" s="13">
        <f>'Total Sunday-Holiday Boardings'!CR7/SUM('Service Days per Month'!CR$6:CR$7)</f>
        <v>1562.8</v>
      </c>
      <c r="CS7" s="13">
        <f>'Total Sunday-Holiday Boardings'!CS7/SUM('Service Days per Month'!CS$6:CS$7)</f>
        <v>2075.4285714285716</v>
      </c>
      <c r="CT7" s="13">
        <f>'Total Sunday-Holiday Boardings'!CT7/SUM('Service Days per Month'!CT$6:CT$7)</f>
        <v>2196.5</v>
      </c>
      <c r="CU7" s="13">
        <f>'Total Sunday-Holiday Boardings'!CU7/SUM('Service Days per Month'!CU$6:CU$7)</f>
        <v>1775.5714285714287</v>
      </c>
      <c r="CV7" s="13">
        <f>'Total Sunday-Holiday Boardings'!CV7/SUM('Service Days per Month'!CV$6:CV$7)</f>
        <v>1840.2</v>
      </c>
      <c r="CW7" s="13">
        <f>'Total Sunday-Holiday Boardings'!CW7/SUM('Service Days per Month'!CW$6:CW$7)</f>
        <v>1819.5</v>
      </c>
      <c r="CX7" s="13">
        <f>'Total Sunday-Holiday Boardings'!CX7/SUM('Service Days per Month'!CX$6:CX$7)</f>
        <v>2277.8000000000002</v>
      </c>
      <c r="CY7" s="13">
        <f>'Total Sunday-Holiday Boardings'!CY7/SUM('Service Days per Month'!CY$6:CY$7)</f>
        <v>1984.2</v>
      </c>
      <c r="CZ7" s="14">
        <f>'Total Sunday-Holiday Boardings'!CZ7/SUM('Service Days per Month'!CZ$6:CZ$7)</f>
        <v>1806.25</v>
      </c>
      <c r="DA7" s="12">
        <f>'Total Sunday-Holiday Boardings'!DA7/SUM('Service Days per Month'!DA$6:DA$7)</f>
        <v>2074.1666666666665</v>
      </c>
      <c r="DB7" s="13">
        <f>'Total Sunday-Holiday Boardings'!DB7/SUM('Service Days per Month'!DB$6:DB$7)</f>
        <v>2082.75</v>
      </c>
      <c r="DC7" s="13">
        <f>'Total Sunday-Holiday Boardings'!DC7/SUM('Service Days per Month'!DC$6:DC$7)</f>
        <v>1944</v>
      </c>
      <c r="DD7" s="13">
        <f>'Total Sunday-Holiday Boardings'!DD7/SUM('Service Days per Month'!DD$6:DD$7)</f>
        <v>2111</v>
      </c>
      <c r="DE7" s="13">
        <f>'Total Sunday-Holiday Boardings'!DE7/SUM('Service Days per Month'!DE$6:DE$7)</f>
        <v>1995</v>
      </c>
      <c r="DF7" s="13">
        <f>'Total Sunday-Holiday Boardings'!DF7/SUM('Service Days per Month'!DF$6:DF$7)</f>
        <v>1919.3333333333333</v>
      </c>
      <c r="DG7" s="13">
        <f>'Total Sunday-Holiday Boardings'!DG7/SUM('Service Days per Month'!DG$6:DG$7)</f>
        <v>2101</v>
      </c>
      <c r="DH7" s="13">
        <f>'Total Sunday-Holiday Boardings'!DH7/SUM('Service Days per Month'!DH$6:DH$7)</f>
        <v>2167</v>
      </c>
      <c r="DI7" s="13">
        <f>'Total Sunday-Holiday Boardings'!DI7/SUM('Service Days per Month'!DI$6:DI$7)</f>
        <v>1988</v>
      </c>
      <c r="DJ7" s="13">
        <f>'Total Sunday-Holiday Boardings'!DJ7/SUM('Service Days per Month'!DJ$6:DJ$7)</f>
        <v>1883.4</v>
      </c>
      <c r="DK7" s="13">
        <f>'Total Sunday-Holiday Boardings'!DK7/SUM('Service Days per Month'!DK$6:DK$7)</f>
        <v>2029.2</v>
      </c>
      <c r="DL7" s="14">
        <f>'Total Sunday-Holiday Boardings'!DL7/SUM('Service Days per Month'!DL$6:DL$7)</f>
        <v>1917.5</v>
      </c>
      <c r="DM7" s="12">
        <f>'Total Sunday-Holiday Boardings'!DM7/('Service Days per Month'!DM$6+'Service Days per Month'!DM$7)</f>
        <v>2146.1666666666665</v>
      </c>
      <c r="DN7" s="13">
        <f>'Total Sunday-Holiday Boardings'!DN7/('Service Days per Month'!DN$6+'Service Days per Month'!DN$7)</f>
        <v>2151.25</v>
      </c>
      <c r="DO7" s="13">
        <f>'Total Sunday-Holiday Boardings'!DO7/('Service Days per Month'!DO$6+'Service Days per Month'!DO$7)</f>
        <v>2069.6666666666665</v>
      </c>
      <c r="DP7" s="13">
        <f>'Total Sunday-Holiday Boardings'!DP7/('Service Days per Month'!DP$6+'Service Days per Month'!DP$7)</f>
        <v>1925.25</v>
      </c>
      <c r="DQ7" s="13">
        <f>'Total Sunday-Holiday Boardings'!DQ7/('Service Days per Month'!DQ$6+'Service Days per Month'!DQ$7)</f>
        <v>1835.4</v>
      </c>
      <c r="DR7" s="13">
        <f>'Total Sunday-Holiday Boardings'!DR7/('Service Days per Month'!DR$6+'Service Days per Month'!DR$7)</f>
        <v>1823.5</v>
      </c>
      <c r="DS7" s="13">
        <f>'Total Sunday-Holiday Boardings'!DS7/('Service Days per Month'!DS$6+'Service Days per Month'!DS$7)</f>
        <v>1949.2</v>
      </c>
      <c r="DT7" s="13">
        <f>'Total Sunday-Holiday Boardings'!DT7/('Service Days per Month'!DT$6+'Service Days per Month'!DT$7)</f>
        <v>1881.5</v>
      </c>
      <c r="DU7" s="13">
        <f>'Total Sunday-Holiday Boardings'!DU7/('Service Days per Month'!DU$6+'Service Days per Month'!DU$7)</f>
        <v>1937.4</v>
      </c>
      <c r="DV7" s="13">
        <f>'Total Sunday-Holiday Boardings'!DV7/('Service Days per Month'!DV$6+'Service Days per Month'!DV$7)</f>
        <v>1972.25</v>
      </c>
      <c r="DW7" s="13">
        <f>'Total Sunday-Holiday Boardings'!DW7/('Service Days per Month'!DW$6+'Service Days per Month'!DW$7)</f>
        <v>2092.8000000000002</v>
      </c>
      <c r="DX7" s="13">
        <f>'Total Sunday-Holiday Boardings'!DX7/('Service Days per Month'!DX$6+'Service Days per Month'!DX$7)</f>
        <v>2103</v>
      </c>
      <c r="DY7" s="12">
        <f>'Total Sunday-Holiday Boardings'!DY7/('Service Days per Month'!DY$6+'Service Days per Month'!DY$7)</f>
        <v>2202.1999999999998</v>
      </c>
      <c r="DZ7" s="13">
        <f>'Total Sunday-Holiday Boardings'!DZ7/('Service Days per Month'!DZ$6+'Service Days per Month'!DZ$7)</f>
        <v>2063.5</v>
      </c>
      <c r="EA7" s="13">
        <f>'Total Sunday-Holiday Boardings'!EA7/('Service Days per Month'!EA$6+'Service Days per Month'!EA$7)</f>
        <v>2060.5</v>
      </c>
      <c r="EB7" s="13">
        <f>'Total Sunday-Holiday Boardings'!EB7/('Service Days per Month'!EB$6+'Service Days per Month'!EB$7)</f>
        <v>2051.5</v>
      </c>
      <c r="EC7" s="13">
        <f>'Total Sunday-Holiday Boardings'!EC7/('Service Days per Month'!EC$6+'Service Days per Month'!EC$7)</f>
        <v>1984.6</v>
      </c>
      <c r="ED7" s="13">
        <f>'Total Sunday-Holiday Boardings'!ED7/('Service Days per Month'!ED$6+'Service Days per Month'!ED$7)</f>
        <v>1995.3333333333333</v>
      </c>
      <c r="EE7" s="13">
        <f>'Total Sunday-Holiday Boardings'!EE7/('Service Days per Month'!EE$6+'Service Days per Month'!EE$7)</f>
        <v>2744</v>
      </c>
      <c r="EF7" s="13">
        <f>'Total Sunday-Holiday Boardings'!EF7/('Service Days per Month'!EF$6+'Service Days per Month'!EF$7)</f>
        <v>2296.25</v>
      </c>
      <c r="EG7" s="13">
        <f>'Total Sunday-Holiday Boardings'!EG7/('Service Days per Month'!EG$6+'Service Days per Month'!EG$7)</f>
        <v>1916.4</v>
      </c>
      <c r="EH7" s="13">
        <f>'Total Sunday-Holiday Boardings'!EH7/('Service Days per Month'!EH$6+'Service Days per Month'!EH$7)</f>
        <v>1634.75</v>
      </c>
      <c r="EI7" s="13">
        <f>'Total Sunday-Holiday Boardings'!EI7/('Service Days per Month'!EI$6+'Service Days per Month'!EI$7)</f>
        <v>1471.3333333333333</v>
      </c>
      <c r="EJ7" s="13">
        <f>'Total Sunday-Holiday Boardings'!EJ7/('Service Days per Month'!EJ$6+'Service Days per Month'!EJ$7)</f>
        <v>1362.75</v>
      </c>
      <c r="EK7" s="12">
        <f>'Total Sunday-Holiday Boardings'!EK7/('Service Days per Month'!EK$6+'Service Days per Month'!EK$7)</f>
        <v>1410.4</v>
      </c>
      <c r="EL7" s="13">
        <f>'Total Sunday-Holiday Boardings'!EL7/('Service Days per Month'!EL$6+'Service Days per Month'!EL$7)</f>
        <v>1408.8</v>
      </c>
      <c r="EM7" s="13">
        <f>'Total Sunday-Holiday Boardings'!EM7/('Service Days per Month'!EM$6+'Service Days per Month'!EM$7)</f>
        <v>1373.6</v>
      </c>
      <c r="EN7" s="13">
        <f>'Total Sunday-Holiday Boardings'!EN7/('Service Days per Month'!EN$6+'Service Days per Month'!EN$7)</f>
        <v>1371.25</v>
      </c>
      <c r="EO7" s="13">
        <f>'Total Sunday-Holiday Boardings'!EO7/('Service Days per Month'!EO$6+'Service Days per Month'!EO$7)</f>
        <v>844.16666666666663</v>
      </c>
      <c r="EP7" s="13">
        <f>'Total Sunday-Holiday Boardings'!EP7/('Service Days per Month'!EP$6+'Service Days per Month'!EP$7)</f>
        <v>962.8</v>
      </c>
      <c r="EQ7" s="13">
        <f>'Total Sunday-Holiday Boardings'!EQ7/('Service Days per Month'!EQ$6+'Service Days per Month'!EQ$7)</f>
        <v>584.4</v>
      </c>
      <c r="ER7" s="13">
        <f>'Total Sunday-Holiday Boardings'!ER7/('Service Days per Month'!ER$6+'Service Days per Month'!ER$7)</f>
        <v>1229.75</v>
      </c>
      <c r="ES7" s="13">
        <f>'Total Sunday-Holiday Boardings'!ES7/('Service Days per Month'!ES$6+'Service Days per Month'!ES$7)</f>
        <v>1320</v>
      </c>
      <c r="ET7" s="13">
        <f>'Total Sunday-Holiday Boardings'!ET7/('Service Days per Month'!ET$6+'Service Days per Month'!ET$7)</f>
        <v>1156</v>
      </c>
      <c r="EU7" s="13">
        <f>'Total Sunday-Holiday Boardings'!EU7/('Service Days per Month'!EU$6+'Service Days per Month'!EU$7)</f>
        <v>938.83333333333337</v>
      </c>
      <c r="EV7" s="13">
        <f>'Total Sunday-Holiday Boardings'!EV7/('Service Days per Month'!EV$6+'Service Days per Month'!EV$7)</f>
        <v>1242.75</v>
      </c>
      <c r="EW7" s="12">
        <f>'Total Sunday-Holiday Boardings'!EW7/('Service Days per Month'!EW$6+'Service Days per Month'!EW$7)</f>
        <v>1280</v>
      </c>
      <c r="EX7" s="13">
        <f>'Total Sunday-Holiday Boardings'!EX7/('Service Days per Month'!EX$6+'Service Days per Month'!EX$7)</f>
        <v>1520</v>
      </c>
      <c r="EY7" s="13">
        <f>'Total Sunday-Holiday Boardings'!EY7/('Service Days per Month'!EY$6+'Service Days per Month'!EY$7)</f>
        <v>1249.4000000000001</v>
      </c>
      <c r="EZ7" s="13">
        <f>'Total Sunday-Holiday Boardings'!EZ7/('Service Days per Month'!EZ$6+'Service Days per Month'!EZ$7)</f>
        <v>1179.4000000000001</v>
      </c>
      <c r="FA7" s="13">
        <f>'Total Sunday-Holiday Boardings'!FA7/('Service Days per Month'!FA$6+'Service Days per Month'!FA$7)</f>
        <v>1208</v>
      </c>
      <c r="FB7" s="13">
        <f>'Total Sunday-Holiday Boardings'!FB7/('Service Days per Month'!FB$6+'Service Days per Month'!FB$7)</f>
        <v>1652</v>
      </c>
      <c r="FC7" s="13">
        <f>'Total Sunday-Holiday Boardings'!FC7/('Service Days per Month'!FC$6+'Service Days per Month'!FC$7)</f>
        <v>1251.5999999999999</v>
      </c>
      <c r="FD7" s="13">
        <f>'Total Sunday-Holiday Boardings'!FD7/('Service Days per Month'!FD$6+'Service Days per Month'!FD$7)</f>
        <v>1451</v>
      </c>
      <c r="FE7" s="13">
        <f>'Total Sunday-Holiday Boardings'!FE7/('Service Days per Month'!FE$6+'Service Days per Month'!FE$7)</f>
        <v>1537.75</v>
      </c>
      <c r="FF7" s="13">
        <f>'Total Sunday-Holiday Boardings'!FF7/('Service Days per Month'!FF$6+'Service Days per Month'!FF$7)</f>
        <v>1396.5</v>
      </c>
      <c r="FG7" s="13">
        <f>'Total Sunday-Holiday Boardings'!FG7/('Service Days per Month'!FG$6+'Service Days per Month'!FG$7)</f>
        <v>1358</v>
      </c>
      <c r="FH7" s="13">
        <f>'Total Sunday-Holiday Boardings'!FH7/('Service Days per Month'!FH$6+'Service Days per Month'!FH$7)</f>
        <v>1263.75</v>
      </c>
      <c r="FI7" s="12">
        <v>1460.8333333333333</v>
      </c>
      <c r="FJ7" s="13">
        <v>1430.75</v>
      </c>
      <c r="FK7" s="13">
        <v>1620.4</v>
      </c>
      <c r="FL7" s="13">
        <v>1483</v>
      </c>
      <c r="FM7" s="13">
        <v>1334</v>
      </c>
      <c r="FN7" s="13">
        <v>1359</v>
      </c>
      <c r="FO7" s="13">
        <v>1641.2</v>
      </c>
      <c r="FP7" s="13">
        <v>782</v>
      </c>
      <c r="FQ7" s="13">
        <v>1502</v>
      </c>
      <c r="FR7" s="13">
        <f>'Total Sunday-Holiday Boardings'!FR7/5</f>
        <v>1421.8</v>
      </c>
      <c r="FS7" s="13">
        <f>'Total Sunday-Holiday Boardings'!FS7/5</f>
        <v>1474</v>
      </c>
      <c r="FT7" s="16">
        <f>'Total Sunday-Holiday Boardings'!FT7/4</f>
        <v>1449.5</v>
      </c>
      <c r="FU7" s="18">
        <f>'Total Sunday-Holiday Boardings'!FU7/5</f>
        <v>1968.4</v>
      </c>
      <c r="FV7" s="18">
        <f>'Total Sunday-Holiday Boardings'!FV7/4</f>
        <v>2123.75</v>
      </c>
      <c r="FW7" s="18">
        <f>'Total Sunday-Holiday Boardings'!FW7/4</f>
        <v>2005.75</v>
      </c>
      <c r="FX7" s="18">
        <f>'Total Sunday-Holiday Boardings'!FX7/5</f>
        <v>1614.2</v>
      </c>
      <c r="FY7" s="18">
        <f>'Total Sunday-Holiday Boardings'!FY7/4</f>
        <v>2004.75</v>
      </c>
      <c r="FZ7" s="18">
        <f>'Total Sunday-Holiday Boardings'!FZ7/5</f>
        <v>1928.8</v>
      </c>
      <c r="GA7" s="18">
        <f>'Total Sunday-Holiday Boardings'!GA7/4</f>
        <v>2134.5</v>
      </c>
      <c r="GB7" s="18">
        <f>'Total Sunday-Holiday Boardings'!GB7/4</f>
        <v>746.5</v>
      </c>
      <c r="GC7" s="18">
        <f>'Total Sunday-Holiday Boardings'!GC7/5</f>
        <v>717</v>
      </c>
      <c r="GD7" s="18">
        <f>'Total Sunday-Holiday Boardings'!GD7/4</f>
        <v>645.75</v>
      </c>
      <c r="GE7" s="18">
        <f>'Total Sunday-Holiday Boardings'!GE7/4</f>
        <v>767</v>
      </c>
      <c r="GF7" s="18">
        <f>'Total Sunday-Holiday Boardings'!GF7/5</f>
        <v>623.4</v>
      </c>
      <c r="GG7" s="18">
        <f>'Total Sunday-Holiday Boardings'!GG7/4</f>
        <v>755.25</v>
      </c>
      <c r="GH7" s="18">
        <f>'Total Sunday-Holiday Boardings'!GH7/4</f>
        <v>604.25</v>
      </c>
      <c r="GI7" s="18">
        <f>'Total Sunday-Holiday Boardings'!GI7/5</f>
        <v>2230.1999999999998</v>
      </c>
      <c r="GJ7" s="18">
        <f>'Total Sunday-Holiday Boardings'!GJ7/4</f>
        <v>584.75</v>
      </c>
      <c r="GK7" s="18">
        <f>'Total Sunday-Holiday Boardings'!GK7/4</f>
        <v>1029.25</v>
      </c>
      <c r="GL7" s="18">
        <f>'Total Sunday-Holiday Boardings'!GL7/5</f>
        <v>612.20000000000005</v>
      </c>
    </row>
    <row r="8" spans="1:194" x14ac:dyDescent="0.3">
      <c r="A8" s="2" t="s">
        <v>30</v>
      </c>
      <c r="B8" s="17"/>
      <c r="C8" s="18"/>
      <c r="D8" s="18"/>
      <c r="E8" s="18"/>
      <c r="F8" s="18"/>
      <c r="G8" s="18"/>
      <c r="H8" s="19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7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7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9"/>
      <c r="AS8" s="17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9"/>
      <c r="BE8" s="17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9"/>
      <c r="BQ8" s="17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9"/>
      <c r="CC8" s="20"/>
      <c r="CD8" s="18"/>
      <c r="CE8" s="18"/>
      <c r="CF8" s="18"/>
      <c r="CG8" s="18"/>
      <c r="CH8" s="18"/>
      <c r="CI8" s="18"/>
      <c r="CJ8" s="18"/>
      <c r="CK8" s="18">
        <f>'Total Sunday-Holiday Boardings'!CK8/SUM('Service Days per Month'!CK$10:CK$11)</f>
        <v>571.5</v>
      </c>
      <c r="CL8" s="18">
        <f>'Total Sunday-Holiday Boardings'!CL8/SUM('Service Days per Month'!CL$6:CL$7)</f>
        <v>613.5</v>
      </c>
      <c r="CM8" s="18">
        <f>'Total Sunday-Holiday Boardings'!CM8/SUM('Service Days per Month'!CM$6:CM$7)</f>
        <v>680.66666666666663</v>
      </c>
      <c r="CN8" s="21">
        <f>'Total Sunday-Holiday Boardings'!CN8/SUM('Service Days per Month'!CN$6:CN$7)</f>
        <v>678.5</v>
      </c>
      <c r="CO8" s="17">
        <f>'Total Sunday-Holiday Boardings'!CO8/SUM('Service Days per Month'!CO$6:CO$7)</f>
        <v>704.66666666666663</v>
      </c>
      <c r="CP8" s="18">
        <f>'Total Sunday-Holiday Boardings'!CP8/SUM('Service Days per Month'!CP$6:CP$7)</f>
        <v>720.5</v>
      </c>
      <c r="CQ8" s="18">
        <f>'Total Sunday-Holiday Boardings'!CQ8/SUM('Service Days per Month'!CQ$6:CQ$7)</f>
        <v>696.4</v>
      </c>
      <c r="CR8" s="18">
        <f>'Total Sunday-Holiday Boardings'!CR8/SUM('Service Days per Month'!CR$6:CR$7)</f>
        <v>701.8</v>
      </c>
      <c r="CS8" s="18">
        <f>'Total Sunday-Holiday Boardings'!CS8/SUM('Service Days per Month'!CS$6:CS$7)</f>
        <v>945.28571428571433</v>
      </c>
      <c r="CT8" s="18">
        <f>'Total Sunday-Holiday Boardings'!CT8/SUM('Service Days per Month'!CT$6:CT$7)</f>
        <v>1001.5</v>
      </c>
      <c r="CU8" s="18">
        <f>'Total Sunday-Holiday Boardings'!CU8/SUM('Service Days per Month'!CU$6:CU$7)</f>
        <v>817</v>
      </c>
      <c r="CV8" s="18">
        <f>'Total Sunday-Holiday Boardings'!CV8/SUM('Service Days per Month'!CV$6:CV$7)</f>
        <v>823.4</v>
      </c>
      <c r="CW8" s="18">
        <f>'Total Sunday-Holiday Boardings'!CW8/SUM('Service Days per Month'!CW$6:CW$7)</f>
        <v>794</v>
      </c>
      <c r="CX8" s="18">
        <f>'Total Sunday-Holiday Boardings'!CX8/SUM('Service Days per Month'!CX$6:CX$7)</f>
        <v>826.2</v>
      </c>
      <c r="CY8" s="18">
        <f>'Total Sunday-Holiday Boardings'!CY8/SUM('Service Days per Month'!CY$6:CY$7)</f>
        <v>783</v>
      </c>
      <c r="CZ8" s="19">
        <f>'Total Sunday-Holiday Boardings'!CZ8/SUM('Service Days per Month'!CZ$6:CZ$7)</f>
        <v>729.5</v>
      </c>
      <c r="DA8" s="17">
        <f>'Total Sunday-Holiday Boardings'!DA8/SUM('Service Days per Month'!DA$6:DA$7)</f>
        <v>790.66666666666663</v>
      </c>
      <c r="DB8" s="18">
        <f>'Total Sunday-Holiday Boardings'!DB8/SUM('Service Days per Month'!DB$6:DB$7)</f>
        <v>837</v>
      </c>
      <c r="DC8" s="18">
        <f>'Total Sunday-Holiday Boardings'!DC8/SUM('Service Days per Month'!DC$6:DC$7)</f>
        <v>834</v>
      </c>
      <c r="DD8" s="18">
        <f>'Total Sunday-Holiday Boardings'!DD8/SUM('Service Days per Month'!DD$6:DD$7)</f>
        <v>818</v>
      </c>
      <c r="DE8" s="18">
        <f>'Total Sunday-Holiday Boardings'!DE8/SUM('Service Days per Month'!DE$6:DE$7)</f>
        <v>832.71428571428567</v>
      </c>
      <c r="DF8" s="18">
        <f>'Total Sunday-Holiday Boardings'!DF8/SUM('Service Days per Month'!DF$6:DF$7)</f>
        <v>761.83333333333337</v>
      </c>
      <c r="DG8" s="18">
        <f>'Total Sunday-Holiday Boardings'!DG8/SUM('Service Days per Month'!DG$6:DG$7)</f>
        <v>835.16666666666663</v>
      </c>
      <c r="DH8" s="18">
        <f>'Total Sunday-Holiday Boardings'!DH8/SUM('Service Days per Month'!DH$6:DH$7)</f>
        <v>874</v>
      </c>
      <c r="DI8" s="18">
        <f>'Total Sunday-Holiday Boardings'!DI8/SUM('Service Days per Month'!DI$6:DI$7)</f>
        <v>836</v>
      </c>
      <c r="DJ8" s="18">
        <f>'Total Sunday-Holiday Boardings'!DJ8/SUM('Service Days per Month'!DJ$6:DJ$7)</f>
        <v>778.8</v>
      </c>
      <c r="DK8" s="18">
        <f>'Total Sunday-Holiday Boardings'!DK8/SUM('Service Days per Month'!DK$6:DK$7)</f>
        <v>809.2</v>
      </c>
      <c r="DL8" s="19">
        <f>'Total Sunday-Holiday Boardings'!DL8/SUM('Service Days per Month'!DL$6:DL$7)</f>
        <v>770</v>
      </c>
      <c r="DM8" s="17">
        <f>'Total Sunday-Holiday Boardings'!DM8/('Service Days per Month'!DM$6+'Service Days per Month'!DM$7)</f>
        <v>841.16666666666663</v>
      </c>
      <c r="DN8" s="18">
        <f>'Total Sunday-Holiday Boardings'!DN8/('Service Days per Month'!DN$6+'Service Days per Month'!DN$7)</f>
        <v>865</v>
      </c>
      <c r="DO8" s="18">
        <f>'Total Sunday-Holiday Boardings'!DO8/('Service Days per Month'!DO$6+'Service Days per Month'!DO$7)</f>
        <v>852.83333333333337</v>
      </c>
      <c r="DP8" s="18">
        <f>'Total Sunday-Holiday Boardings'!DP8/('Service Days per Month'!DP$6+'Service Days per Month'!DP$7)</f>
        <v>891.75</v>
      </c>
      <c r="DQ8" s="18">
        <f>'Total Sunday-Holiday Boardings'!DQ8/('Service Days per Month'!DQ$6+'Service Days per Month'!DQ$7)</f>
        <v>847</v>
      </c>
      <c r="DR8" s="18">
        <f>'Total Sunday-Holiday Boardings'!DR8/('Service Days per Month'!DR$6+'Service Days per Month'!DR$7)</f>
        <v>786.33333333333337</v>
      </c>
      <c r="DS8" s="18">
        <f>'Total Sunday-Holiday Boardings'!DS8/('Service Days per Month'!DS$6+'Service Days per Month'!DS$7)</f>
        <v>813.8</v>
      </c>
      <c r="DT8" s="18">
        <f>'Total Sunday-Holiday Boardings'!DT8/('Service Days per Month'!DT$6+'Service Days per Month'!DT$7)</f>
        <v>826.75</v>
      </c>
      <c r="DU8" s="18">
        <f>'Total Sunday-Holiday Boardings'!DU8/('Service Days per Month'!DU$6+'Service Days per Month'!DU$7)</f>
        <v>790</v>
      </c>
      <c r="DV8" s="18">
        <f>'Total Sunday-Holiday Boardings'!DV8/('Service Days per Month'!DV$6+'Service Days per Month'!DV$7)</f>
        <v>751.75</v>
      </c>
      <c r="DW8" s="18">
        <f>'Total Sunday-Holiday Boardings'!DW8/('Service Days per Month'!DW$6+'Service Days per Month'!DW$7)</f>
        <v>757.6</v>
      </c>
      <c r="DX8" s="18">
        <f>'Total Sunday-Holiday Boardings'!DX8/('Service Days per Month'!DX$6+'Service Days per Month'!DX$7)</f>
        <v>736</v>
      </c>
      <c r="DY8" s="17">
        <f>'Total Sunday-Holiday Boardings'!DY8/('Service Days per Month'!DY$6+'Service Days per Month'!DY$7)</f>
        <v>712.2</v>
      </c>
      <c r="DZ8" s="18">
        <f>'Total Sunday-Holiday Boardings'!DZ8/('Service Days per Month'!DZ$6+'Service Days per Month'!DZ$7)</f>
        <v>877.5</v>
      </c>
      <c r="EA8" s="18">
        <f>'Total Sunday-Holiday Boardings'!EA8/('Service Days per Month'!EA$6+'Service Days per Month'!EA$7)</f>
        <v>682.66666666666663</v>
      </c>
      <c r="EB8" s="18">
        <f>'Total Sunday-Holiday Boardings'!EB8/('Service Days per Month'!EB$6+'Service Days per Month'!EB$7)</f>
        <v>781.75</v>
      </c>
      <c r="EC8" s="18">
        <f>'Total Sunday-Holiday Boardings'!EC8/('Service Days per Month'!EC$6+'Service Days per Month'!EC$7)</f>
        <v>784.6</v>
      </c>
      <c r="ED8" s="18">
        <f>'Total Sunday-Holiday Boardings'!ED8/('Service Days per Month'!ED$6+'Service Days per Month'!ED$7)</f>
        <v>734.5</v>
      </c>
      <c r="EE8" s="18">
        <f>'Total Sunday-Holiday Boardings'!EE8/('Service Days per Month'!EE$6+'Service Days per Month'!EE$7)</f>
        <v>968.5</v>
      </c>
      <c r="EF8" s="18">
        <f>'Total Sunday-Holiday Boardings'!EF8/('Service Days per Month'!EF$6+'Service Days per Month'!EF$7)</f>
        <v>852.5</v>
      </c>
      <c r="EG8" s="18">
        <f>'Total Sunday-Holiday Boardings'!EG8/('Service Days per Month'!EG$6+'Service Days per Month'!EG$7)</f>
        <v>693.2</v>
      </c>
      <c r="EH8" s="18">
        <f>'Total Sunday-Holiday Boardings'!EH8/('Service Days per Month'!EH$6+'Service Days per Month'!EH$7)</f>
        <v>490.25</v>
      </c>
      <c r="EI8" s="18">
        <f>'Total Sunday-Holiday Boardings'!EI8/('Service Days per Month'!EI$6+'Service Days per Month'!EI$7)</f>
        <v>480.33333333333331</v>
      </c>
      <c r="EJ8" s="18">
        <f>'Total Sunday-Holiday Boardings'!EJ8/('Service Days per Month'!EJ$6+'Service Days per Month'!EJ$7)</f>
        <v>418</v>
      </c>
      <c r="EK8" s="17">
        <f>'Total Sunday-Holiday Boardings'!EK8/('Service Days per Month'!EK$6+'Service Days per Month'!EK$7)</f>
        <v>394.2</v>
      </c>
      <c r="EL8" s="18">
        <f>'Total Sunday-Holiday Boardings'!EL8/('Service Days per Month'!EL$6+'Service Days per Month'!EL$7)</f>
        <v>414.2</v>
      </c>
      <c r="EM8" s="18">
        <f>'Total Sunday-Holiday Boardings'!EM8/('Service Days per Month'!EM$6+'Service Days per Month'!EM$7)</f>
        <v>426</v>
      </c>
      <c r="EN8" s="18">
        <f>'Total Sunday-Holiday Boardings'!EN8/('Service Days per Month'!EN$6+'Service Days per Month'!EN$7)</f>
        <v>408.75</v>
      </c>
      <c r="EO8" s="18">
        <f>'Total Sunday-Holiday Boardings'!EO8/('Service Days per Month'!EO$6+'Service Days per Month'!EO$7)</f>
        <v>255.66666666666666</v>
      </c>
      <c r="EP8" s="18">
        <f>'Total Sunday-Holiday Boardings'!EP8/('Service Days per Month'!EP$6+'Service Days per Month'!EP$7)</f>
        <v>284.2</v>
      </c>
      <c r="EQ8" s="18">
        <f>'Total Sunday-Holiday Boardings'!EQ8/('Service Days per Month'!EQ$6+'Service Days per Month'!EQ$7)</f>
        <v>201.4</v>
      </c>
      <c r="ER8" s="18">
        <f>'Total Sunday-Holiday Boardings'!ER8/('Service Days per Month'!ER$6+'Service Days per Month'!ER$7)</f>
        <v>367.25</v>
      </c>
      <c r="ES8" s="18">
        <f>'Total Sunday-Holiday Boardings'!ES8/('Service Days per Month'!ES$6+'Service Days per Month'!ES$7)</f>
        <v>388.25</v>
      </c>
      <c r="ET8" s="18">
        <f>'Total Sunday-Holiday Boardings'!ET8/('Service Days per Month'!ET$6+'Service Days per Month'!ET$7)</f>
        <v>395.25</v>
      </c>
      <c r="EU8" s="18">
        <f>'Total Sunday-Holiday Boardings'!EU8/('Service Days per Month'!EU$6+'Service Days per Month'!EU$7)</f>
        <v>317</v>
      </c>
      <c r="EV8" s="18">
        <f>'Total Sunday-Holiday Boardings'!EV8/('Service Days per Month'!EV$6+'Service Days per Month'!EV$7)</f>
        <v>380.25</v>
      </c>
      <c r="EW8" s="17">
        <f>'Total Sunday-Holiday Boardings'!EW8/('Service Days per Month'!EW$6+'Service Days per Month'!EW$7)</f>
        <v>380.6</v>
      </c>
      <c r="EX8" s="18">
        <f>'Total Sunday-Holiday Boardings'!EX8/('Service Days per Month'!EX$6+'Service Days per Month'!EX$7)</f>
        <v>490</v>
      </c>
      <c r="EY8" s="18">
        <f>'Total Sunday-Holiday Boardings'!EY8/('Service Days per Month'!EY$6+'Service Days per Month'!EY$7)</f>
        <v>366.6</v>
      </c>
      <c r="EZ8" s="18">
        <f>'Total Sunday-Holiday Boardings'!EZ8/('Service Days per Month'!EZ$6+'Service Days per Month'!EZ$7)</f>
        <v>397.2</v>
      </c>
      <c r="FA8" s="18">
        <f>'Total Sunday-Holiday Boardings'!FA8/('Service Days per Month'!FA$6+'Service Days per Month'!FA$7)</f>
        <v>406.6</v>
      </c>
      <c r="FB8" s="18">
        <f>'Total Sunday-Holiday Boardings'!FB8/('Service Days per Month'!FB$6+'Service Days per Month'!FB$7)</f>
        <v>559</v>
      </c>
      <c r="FC8" s="18">
        <f>'Total Sunday-Holiday Boardings'!FC8/('Service Days per Month'!FC$6+'Service Days per Month'!FC$7)</f>
        <v>420.4</v>
      </c>
      <c r="FD8" s="18">
        <f>'Total Sunday-Holiday Boardings'!FD8/('Service Days per Month'!FD$6+'Service Days per Month'!FD$7)</f>
        <v>520.5</v>
      </c>
      <c r="FE8" s="18">
        <f>'Total Sunday-Holiday Boardings'!FE8/('Service Days per Month'!FE$6+'Service Days per Month'!FE$7)</f>
        <v>551.5</v>
      </c>
      <c r="FF8" s="18">
        <f>'Total Sunday-Holiday Boardings'!FF8/('Service Days per Month'!FF$6+'Service Days per Month'!FF$7)</f>
        <v>523.25</v>
      </c>
      <c r="FG8" s="18">
        <f>'Total Sunday-Holiday Boardings'!FG8/('Service Days per Month'!FG$6+'Service Days per Month'!FG$7)</f>
        <v>516.66666666666663</v>
      </c>
      <c r="FH8" s="18">
        <f>'Total Sunday-Holiday Boardings'!FH8/('Service Days per Month'!FH$6+'Service Days per Month'!FH$7)</f>
        <v>426</v>
      </c>
      <c r="FI8" s="17">
        <v>478.66666666666669</v>
      </c>
      <c r="FJ8" s="18">
        <v>426</v>
      </c>
      <c r="FK8" s="18">
        <v>510</v>
      </c>
      <c r="FL8" s="18">
        <v>483</v>
      </c>
      <c r="FM8" s="18">
        <v>442.4</v>
      </c>
      <c r="FN8" s="18">
        <v>479.8</v>
      </c>
      <c r="FO8" s="18">
        <v>574.4</v>
      </c>
      <c r="FP8" s="18">
        <v>514.5</v>
      </c>
      <c r="FQ8" s="18">
        <v>587.5</v>
      </c>
      <c r="FR8" s="18">
        <f>'Total Sunday-Holiday Boardings'!FR8/5</f>
        <v>557.79999999999995</v>
      </c>
      <c r="FS8" s="18">
        <f>'Total Sunday-Holiday Boardings'!FS8/5</f>
        <v>577</v>
      </c>
      <c r="FT8" s="21">
        <f>'Total Sunday-Holiday Boardings'!FT8/4</f>
        <v>557.5</v>
      </c>
      <c r="FU8" s="18">
        <f>'Total Sunday-Holiday Boardings'!FU8/5</f>
        <v>690.8</v>
      </c>
      <c r="FV8" s="18">
        <f>'Total Sunday-Holiday Boardings'!FV8/4</f>
        <v>832.75</v>
      </c>
      <c r="FW8" s="18">
        <f>'Total Sunday-Holiday Boardings'!FW8/4</f>
        <v>779.5</v>
      </c>
      <c r="FX8" s="18">
        <f>'Total Sunday-Holiday Boardings'!FX8/5</f>
        <v>566</v>
      </c>
      <c r="FY8" s="18">
        <f>'Total Sunday-Holiday Boardings'!FY8/4</f>
        <v>658.25</v>
      </c>
      <c r="FZ8" s="18">
        <f>'Total Sunday-Holiday Boardings'!FZ8/5</f>
        <v>628.79999999999995</v>
      </c>
      <c r="GA8" s="18">
        <f>'Total Sunday-Holiday Boardings'!GA8/4</f>
        <v>690.75</v>
      </c>
      <c r="GB8" s="18">
        <f>'Total Sunday-Holiday Boardings'!GB8/4</f>
        <v>574.25</v>
      </c>
      <c r="GC8" s="18">
        <f>'Total Sunday-Holiday Boardings'!GC8/5</f>
        <v>542.79999999999995</v>
      </c>
      <c r="GD8" s="18">
        <f>'Total Sunday-Holiday Boardings'!GD8/4</f>
        <v>499</v>
      </c>
      <c r="GE8" s="18">
        <f>'Total Sunday-Holiday Boardings'!GE8/4</f>
        <v>620.25</v>
      </c>
      <c r="GF8" s="18">
        <f>'Total Sunday-Holiday Boardings'!GF8/5</f>
        <v>504.8</v>
      </c>
      <c r="GG8" s="18">
        <f>'Total Sunday-Holiday Boardings'!GG8/4</f>
        <v>576.75</v>
      </c>
      <c r="GH8" s="18">
        <f>'Total Sunday-Holiday Boardings'!GH8/4</f>
        <v>518</v>
      </c>
      <c r="GI8" s="18">
        <f>'Total Sunday-Holiday Boardings'!GI8/5</f>
        <v>603</v>
      </c>
      <c r="GJ8" s="18">
        <f>'Total Sunday-Holiday Boardings'!GJ8/4</f>
        <v>521.25</v>
      </c>
      <c r="GK8" s="18">
        <f>'Total Sunday-Holiday Boardings'!GK8/4</f>
        <v>617.5</v>
      </c>
      <c r="GL8" s="18">
        <f>'Total Sunday-Holiday Boardings'!GL8/5</f>
        <v>615.79999999999995</v>
      </c>
    </row>
    <row r="9" spans="1:194" ht="15" thickBot="1" x14ac:dyDescent="0.35">
      <c r="A9" s="7" t="s">
        <v>31</v>
      </c>
      <c r="B9" s="22"/>
      <c r="C9" s="23"/>
      <c r="D9" s="23"/>
      <c r="E9" s="23"/>
      <c r="F9" s="23"/>
      <c r="G9" s="23"/>
      <c r="H9" s="24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2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22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4"/>
      <c r="AS9" s="22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4"/>
      <c r="BE9" s="22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4"/>
      <c r="BQ9" s="22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4"/>
      <c r="CC9" s="25"/>
      <c r="CD9" s="23"/>
      <c r="CE9" s="23"/>
      <c r="CF9" s="23"/>
      <c r="CG9" s="23"/>
      <c r="CH9" s="23"/>
      <c r="CI9" s="23"/>
      <c r="CJ9" s="23"/>
      <c r="CK9" s="23">
        <f>'Total Sunday-Holiday Boardings'!CK9/SUM('Service Days per Month'!CK$10:CK$11)</f>
        <v>683.5</v>
      </c>
      <c r="CL9" s="23">
        <f>'Total Sunday-Holiday Boardings'!CL9/SUM('Service Days per Month'!CL$6:CL$7)</f>
        <v>784.25</v>
      </c>
      <c r="CM9" s="23">
        <f>'Total Sunday-Holiday Boardings'!CM9/SUM('Service Days per Month'!CM$6:CM$7)</f>
        <v>890.66666666666663</v>
      </c>
      <c r="CN9" s="26">
        <f>'Total Sunday-Holiday Boardings'!CN9/SUM('Service Days per Month'!CN$6:CN$7)</f>
        <v>890.25</v>
      </c>
      <c r="CO9" s="22">
        <f>'Total Sunday-Holiday Boardings'!CO9/SUM('Service Days per Month'!CO$6:CO$7)</f>
        <v>964</v>
      </c>
      <c r="CP9" s="23">
        <f>'Total Sunday-Holiday Boardings'!CP9/SUM('Service Days per Month'!CP$6:CP$7)</f>
        <v>975.25</v>
      </c>
      <c r="CQ9" s="23">
        <f>'Total Sunday-Holiday Boardings'!CQ9/SUM('Service Days per Month'!CQ$6:CQ$7)</f>
        <v>944</v>
      </c>
      <c r="CR9" s="23">
        <f>'Total Sunday-Holiday Boardings'!CR9/SUM('Service Days per Month'!CR$6:CR$7)</f>
        <v>970.6</v>
      </c>
      <c r="CS9" s="23">
        <f>'Total Sunday-Holiday Boardings'!CS9/SUM('Service Days per Month'!CS$6:CS$7)</f>
        <v>1224.4285714285713</v>
      </c>
      <c r="CT9" s="23">
        <f>'Total Sunday-Holiday Boardings'!CT9/SUM('Service Days per Month'!CT$6:CT$7)</f>
        <v>1228.6666666666667</v>
      </c>
      <c r="CU9" s="23">
        <f>'Total Sunday-Holiday Boardings'!CU9/SUM('Service Days per Month'!CU$6:CU$7)</f>
        <v>984</v>
      </c>
      <c r="CV9" s="23">
        <f>'Total Sunday-Holiday Boardings'!CV9/SUM('Service Days per Month'!CV$6:CV$7)</f>
        <v>1060.2</v>
      </c>
      <c r="CW9" s="23">
        <f>'Total Sunday-Holiday Boardings'!CW9/SUM('Service Days per Month'!CW$6:CW$7)</f>
        <v>980.25</v>
      </c>
      <c r="CX9" s="23">
        <f>'Total Sunday-Holiday Boardings'!CX9/SUM('Service Days per Month'!CX$6:CX$7)</f>
        <v>980.8</v>
      </c>
      <c r="CY9" s="23">
        <f>'Total Sunday-Holiday Boardings'!CY9/SUM('Service Days per Month'!CY$6:CY$7)</f>
        <v>944.2</v>
      </c>
      <c r="CZ9" s="24">
        <f>'Total Sunday-Holiday Boardings'!CZ9/SUM('Service Days per Month'!CZ$6:CZ$7)</f>
        <v>891.5</v>
      </c>
      <c r="DA9" s="22">
        <f>'Total Sunday-Holiday Boardings'!DA9/SUM('Service Days per Month'!DA$6:DA$7)</f>
        <v>933.16666666666663</v>
      </c>
      <c r="DB9" s="23">
        <f>'Total Sunday-Holiday Boardings'!DB9/SUM('Service Days per Month'!DB$6:DB$7)</f>
        <v>994.5</v>
      </c>
      <c r="DC9" s="23">
        <f>'Total Sunday-Holiday Boardings'!DC9/SUM('Service Days per Month'!DC$6:DC$7)</f>
        <v>956.2</v>
      </c>
      <c r="DD9" s="23">
        <f>'Total Sunday-Holiday Boardings'!DD9/SUM('Service Days per Month'!DD$6:DD$7)</f>
        <v>1082.4000000000001</v>
      </c>
      <c r="DE9" s="23">
        <f>'Total Sunday-Holiday Boardings'!DE9/SUM('Service Days per Month'!DE$6:DE$7)</f>
        <v>1073.2857142857142</v>
      </c>
      <c r="DF9" s="23">
        <f>'Total Sunday-Holiday Boardings'!DF9/SUM('Service Days per Month'!DF$6:DF$7)</f>
        <v>999.83333333333337</v>
      </c>
      <c r="DG9" s="23">
        <f>'Total Sunday-Holiday Boardings'!DG9/SUM('Service Days per Month'!DG$6:DG$7)</f>
        <v>1051.6666666666667</v>
      </c>
      <c r="DH9" s="23">
        <f>'Total Sunday-Holiday Boardings'!DH9/SUM('Service Days per Month'!DH$6:DH$7)</f>
        <v>1143.5999999999999</v>
      </c>
      <c r="DI9" s="23">
        <f>'Total Sunday-Holiday Boardings'!DI9/SUM('Service Days per Month'!DI$6:DI$7)</f>
        <v>1054</v>
      </c>
      <c r="DJ9" s="23">
        <f>'Total Sunday-Holiday Boardings'!DJ9/SUM('Service Days per Month'!DJ$6:DJ$7)</f>
        <v>1008.2</v>
      </c>
      <c r="DK9" s="23">
        <f>'Total Sunday-Holiday Boardings'!DK9/SUM('Service Days per Month'!DK$6:DK$7)</f>
        <v>1006.2</v>
      </c>
      <c r="DL9" s="24">
        <f>'Total Sunday-Holiday Boardings'!DL9/SUM('Service Days per Month'!DL$6:DL$7)</f>
        <v>1034.75</v>
      </c>
      <c r="DM9" s="22">
        <f>'Total Sunday-Holiday Boardings'!DM9/('Service Days per Month'!DM$6+'Service Days per Month'!DM$7)</f>
        <v>1012.3333333333334</v>
      </c>
      <c r="DN9" s="23">
        <f>'Total Sunday-Holiday Boardings'!DN9/('Service Days per Month'!DN$6+'Service Days per Month'!DN$7)</f>
        <v>968</v>
      </c>
      <c r="DO9" s="23">
        <f>'Total Sunday-Holiday Boardings'!DO9/('Service Days per Month'!DO$6+'Service Days per Month'!DO$7)</f>
        <v>961.16666666666663</v>
      </c>
      <c r="DP9" s="23">
        <f>'Total Sunday-Holiday Boardings'!DP9/('Service Days per Month'!DP$6+'Service Days per Month'!DP$7)</f>
        <v>1033.5</v>
      </c>
      <c r="DQ9" s="23">
        <f>'Total Sunday-Holiday Boardings'!DQ9/('Service Days per Month'!DQ$6+'Service Days per Month'!DQ$7)</f>
        <v>1032.4000000000001</v>
      </c>
      <c r="DR9" s="23">
        <f>'Total Sunday-Holiday Boardings'!DR9/('Service Days per Month'!DR$6+'Service Days per Month'!DR$7)</f>
        <v>972.33333333333337</v>
      </c>
      <c r="DS9" s="23">
        <f>'Total Sunday-Holiday Boardings'!DS9/('Service Days per Month'!DS$6+'Service Days per Month'!DS$7)</f>
        <v>917.8</v>
      </c>
      <c r="DT9" s="23">
        <f>'Total Sunday-Holiday Boardings'!DT9/('Service Days per Month'!DT$6+'Service Days per Month'!DT$7)</f>
        <v>936.5</v>
      </c>
      <c r="DU9" s="23">
        <f>'Total Sunday-Holiday Boardings'!DU9/('Service Days per Month'!DU$6+'Service Days per Month'!DU$7)</f>
        <v>946</v>
      </c>
      <c r="DV9" s="23">
        <f>'Total Sunday-Holiday Boardings'!DV9/('Service Days per Month'!DV$6+'Service Days per Month'!DV$7)</f>
        <v>862.75</v>
      </c>
      <c r="DW9" s="23">
        <f>'Total Sunday-Holiday Boardings'!DW9/('Service Days per Month'!DW$6+'Service Days per Month'!DW$7)</f>
        <v>887.8</v>
      </c>
      <c r="DX9" s="23">
        <f>'Total Sunday-Holiday Boardings'!DX9/('Service Days per Month'!DX$6+'Service Days per Month'!DX$7)</f>
        <v>886.6</v>
      </c>
      <c r="DY9" s="22">
        <f>'Total Sunday-Holiday Boardings'!DY9/('Service Days per Month'!DY$6+'Service Days per Month'!DY$7)</f>
        <v>833</v>
      </c>
      <c r="DZ9" s="23">
        <f>'Total Sunday-Holiday Boardings'!DZ9/('Service Days per Month'!DZ$6+'Service Days per Month'!DZ$7)</f>
        <v>811.75</v>
      </c>
      <c r="EA9" s="23">
        <f>'Total Sunday-Holiday Boardings'!EA9/('Service Days per Month'!EA$6+'Service Days per Month'!EA$7)</f>
        <v>878.33333333333337</v>
      </c>
      <c r="EB9" s="23">
        <f>'Total Sunday-Holiday Boardings'!EB9/('Service Days per Month'!EB$6+'Service Days per Month'!EB$7)</f>
        <v>971.75</v>
      </c>
      <c r="EC9" s="23">
        <f>'Total Sunday-Holiday Boardings'!EC9/('Service Days per Month'!EC$6+'Service Days per Month'!EC$7)</f>
        <v>945.4</v>
      </c>
      <c r="ED9" s="23">
        <f>'Total Sunday-Holiday Boardings'!ED9/('Service Days per Month'!ED$6+'Service Days per Month'!ED$7)</f>
        <v>871.16666666666663</v>
      </c>
      <c r="EE9" s="23">
        <f>'Total Sunday-Holiday Boardings'!EE9/('Service Days per Month'!EE$6+'Service Days per Month'!EE$7)</f>
        <v>1122.75</v>
      </c>
      <c r="EF9" s="23">
        <f>'Total Sunday-Holiday Boardings'!EF9/('Service Days per Month'!EF$6+'Service Days per Month'!EF$7)</f>
        <v>989</v>
      </c>
      <c r="EG9" s="23">
        <f>'Total Sunday-Holiday Boardings'!EG9/('Service Days per Month'!EG$6+'Service Days per Month'!EG$7)</f>
        <v>896.6</v>
      </c>
      <c r="EH9" s="23">
        <f>'Total Sunday-Holiday Boardings'!EH9/('Service Days per Month'!EH$6+'Service Days per Month'!EH$7)</f>
        <v>647.5</v>
      </c>
      <c r="EI9" s="23">
        <f>'Total Sunday-Holiday Boardings'!EI9/('Service Days per Month'!EI$6+'Service Days per Month'!EI$7)</f>
        <v>573.83333333333337</v>
      </c>
      <c r="EJ9" s="23">
        <f>'Total Sunday-Holiday Boardings'!EJ9/('Service Days per Month'!EJ$6+'Service Days per Month'!EJ$7)</f>
        <v>519.75</v>
      </c>
      <c r="EK9" s="22">
        <f>'Total Sunday-Holiday Boardings'!EK9/('Service Days per Month'!EK$6+'Service Days per Month'!EK$7)</f>
        <v>516.4</v>
      </c>
      <c r="EL9" s="23">
        <f>'Total Sunday-Holiday Boardings'!EL9/('Service Days per Month'!EL$6+'Service Days per Month'!EL$7)</f>
        <v>504</v>
      </c>
      <c r="EM9" s="23">
        <f>'Total Sunday-Holiday Boardings'!EM9/('Service Days per Month'!EM$6+'Service Days per Month'!EM$7)</f>
        <v>545.79999999999995</v>
      </c>
      <c r="EN9" s="23">
        <f>'Total Sunday-Holiday Boardings'!EN9/('Service Days per Month'!EN$6+'Service Days per Month'!EN$7)</f>
        <v>554.5</v>
      </c>
      <c r="EO9" s="23">
        <f>'Total Sunday-Holiday Boardings'!EO9/('Service Days per Month'!EO$6+'Service Days per Month'!EO$7)</f>
        <v>327.33333333333331</v>
      </c>
      <c r="EP9" s="23">
        <f>'Total Sunday-Holiday Boardings'!EP9/('Service Days per Month'!EP$6+'Service Days per Month'!EP$7)</f>
        <v>395.8</v>
      </c>
      <c r="EQ9" s="23">
        <f>'Total Sunday-Holiday Boardings'!EQ9/('Service Days per Month'!EQ$6+'Service Days per Month'!EQ$7)</f>
        <v>261.8</v>
      </c>
      <c r="ER9" s="23">
        <f>'Total Sunday-Holiday Boardings'!ER9/('Service Days per Month'!ER$6+'Service Days per Month'!ER$7)</f>
        <v>506</v>
      </c>
      <c r="ES9" s="23">
        <f>'Total Sunday-Holiday Boardings'!ES9/('Service Days per Month'!ES$6+'Service Days per Month'!ES$7)</f>
        <v>517</v>
      </c>
      <c r="ET9" s="23">
        <f>'Total Sunday-Holiday Boardings'!ET9/('Service Days per Month'!ET$6+'Service Days per Month'!ET$7)</f>
        <v>492.25</v>
      </c>
      <c r="EU9" s="23">
        <f>'Total Sunday-Holiday Boardings'!EU9/('Service Days per Month'!EU$6+'Service Days per Month'!EU$7)</f>
        <v>410.66666666666669</v>
      </c>
      <c r="EV9" s="23">
        <f>'Total Sunday-Holiday Boardings'!EV9/('Service Days per Month'!EV$6+'Service Days per Month'!EV$7)</f>
        <v>457.75</v>
      </c>
      <c r="EW9" s="22">
        <f>'Total Sunday-Holiday Boardings'!EW9/('Service Days per Month'!EW$6+'Service Days per Month'!EW$7)</f>
        <v>493.4</v>
      </c>
      <c r="EX9" s="23">
        <f>'Total Sunday-Holiday Boardings'!EX9/('Service Days per Month'!EX$6+'Service Days per Month'!EX$7)</f>
        <v>623.6</v>
      </c>
      <c r="EY9" s="23">
        <f>'Total Sunday-Holiday Boardings'!EY9/('Service Days per Month'!EY$6+'Service Days per Month'!EY$7)</f>
        <v>489.4</v>
      </c>
      <c r="EZ9" s="23">
        <f>'Total Sunday-Holiday Boardings'!EZ9/('Service Days per Month'!EZ$6+'Service Days per Month'!EZ$7)</f>
        <v>506.2</v>
      </c>
      <c r="FA9" s="23">
        <f>'Total Sunday-Holiday Boardings'!FA9/('Service Days per Month'!FA$6+'Service Days per Month'!FA$7)</f>
        <v>541</v>
      </c>
      <c r="FB9" s="23">
        <f>'Total Sunday-Holiday Boardings'!FB9/('Service Days per Month'!FB$6+'Service Days per Month'!FB$7)</f>
        <v>726.8</v>
      </c>
      <c r="FC9" s="23">
        <f>'Total Sunday-Holiday Boardings'!FC9/('Service Days per Month'!FC$6+'Service Days per Month'!FC$7)</f>
        <v>552.79999999999995</v>
      </c>
      <c r="FD9" s="23">
        <f>'Total Sunday-Holiday Boardings'!FD9/('Service Days per Month'!FD$6+'Service Days per Month'!FD$7)</f>
        <v>648.25</v>
      </c>
      <c r="FE9" s="23">
        <f>'Total Sunday-Holiday Boardings'!FE9/('Service Days per Month'!FE$6+'Service Days per Month'!FE$7)</f>
        <v>641.75</v>
      </c>
      <c r="FF9" s="23">
        <f>'Total Sunday-Holiday Boardings'!FF9/('Service Days per Month'!FF$6+'Service Days per Month'!FF$7)</f>
        <v>629.25</v>
      </c>
      <c r="FG9" s="23">
        <f>'Total Sunday-Holiday Boardings'!FG9/('Service Days per Month'!FG$6+'Service Days per Month'!FG$7)</f>
        <v>642.16666666666663</v>
      </c>
      <c r="FH9" s="23">
        <f>'Total Sunday-Holiday Boardings'!FH9/('Service Days per Month'!FH$6+'Service Days per Month'!FH$7)</f>
        <v>585.25</v>
      </c>
      <c r="FI9" s="22">
        <v>573.66666666666663</v>
      </c>
      <c r="FJ9" s="23">
        <v>631.25</v>
      </c>
      <c r="FK9" s="23">
        <v>764.2</v>
      </c>
      <c r="FL9" s="23">
        <v>695.2</v>
      </c>
      <c r="FM9" s="23">
        <v>638.20000000000005</v>
      </c>
      <c r="FN9" s="23">
        <v>714.8</v>
      </c>
      <c r="FO9" s="23">
        <v>802.8</v>
      </c>
      <c r="FP9" s="23">
        <v>726.25</v>
      </c>
      <c r="FQ9" s="23">
        <v>748</v>
      </c>
      <c r="FR9" s="23">
        <f>'Total Sunday-Holiday Boardings'!FR9/5</f>
        <v>783.4</v>
      </c>
      <c r="FS9" s="23">
        <f>'Total Sunday-Holiday Boardings'!FS9/5</f>
        <v>767.8</v>
      </c>
      <c r="FT9" s="26">
        <f>'Total Sunday-Holiday Boardings'!FT9/4</f>
        <v>701.25</v>
      </c>
      <c r="FU9" s="18">
        <f>'Total Sunday-Holiday Boardings'!FU9/5</f>
        <v>921.8</v>
      </c>
      <c r="FV9" s="18">
        <f>'Total Sunday-Holiday Boardings'!FV9/4</f>
        <v>1014.5</v>
      </c>
      <c r="FW9" s="18">
        <f>'Total Sunday-Holiday Boardings'!FW9/4</f>
        <v>993</v>
      </c>
      <c r="FX9" s="18">
        <f>'Total Sunday-Holiday Boardings'!FX9/5</f>
        <v>735.6</v>
      </c>
      <c r="FY9" s="18">
        <f>'Total Sunday-Holiday Boardings'!FY9/4</f>
        <v>842</v>
      </c>
      <c r="FZ9" s="18">
        <f>'Total Sunday-Holiday Boardings'!FZ9/5</f>
        <v>817.4</v>
      </c>
      <c r="GA9" s="18">
        <f>'Total Sunday-Holiday Boardings'!GA9/4</f>
        <v>972.25</v>
      </c>
      <c r="GB9" s="18">
        <f>'Total Sunday-Holiday Boardings'!GB9/4</f>
        <v>696.25</v>
      </c>
      <c r="GC9" s="18">
        <f>'Total Sunday-Holiday Boardings'!GC9/5</f>
        <v>719.2</v>
      </c>
      <c r="GD9" s="18">
        <f>'Total Sunday-Holiday Boardings'!GD9/4</f>
        <v>667.75</v>
      </c>
      <c r="GE9" s="18">
        <f>'Total Sunday-Holiday Boardings'!GE9/4</f>
        <v>820.75</v>
      </c>
      <c r="GF9" s="18">
        <f>'Total Sunday-Holiday Boardings'!GF9/5</f>
        <v>706</v>
      </c>
      <c r="GG9" s="18">
        <f>'Total Sunday-Holiday Boardings'!GG9/4</f>
        <v>769.25</v>
      </c>
      <c r="GH9" s="18">
        <f>'Total Sunday-Holiday Boardings'!GH9/4</f>
        <v>605.75</v>
      </c>
      <c r="GI9" s="18">
        <f>'Total Sunday-Holiday Boardings'!GI9/5</f>
        <v>697.4</v>
      </c>
      <c r="GJ9" s="18">
        <f>'Total Sunday-Holiday Boardings'!GJ9/4</f>
        <v>609.75</v>
      </c>
      <c r="GK9" s="18">
        <f>'Total Sunday-Holiday Boardings'!GK9/4</f>
        <v>727</v>
      </c>
      <c r="GL9" s="18">
        <f>'Total Sunday-Holiday Boardings'!GL9/5</f>
        <v>672.8</v>
      </c>
    </row>
    <row r="10" spans="1:194" x14ac:dyDescent="0.3">
      <c r="A10" s="8" t="s">
        <v>3</v>
      </c>
      <c r="B10" s="12"/>
      <c r="C10" s="13">
        <f>'Total Sunday-Holiday Boardings'!C10/SUM('Service Days per Month'!C$6:C$7)</f>
        <v>3585.4</v>
      </c>
      <c r="D10" s="13">
        <f>'Total Sunday-Holiday Boardings'!D10/SUM('Service Days per Month'!D$6:D$7)</f>
        <v>3315.5</v>
      </c>
      <c r="E10" s="13">
        <f>'Total Sunday-Holiday Boardings'!E10/SUM('Service Days per Month'!E$6:E$7)</f>
        <v>2991.2</v>
      </c>
      <c r="F10" s="13">
        <f>'Total Sunday-Holiday Boardings'!F10/SUM('Service Days per Month'!F$6:F$7)</f>
        <v>2271.1999999999998</v>
      </c>
      <c r="G10" s="13">
        <f>'Total Sunday-Holiday Boardings'!G10/SUM('Service Days per Month'!G$6:G$7)</f>
        <v>2566.5</v>
      </c>
      <c r="H10" s="14">
        <f>'Total Sunday-Holiday Boardings'!H10/SUM('Service Days per Month'!H$6:H$7)</f>
        <v>1911.5</v>
      </c>
      <c r="I10" s="12">
        <f>'Total Sunday-Holiday Boardings'!I10/SUM('Service Days per Month'!I$6:I$7)</f>
        <v>2446.8000000000002</v>
      </c>
      <c r="J10" s="13">
        <f>'Total Sunday-Holiday Boardings'!J10/SUM('Service Days per Month'!J$6:J$7)</f>
        <v>1767</v>
      </c>
      <c r="K10" s="13">
        <f>'Total Sunday-Holiday Boardings'!K10/SUM('Service Days per Month'!K$6:K$7)</f>
        <v>2066</v>
      </c>
      <c r="L10" s="13">
        <f>'Total Sunday-Holiday Boardings'!L10/SUM('Service Days per Month'!L$6:L$7)</f>
        <v>2048</v>
      </c>
      <c r="M10" s="13">
        <f>'Total Sunday-Holiday Boardings'!M10/SUM('Service Days per Month'!M$6:M$7)</f>
        <v>3184</v>
      </c>
      <c r="N10" s="13">
        <f>'Total Sunday-Holiday Boardings'!N10/SUM('Service Days per Month'!N$6:N$7)</f>
        <v>1776</v>
      </c>
      <c r="O10" s="76">
        <f>'Total Sunday-Holiday Boardings'!O10/SUM('Service Days per Month'!O$6:O$7)</f>
        <v>2247.1666666666665</v>
      </c>
      <c r="P10" s="76">
        <f>'Total Sunday-Holiday Boardings'!P10/SUM('Service Days per Month'!P$6:P$7)</f>
        <v>2926.75</v>
      </c>
      <c r="Q10" s="76">
        <f>'Total Sunday-Holiday Boardings'!Q10/SUM('Service Days per Month'!Q$6:Q$7)</f>
        <v>2967.75</v>
      </c>
      <c r="R10" s="76">
        <f>'Total Sunday-Holiday Boardings'!R10/SUM('Service Days per Month'!R$6:R$7)</f>
        <v>2209</v>
      </c>
      <c r="S10" s="76">
        <f>'Total Sunday-Holiday Boardings'!S10/SUM('Service Days per Month'!S$6:S$7)</f>
        <v>2222.1666666666665</v>
      </c>
      <c r="T10" s="77">
        <f>'Total Sunday-Holiday Boardings'!T10/SUM('Service Days per Month'!T$6:T$7)</f>
        <v>1970.75</v>
      </c>
      <c r="U10" s="78">
        <f>'Total Sunday-Holiday Boardings'!U10/SUM('Service Days per Month'!U$6:U$7)</f>
        <v>2088.1999999999998</v>
      </c>
      <c r="V10" s="76">
        <f>'Total Sunday-Holiday Boardings'!V10/SUM('Service Days per Month'!V$6:V$7)</f>
        <v>1988.4</v>
      </c>
      <c r="W10" s="76">
        <f>'Total Sunday-Holiday Boardings'!W10/SUM('Service Days per Month'!W$6:W$7)</f>
        <v>2223.1999999999998</v>
      </c>
      <c r="X10" s="76">
        <f>'Total Sunday-Holiday Boardings'!X10/SUM('Service Days per Month'!X$6:X$7)</f>
        <v>2196.1999999999998</v>
      </c>
      <c r="Y10" s="76">
        <f>'Total Sunday-Holiday Boardings'!Y10/SUM('Service Days per Month'!Y$6:Y$7)</f>
        <v>2478.2857142857142</v>
      </c>
      <c r="Z10" s="76">
        <f>'Total Sunday-Holiday Boardings'!Z10/SUM('Service Days per Month'!Z$6:Z$7)</f>
        <v>1447.2857142857142</v>
      </c>
      <c r="AA10" s="13">
        <f>'Total Sunday-Holiday Boardings'!AA10/SUM('Service Days per Month'!AA$6:AA$7)</f>
        <v>2072.1666666666665</v>
      </c>
      <c r="AB10" s="13">
        <f>'Total Sunday-Holiday Boardings'!AB10/SUM('Service Days per Month'!AB$6:AB$7)</f>
        <v>2370.6</v>
      </c>
      <c r="AC10" s="13">
        <f>'Total Sunday-Holiday Boardings'!AC10/SUM('Service Days per Month'!AC$6:AC$7)</f>
        <v>2787.5</v>
      </c>
      <c r="AD10" s="13">
        <f>'Total Sunday-Holiday Boardings'!AD10/SUM('Service Days per Month'!AD$6:AD$7)</f>
        <v>2277.5</v>
      </c>
      <c r="AE10" s="13">
        <f>'Total Sunday-Holiday Boardings'!AE10/SUM('Service Days per Month'!AE$6:AE$7)</f>
        <v>2266</v>
      </c>
      <c r="AF10" s="14">
        <f>'Total Sunday-Holiday Boardings'!AF10/SUM('Service Days per Month'!AF$6:AF$7)</f>
        <v>2199</v>
      </c>
      <c r="AG10" s="12">
        <f>'Total Sunday-Holiday Boardings'!AG10/SUM('Service Days per Month'!AG$6:AG$7)</f>
        <v>2697.6666666666665</v>
      </c>
      <c r="AH10" s="13">
        <f>'Total Sunday-Holiday Boardings'!AH10/SUM('Service Days per Month'!AH$6:AH$7)</f>
        <v>2194.5</v>
      </c>
      <c r="AI10" s="13">
        <f>'Total Sunday-Holiday Boardings'!AI10/SUM('Service Days per Month'!AI$6:AI$7)</f>
        <v>2152</v>
      </c>
      <c r="AJ10" s="13">
        <f>'Total Sunday-Holiday Boardings'!AJ10/SUM('Service Days per Month'!AJ$6:AJ$7)</f>
        <v>2113.8000000000002</v>
      </c>
      <c r="AK10" s="13">
        <f>'Total Sunday-Holiday Boardings'!AK10/SUM('Service Days per Month'!AK$6:AK$7)</f>
        <v>2191.7142857142858</v>
      </c>
      <c r="AL10" s="13">
        <f>'Total Sunday-Holiday Boardings'!AL10/SUM('Service Days per Month'!AL$6:AL$7)</f>
        <v>1748.1666666666667</v>
      </c>
      <c r="AM10" s="13">
        <f>'Total Sunday-Holiday Boardings'!AM10/SUM('Service Days per Month'!AM$6:AM$7)</f>
        <v>2297.7142857142858</v>
      </c>
      <c r="AN10" s="13">
        <f>'Total Sunday-Holiday Boardings'!AN10/SUM('Service Days per Month'!AN$6:AN$7)</f>
        <v>2445.4</v>
      </c>
      <c r="AO10" s="13">
        <f>'Total Sunday-Holiday Boardings'!AO10/SUM('Service Days per Month'!AO$6:AO$7)</f>
        <v>2240.25</v>
      </c>
      <c r="AP10" s="13">
        <f>'Total Sunday-Holiday Boardings'!AP10/SUM('Service Days per Month'!AP$6:AP$7)</f>
        <v>2300.8000000000002</v>
      </c>
      <c r="AQ10" s="13">
        <f>'Total Sunday-Holiday Boardings'!AQ10/SUM('Service Days per Month'!AQ$6:AQ$7)</f>
        <v>2323.8000000000002</v>
      </c>
      <c r="AR10" s="14">
        <f>'Total Sunday-Holiday Boardings'!AR10/SUM('Service Days per Month'!AR$6:AR$7)</f>
        <v>2180.75</v>
      </c>
      <c r="AS10" s="12">
        <f>'Total Sunday-Holiday Boardings'!AS10/SUM('Service Days per Month'!AS$6:AS$7)</f>
        <v>2692.1666666666665</v>
      </c>
      <c r="AT10" s="13">
        <f>'Total Sunday-Holiday Boardings'!AT10/SUM('Service Days per Month'!AT$6:AT$7)</f>
        <v>2370.5</v>
      </c>
      <c r="AU10" s="13">
        <f>'Total Sunday-Holiday Boardings'!AU10/SUM('Service Days per Month'!AU$6:AU$7)</f>
        <v>2298</v>
      </c>
      <c r="AV10" s="13">
        <f>'Total Sunday-Holiday Boardings'!AV10/SUM('Service Days per Month'!AV$6:AV$7)</f>
        <v>2536.5</v>
      </c>
      <c r="AW10" s="13">
        <f>'Total Sunday-Holiday Boardings'!AW10/SUM('Service Days per Month'!AW$6:AW$7)</f>
        <v>2162.1428571428573</v>
      </c>
      <c r="AX10" s="13">
        <f>'Total Sunday-Holiday Boardings'!AX10/SUM('Service Days per Month'!AX$6:AX$7)</f>
        <v>2005.1428571428571</v>
      </c>
      <c r="AY10" s="13">
        <f>'Total Sunday-Holiday Boardings'!AY10/SUM('Service Days per Month'!AY$6:AY$7)</f>
        <v>2473.6666666666665</v>
      </c>
      <c r="AZ10" s="13">
        <f>'Total Sunday-Holiday Boardings'!AZ10/SUM('Service Days per Month'!AZ$6:AZ$7)</f>
        <v>2816.6</v>
      </c>
      <c r="BA10" s="13">
        <f>'Total Sunday-Holiday Boardings'!BA10/SUM('Service Days per Month'!BA$6:BA$7)</f>
        <v>2788.2</v>
      </c>
      <c r="BB10" s="13">
        <f>'Total Sunday-Holiday Boardings'!BB10/SUM('Service Days per Month'!BB$6:BB$7)</f>
        <v>2831.25</v>
      </c>
      <c r="BC10" s="13">
        <f>'Total Sunday-Holiday Boardings'!BC10/SUM('Service Days per Month'!BC$6:BC$7)</f>
        <v>2804.2</v>
      </c>
      <c r="BD10" s="14">
        <f>'Total Sunday-Holiday Boardings'!BD10/SUM('Service Days per Month'!BD$6:BD$7)</f>
        <v>2488.4</v>
      </c>
      <c r="BE10" s="12">
        <f>'Total Sunday-Holiday Boardings'!BE10/SUM('Service Days per Month'!BE$6:BE$7)</f>
        <v>2723.2</v>
      </c>
      <c r="BF10" s="13">
        <f>'Total Sunday-Holiday Boardings'!BF10/SUM('Service Days per Month'!BF$6:BF$7)</f>
        <v>2430.75</v>
      </c>
      <c r="BG10" s="13">
        <f>'Total Sunday-Holiday Boardings'!BG10/SUM('Service Days per Month'!BG$6:BG$7)</f>
        <v>2445</v>
      </c>
      <c r="BH10" s="13">
        <f>'Total Sunday-Holiday Boardings'!BH10/SUM('Service Days per Month'!BH$6:BH$7)</f>
        <v>2362.75</v>
      </c>
      <c r="BI10" s="13">
        <f>'Total Sunday-Holiday Boardings'!BI10/SUM('Service Days per Month'!BI$6:BI$7)</f>
        <v>2081.8661134352924</v>
      </c>
      <c r="BJ10" s="13">
        <f>'Total Sunday-Holiday Boardings'!BJ10/SUM('Service Days per Month'!BJ$6:BJ$7)</f>
        <v>2336</v>
      </c>
      <c r="BK10" s="13">
        <f>'Total Sunday-Holiday Boardings'!BK10/SUM('Service Days per Month'!BK$6:BK$7)</f>
        <v>2603.6666666666665</v>
      </c>
      <c r="BL10" s="13">
        <f>'Total Sunday-Holiday Boardings'!BL10/SUM('Service Days per Month'!BL$6:BL$7)</f>
        <v>2709.2</v>
      </c>
      <c r="BM10" s="13">
        <f>'Total Sunday-Holiday Boardings'!BM10/SUM('Service Days per Month'!BM$6:BM$7)</f>
        <v>2736.2</v>
      </c>
      <c r="BN10" s="13">
        <f>'Total Sunday-Holiday Boardings'!BN10/SUM('Service Days per Month'!BN$6:BN$7)</f>
        <v>2582</v>
      </c>
      <c r="BO10" s="13">
        <f>'Total Sunday-Holiday Boardings'!BO10/SUM('Service Days per Month'!BO$6:BO$7)</f>
        <v>2339</v>
      </c>
      <c r="BP10" s="14">
        <f>'Total Sunday-Holiday Boardings'!BP10/SUM('Service Days per Month'!BP$6:BP$7)</f>
        <v>2260.8000000000002</v>
      </c>
      <c r="BQ10" s="12">
        <f>'Total Sunday-Holiday Boardings'!BQ10/SUM('Service Days per Month'!BQ$6:BQ$7)</f>
        <v>2513.6</v>
      </c>
      <c r="BR10" s="13">
        <f>'Total Sunday-Holiday Boardings'!BR10/SUM('Service Days per Month'!BR$6:BR$7)</f>
        <v>2448.4</v>
      </c>
      <c r="BS10" s="13">
        <f>'Total Sunday-Holiday Boardings'!BS10/SUM('Service Days per Month'!BS$6:BS$7)</f>
        <v>2384</v>
      </c>
      <c r="BT10" s="13">
        <f>'Total Sunday-Holiday Boardings'!BT10/SUM('Service Days per Month'!BT$6:BT$7)</f>
        <v>2327.5</v>
      </c>
      <c r="BU10" s="13">
        <f>'Total Sunday-Holiday Boardings'!BU10/SUM('Service Days per Month'!BU$6:BU$7)</f>
        <v>2413.375</v>
      </c>
      <c r="BV10" s="13">
        <f>'Total Sunday-Holiday Boardings'!BV10/SUM('Service Days per Month'!BV$6:BV$7)</f>
        <v>2302.3333333333335</v>
      </c>
      <c r="BW10" s="13">
        <f>'Total Sunday-Holiday Boardings'!BW10/SUM('Service Days per Month'!BW$6:BW$7)</f>
        <v>2742.8333333333335</v>
      </c>
      <c r="BX10" s="13">
        <f>'Total Sunday-Holiday Boardings'!BX10/SUM('Service Days per Month'!BX$6:BX$7)</f>
        <v>3078</v>
      </c>
      <c r="BY10" s="13">
        <f>'Total Sunday-Holiday Boardings'!BY10/SUM('Service Days per Month'!BY$6:BY$7)</f>
        <v>2424.6</v>
      </c>
      <c r="BZ10" s="13">
        <f>'Total Sunday-Holiday Boardings'!BZ10/SUM('Service Days per Month'!BZ$6:BZ$7)</f>
        <v>2448.75</v>
      </c>
      <c r="CA10" s="13">
        <f>'Total Sunday-Holiday Boardings'!CA10/SUM('Service Days per Month'!CA$6:CA$7)</f>
        <v>2558.6666666666665</v>
      </c>
      <c r="CB10" s="14">
        <f>'Total Sunday-Holiday Boardings'!CB10/SUM('Service Days per Month'!CB$6:CB$7)</f>
        <v>2577.75</v>
      </c>
      <c r="CC10" s="15">
        <f>'Total Sunday-Holiday Boardings'!CC10/SUM('Service Days per Month'!CC$6:CC$7)</f>
        <v>2550.8000000000002</v>
      </c>
      <c r="CD10" s="13">
        <f>'Total Sunday-Holiday Boardings'!CD10/SUM('Service Days per Month'!CD$6:CD$7)</f>
        <v>2439.8000000000002</v>
      </c>
      <c r="CE10" s="13">
        <f>'Total Sunday-Holiday Boardings'!CE10/SUM('Service Days per Month'!CE$6:CE$7)</f>
        <v>2547</v>
      </c>
      <c r="CF10" s="13">
        <f>'Total Sunday-Holiday Boardings'!CF10/SUM('Service Days per Month'!CF$6:CF$7)</f>
        <v>2550.75</v>
      </c>
      <c r="CG10" s="13">
        <f>'Total Sunday-Holiday Boardings'!CG10/SUM('Service Days per Month'!CG$6:CG$7)</f>
        <v>2415.125</v>
      </c>
      <c r="CH10" s="13">
        <f>'Total Sunday-Holiday Boardings'!CH10/SUM('Service Days per Month'!CH$6:CH$7)</f>
        <v>2348.3333333333335</v>
      </c>
      <c r="CI10" s="13">
        <f>'Total Sunday-Holiday Boardings'!CI10/SUM('Service Days per Month'!CI$6:CI$7)</f>
        <v>2486.7142857142858</v>
      </c>
      <c r="CJ10" s="13">
        <f>'Total Sunday-Holiday Boardings'!CJ10/SUM('Service Days per Month'!CJ$6:CJ$7)</f>
        <v>2583.6</v>
      </c>
      <c r="CK10" s="13">
        <f>'Total Sunday-Holiday Boardings'!CK10/SUM('Service Days per Month'!CK$6:CK$7)</f>
        <v>2108.5</v>
      </c>
      <c r="CL10" s="13">
        <f>'Total Sunday-Holiday Boardings'!CL10/SUM('Service Days per Month'!CL$6:CL$7)</f>
        <v>1628.5</v>
      </c>
      <c r="CM10" s="13">
        <f>'Total Sunday-Holiday Boardings'!CM10/SUM('Service Days per Month'!CM$6:CM$7)</f>
        <v>1581.8333333333333</v>
      </c>
      <c r="CN10" s="16">
        <f>'Total Sunday-Holiday Boardings'!CN10/SUM('Service Days per Month'!CN$6:CN$7)</f>
        <v>1537.75</v>
      </c>
      <c r="CO10" s="12">
        <f>'Total Sunday-Holiday Boardings'!CO10/SUM('Service Days per Month'!CO$6:CO$7)</f>
        <v>1650.1666666666667</v>
      </c>
      <c r="CP10" s="13">
        <f>'Total Sunday-Holiday Boardings'!CP10/SUM('Service Days per Month'!CP$6:CP$7)</f>
        <v>1647</v>
      </c>
      <c r="CQ10" s="13">
        <f>'Total Sunday-Holiday Boardings'!CQ10/SUM('Service Days per Month'!CQ$6:CQ$7)</f>
        <v>1551.2</v>
      </c>
      <c r="CR10" s="13">
        <f>'Total Sunday-Holiday Boardings'!CR10/SUM('Service Days per Month'!CR$6:CR$7)</f>
        <v>1502</v>
      </c>
      <c r="CS10" s="13">
        <f>'Total Sunday-Holiday Boardings'!CS10/SUM('Service Days per Month'!CS$6:CS$7)</f>
        <v>2043.2857142857142</v>
      </c>
      <c r="CT10" s="13">
        <f>'Total Sunday-Holiday Boardings'!CT10/SUM('Service Days per Month'!CT$6:CT$7)</f>
        <v>2135.8333333333335</v>
      </c>
      <c r="CU10" s="13">
        <f>'Total Sunday-Holiday Boardings'!CU10/SUM('Service Days per Month'!CU$6:CU$7)</f>
        <v>1653.7142857142858</v>
      </c>
      <c r="CV10" s="13">
        <f>'Total Sunday-Holiday Boardings'!CV10/SUM('Service Days per Month'!CV$6:CV$7)</f>
        <v>1657.6</v>
      </c>
      <c r="CW10" s="13">
        <f>'Total Sunday-Holiday Boardings'!CW10/SUM('Service Days per Month'!CW$6:CW$7)</f>
        <v>1656</v>
      </c>
      <c r="CX10" s="13">
        <f>'Total Sunday-Holiday Boardings'!CX10/SUM('Service Days per Month'!CX$6:CX$7)</f>
        <v>1897</v>
      </c>
      <c r="CY10" s="13">
        <f>'Total Sunday-Holiday Boardings'!CY10/SUM('Service Days per Month'!CY$6:CY$7)</f>
        <v>1421.6</v>
      </c>
      <c r="CZ10" s="14">
        <f>'Total Sunday-Holiday Boardings'!CZ10/SUM('Service Days per Month'!CZ$6:CZ$7)</f>
        <v>1332.25</v>
      </c>
      <c r="DA10" s="12">
        <f>'Total Sunday-Holiday Boardings'!DA10/SUM('Service Days per Month'!DA$6:DA$7)</f>
        <v>1448.5</v>
      </c>
      <c r="DB10" s="13">
        <f>'Total Sunday-Holiday Boardings'!DB10/SUM('Service Days per Month'!DB$6:DB$7)</f>
        <v>1454.25</v>
      </c>
      <c r="DC10" s="13">
        <f>'Total Sunday-Holiday Boardings'!DC10/SUM('Service Days per Month'!DC$6:DC$7)</f>
        <v>1499.6</v>
      </c>
      <c r="DD10" s="13">
        <f>'Total Sunday-Holiday Boardings'!DD10/SUM('Service Days per Month'!DD$6:DD$7)</f>
        <v>1490.2</v>
      </c>
      <c r="DE10" s="13">
        <f>'Total Sunday-Holiday Boardings'!DE10/SUM('Service Days per Month'!DE$6:DE$7)</f>
        <v>1594.7142857142858</v>
      </c>
      <c r="DF10" s="13">
        <f>'Total Sunday-Holiday Boardings'!DF10/SUM('Service Days per Month'!DF$6:DF$7)</f>
        <v>1409.5</v>
      </c>
      <c r="DG10" s="13">
        <f>'Total Sunday-Holiday Boardings'!DG10/SUM('Service Days per Month'!DG$6:DG$7)</f>
        <v>1525.3333333333333</v>
      </c>
      <c r="DH10" s="13">
        <f>'Total Sunday-Holiday Boardings'!DH10/SUM('Service Days per Month'!DH$6:DH$7)</f>
        <v>1607.2</v>
      </c>
      <c r="DI10" s="13">
        <f>'Total Sunday-Holiday Boardings'!DI10/SUM('Service Days per Month'!DI$6:DI$7)</f>
        <v>1524.5</v>
      </c>
      <c r="DJ10" s="13">
        <f>'Total Sunday-Holiday Boardings'!DJ10/SUM('Service Days per Month'!DJ$6:DJ$7)</f>
        <v>1399.8</v>
      </c>
      <c r="DK10" s="13">
        <f>'Total Sunday-Holiday Boardings'!DK10/SUM('Service Days per Month'!DK$6:DK$7)</f>
        <v>1409.6</v>
      </c>
      <c r="DL10" s="14">
        <f>'Total Sunday-Holiday Boardings'!DL10/SUM('Service Days per Month'!DL$6:DL$7)</f>
        <v>1296.5</v>
      </c>
      <c r="DM10" s="12">
        <f>'Total Sunday-Holiday Boardings'!DM10/('Service Days per Month'!DM$6+'Service Days per Month'!DM$7)</f>
        <v>1452.1666666666667</v>
      </c>
      <c r="DN10" s="13">
        <f>'Total Sunday-Holiday Boardings'!DN10/('Service Days per Month'!DN$6+'Service Days per Month'!DN$7)</f>
        <v>1355</v>
      </c>
      <c r="DO10" s="13">
        <f>'Total Sunday-Holiday Boardings'!DO10/('Service Days per Month'!DO$6+'Service Days per Month'!DO$7)</f>
        <v>1407.6666666666667</v>
      </c>
      <c r="DP10" s="13">
        <f>'Total Sunday-Holiday Boardings'!DP10/('Service Days per Month'!DP$6+'Service Days per Month'!DP$7)</f>
        <v>1445.25</v>
      </c>
      <c r="DQ10" s="13">
        <f>'Total Sunday-Holiday Boardings'!DQ10/('Service Days per Month'!DQ$6+'Service Days per Month'!DQ$7)</f>
        <v>1353.4</v>
      </c>
      <c r="DR10" s="13">
        <f>'Total Sunday-Holiday Boardings'!DR10/('Service Days per Month'!DR$6+'Service Days per Month'!DR$7)</f>
        <v>1340</v>
      </c>
      <c r="DS10" s="13">
        <f>'Total Sunday-Holiday Boardings'!DS10/('Service Days per Month'!DS$6+'Service Days per Month'!DS$7)</f>
        <v>1307.5999999999999</v>
      </c>
      <c r="DT10" s="13">
        <f>'Total Sunday-Holiday Boardings'!DT10/('Service Days per Month'!DT$6+'Service Days per Month'!DT$7)</f>
        <v>1375.75</v>
      </c>
      <c r="DU10" s="13">
        <f>'Total Sunday-Holiday Boardings'!DU10/('Service Days per Month'!DU$6+'Service Days per Month'!DU$7)</f>
        <v>1449.2</v>
      </c>
      <c r="DV10" s="13">
        <f>'Total Sunday-Holiday Boardings'!DV10/('Service Days per Month'!DV$6+'Service Days per Month'!DV$7)</f>
        <v>1270.75</v>
      </c>
      <c r="DW10" s="13">
        <f>'Total Sunday-Holiday Boardings'!DW10/('Service Days per Month'!DW$6+'Service Days per Month'!DW$7)</f>
        <v>1268.2</v>
      </c>
      <c r="DX10" s="13">
        <f>'Total Sunday-Holiday Boardings'!DX10/('Service Days per Month'!DX$6+'Service Days per Month'!DX$7)</f>
        <v>1234.8</v>
      </c>
      <c r="DY10" s="12">
        <f>'Total Sunday-Holiday Boardings'!DY10/('Service Days per Month'!DY$6+'Service Days per Month'!DY$7)</f>
        <v>1179.2</v>
      </c>
      <c r="DZ10" s="13">
        <f>'Total Sunday-Holiday Boardings'!DZ10/('Service Days per Month'!DZ$6+'Service Days per Month'!DZ$7)</f>
        <v>1421.5</v>
      </c>
      <c r="EA10" s="13">
        <f>'Total Sunday-Holiday Boardings'!EA10/('Service Days per Month'!EA$6+'Service Days per Month'!EA$7)</f>
        <v>1241.6666666666667</v>
      </c>
      <c r="EB10" s="13">
        <f>'Total Sunday-Holiday Boardings'!EB10/('Service Days per Month'!EB$6+'Service Days per Month'!EB$7)</f>
        <v>1302</v>
      </c>
      <c r="EC10" s="13">
        <f>'Total Sunday-Holiday Boardings'!EC10/('Service Days per Month'!EC$6+'Service Days per Month'!EC$7)</f>
        <v>1284.8</v>
      </c>
      <c r="ED10" s="13">
        <f>'Total Sunday-Holiday Boardings'!ED10/('Service Days per Month'!ED$6+'Service Days per Month'!ED$7)</f>
        <v>1232</v>
      </c>
      <c r="EE10" s="13">
        <f>'Total Sunday-Holiday Boardings'!EE10/('Service Days per Month'!EE$6+'Service Days per Month'!EE$7)</f>
        <v>1514.5</v>
      </c>
      <c r="EF10" s="13">
        <f>'Total Sunday-Holiday Boardings'!EF10/('Service Days per Month'!EF$6+'Service Days per Month'!EF$7)</f>
        <v>1355.25</v>
      </c>
      <c r="EG10" s="13">
        <f>'Total Sunday-Holiday Boardings'!EG10/('Service Days per Month'!EG$6+'Service Days per Month'!EG$7)</f>
        <v>1151.8</v>
      </c>
      <c r="EH10" s="13">
        <f>'Total Sunday-Holiday Boardings'!EH10/('Service Days per Month'!EH$6+'Service Days per Month'!EH$7)</f>
        <v>763.25</v>
      </c>
      <c r="EI10" s="13">
        <f>'Total Sunday-Holiday Boardings'!EI10/('Service Days per Month'!EI$6+'Service Days per Month'!EI$7)</f>
        <v>743.33333333333337</v>
      </c>
      <c r="EJ10" s="13">
        <f>'Total Sunday-Holiday Boardings'!EJ10/('Service Days per Month'!EJ$6+'Service Days per Month'!EJ$7)</f>
        <v>686.75</v>
      </c>
      <c r="EK10" s="12">
        <f>'Total Sunday-Holiday Boardings'!EK10/('Service Days per Month'!EK$6+'Service Days per Month'!EK$7)</f>
        <v>636.4</v>
      </c>
      <c r="EL10" s="13">
        <f>'Total Sunday-Holiday Boardings'!EL10/('Service Days per Month'!EL$6+'Service Days per Month'!EL$7)</f>
        <v>631</v>
      </c>
      <c r="EM10" s="13">
        <f>'Total Sunday-Holiday Boardings'!EM10/('Service Days per Month'!EM$6+'Service Days per Month'!EM$7)</f>
        <v>658.8</v>
      </c>
      <c r="EN10" s="13">
        <f>'Total Sunday-Holiday Boardings'!EN10/('Service Days per Month'!EN$6+'Service Days per Month'!EN$7)</f>
        <v>665</v>
      </c>
      <c r="EO10" s="13">
        <f>'Total Sunday-Holiday Boardings'!EO10/('Service Days per Month'!EO$6+'Service Days per Month'!EO$7)</f>
        <v>411.83333333333331</v>
      </c>
      <c r="EP10" s="13">
        <f>'Total Sunday-Holiday Boardings'!EP10/('Service Days per Month'!EP$6+'Service Days per Month'!EP$7)</f>
        <v>477.6</v>
      </c>
      <c r="EQ10" s="13">
        <f>'Total Sunday-Holiday Boardings'!EQ10/('Service Days per Month'!EQ$6+'Service Days per Month'!EQ$7)</f>
        <v>308.2</v>
      </c>
      <c r="ER10" s="13">
        <f>'Total Sunday-Holiday Boardings'!ER10/('Service Days per Month'!ER$6+'Service Days per Month'!ER$7)</f>
        <v>599.25</v>
      </c>
      <c r="ES10" s="13">
        <f>'Total Sunday-Holiday Boardings'!ES10/('Service Days per Month'!ES$6+'Service Days per Month'!ES$7)</f>
        <v>620.25</v>
      </c>
      <c r="ET10" s="13">
        <f>'Total Sunday-Holiday Boardings'!ET10/('Service Days per Month'!ET$6+'Service Days per Month'!ET$7)</f>
        <v>683.75</v>
      </c>
      <c r="EU10" s="13">
        <f>'Total Sunday-Holiday Boardings'!EU10/('Service Days per Month'!EU$6+'Service Days per Month'!EU$7)</f>
        <v>556.5</v>
      </c>
      <c r="EV10" s="13">
        <f>'Total Sunday-Holiday Boardings'!EV10/('Service Days per Month'!EV$6+'Service Days per Month'!EV$7)</f>
        <v>625.25</v>
      </c>
      <c r="EW10" s="12">
        <f>'Total Sunday-Holiday Boardings'!EW10/('Service Days per Month'!EW$6+'Service Days per Month'!EW$7)</f>
        <v>628.6</v>
      </c>
      <c r="EX10" s="13">
        <f>'Total Sunday-Holiday Boardings'!EX10/('Service Days per Month'!EX$6+'Service Days per Month'!EX$7)</f>
        <v>797.2</v>
      </c>
      <c r="EY10" s="13">
        <f>'Total Sunday-Holiday Boardings'!EY10/('Service Days per Month'!EY$6+'Service Days per Month'!EY$7)</f>
        <v>660</v>
      </c>
      <c r="EZ10" s="13">
        <f>'Total Sunday-Holiday Boardings'!EZ10/('Service Days per Month'!EZ$6+'Service Days per Month'!EZ$7)</f>
        <v>660.2</v>
      </c>
      <c r="FA10" s="13">
        <f>'Total Sunday-Holiday Boardings'!FA10/('Service Days per Month'!FA$6+'Service Days per Month'!FA$7)</f>
        <v>657.2</v>
      </c>
      <c r="FB10" s="13">
        <f>'Total Sunday-Holiday Boardings'!FB10/('Service Days per Month'!FB$6+'Service Days per Month'!FB$7)</f>
        <v>1001.2</v>
      </c>
      <c r="FC10" s="13">
        <f>'Total Sunday-Holiday Boardings'!FC10/('Service Days per Month'!FC$6+'Service Days per Month'!FC$7)</f>
        <v>717.4</v>
      </c>
      <c r="FD10" s="13">
        <f>'Total Sunday-Holiday Boardings'!FD10/('Service Days per Month'!FD$6+'Service Days per Month'!FD$7)</f>
        <v>841.25</v>
      </c>
      <c r="FE10" s="13">
        <f>'Total Sunday-Holiday Boardings'!FE10/('Service Days per Month'!FE$6+'Service Days per Month'!FE$7)</f>
        <v>914</v>
      </c>
      <c r="FF10" s="13">
        <f>'Total Sunday-Holiday Boardings'!FF10/('Service Days per Month'!FF$6+'Service Days per Month'!FF$7)</f>
        <v>904.75</v>
      </c>
      <c r="FG10" s="13">
        <f>'Total Sunday-Holiday Boardings'!FG10/('Service Days per Month'!FG$6+'Service Days per Month'!FG$7)</f>
        <v>930</v>
      </c>
      <c r="FH10" s="13">
        <f>'Total Sunday-Holiday Boardings'!FH10/('Service Days per Month'!FH$6+'Service Days per Month'!FH$7)</f>
        <v>796.5</v>
      </c>
      <c r="FI10" s="12">
        <v>831.5</v>
      </c>
      <c r="FJ10" s="13">
        <v>877</v>
      </c>
      <c r="FK10" s="13">
        <v>1027.2</v>
      </c>
      <c r="FL10" s="13">
        <v>949.2</v>
      </c>
      <c r="FM10" s="13">
        <v>850</v>
      </c>
      <c r="FN10" s="13">
        <v>905</v>
      </c>
      <c r="FO10" s="13">
        <v>1089.4000000000001</v>
      </c>
      <c r="FP10" s="13">
        <v>957.75</v>
      </c>
      <c r="FQ10" s="13">
        <v>1040.25</v>
      </c>
      <c r="FR10" s="13">
        <f>'Total Sunday-Holiday Boardings'!FR10/5</f>
        <v>1010.6</v>
      </c>
      <c r="FS10" s="13">
        <f>'Total Sunday-Holiday Boardings'!FS10/5</f>
        <v>1036.5999999999999</v>
      </c>
      <c r="FT10" s="16">
        <f>'Total Sunday-Holiday Boardings'!FT10/4</f>
        <v>982</v>
      </c>
      <c r="FU10" s="18">
        <f>'Total Sunday-Holiday Boardings'!FU10/5</f>
        <v>1065.4000000000001</v>
      </c>
      <c r="FV10" s="18">
        <f>'Total Sunday-Holiday Boardings'!FV10/4</f>
        <v>1199</v>
      </c>
      <c r="FW10" s="18">
        <f>'Total Sunday-Holiday Boardings'!FW10/4</f>
        <v>1113.5</v>
      </c>
      <c r="FX10" s="18">
        <f>'Total Sunday-Holiday Boardings'!FX10/5</f>
        <v>880.4</v>
      </c>
      <c r="FY10" s="18">
        <f>'Total Sunday-Holiday Boardings'!FY10/4</f>
        <v>962.25</v>
      </c>
      <c r="FZ10" s="18">
        <f>'Total Sunday-Holiday Boardings'!FZ10/5</f>
        <v>953</v>
      </c>
      <c r="GA10" s="18">
        <f>'Total Sunday-Holiday Boardings'!GA10/4</f>
        <v>1051.25</v>
      </c>
      <c r="GB10" s="18">
        <f>'Total Sunday-Holiday Boardings'!GB10/4</f>
        <v>890.5</v>
      </c>
      <c r="GC10" s="18">
        <f>'Total Sunday-Holiday Boardings'!GC10/5</f>
        <v>865.4</v>
      </c>
      <c r="GD10" s="18">
        <f>'Total Sunday-Holiday Boardings'!GD10/4</f>
        <v>853.75</v>
      </c>
      <c r="GE10" s="18">
        <f>'Total Sunday-Holiday Boardings'!GE10/4</f>
        <v>1016</v>
      </c>
      <c r="GF10" s="18">
        <f>'Total Sunday-Holiday Boardings'!GF10/5</f>
        <v>827.6</v>
      </c>
      <c r="GG10" s="18">
        <f>'Total Sunday-Holiday Boardings'!GG10/4</f>
        <v>878.25</v>
      </c>
      <c r="GH10" s="18">
        <f>'Total Sunday-Holiday Boardings'!GH10/4</f>
        <v>833</v>
      </c>
      <c r="GI10" s="18">
        <f>'Total Sunday-Holiday Boardings'!GI10/5</f>
        <v>947.6</v>
      </c>
      <c r="GJ10" s="18">
        <f>'Total Sunday-Holiday Boardings'!GJ10/4</f>
        <v>824</v>
      </c>
      <c r="GK10" s="18">
        <f>'Total Sunday-Holiday Boardings'!GK10/4</f>
        <v>939</v>
      </c>
      <c r="GL10" s="18">
        <f>'Total Sunday-Holiday Boardings'!GL10/5</f>
        <v>878.4</v>
      </c>
    </row>
    <row r="11" spans="1:194" x14ac:dyDescent="0.3">
      <c r="A11" s="3" t="s">
        <v>4</v>
      </c>
      <c r="B11" s="17"/>
      <c r="C11" s="18">
        <f>'Total Sunday-Holiday Boardings'!C11/SUM('Service Days per Month'!C$6:C$7)</f>
        <v>846.6</v>
      </c>
      <c r="D11" s="18">
        <f>'Total Sunday-Holiday Boardings'!D11/SUM('Service Days per Month'!D$6:D$7)</f>
        <v>710</v>
      </c>
      <c r="E11" s="18">
        <f>'Total Sunday-Holiday Boardings'!E11/SUM('Service Days per Month'!E$6:E$7)</f>
        <v>679</v>
      </c>
      <c r="F11" s="18">
        <f>'Total Sunday-Holiday Boardings'!F11/SUM('Service Days per Month'!F$6:F$7)</f>
        <v>563.6</v>
      </c>
      <c r="G11" s="18">
        <f>'Total Sunday-Holiday Boardings'!G11/SUM('Service Days per Month'!G$6:G$7)</f>
        <v>666.66666666666663</v>
      </c>
      <c r="H11" s="19">
        <f>'Total Sunday-Holiday Boardings'!H11/SUM('Service Days per Month'!H$6:H$7)</f>
        <v>609.25</v>
      </c>
      <c r="I11" s="17">
        <f>'Total Sunday-Holiday Boardings'!I11/SUM('Service Days per Month'!I$6:I$7)</f>
        <v>858.8</v>
      </c>
      <c r="J11" s="18">
        <f>'Total Sunday-Holiday Boardings'!J11/SUM('Service Days per Month'!J$6:J$7)</f>
        <v>650.4</v>
      </c>
      <c r="K11" s="18">
        <f>'Total Sunday-Holiday Boardings'!K11/SUM('Service Days per Month'!K$6:K$7)</f>
        <v>719.4</v>
      </c>
      <c r="L11" s="18">
        <f>'Total Sunday-Holiday Boardings'!L11/SUM('Service Days per Month'!L$6:L$7)</f>
        <v>761.75</v>
      </c>
      <c r="M11" s="18">
        <f>'Total Sunday-Holiday Boardings'!M11/SUM('Service Days per Month'!M$6:M$7)</f>
        <v>1187.5</v>
      </c>
      <c r="N11" s="18">
        <f>'Total Sunday-Holiday Boardings'!N11/SUM('Service Days per Month'!N$6:N$7)</f>
        <v>697.2</v>
      </c>
      <c r="O11" s="79">
        <f>'Total Sunday-Holiday Boardings'!O11/SUM('Service Days per Month'!O$6:O$7)</f>
        <v>796.16666666666663</v>
      </c>
      <c r="P11" s="79">
        <f>'Total Sunday-Holiday Boardings'!P11/SUM('Service Days per Month'!P$6:P$7)</f>
        <v>1011.25</v>
      </c>
      <c r="Q11" s="79">
        <f>'Total Sunday-Holiday Boardings'!Q11/SUM('Service Days per Month'!Q$6:Q$7)</f>
        <v>956.75</v>
      </c>
      <c r="R11" s="79">
        <f>'Total Sunday-Holiday Boardings'!R11/SUM('Service Days per Month'!R$6:R$7)</f>
        <v>805.75</v>
      </c>
      <c r="S11" s="79">
        <f>'Total Sunday-Holiday Boardings'!S11/SUM('Service Days per Month'!S$6:S$7)</f>
        <v>868.5</v>
      </c>
      <c r="T11" s="80">
        <f>'Total Sunday-Holiday Boardings'!T11/SUM('Service Days per Month'!T$6:T$7)</f>
        <v>742.5</v>
      </c>
      <c r="U11" s="81">
        <f>'Total Sunday-Holiday Boardings'!U11/SUM('Service Days per Month'!U$6:U$7)</f>
        <v>749.6</v>
      </c>
      <c r="V11" s="79">
        <f>'Total Sunday-Holiday Boardings'!V11/SUM('Service Days per Month'!V$6:V$7)</f>
        <v>807</v>
      </c>
      <c r="W11" s="79">
        <f>'Total Sunday-Holiday Boardings'!W11/SUM('Service Days per Month'!W$6:W$7)</f>
        <v>886.6</v>
      </c>
      <c r="X11" s="79">
        <f>'Total Sunday-Holiday Boardings'!X11/SUM('Service Days per Month'!X$6:X$7)</f>
        <v>916</v>
      </c>
      <c r="Y11" s="79">
        <f>'Total Sunday-Holiday Boardings'!Y11/SUM('Service Days per Month'!Y$6:Y$7)</f>
        <v>993.14285714285711</v>
      </c>
      <c r="Z11" s="79">
        <f>'Total Sunday-Holiday Boardings'!Z11/SUM('Service Days per Month'!Z$6:Z$7)</f>
        <v>495</v>
      </c>
      <c r="AA11" s="18">
        <f>'Total Sunday-Holiday Boardings'!AA11/SUM('Service Days per Month'!AA$6:AA$7)</f>
        <v>735.83333333333337</v>
      </c>
      <c r="AB11" s="18">
        <f>'Total Sunday-Holiday Boardings'!AB11/SUM('Service Days per Month'!AB$6:AB$7)</f>
        <v>862.4</v>
      </c>
      <c r="AC11" s="18">
        <f>'Total Sunday-Holiday Boardings'!AC11/SUM('Service Days per Month'!AC$6:AC$7)</f>
        <v>898.5</v>
      </c>
      <c r="AD11" s="18">
        <f>'Total Sunday-Holiday Boardings'!AD11/SUM('Service Days per Month'!AD$6:AD$7)</f>
        <v>847.75</v>
      </c>
      <c r="AE11" s="18">
        <f>'Total Sunday-Holiday Boardings'!AE11/SUM('Service Days per Month'!AE$6:AE$7)</f>
        <v>865.33333333333337</v>
      </c>
      <c r="AF11" s="19">
        <f>'Total Sunday-Holiday Boardings'!AF11/SUM('Service Days per Month'!AF$6:AF$7)</f>
        <v>789.25</v>
      </c>
      <c r="AG11" s="17">
        <f>'Total Sunday-Holiday Boardings'!AG11/SUM('Service Days per Month'!AG$6:AG$7)</f>
        <v>984.83333333333337</v>
      </c>
      <c r="AH11" s="18">
        <f>'Total Sunday-Holiday Boardings'!AH11/SUM('Service Days per Month'!AH$6:AH$7)</f>
        <v>877.75</v>
      </c>
      <c r="AI11" s="18">
        <f>'Total Sunday-Holiday Boardings'!AI11/SUM('Service Days per Month'!AI$6:AI$7)</f>
        <v>900</v>
      </c>
      <c r="AJ11" s="18">
        <f>'Total Sunday-Holiday Boardings'!AJ11/SUM('Service Days per Month'!AJ$6:AJ$7)</f>
        <v>1013.4</v>
      </c>
      <c r="AK11" s="18">
        <f>'Total Sunday-Holiday Boardings'!AK11/SUM('Service Days per Month'!AK$6:AK$7)</f>
        <v>1027.5714285714287</v>
      </c>
      <c r="AL11" s="18">
        <f>'Total Sunday-Holiday Boardings'!AL11/SUM('Service Days per Month'!AL$6:AL$7)</f>
        <v>758.83333333333337</v>
      </c>
      <c r="AM11" s="18">
        <f>'Total Sunday-Holiday Boardings'!AM11/SUM('Service Days per Month'!AM$6:AM$7)</f>
        <v>951.28571428571433</v>
      </c>
      <c r="AN11" s="18">
        <f>'Total Sunday-Holiday Boardings'!AN11/SUM('Service Days per Month'!AN$6:AN$7)</f>
        <v>957.6</v>
      </c>
      <c r="AO11" s="18">
        <f>'Total Sunday-Holiday Boardings'!AO11/SUM('Service Days per Month'!AO$6:AO$7)</f>
        <v>958.25</v>
      </c>
      <c r="AP11" s="18">
        <f>'Total Sunday-Holiday Boardings'!AP11/SUM('Service Days per Month'!AP$6:AP$7)</f>
        <v>1023</v>
      </c>
      <c r="AQ11" s="18">
        <f>'Total Sunday-Holiday Boardings'!AQ11/SUM('Service Days per Month'!AQ$6:AQ$7)</f>
        <v>1036.5999999999999</v>
      </c>
      <c r="AR11" s="19">
        <f>'Total Sunday-Holiday Boardings'!AR11/SUM('Service Days per Month'!AR$6:AR$7)</f>
        <v>995.75</v>
      </c>
      <c r="AS11" s="17">
        <f>'Total Sunday-Holiday Boardings'!AS11/SUM('Service Days per Month'!AS$6:AS$7)</f>
        <v>1132</v>
      </c>
      <c r="AT11" s="18">
        <f>'Total Sunday-Holiday Boardings'!AT11/SUM('Service Days per Month'!AT$6:AT$7)</f>
        <v>1040</v>
      </c>
      <c r="AU11" s="18">
        <f>'Total Sunday-Holiday Boardings'!AU11/SUM('Service Days per Month'!AU$6:AU$7)</f>
        <v>1089</v>
      </c>
      <c r="AV11" s="18">
        <f>'Total Sunday-Holiday Boardings'!AV11/SUM('Service Days per Month'!AV$6:AV$7)</f>
        <v>1173.25</v>
      </c>
      <c r="AW11" s="18">
        <f>'Total Sunday-Holiday Boardings'!AW11/SUM('Service Days per Month'!AW$6:AW$7)</f>
        <v>1056.2857142857142</v>
      </c>
      <c r="AX11" s="18">
        <f>'Total Sunday-Holiday Boardings'!AX11/SUM('Service Days per Month'!AX$6:AX$7)</f>
        <v>976.85714285714289</v>
      </c>
      <c r="AY11" s="18">
        <f>'Total Sunday-Holiday Boardings'!AY11/SUM('Service Days per Month'!AY$6:AY$7)</f>
        <v>1166.1666666666667</v>
      </c>
      <c r="AZ11" s="18">
        <f>'Total Sunday-Holiday Boardings'!AZ11/SUM('Service Days per Month'!AZ$6:AZ$7)</f>
        <v>1295.2</v>
      </c>
      <c r="BA11" s="18">
        <f>'Total Sunday-Holiday Boardings'!BA11/SUM('Service Days per Month'!BA$6:BA$7)</f>
        <v>1261.5999999999999</v>
      </c>
      <c r="BB11" s="18">
        <f>'Total Sunday-Holiday Boardings'!BB11/SUM('Service Days per Month'!BB$6:BB$7)</f>
        <v>1216.75</v>
      </c>
      <c r="BC11" s="18">
        <f>'Total Sunday-Holiday Boardings'!BC11/SUM('Service Days per Month'!BC$6:BC$7)</f>
        <v>1197.5999999999999</v>
      </c>
      <c r="BD11" s="19">
        <f>'Total Sunday-Holiday Boardings'!BD11/SUM('Service Days per Month'!BD$6:BD$7)</f>
        <v>1114.2</v>
      </c>
      <c r="BE11" s="17">
        <f>'Total Sunday-Holiday Boardings'!BE11/SUM('Service Days per Month'!BE$6:BE$7)</f>
        <v>1289.2</v>
      </c>
      <c r="BF11" s="18">
        <f>'Total Sunday-Holiday Boardings'!BF11/SUM('Service Days per Month'!BF$6:BF$7)</f>
        <v>1137</v>
      </c>
      <c r="BG11" s="18">
        <f>'Total Sunday-Holiday Boardings'!BG11/SUM('Service Days per Month'!BG$6:BG$7)</f>
        <v>1135.8333333333333</v>
      </c>
      <c r="BH11" s="18">
        <f>'Total Sunday-Holiday Boardings'!BH11/SUM('Service Days per Month'!BH$6:BH$7)</f>
        <v>1155.25</v>
      </c>
      <c r="BI11" s="18">
        <f>'Total Sunday-Holiday Boardings'!BI11/SUM('Service Days per Month'!BI$6:BI$7)</f>
        <v>1003.8257869830602</v>
      </c>
      <c r="BJ11" s="18">
        <f>'Total Sunday-Holiday Boardings'!BJ11/SUM('Service Days per Month'!BJ$6:BJ$7)</f>
        <v>1101</v>
      </c>
      <c r="BK11" s="18">
        <f>'Total Sunday-Holiday Boardings'!BK11/SUM('Service Days per Month'!BK$6:BK$7)</f>
        <v>1167.5</v>
      </c>
      <c r="BL11" s="18">
        <f>'Total Sunday-Holiday Boardings'!BL11/SUM('Service Days per Month'!BL$6:BL$7)</f>
        <v>1274.8</v>
      </c>
      <c r="BM11" s="18">
        <f>'Total Sunday-Holiday Boardings'!BM11/SUM('Service Days per Month'!BM$6:BM$7)</f>
        <v>1302.8</v>
      </c>
      <c r="BN11" s="18">
        <f>'Total Sunday-Holiday Boardings'!BN11/SUM('Service Days per Month'!BN$6:BN$7)</f>
        <v>1195.75</v>
      </c>
      <c r="BO11" s="18">
        <f>'Total Sunday-Holiday Boardings'!BO11/SUM('Service Days per Month'!BO$6:BO$7)</f>
        <v>1123.8</v>
      </c>
      <c r="BP11" s="19">
        <f>'Total Sunday-Holiday Boardings'!BP11/SUM('Service Days per Month'!BP$6:BP$7)</f>
        <v>1088.8</v>
      </c>
      <c r="BQ11" s="17">
        <f>'Total Sunday-Holiday Boardings'!BQ11/SUM('Service Days per Month'!BQ$6:BQ$7)</f>
        <v>1203.5999999999999</v>
      </c>
      <c r="BR11" s="18">
        <f>'Total Sunday-Holiday Boardings'!BR11/SUM('Service Days per Month'!BR$6:BR$7)</f>
        <v>1072.2</v>
      </c>
      <c r="BS11" s="18">
        <f>'Total Sunday-Holiday Boardings'!BS11/SUM('Service Days per Month'!BS$6:BS$7)</f>
        <v>1136</v>
      </c>
      <c r="BT11" s="18">
        <f>'Total Sunday-Holiday Boardings'!BT11/SUM('Service Days per Month'!BT$6:BT$7)</f>
        <v>1143.5</v>
      </c>
      <c r="BU11" s="18">
        <f>'Total Sunday-Holiday Boardings'!BU11/SUM('Service Days per Month'!BU$6:BU$7)</f>
        <v>1200.25</v>
      </c>
      <c r="BV11" s="18">
        <f>'Total Sunday-Holiday Boardings'!BV11/SUM('Service Days per Month'!BV$6:BV$7)</f>
        <v>1111.3333333333333</v>
      </c>
      <c r="BW11" s="18">
        <f>'Total Sunday-Holiday Boardings'!BW11/SUM('Service Days per Month'!BW$6:BW$7)</f>
        <v>1171.5</v>
      </c>
      <c r="BX11" s="18">
        <f>'Total Sunday-Holiday Boardings'!BX11/SUM('Service Days per Month'!BX$6:BX$7)</f>
        <v>1303.5999999999999</v>
      </c>
      <c r="BY11" s="18">
        <f>'Total Sunday-Holiday Boardings'!BY11/SUM('Service Days per Month'!BY$6:BY$7)</f>
        <v>1140.4000000000001</v>
      </c>
      <c r="BZ11" s="18">
        <f>'Total Sunday-Holiday Boardings'!BZ11/SUM('Service Days per Month'!BZ$6:BZ$7)</f>
        <v>1190.5</v>
      </c>
      <c r="CA11" s="18">
        <f>'Total Sunday-Holiday Boardings'!CA11/SUM('Service Days per Month'!CA$6:CA$7)</f>
        <v>1220</v>
      </c>
      <c r="CB11" s="19">
        <f>'Total Sunday-Holiday Boardings'!CB11/SUM('Service Days per Month'!CB$6:CB$7)</f>
        <v>1196.75</v>
      </c>
      <c r="CC11" s="20">
        <f>'Total Sunday-Holiday Boardings'!CC11/SUM('Service Days per Month'!CC$6:CC$7)</f>
        <v>1264</v>
      </c>
      <c r="CD11" s="18">
        <f>'Total Sunday-Holiday Boardings'!CD11/SUM('Service Days per Month'!CD$6:CD$7)</f>
        <v>1117.5999999999999</v>
      </c>
      <c r="CE11" s="18">
        <f>'Total Sunday-Holiday Boardings'!CE11/SUM('Service Days per Month'!CE$6:CE$7)</f>
        <v>1270.2</v>
      </c>
      <c r="CF11" s="18">
        <f>'Total Sunday-Holiday Boardings'!CF11/SUM('Service Days per Month'!CF$6:CF$7)</f>
        <v>1266.5</v>
      </c>
      <c r="CG11" s="18">
        <f>'Total Sunday-Holiday Boardings'!CG11/SUM('Service Days per Month'!CG$6:CG$7)</f>
        <v>1341.625</v>
      </c>
      <c r="CH11" s="18">
        <f>'Total Sunday-Holiday Boardings'!CH11/SUM('Service Days per Month'!CH$6:CH$7)</f>
        <v>1163.3333333333333</v>
      </c>
      <c r="CI11" s="18">
        <f>'Total Sunday-Holiday Boardings'!CI11/SUM('Service Days per Month'!CI$6:CI$7)</f>
        <v>1234.4285714285713</v>
      </c>
      <c r="CJ11" s="18">
        <f>'Total Sunday-Holiday Boardings'!CJ11/SUM('Service Days per Month'!CJ$6:CJ$7)</f>
        <v>1231.2</v>
      </c>
      <c r="CK11" s="18">
        <f>'Total Sunday-Holiday Boardings'!CK11/SUM('Service Days per Month'!CK$6:CK$7)</f>
        <v>1239.5</v>
      </c>
      <c r="CL11" s="18">
        <f>'Total Sunday-Holiday Boardings'!CL11/SUM('Service Days per Month'!CL$6:CL$7)</f>
        <v>1314.75</v>
      </c>
      <c r="CM11" s="18">
        <f>'Total Sunday-Holiday Boardings'!CM11/SUM('Service Days per Month'!CM$6:CM$7)</f>
        <v>1350.6666666666667</v>
      </c>
      <c r="CN11" s="21">
        <f>'Total Sunday-Holiday Boardings'!CN11/SUM('Service Days per Month'!CN$6:CN$7)</f>
        <v>1356.5</v>
      </c>
      <c r="CO11" s="17">
        <f>'Total Sunday-Holiday Boardings'!CO11/SUM('Service Days per Month'!CO$6:CO$7)</f>
        <v>1433</v>
      </c>
      <c r="CP11" s="18">
        <f>'Total Sunday-Holiday Boardings'!CP11/SUM('Service Days per Month'!CP$6:CP$7)</f>
        <v>1400</v>
      </c>
      <c r="CQ11" s="18">
        <f>'Total Sunday-Holiday Boardings'!CQ11/SUM('Service Days per Month'!CQ$6:CQ$7)</f>
        <v>1302.5999999999999</v>
      </c>
      <c r="CR11" s="18">
        <f>'Total Sunday-Holiday Boardings'!CR11/SUM('Service Days per Month'!CR$6:CR$7)</f>
        <v>1263</v>
      </c>
      <c r="CS11" s="18">
        <f>'Total Sunday-Holiday Boardings'!CS11/SUM('Service Days per Month'!CS$6:CS$7)</f>
        <v>1658.5714285714287</v>
      </c>
      <c r="CT11" s="18">
        <f>'Total Sunday-Holiday Boardings'!CT11/SUM('Service Days per Month'!CT$6:CT$7)</f>
        <v>1667</v>
      </c>
      <c r="CU11" s="18">
        <f>'Total Sunday-Holiday Boardings'!CU11/SUM('Service Days per Month'!CU$6:CU$7)</f>
        <v>1423.7142857142858</v>
      </c>
      <c r="CV11" s="18">
        <f>'Total Sunday-Holiday Boardings'!CV11/SUM('Service Days per Month'!CV$6:CV$7)</f>
        <v>1424.4</v>
      </c>
      <c r="CW11" s="18">
        <f>'Total Sunday-Holiday Boardings'!CW11/SUM('Service Days per Month'!CW$6:CW$7)</f>
        <v>1365.75</v>
      </c>
      <c r="CX11" s="18">
        <f>'Total Sunday-Holiday Boardings'!CX11/SUM('Service Days per Month'!CX$6:CX$7)</f>
        <v>1568</v>
      </c>
      <c r="CY11" s="18">
        <f>'Total Sunday-Holiday Boardings'!CY11/SUM('Service Days per Month'!CY$6:CY$7)</f>
        <v>1364</v>
      </c>
      <c r="CZ11" s="19">
        <f>'Total Sunday-Holiday Boardings'!CZ11/SUM('Service Days per Month'!CZ$6:CZ$7)</f>
        <v>1222.5</v>
      </c>
      <c r="DA11" s="17">
        <f>'Total Sunday-Holiday Boardings'!DA11/SUM('Service Days per Month'!DA$6:DA$7)</f>
        <v>1412.5</v>
      </c>
      <c r="DB11" s="18">
        <f>'Total Sunday-Holiday Boardings'!DB11/SUM('Service Days per Month'!DB$6:DB$7)</f>
        <v>1382</v>
      </c>
      <c r="DC11" s="18">
        <f>'Total Sunday-Holiday Boardings'!DC11/SUM('Service Days per Month'!DC$6:DC$7)</f>
        <v>1422.4</v>
      </c>
      <c r="DD11" s="18">
        <f>'Total Sunday-Holiday Boardings'!DD11/SUM('Service Days per Month'!DD$6:DD$7)</f>
        <v>1433</v>
      </c>
      <c r="DE11" s="18">
        <f>'Total Sunday-Holiday Boardings'!DE11/SUM('Service Days per Month'!DE$6:DE$7)</f>
        <v>1383.1428571428571</v>
      </c>
      <c r="DF11" s="18">
        <f>'Total Sunday-Holiday Boardings'!DF11/SUM('Service Days per Month'!DF$6:DF$7)</f>
        <v>1222.3333333333333</v>
      </c>
      <c r="DG11" s="18">
        <f>'Total Sunday-Holiday Boardings'!DG11/SUM('Service Days per Month'!DG$6:DG$7)</f>
        <v>1442.1666666666667</v>
      </c>
      <c r="DH11" s="18">
        <f>'Total Sunday-Holiday Boardings'!DH11/SUM('Service Days per Month'!DH$6:DH$7)</f>
        <v>1455.2</v>
      </c>
      <c r="DI11" s="18">
        <f>'Total Sunday-Holiday Boardings'!DI11/SUM('Service Days per Month'!DI$6:DI$7)</f>
        <v>1327.25</v>
      </c>
      <c r="DJ11" s="18">
        <f>'Total Sunday-Holiday Boardings'!DJ11/SUM('Service Days per Month'!DJ$6:DJ$7)</f>
        <v>1290</v>
      </c>
      <c r="DK11" s="18">
        <f>'Total Sunday-Holiday Boardings'!DK11/SUM('Service Days per Month'!DK$6:DK$7)</f>
        <v>1250.4000000000001</v>
      </c>
      <c r="DL11" s="19">
        <f>'Total Sunday-Holiday Boardings'!DL11/SUM('Service Days per Month'!DL$6:DL$7)</f>
        <v>1169</v>
      </c>
      <c r="DM11" s="17">
        <f>'Total Sunday-Holiday Boardings'!DM11/('Service Days per Month'!DM$6+'Service Days per Month'!DM$7)</f>
        <v>1251.8333333333333</v>
      </c>
      <c r="DN11" s="18">
        <f>'Total Sunday-Holiday Boardings'!DN11/('Service Days per Month'!DN$6+'Service Days per Month'!DN$7)</f>
        <v>1211.25</v>
      </c>
      <c r="DO11" s="18">
        <f>'Total Sunday-Holiday Boardings'!DO11/('Service Days per Month'!DO$6+'Service Days per Month'!DO$7)</f>
        <v>1193.8333333333333</v>
      </c>
      <c r="DP11" s="18">
        <f>'Total Sunday-Holiday Boardings'!DP11/('Service Days per Month'!DP$6+'Service Days per Month'!DP$7)</f>
        <v>1265</v>
      </c>
      <c r="DQ11" s="18">
        <f>'Total Sunday-Holiday Boardings'!DQ11/('Service Days per Month'!DQ$6+'Service Days per Month'!DQ$7)</f>
        <v>1183.8</v>
      </c>
      <c r="DR11" s="18">
        <f>'Total Sunday-Holiday Boardings'!DR11/('Service Days per Month'!DR$6+'Service Days per Month'!DR$7)</f>
        <v>1174.1666666666667</v>
      </c>
      <c r="DS11" s="18">
        <f>'Total Sunday-Holiday Boardings'!DS11/('Service Days per Month'!DS$6+'Service Days per Month'!DS$7)</f>
        <v>1195.8</v>
      </c>
      <c r="DT11" s="18">
        <f>'Total Sunday-Holiday Boardings'!DT11/('Service Days per Month'!DT$6+'Service Days per Month'!DT$7)</f>
        <v>1195.25</v>
      </c>
      <c r="DU11" s="18">
        <f>'Total Sunday-Holiday Boardings'!DU11/('Service Days per Month'!DU$6+'Service Days per Month'!DU$7)</f>
        <v>1223.2</v>
      </c>
      <c r="DV11" s="18">
        <f>'Total Sunday-Holiday Boardings'!DV11/('Service Days per Month'!DV$6+'Service Days per Month'!DV$7)</f>
        <v>1101</v>
      </c>
      <c r="DW11" s="18">
        <f>'Total Sunday-Holiday Boardings'!DW11/('Service Days per Month'!DW$6+'Service Days per Month'!DW$7)</f>
        <v>1121</v>
      </c>
      <c r="DX11" s="18">
        <f>'Total Sunday-Holiday Boardings'!DX11/('Service Days per Month'!DX$6+'Service Days per Month'!DX$7)</f>
        <v>1092.4000000000001</v>
      </c>
      <c r="DY11" s="17">
        <f>'Total Sunday-Holiday Boardings'!DY11/('Service Days per Month'!DY$6+'Service Days per Month'!DY$7)</f>
        <v>1131.2</v>
      </c>
      <c r="DZ11" s="18">
        <f>'Total Sunday-Holiday Boardings'!DZ11/('Service Days per Month'!DZ$6+'Service Days per Month'!DZ$7)</f>
        <v>1072.25</v>
      </c>
      <c r="EA11" s="18">
        <f>'Total Sunday-Holiday Boardings'!EA11/('Service Days per Month'!EA$6+'Service Days per Month'!EA$7)</f>
        <v>1100.5</v>
      </c>
      <c r="EB11" s="18">
        <f>'Total Sunday-Holiday Boardings'!EB11/('Service Days per Month'!EB$6+'Service Days per Month'!EB$7)</f>
        <v>1110.75</v>
      </c>
      <c r="EC11" s="18">
        <f>'Total Sunday-Holiday Boardings'!EC11/('Service Days per Month'!EC$6+'Service Days per Month'!EC$7)</f>
        <v>1102.5999999999999</v>
      </c>
      <c r="ED11" s="18">
        <f>'Total Sunday-Holiday Boardings'!ED11/('Service Days per Month'!ED$6+'Service Days per Month'!ED$7)</f>
        <v>1036.5</v>
      </c>
      <c r="EE11" s="18">
        <f>'Total Sunday-Holiday Boardings'!EE11/('Service Days per Month'!EE$6+'Service Days per Month'!EE$7)</f>
        <v>1309.25</v>
      </c>
      <c r="EF11" s="18">
        <f>'Total Sunday-Holiday Boardings'!EF11/('Service Days per Month'!EF$6+'Service Days per Month'!EF$7)</f>
        <v>1182.25</v>
      </c>
      <c r="EG11" s="18">
        <f>'Total Sunday-Holiday Boardings'!EG11/('Service Days per Month'!EG$6+'Service Days per Month'!EG$7)</f>
        <v>946.4</v>
      </c>
      <c r="EH11" s="18">
        <f>'Total Sunday-Holiday Boardings'!EH11/('Service Days per Month'!EH$6+'Service Days per Month'!EH$7)</f>
        <v>631.75</v>
      </c>
      <c r="EI11" s="18">
        <f>'Total Sunday-Holiday Boardings'!EI11/('Service Days per Month'!EI$6+'Service Days per Month'!EI$7)</f>
        <v>636.5</v>
      </c>
      <c r="EJ11" s="18">
        <f>'Total Sunday-Holiday Boardings'!EJ11/('Service Days per Month'!EJ$6+'Service Days per Month'!EJ$7)</f>
        <v>554.5</v>
      </c>
      <c r="EK11" s="17">
        <f>'Total Sunday-Holiday Boardings'!EK11/('Service Days per Month'!EK$6+'Service Days per Month'!EK$7)</f>
        <v>582.4</v>
      </c>
      <c r="EL11" s="18">
        <f>'Total Sunday-Holiday Boardings'!EL11/('Service Days per Month'!EL$6+'Service Days per Month'!EL$7)</f>
        <v>550.20000000000005</v>
      </c>
      <c r="EM11" s="18">
        <f>'Total Sunday-Holiday Boardings'!EM11/('Service Days per Month'!EM$6+'Service Days per Month'!EM$7)</f>
        <v>596.4</v>
      </c>
      <c r="EN11" s="18">
        <f>'Total Sunday-Holiday Boardings'!EN11/('Service Days per Month'!EN$6+'Service Days per Month'!EN$7)</f>
        <v>569.5</v>
      </c>
      <c r="EO11" s="18">
        <f>'Total Sunday-Holiday Boardings'!EO11/('Service Days per Month'!EO$6+'Service Days per Month'!EO$7)</f>
        <v>362.66666666666669</v>
      </c>
      <c r="EP11" s="18">
        <f>'Total Sunday-Holiday Boardings'!EP11/('Service Days per Month'!EP$6+'Service Days per Month'!EP$7)</f>
        <v>400.8</v>
      </c>
      <c r="EQ11" s="18">
        <f>'Total Sunday-Holiday Boardings'!EQ11/('Service Days per Month'!EQ$6+'Service Days per Month'!EQ$7)</f>
        <v>252</v>
      </c>
      <c r="ER11" s="18">
        <f>'Total Sunday-Holiday Boardings'!ER11/('Service Days per Month'!ER$6+'Service Days per Month'!ER$7)</f>
        <v>556.5</v>
      </c>
      <c r="ES11" s="18">
        <f>'Total Sunday-Holiday Boardings'!ES11/('Service Days per Month'!ES$6+'Service Days per Month'!ES$7)</f>
        <v>580</v>
      </c>
      <c r="ET11" s="18">
        <f>'Total Sunday-Holiday Boardings'!ET11/('Service Days per Month'!ET$6+'Service Days per Month'!ET$7)</f>
        <v>548.25</v>
      </c>
      <c r="EU11" s="18">
        <f>'Total Sunday-Holiday Boardings'!EU11/('Service Days per Month'!EU$6+'Service Days per Month'!EU$7)</f>
        <v>441.66666666666669</v>
      </c>
      <c r="EV11" s="18">
        <f>'Total Sunday-Holiday Boardings'!EV11/('Service Days per Month'!EV$6+'Service Days per Month'!EV$7)</f>
        <v>534.75</v>
      </c>
      <c r="EW11" s="17">
        <f>'Total Sunday-Holiday Boardings'!EW11/('Service Days per Month'!EW$6+'Service Days per Month'!EW$7)</f>
        <v>552</v>
      </c>
      <c r="EX11" s="18">
        <f>'Total Sunday-Holiday Boardings'!EX11/('Service Days per Month'!EX$6+'Service Days per Month'!EX$7)</f>
        <v>663</v>
      </c>
      <c r="EY11" s="18">
        <f>'Total Sunday-Holiday Boardings'!EY11/('Service Days per Month'!EY$6+'Service Days per Month'!EY$7)</f>
        <v>556.20000000000005</v>
      </c>
      <c r="EZ11" s="18">
        <f>'Total Sunday-Holiday Boardings'!EZ11/('Service Days per Month'!EZ$6+'Service Days per Month'!EZ$7)</f>
        <v>550</v>
      </c>
      <c r="FA11" s="18">
        <f>'Total Sunday-Holiday Boardings'!FA11/('Service Days per Month'!FA$6+'Service Days per Month'!FA$7)</f>
        <v>546.4</v>
      </c>
      <c r="FB11" s="18">
        <f>'Total Sunday-Holiday Boardings'!FB11/('Service Days per Month'!FB$6+'Service Days per Month'!FB$7)</f>
        <v>738.2</v>
      </c>
      <c r="FC11" s="18">
        <f>'Total Sunday-Holiday Boardings'!FC11/('Service Days per Month'!FC$6+'Service Days per Month'!FC$7)</f>
        <v>582</v>
      </c>
      <c r="FD11" s="18">
        <f>'Total Sunday-Holiday Boardings'!FD11/('Service Days per Month'!FD$6+'Service Days per Month'!FD$7)</f>
        <v>709.75</v>
      </c>
      <c r="FE11" s="18">
        <f>'Total Sunday-Holiday Boardings'!FE11/('Service Days per Month'!FE$6+'Service Days per Month'!FE$7)</f>
        <v>728</v>
      </c>
      <c r="FF11" s="18">
        <f>'Total Sunday-Holiday Boardings'!FF11/('Service Days per Month'!FF$6+'Service Days per Month'!FF$7)</f>
        <v>724.75</v>
      </c>
      <c r="FG11" s="18">
        <f>'Total Sunday-Holiday Boardings'!FG11/('Service Days per Month'!FG$6+'Service Days per Month'!FG$7)</f>
        <v>691.16666666666663</v>
      </c>
      <c r="FH11" s="18">
        <f>'Total Sunday-Holiday Boardings'!FH11/('Service Days per Month'!FH$6+'Service Days per Month'!FH$7)</f>
        <v>631.5</v>
      </c>
      <c r="FI11" s="17">
        <v>657.5</v>
      </c>
      <c r="FJ11" s="18">
        <v>655</v>
      </c>
      <c r="FK11" s="18">
        <v>769</v>
      </c>
      <c r="FL11" s="18">
        <v>756.4</v>
      </c>
      <c r="FM11" s="18">
        <v>641.79999999999995</v>
      </c>
      <c r="FN11" s="18">
        <v>700</v>
      </c>
      <c r="FO11" s="18">
        <v>897.6</v>
      </c>
      <c r="FP11" s="18">
        <v>779.75</v>
      </c>
      <c r="FQ11" s="18">
        <v>865.25</v>
      </c>
      <c r="FR11" s="18">
        <f>'Total Sunday-Holiday Boardings'!FR11/5</f>
        <v>918</v>
      </c>
      <c r="FS11" s="18">
        <f>'Total Sunday-Holiday Boardings'!FS11/5</f>
        <v>956.8</v>
      </c>
      <c r="FT11" s="21">
        <f>'Total Sunday-Holiday Boardings'!FT11/4</f>
        <v>917.75</v>
      </c>
      <c r="FU11" s="18">
        <f>'Total Sunday-Holiday Boardings'!FU11/5</f>
        <v>1062.2</v>
      </c>
      <c r="FV11" s="18">
        <f>'Total Sunday-Holiday Boardings'!FV11/4</f>
        <v>1127</v>
      </c>
      <c r="FW11" s="18">
        <f>'Total Sunday-Holiday Boardings'!FW11/4</f>
        <v>1136.5</v>
      </c>
      <c r="FX11" s="18">
        <f>'Total Sunday-Holiday Boardings'!FX11/5</f>
        <v>873.4</v>
      </c>
      <c r="FY11" s="18">
        <f>'Total Sunday-Holiday Boardings'!FY11/4</f>
        <v>944.25</v>
      </c>
      <c r="FZ11" s="18">
        <f>'Total Sunday-Holiday Boardings'!FZ11/5</f>
        <v>904.4</v>
      </c>
      <c r="GA11" s="18">
        <f>'Total Sunday-Holiday Boardings'!GA11/4</f>
        <v>1107.25</v>
      </c>
      <c r="GB11" s="18">
        <f>'Total Sunday-Holiday Boardings'!GB11/4</f>
        <v>927.75</v>
      </c>
      <c r="GC11" s="18">
        <f>'Total Sunday-Holiday Boardings'!GC11/5</f>
        <v>818</v>
      </c>
      <c r="GD11" s="18">
        <f>'Total Sunday-Holiday Boardings'!GD11/4</f>
        <v>780.75</v>
      </c>
      <c r="GE11" s="18">
        <f>'Total Sunday-Holiday Boardings'!GE11/4</f>
        <v>966.75</v>
      </c>
      <c r="GF11" s="18">
        <f>'Total Sunday-Holiday Boardings'!GF11/5</f>
        <v>812</v>
      </c>
      <c r="GG11" s="18">
        <f>'Total Sunday-Holiday Boardings'!GG11/4</f>
        <v>921.25</v>
      </c>
      <c r="GH11" s="18">
        <f>'Total Sunday-Holiday Boardings'!GH11/4</f>
        <v>762.5</v>
      </c>
      <c r="GI11" s="18">
        <f>'Total Sunday-Holiday Boardings'!GI11/5</f>
        <v>926.4</v>
      </c>
      <c r="GJ11" s="18">
        <f>'Total Sunday-Holiday Boardings'!GJ11/4</f>
        <v>819.75</v>
      </c>
      <c r="GK11" s="18">
        <f>'Total Sunday-Holiday Boardings'!GK11/4</f>
        <v>927</v>
      </c>
      <c r="GL11" s="18">
        <f>'Total Sunday-Holiday Boardings'!GL11/5</f>
        <v>822.2</v>
      </c>
    </row>
    <row r="12" spans="1:194" x14ac:dyDescent="0.3">
      <c r="A12" s="3" t="s">
        <v>5</v>
      </c>
      <c r="B12" s="17"/>
      <c r="C12" s="18">
        <f>'Total Sunday-Holiday Boardings'!C12/SUM('Service Days per Month'!C$6:C$7)</f>
        <v>434.4</v>
      </c>
      <c r="D12" s="18">
        <f>'Total Sunday-Holiday Boardings'!D12/SUM('Service Days per Month'!D$6:D$7)</f>
        <v>407.5</v>
      </c>
      <c r="E12" s="18">
        <f>'Total Sunday-Holiday Boardings'!E12/SUM('Service Days per Month'!E$6:E$7)</f>
        <v>423.2</v>
      </c>
      <c r="F12" s="18">
        <f>'Total Sunday-Holiday Boardings'!F12/SUM('Service Days per Month'!F$6:F$7)</f>
        <v>361</v>
      </c>
      <c r="G12" s="18">
        <f>'Total Sunday-Holiday Boardings'!G12/SUM('Service Days per Month'!G$6:G$7)</f>
        <v>387</v>
      </c>
      <c r="H12" s="19">
        <f>'Total Sunday-Holiday Boardings'!H12/SUM('Service Days per Month'!H$6:H$7)</f>
        <v>346.25</v>
      </c>
      <c r="I12" s="17">
        <f>'Total Sunday-Holiday Boardings'!I12/SUM('Service Days per Month'!I$6:I$7)</f>
        <v>533.4</v>
      </c>
      <c r="J12" s="18">
        <f>'Total Sunday-Holiday Boardings'!J12/SUM('Service Days per Month'!J$6:J$7)</f>
        <v>396.4</v>
      </c>
      <c r="K12" s="18">
        <f>'Total Sunday-Holiday Boardings'!K12/SUM('Service Days per Month'!K$6:K$7)</f>
        <v>429.6</v>
      </c>
      <c r="L12" s="18">
        <f>'Total Sunday-Holiday Boardings'!L12/SUM('Service Days per Month'!L$6:L$7)</f>
        <v>522.75</v>
      </c>
      <c r="M12" s="18">
        <f>'Total Sunday-Holiday Boardings'!M12/SUM('Service Days per Month'!M$6:M$7)</f>
        <v>722.5</v>
      </c>
      <c r="N12" s="18">
        <f>'Total Sunday-Holiday Boardings'!N12/SUM('Service Days per Month'!N$6:N$7)</f>
        <v>399.4</v>
      </c>
      <c r="O12" s="79">
        <f>'Total Sunday-Holiday Boardings'!O12/SUM('Service Days per Month'!O$6:O$7)</f>
        <v>553.33333333333337</v>
      </c>
      <c r="P12" s="79">
        <f>'Total Sunday-Holiday Boardings'!P12/SUM('Service Days per Month'!P$6:P$7)</f>
        <v>627</v>
      </c>
      <c r="Q12" s="79">
        <f>'Total Sunday-Holiday Boardings'!Q12/SUM('Service Days per Month'!Q$6:Q$7)</f>
        <v>575.5</v>
      </c>
      <c r="R12" s="79">
        <f>'Total Sunday-Holiday Boardings'!R12/SUM('Service Days per Month'!R$6:R$7)</f>
        <v>553.5</v>
      </c>
      <c r="S12" s="79">
        <f>'Total Sunday-Holiday Boardings'!S12/SUM('Service Days per Month'!S$6:S$7)</f>
        <v>546.16666666666663</v>
      </c>
      <c r="T12" s="80">
        <f>'Total Sunday-Holiday Boardings'!T12/SUM('Service Days per Month'!T$6:T$7)</f>
        <v>505.75</v>
      </c>
      <c r="U12" s="81">
        <f>'Total Sunday-Holiday Boardings'!U12/SUM('Service Days per Month'!U$6:U$7)</f>
        <v>506</v>
      </c>
      <c r="V12" s="79">
        <f>'Total Sunday-Holiday Boardings'!V12/SUM('Service Days per Month'!V$6:V$7)</f>
        <v>504.8</v>
      </c>
      <c r="W12" s="79">
        <f>'Total Sunday-Holiday Boardings'!W12/SUM('Service Days per Month'!W$6:W$7)</f>
        <v>549.6</v>
      </c>
      <c r="X12" s="79">
        <f>'Total Sunday-Holiday Boardings'!X12/SUM('Service Days per Month'!X$6:X$7)</f>
        <v>568.20000000000005</v>
      </c>
      <c r="Y12" s="79">
        <f>'Total Sunday-Holiday Boardings'!Y12/SUM('Service Days per Month'!Y$6:Y$7)</f>
        <v>590.14285714285711</v>
      </c>
      <c r="Z12" s="79">
        <f>'Total Sunday-Holiday Boardings'!Z12/SUM('Service Days per Month'!Z$6:Z$7)</f>
        <v>336.28571428571428</v>
      </c>
      <c r="AA12" s="18">
        <f>'Total Sunday-Holiday Boardings'!AA12/SUM('Service Days per Month'!AA$6:AA$7)</f>
        <v>514.16666666666663</v>
      </c>
      <c r="AB12" s="18">
        <f>'Total Sunday-Holiday Boardings'!AB12/SUM('Service Days per Month'!AB$6:AB$7)</f>
        <v>546</v>
      </c>
      <c r="AC12" s="18">
        <f>'Total Sunday-Holiday Boardings'!AC12/SUM('Service Days per Month'!AC$6:AC$7)</f>
        <v>589.25</v>
      </c>
      <c r="AD12" s="18">
        <f>'Total Sunday-Holiday Boardings'!AD12/SUM('Service Days per Month'!AD$6:AD$7)</f>
        <v>614.75</v>
      </c>
      <c r="AE12" s="18">
        <f>'Total Sunday-Holiday Boardings'!AE12/SUM('Service Days per Month'!AE$6:AE$7)</f>
        <v>538.5</v>
      </c>
      <c r="AF12" s="19">
        <f>'Total Sunday-Holiday Boardings'!AF12/SUM('Service Days per Month'!AF$6:AF$7)</f>
        <v>485</v>
      </c>
      <c r="AG12" s="17">
        <f>'Total Sunday-Holiday Boardings'!AG12/SUM('Service Days per Month'!AG$6:AG$7)</f>
        <v>636.5</v>
      </c>
      <c r="AH12" s="18">
        <f>'Total Sunday-Holiday Boardings'!AH12/SUM('Service Days per Month'!AH$6:AH$7)</f>
        <v>563</v>
      </c>
      <c r="AI12" s="18">
        <f>'Total Sunday-Holiday Boardings'!AI12/SUM('Service Days per Month'!AI$6:AI$7)</f>
        <v>536.6</v>
      </c>
      <c r="AJ12" s="18">
        <f>'Total Sunday-Holiday Boardings'!AJ12/SUM('Service Days per Month'!AJ$6:AJ$7)</f>
        <v>662</v>
      </c>
      <c r="AK12" s="18">
        <f>'Total Sunday-Holiday Boardings'!AK12/SUM('Service Days per Month'!AK$6:AK$7)</f>
        <v>588.42857142857144</v>
      </c>
      <c r="AL12" s="18">
        <f>'Total Sunday-Holiday Boardings'!AL12/SUM('Service Days per Month'!AL$6:AL$7)</f>
        <v>472.83333333333331</v>
      </c>
      <c r="AM12" s="18">
        <f>'Total Sunday-Holiday Boardings'!AM12/SUM('Service Days per Month'!AM$6:AM$7)</f>
        <v>607.28571428571433</v>
      </c>
      <c r="AN12" s="18">
        <f>'Total Sunday-Holiday Boardings'!AN12/SUM('Service Days per Month'!AN$6:AN$7)</f>
        <v>656</v>
      </c>
      <c r="AO12" s="18">
        <f>'Total Sunday-Holiday Boardings'!AO12/SUM('Service Days per Month'!AO$6:AO$7)</f>
        <v>575.5</v>
      </c>
      <c r="AP12" s="18">
        <f>'Total Sunday-Holiday Boardings'!AP12/SUM('Service Days per Month'!AP$6:AP$7)</f>
        <v>662.2</v>
      </c>
      <c r="AQ12" s="18">
        <f>'Total Sunday-Holiday Boardings'!AQ12/SUM('Service Days per Month'!AQ$6:AQ$7)</f>
        <v>640.6</v>
      </c>
      <c r="AR12" s="19">
        <f>'Total Sunday-Holiday Boardings'!AR12/SUM('Service Days per Month'!AR$6:AR$7)</f>
        <v>617.25</v>
      </c>
      <c r="AS12" s="17">
        <f>'Total Sunday-Holiday Boardings'!AS12/SUM('Service Days per Month'!AS$6:AS$7)</f>
        <v>728.83333333333337</v>
      </c>
      <c r="AT12" s="18">
        <f>'Total Sunday-Holiday Boardings'!AT12/SUM('Service Days per Month'!AT$6:AT$7)</f>
        <v>729</v>
      </c>
      <c r="AU12" s="18">
        <f>'Total Sunday-Holiday Boardings'!AU12/SUM('Service Days per Month'!AU$6:AU$7)</f>
        <v>709.66666666666663</v>
      </c>
      <c r="AV12" s="18">
        <f>'Total Sunday-Holiday Boardings'!AV12/SUM('Service Days per Month'!AV$6:AV$7)</f>
        <v>778</v>
      </c>
      <c r="AW12" s="18">
        <f>'Total Sunday-Holiday Boardings'!AW12/SUM('Service Days per Month'!AW$6:AW$7)</f>
        <v>638.71428571428567</v>
      </c>
      <c r="AX12" s="18">
        <f>'Total Sunday-Holiday Boardings'!AX12/SUM('Service Days per Month'!AX$6:AX$7)</f>
        <v>600.14285714285711</v>
      </c>
      <c r="AY12" s="18">
        <f>'Total Sunday-Holiday Boardings'!AY12/SUM('Service Days per Month'!AY$6:AY$7)</f>
        <v>731.83333333333337</v>
      </c>
      <c r="AZ12" s="18">
        <f>'Total Sunday-Holiday Boardings'!AZ12/SUM('Service Days per Month'!AZ$6:AZ$7)</f>
        <v>776.8</v>
      </c>
      <c r="BA12" s="18">
        <f>'Total Sunday-Holiday Boardings'!BA12/SUM('Service Days per Month'!BA$6:BA$7)</f>
        <v>748.2</v>
      </c>
      <c r="BB12" s="18">
        <f>'Total Sunday-Holiday Boardings'!BB12/SUM('Service Days per Month'!BB$6:BB$7)</f>
        <v>808.5</v>
      </c>
      <c r="BC12" s="18">
        <f>'Total Sunday-Holiday Boardings'!BC12/SUM('Service Days per Month'!BC$6:BC$7)</f>
        <v>786.6</v>
      </c>
      <c r="BD12" s="19">
        <f>'Total Sunday-Holiday Boardings'!BD12/SUM('Service Days per Month'!BD$6:BD$7)</f>
        <v>729.4</v>
      </c>
      <c r="BE12" s="17">
        <f>'Total Sunday-Holiday Boardings'!BE12/SUM('Service Days per Month'!BE$6:BE$7)</f>
        <v>812.2</v>
      </c>
      <c r="BF12" s="18">
        <f>'Total Sunday-Holiday Boardings'!BF12/SUM('Service Days per Month'!BF$6:BF$7)</f>
        <v>743.25</v>
      </c>
      <c r="BG12" s="18">
        <f>'Total Sunday-Holiday Boardings'!BG12/SUM('Service Days per Month'!BG$6:BG$7)</f>
        <v>733.33333333333337</v>
      </c>
      <c r="BH12" s="18">
        <f>'Total Sunday-Holiday Boardings'!BH12/SUM('Service Days per Month'!BH$6:BH$7)</f>
        <v>740.75</v>
      </c>
      <c r="BI12" s="18">
        <f>'Total Sunday-Holiday Boardings'!BI12/SUM('Service Days per Month'!BI$6:BI$7)</f>
        <v>622.48454838488453</v>
      </c>
      <c r="BJ12" s="18">
        <f>'Total Sunday-Holiday Boardings'!BJ12/SUM('Service Days per Month'!BJ$6:BJ$7)</f>
        <v>660.42857142857144</v>
      </c>
      <c r="BK12" s="18">
        <f>'Total Sunday-Holiday Boardings'!BK12/SUM('Service Days per Month'!BK$6:BK$7)</f>
        <v>754.66666666666663</v>
      </c>
      <c r="BL12" s="18">
        <f>'Total Sunday-Holiday Boardings'!BL12/SUM('Service Days per Month'!BL$6:BL$7)</f>
        <v>795.2</v>
      </c>
      <c r="BM12" s="18">
        <f>'Total Sunday-Holiday Boardings'!BM12/SUM('Service Days per Month'!BM$6:BM$7)</f>
        <v>755.6</v>
      </c>
      <c r="BN12" s="18">
        <f>'Total Sunday-Holiday Boardings'!BN12/SUM('Service Days per Month'!BN$6:BN$7)</f>
        <v>757.75</v>
      </c>
      <c r="BO12" s="18">
        <f>'Total Sunday-Holiday Boardings'!BO12/SUM('Service Days per Month'!BO$6:BO$7)</f>
        <v>689.2</v>
      </c>
      <c r="BP12" s="19">
        <f>'Total Sunday-Holiday Boardings'!BP12/SUM('Service Days per Month'!BP$6:BP$7)</f>
        <v>652.79999999999995</v>
      </c>
      <c r="BQ12" s="17">
        <f>'Total Sunday-Holiday Boardings'!BQ12/SUM('Service Days per Month'!BQ$6:BQ$7)</f>
        <v>750.8</v>
      </c>
      <c r="BR12" s="18">
        <f>'Total Sunday-Holiday Boardings'!BR12/SUM('Service Days per Month'!BR$6:BR$7)</f>
        <v>702.2</v>
      </c>
      <c r="BS12" s="18">
        <f>'Total Sunday-Holiday Boardings'!BS12/SUM('Service Days per Month'!BS$6:BS$7)</f>
        <v>742.2</v>
      </c>
      <c r="BT12" s="18">
        <f>'Total Sunday-Holiday Boardings'!BT12/SUM('Service Days per Month'!BT$6:BT$7)</f>
        <v>702</v>
      </c>
      <c r="BU12" s="18">
        <f>'Total Sunday-Holiday Boardings'!BU12/SUM('Service Days per Month'!BU$6:BU$7)</f>
        <v>707.25</v>
      </c>
      <c r="BV12" s="18">
        <f>'Total Sunday-Holiday Boardings'!BV12/SUM('Service Days per Month'!BV$6:BV$7)</f>
        <v>649.83333333333337</v>
      </c>
      <c r="BW12" s="18">
        <f>'Total Sunday-Holiday Boardings'!BW12/SUM('Service Days per Month'!BW$6:BW$7)</f>
        <v>715.5</v>
      </c>
      <c r="BX12" s="18">
        <f>'Total Sunday-Holiday Boardings'!BX12/SUM('Service Days per Month'!BX$6:BX$7)</f>
        <v>789.4</v>
      </c>
      <c r="BY12" s="18">
        <f>'Total Sunday-Holiday Boardings'!BY12/SUM('Service Days per Month'!BY$6:BY$7)</f>
        <v>702.8</v>
      </c>
      <c r="BZ12" s="18">
        <f>'Total Sunday-Holiday Boardings'!BZ12/SUM('Service Days per Month'!BZ$6:BZ$7)</f>
        <v>769.25</v>
      </c>
      <c r="CA12" s="18">
        <f>'Total Sunday-Holiday Boardings'!CA12/SUM('Service Days per Month'!CA$6:CA$7)</f>
        <v>718.83333333333337</v>
      </c>
      <c r="CB12" s="19">
        <f>'Total Sunday-Holiday Boardings'!CB12/SUM('Service Days per Month'!CB$6:CB$7)</f>
        <v>740.75</v>
      </c>
      <c r="CC12" s="20">
        <f>'Total Sunday-Holiday Boardings'!CC12/SUM('Service Days per Month'!CC$6:CC$7)</f>
        <v>812.4</v>
      </c>
      <c r="CD12" s="18">
        <f>'Total Sunday-Holiday Boardings'!CD12/SUM('Service Days per Month'!CD$6:CD$7)</f>
        <v>682.8</v>
      </c>
      <c r="CE12" s="18">
        <f>'Total Sunday-Holiday Boardings'!CE12/SUM('Service Days per Month'!CE$6:CE$7)</f>
        <v>763.8</v>
      </c>
      <c r="CF12" s="18">
        <f>'Total Sunday-Holiday Boardings'!CF12/SUM('Service Days per Month'!CF$6:CF$7)</f>
        <v>805.75</v>
      </c>
      <c r="CG12" s="18">
        <f>'Total Sunday-Holiday Boardings'!CG12/SUM('Service Days per Month'!CG$6:CG$7)</f>
        <v>824</v>
      </c>
      <c r="CH12" s="18">
        <f>'Total Sunday-Holiday Boardings'!CH12/SUM('Service Days per Month'!CH$6:CH$7)</f>
        <v>711.66666666666663</v>
      </c>
      <c r="CI12" s="18">
        <f>'Total Sunday-Holiday Boardings'!CI12/SUM('Service Days per Month'!CI$6:CI$7)</f>
        <v>777.57142857142856</v>
      </c>
      <c r="CJ12" s="18">
        <f>'Total Sunday-Holiday Boardings'!CJ12/SUM('Service Days per Month'!CJ$6:CJ$7)</f>
        <v>760.2</v>
      </c>
      <c r="CK12" s="18">
        <f>'Total Sunday-Holiday Boardings'!CK12/SUM('Service Days per Month'!CK$6:CK$7)</f>
        <v>759.5</v>
      </c>
      <c r="CL12" s="18">
        <f>'Total Sunday-Holiday Boardings'!CL12/SUM('Service Days per Month'!CL$6:CL$7)</f>
        <v>861.25</v>
      </c>
      <c r="CM12" s="18">
        <f>'Total Sunday-Holiday Boardings'!CM12/SUM('Service Days per Month'!CM$6:CM$7)</f>
        <v>800.5</v>
      </c>
      <c r="CN12" s="21">
        <f>'Total Sunday-Holiday Boardings'!CN12/SUM('Service Days per Month'!CN$6:CN$7)</f>
        <v>813.5</v>
      </c>
      <c r="CO12" s="17">
        <f>'Total Sunday-Holiday Boardings'!CO12/SUM('Service Days per Month'!CO$6:CO$7)</f>
        <v>876.33333333333337</v>
      </c>
      <c r="CP12" s="18">
        <f>'Total Sunday-Holiday Boardings'!CP12/SUM('Service Days per Month'!CP$6:CP$7)</f>
        <v>845.5</v>
      </c>
      <c r="CQ12" s="18">
        <f>'Total Sunday-Holiday Boardings'!CQ12/SUM('Service Days per Month'!CQ$6:CQ$7)</f>
        <v>842.6</v>
      </c>
      <c r="CR12" s="18">
        <f>'Total Sunday-Holiday Boardings'!CR12/SUM('Service Days per Month'!CR$6:CR$7)</f>
        <v>803.6</v>
      </c>
      <c r="CS12" s="18">
        <f>'Total Sunday-Holiday Boardings'!CS12/SUM('Service Days per Month'!CS$6:CS$7)</f>
        <v>1012.1428571428571</v>
      </c>
      <c r="CT12" s="18">
        <f>'Total Sunday-Holiday Boardings'!CT12/SUM('Service Days per Month'!CT$6:CT$7)</f>
        <v>1054</v>
      </c>
      <c r="CU12" s="18">
        <f>'Total Sunday-Holiday Boardings'!CU12/SUM('Service Days per Month'!CU$6:CU$7)</f>
        <v>913</v>
      </c>
      <c r="CV12" s="18">
        <f>'Total Sunday-Holiday Boardings'!CV12/SUM('Service Days per Month'!CV$6:CV$7)</f>
        <v>839.2</v>
      </c>
      <c r="CW12" s="18">
        <f>'Total Sunday-Holiday Boardings'!CW12/SUM('Service Days per Month'!CW$6:CW$7)</f>
        <v>775.5</v>
      </c>
      <c r="CX12" s="18">
        <f>'Total Sunday-Holiday Boardings'!CX12/SUM('Service Days per Month'!CX$6:CX$7)</f>
        <v>891.4</v>
      </c>
      <c r="CY12" s="18">
        <f>'Total Sunday-Holiday Boardings'!CY12/SUM('Service Days per Month'!CY$6:CY$7)</f>
        <v>760</v>
      </c>
      <c r="CZ12" s="19">
        <f>'Total Sunday-Holiday Boardings'!CZ12/SUM('Service Days per Month'!CZ$6:CZ$7)</f>
        <v>715.5</v>
      </c>
      <c r="DA12" s="17">
        <f>'Total Sunday-Holiday Boardings'!DA12/SUM('Service Days per Month'!DA$6:DA$7)</f>
        <v>739.83333333333337</v>
      </c>
      <c r="DB12" s="18">
        <f>'Total Sunday-Holiday Boardings'!DB12/SUM('Service Days per Month'!DB$6:DB$7)</f>
        <v>754.75</v>
      </c>
      <c r="DC12" s="18">
        <f>'Total Sunday-Holiday Boardings'!DC12/SUM('Service Days per Month'!DC$6:DC$7)</f>
        <v>751.4</v>
      </c>
      <c r="DD12" s="18">
        <f>'Total Sunday-Holiday Boardings'!DD12/SUM('Service Days per Month'!DD$6:DD$7)</f>
        <v>777.6</v>
      </c>
      <c r="DE12" s="18">
        <f>'Total Sunday-Holiday Boardings'!DE12/SUM('Service Days per Month'!DE$6:DE$7)</f>
        <v>858.85714285714289</v>
      </c>
      <c r="DF12" s="18">
        <f>'Total Sunday-Holiday Boardings'!DF12/SUM('Service Days per Month'!DF$6:DF$7)</f>
        <v>680</v>
      </c>
      <c r="DG12" s="18">
        <f>'Total Sunday-Holiday Boardings'!DG12/SUM('Service Days per Month'!DG$6:DG$7)</f>
        <v>760.83333333333337</v>
      </c>
      <c r="DH12" s="18">
        <f>'Total Sunday-Holiday Boardings'!DH12/SUM('Service Days per Month'!DH$6:DH$7)</f>
        <v>705.2</v>
      </c>
      <c r="DI12" s="18">
        <f>'Total Sunday-Holiday Boardings'!DI12/SUM('Service Days per Month'!DI$6:DI$7)</f>
        <v>709.75</v>
      </c>
      <c r="DJ12" s="18">
        <f>'Total Sunday-Holiday Boardings'!DJ12/SUM('Service Days per Month'!DJ$6:DJ$7)</f>
        <v>677</v>
      </c>
      <c r="DK12" s="18">
        <f>'Total Sunday-Holiday Boardings'!DK12/SUM('Service Days per Month'!DK$6:DK$7)</f>
        <v>685.6</v>
      </c>
      <c r="DL12" s="19">
        <f>'Total Sunday-Holiday Boardings'!DL12/SUM('Service Days per Month'!DL$6:DL$7)</f>
        <v>693.75</v>
      </c>
      <c r="DM12" s="17">
        <f>'Total Sunday-Holiday Boardings'!DM12/('Service Days per Month'!DM$6+'Service Days per Month'!DM$7)</f>
        <v>698.16666666666663</v>
      </c>
      <c r="DN12" s="18">
        <f>'Total Sunday-Holiday Boardings'!DN12/('Service Days per Month'!DN$6+'Service Days per Month'!DN$7)</f>
        <v>679.25</v>
      </c>
      <c r="DO12" s="18">
        <f>'Total Sunday-Holiday Boardings'!DO12/('Service Days per Month'!DO$6+'Service Days per Month'!DO$7)</f>
        <v>700.83333333333337</v>
      </c>
      <c r="DP12" s="18">
        <f>'Total Sunday-Holiday Boardings'!DP12/('Service Days per Month'!DP$6+'Service Days per Month'!DP$7)</f>
        <v>637.5</v>
      </c>
      <c r="DQ12" s="18">
        <f>'Total Sunday-Holiday Boardings'!DQ12/('Service Days per Month'!DQ$6+'Service Days per Month'!DQ$7)</f>
        <v>612.79999999999995</v>
      </c>
      <c r="DR12" s="18">
        <f>'Total Sunday-Holiday Boardings'!DR12/('Service Days per Month'!DR$6+'Service Days per Month'!DR$7)</f>
        <v>605.5</v>
      </c>
      <c r="DS12" s="18">
        <f>'Total Sunday-Holiday Boardings'!DS12/('Service Days per Month'!DS$6+'Service Days per Month'!DS$7)</f>
        <v>631</v>
      </c>
      <c r="DT12" s="18">
        <f>'Total Sunday-Holiday Boardings'!DT12/('Service Days per Month'!DT$6+'Service Days per Month'!DT$7)</f>
        <v>630</v>
      </c>
      <c r="DU12" s="18">
        <f>'Total Sunday-Holiday Boardings'!DU12/('Service Days per Month'!DU$6+'Service Days per Month'!DU$7)</f>
        <v>653.4</v>
      </c>
      <c r="DV12" s="18">
        <f>'Total Sunday-Holiday Boardings'!DV12/('Service Days per Month'!DV$6+'Service Days per Month'!DV$7)</f>
        <v>628.75</v>
      </c>
      <c r="DW12" s="18">
        <f>'Total Sunday-Holiday Boardings'!DW12/('Service Days per Month'!DW$6+'Service Days per Month'!DW$7)</f>
        <v>608.79999999999995</v>
      </c>
      <c r="DX12" s="18">
        <f>'Total Sunday-Holiday Boardings'!DX12/('Service Days per Month'!DX$6+'Service Days per Month'!DX$7)</f>
        <v>596.79999999999995</v>
      </c>
      <c r="DY12" s="17">
        <f>'Total Sunday-Holiday Boardings'!DY12/('Service Days per Month'!DY$6+'Service Days per Month'!DY$7)</f>
        <v>685.8</v>
      </c>
      <c r="DZ12" s="18">
        <f>'Total Sunday-Holiday Boardings'!DZ12/('Service Days per Month'!DZ$6+'Service Days per Month'!DZ$7)</f>
        <v>588.5</v>
      </c>
      <c r="EA12" s="18">
        <f>'Total Sunday-Holiday Boardings'!EA12/('Service Days per Month'!EA$6+'Service Days per Month'!EA$7)</f>
        <v>598.66666666666663</v>
      </c>
      <c r="EB12" s="18">
        <f>'Total Sunday-Holiday Boardings'!EB12/('Service Days per Month'!EB$6+'Service Days per Month'!EB$7)</f>
        <v>592.5</v>
      </c>
      <c r="EC12" s="18">
        <f>'Total Sunday-Holiday Boardings'!EC12/('Service Days per Month'!EC$6+'Service Days per Month'!EC$7)</f>
        <v>538</v>
      </c>
      <c r="ED12" s="18">
        <f>'Total Sunday-Holiday Boardings'!ED12/('Service Days per Month'!ED$6+'Service Days per Month'!ED$7)</f>
        <v>466.66666666666669</v>
      </c>
      <c r="EE12" s="18">
        <f>'Total Sunday-Holiday Boardings'!EE12/('Service Days per Month'!EE$6+'Service Days per Month'!EE$7)</f>
        <v>726</v>
      </c>
      <c r="EF12" s="18">
        <f>'Total Sunday-Holiday Boardings'!EF12/('Service Days per Month'!EF$6+'Service Days per Month'!EF$7)</f>
        <v>567.5</v>
      </c>
      <c r="EG12" s="18">
        <f>'Total Sunday-Holiday Boardings'!EG12/('Service Days per Month'!EG$6+'Service Days per Month'!EG$7)</f>
        <v>468.4</v>
      </c>
      <c r="EH12" s="18">
        <f>'Total Sunday-Holiday Boardings'!EH12/('Service Days per Month'!EH$6+'Service Days per Month'!EH$7)</f>
        <v>332.75</v>
      </c>
      <c r="EI12" s="18">
        <f>'Total Sunday-Holiday Boardings'!EI12/('Service Days per Month'!EI$6+'Service Days per Month'!EI$7)</f>
        <v>424.5</v>
      </c>
      <c r="EJ12" s="18">
        <f>'Total Sunday-Holiday Boardings'!EJ12/('Service Days per Month'!EJ$6+'Service Days per Month'!EJ$7)</f>
        <v>301</v>
      </c>
      <c r="EK12" s="17">
        <f>'Total Sunday-Holiday Boardings'!EK12/('Service Days per Month'!EK$6+'Service Days per Month'!EK$7)</f>
        <v>277.8</v>
      </c>
      <c r="EL12" s="18">
        <f>'Total Sunday-Holiday Boardings'!EL12/('Service Days per Month'!EL$6+'Service Days per Month'!EL$7)</f>
        <v>265.2</v>
      </c>
      <c r="EM12" s="18">
        <f>'Total Sunday-Holiday Boardings'!EM12/('Service Days per Month'!EM$6+'Service Days per Month'!EM$7)</f>
        <v>298.8</v>
      </c>
      <c r="EN12" s="18">
        <f>'Total Sunday-Holiday Boardings'!EN12/('Service Days per Month'!EN$6+'Service Days per Month'!EN$7)</f>
        <v>293.5</v>
      </c>
      <c r="EO12" s="18">
        <f>'Total Sunday-Holiday Boardings'!EO12/('Service Days per Month'!EO$6+'Service Days per Month'!EO$7)</f>
        <v>194.16666666666666</v>
      </c>
      <c r="EP12" s="18">
        <f>'Total Sunday-Holiday Boardings'!EP12/('Service Days per Month'!EP$6+'Service Days per Month'!EP$7)</f>
        <v>181</v>
      </c>
      <c r="EQ12" s="18">
        <f>'Total Sunday-Holiday Boardings'!EQ12/('Service Days per Month'!EQ$6+'Service Days per Month'!EQ$7)</f>
        <v>118.6</v>
      </c>
      <c r="ER12" s="18">
        <f>'Total Sunday-Holiday Boardings'!ER12/('Service Days per Month'!ER$6+'Service Days per Month'!ER$7)</f>
        <v>265.75</v>
      </c>
      <c r="ES12" s="18">
        <f>'Total Sunday-Holiday Boardings'!ES12/('Service Days per Month'!ES$6+'Service Days per Month'!ES$7)</f>
        <v>287.75</v>
      </c>
      <c r="ET12" s="18">
        <f>'Total Sunday-Holiday Boardings'!ET12/('Service Days per Month'!ET$6+'Service Days per Month'!ET$7)</f>
        <v>301</v>
      </c>
      <c r="EU12" s="18">
        <f>'Total Sunday-Holiday Boardings'!EU12/('Service Days per Month'!EU$6+'Service Days per Month'!EU$7)</f>
        <v>255.83333333333334</v>
      </c>
      <c r="EV12" s="18">
        <f>'Total Sunday-Holiday Boardings'!EV12/('Service Days per Month'!EV$6+'Service Days per Month'!EV$7)</f>
        <v>289.5</v>
      </c>
      <c r="EW12" s="17">
        <f>'Total Sunday-Holiday Boardings'!EW12/('Service Days per Month'!EW$6+'Service Days per Month'!EW$7)</f>
        <v>305.2</v>
      </c>
      <c r="EX12" s="18">
        <f>'Total Sunday-Holiday Boardings'!EX12/('Service Days per Month'!EX$6+'Service Days per Month'!EX$7)</f>
        <v>390.4</v>
      </c>
      <c r="EY12" s="18">
        <f>'Total Sunday-Holiday Boardings'!EY12/('Service Days per Month'!EY$6+'Service Days per Month'!EY$7)</f>
        <v>306.60000000000002</v>
      </c>
      <c r="EZ12" s="18">
        <f>'Total Sunday-Holiday Boardings'!EZ12/('Service Days per Month'!EZ$6+'Service Days per Month'!EZ$7)</f>
        <v>303.8</v>
      </c>
      <c r="FA12" s="18">
        <f>'Total Sunday-Holiday Boardings'!FA12/('Service Days per Month'!FA$6+'Service Days per Month'!FA$7)</f>
        <v>320</v>
      </c>
      <c r="FB12" s="18">
        <f>'Total Sunday-Holiday Boardings'!FB12/('Service Days per Month'!FB$6+'Service Days per Month'!FB$7)</f>
        <v>379.4</v>
      </c>
      <c r="FC12" s="18">
        <f>'Total Sunday-Holiday Boardings'!FC12/('Service Days per Month'!FC$6+'Service Days per Month'!FC$7)</f>
        <v>297</v>
      </c>
      <c r="FD12" s="18">
        <f>'Total Sunday-Holiday Boardings'!FD12/('Service Days per Month'!FD$6+'Service Days per Month'!FD$7)</f>
        <v>382.75</v>
      </c>
      <c r="FE12" s="18">
        <f>'Total Sunday-Holiday Boardings'!FE12/('Service Days per Month'!FE$6+'Service Days per Month'!FE$7)</f>
        <v>420.75</v>
      </c>
      <c r="FF12" s="18">
        <f>'Total Sunday-Holiday Boardings'!FF12/('Service Days per Month'!FF$6+'Service Days per Month'!FF$7)</f>
        <v>394</v>
      </c>
      <c r="FG12" s="18">
        <f>'Total Sunday-Holiday Boardings'!FG12/('Service Days per Month'!FG$6+'Service Days per Month'!FG$7)</f>
        <v>394.83333333333331</v>
      </c>
      <c r="FH12" s="18">
        <f>'Total Sunday-Holiday Boardings'!FH12/('Service Days per Month'!FH$6+'Service Days per Month'!FH$7)</f>
        <v>355.25</v>
      </c>
      <c r="FI12" s="17">
        <v>386.5</v>
      </c>
      <c r="FJ12" s="18">
        <v>350</v>
      </c>
      <c r="FK12" s="18">
        <v>412</v>
      </c>
      <c r="FL12" s="18">
        <v>402.2</v>
      </c>
      <c r="FM12" s="18">
        <v>332</v>
      </c>
      <c r="FN12" s="18">
        <v>323.8</v>
      </c>
      <c r="FO12" s="18">
        <v>403.4</v>
      </c>
      <c r="FP12" s="18">
        <v>347.25</v>
      </c>
      <c r="FQ12" s="18">
        <v>427</v>
      </c>
      <c r="FR12" s="18">
        <f>'Total Sunday-Holiday Boardings'!FR12/5</f>
        <v>413</v>
      </c>
      <c r="FS12" s="18">
        <f>'Total Sunday-Holiday Boardings'!FS12/5</f>
        <v>464</v>
      </c>
      <c r="FT12" s="21">
        <f>'Total Sunday-Holiday Boardings'!FT12/4</f>
        <v>435</v>
      </c>
      <c r="FU12" s="18">
        <f>'Total Sunday-Holiday Boardings'!FU12/5</f>
        <v>549.4</v>
      </c>
      <c r="FV12" s="18">
        <f>'Total Sunday-Holiday Boardings'!FV12/4</f>
        <v>565.5</v>
      </c>
      <c r="FW12" s="18">
        <f>'Total Sunday-Holiday Boardings'!FW12/4</f>
        <v>539</v>
      </c>
      <c r="FX12" s="18">
        <f>'Total Sunday-Holiday Boardings'!FX12/5</f>
        <v>484.6</v>
      </c>
      <c r="FY12" s="18">
        <f>'Total Sunday-Holiday Boardings'!FY12/4</f>
        <v>495</v>
      </c>
      <c r="FZ12" s="18">
        <f>'Total Sunday-Holiday Boardings'!FZ12/5</f>
        <v>428.6</v>
      </c>
      <c r="GA12" s="18">
        <f>'Total Sunday-Holiday Boardings'!GA12/4</f>
        <v>598</v>
      </c>
      <c r="GB12" s="18">
        <f>'Total Sunday-Holiday Boardings'!GB12/4</f>
        <v>516</v>
      </c>
      <c r="GC12" s="18">
        <f>'Total Sunday-Holiday Boardings'!GC12/5</f>
        <v>464.2</v>
      </c>
      <c r="GD12" s="18">
        <f>'Total Sunday-Holiday Boardings'!GD12/4</f>
        <v>448.5</v>
      </c>
      <c r="GE12" s="18">
        <f>'Total Sunday-Holiday Boardings'!GE12/4</f>
        <v>522</v>
      </c>
      <c r="GF12" s="18">
        <f>'Total Sunday-Holiday Boardings'!GF12/5</f>
        <v>430.4</v>
      </c>
      <c r="GG12" s="18">
        <f>'Total Sunday-Holiday Boardings'!GG12/4</f>
        <v>489.25</v>
      </c>
      <c r="GH12" s="18">
        <f>'Total Sunday-Holiday Boardings'!GH12/4</f>
        <v>418.75</v>
      </c>
      <c r="GI12" s="18">
        <f>'Total Sunday-Holiday Boardings'!GI12/5</f>
        <v>483.8</v>
      </c>
      <c r="GJ12" s="18">
        <f>'Total Sunday-Holiday Boardings'!GJ12/4</f>
        <v>410</v>
      </c>
      <c r="GK12" s="18">
        <f>'Total Sunday-Holiday Boardings'!GK12/4</f>
        <v>487.25</v>
      </c>
      <c r="GL12" s="18">
        <f>'Total Sunday-Holiday Boardings'!GL12/5</f>
        <v>465.8</v>
      </c>
    </row>
    <row r="13" spans="1:194" x14ac:dyDescent="0.3">
      <c r="A13" s="3" t="s">
        <v>6</v>
      </c>
      <c r="B13" s="17"/>
      <c r="C13" s="18">
        <f>'Total Sunday-Holiday Boardings'!C13/SUM('Service Days per Month'!C$6:C$7)</f>
        <v>556.79999999999995</v>
      </c>
      <c r="D13" s="18">
        <f>'Total Sunday-Holiday Boardings'!D13/SUM('Service Days per Month'!D$6:D$7)</f>
        <v>891.25</v>
      </c>
      <c r="E13" s="18">
        <f>'Total Sunday-Holiday Boardings'!E13/SUM('Service Days per Month'!E$6:E$7)</f>
        <v>814.8</v>
      </c>
      <c r="F13" s="18">
        <f>'Total Sunday-Holiday Boardings'!F13/SUM('Service Days per Month'!F$6:F$7)</f>
        <v>604.4</v>
      </c>
      <c r="G13" s="18">
        <f>'Total Sunday-Holiday Boardings'!G13/SUM('Service Days per Month'!G$6:G$7)</f>
        <v>630.83333333333337</v>
      </c>
      <c r="H13" s="19">
        <f>'Total Sunday-Holiday Boardings'!H13/SUM('Service Days per Month'!H$6:H$7)</f>
        <v>551.75</v>
      </c>
      <c r="I13" s="17">
        <f>'Total Sunday-Holiday Boardings'!I13/SUM('Service Days per Month'!I$6:I$7)</f>
        <v>650.20000000000005</v>
      </c>
      <c r="J13" s="18">
        <f>'Total Sunday-Holiday Boardings'!J13/SUM('Service Days per Month'!J$6:J$7)</f>
        <v>503.4</v>
      </c>
      <c r="K13" s="18">
        <f>'Total Sunday-Holiday Boardings'!K13/SUM('Service Days per Month'!K$6:K$7)</f>
        <v>588</v>
      </c>
      <c r="L13" s="18">
        <f>'Total Sunday-Holiday Boardings'!L13/SUM('Service Days per Month'!L$6:L$7)</f>
        <v>593</v>
      </c>
      <c r="M13" s="18">
        <f>'Total Sunday-Holiday Boardings'!M13/SUM('Service Days per Month'!M$6:M$7)</f>
        <v>996.66666666666663</v>
      </c>
      <c r="N13" s="18">
        <f>'Total Sunday-Holiday Boardings'!N13/SUM('Service Days per Month'!N$6:N$7)</f>
        <v>483.6</v>
      </c>
      <c r="O13" s="79">
        <f>'Total Sunday-Holiday Boardings'!O13/SUM('Service Days per Month'!O$6:O$7)</f>
        <v>639</v>
      </c>
      <c r="P13" s="79">
        <f>'Total Sunday-Holiday Boardings'!P13/SUM('Service Days per Month'!P$6:P$7)</f>
        <v>769</v>
      </c>
      <c r="Q13" s="79">
        <f>'Total Sunday-Holiday Boardings'!Q13/SUM('Service Days per Month'!Q$6:Q$7)</f>
        <v>798.25</v>
      </c>
      <c r="R13" s="79">
        <f>'Total Sunday-Holiday Boardings'!R13/SUM('Service Days per Month'!R$6:R$7)</f>
        <v>754.25</v>
      </c>
      <c r="S13" s="79">
        <f>'Total Sunday-Holiday Boardings'!S13/SUM('Service Days per Month'!S$6:S$7)</f>
        <v>638.16666666666663</v>
      </c>
      <c r="T13" s="80">
        <f>'Total Sunday-Holiday Boardings'!T13/SUM('Service Days per Month'!T$6:T$7)</f>
        <v>465</v>
      </c>
      <c r="U13" s="81">
        <f>'Total Sunday-Holiday Boardings'!U13/SUM('Service Days per Month'!U$6:U$7)</f>
        <v>454.4</v>
      </c>
      <c r="V13" s="79">
        <f>'Total Sunday-Holiday Boardings'!V13/SUM('Service Days per Month'!V$6:V$7)</f>
        <v>449.6</v>
      </c>
      <c r="W13" s="79">
        <f>'Total Sunday-Holiday Boardings'!W13/SUM('Service Days per Month'!W$6:W$7)</f>
        <v>544</v>
      </c>
      <c r="X13" s="79">
        <f>'Total Sunday-Holiday Boardings'!X13/SUM('Service Days per Month'!X$6:X$7)</f>
        <v>547</v>
      </c>
      <c r="Y13" s="79">
        <f>'Total Sunday-Holiday Boardings'!Y13/SUM('Service Days per Month'!Y$6:Y$7)</f>
        <v>719.28571428571433</v>
      </c>
      <c r="Z13" s="79">
        <f>'Total Sunday-Holiday Boardings'!Z13/SUM('Service Days per Month'!Z$6:Z$7)</f>
        <v>367.42857142857144</v>
      </c>
      <c r="AA13" s="18">
        <f>'Total Sunday-Holiday Boardings'!AA13/SUM('Service Days per Month'!AA$6:AA$7)</f>
        <v>532.16666666666663</v>
      </c>
      <c r="AB13" s="18">
        <f>'Total Sunday-Holiday Boardings'!AB13/SUM('Service Days per Month'!AB$6:AB$7)</f>
        <v>564.4</v>
      </c>
      <c r="AC13" s="18">
        <f>'Total Sunday-Holiday Boardings'!AC13/SUM('Service Days per Month'!AC$6:AC$7)</f>
        <v>736.5</v>
      </c>
      <c r="AD13" s="18">
        <f>'Total Sunday-Holiday Boardings'!AD13/SUM('Service Days per Month'!AD$6:AD$7)</f>
        <v>588.25</v>
      </c>
      <c r="AE13" s="18">
        <f>'Total Sunday-Holiday Boardings'!AE13/SUM('Service Days per Month'!AE$6:AE$7)</f>
        <v>564.16666666666663</v>
      </c>
      <c r="AF13" s="19">
        <f>'Total Sunday-Holiday Boardings'!AF13/SUM('Service Days per Month'!AF$6:AF$7)</f>
        <v>563.75</v>
      </c>
      <c r="AG13" s="17">
        <f>'Total Sunday-Holiday Boardings'!AG13/SUM('Service Days per Month'!AG$6:AG$7)</f>
        <v>703.5</v>
      </c>
      <c r="AH13" s="18">
        <f>'Total Sunday-Holiday Boardings'!AH13/SUM('Service Days per Month'!AH$6:AH$7)</f>
        <v>536.5</v>
      </c>
      <c r="AI13" s="18">
        <f>'Total Sunday-Holiday Boardings'!AI13/SUM('Service Days per Month'!AI$6:AI$7)</f>
        <v>522</v>
      </c>
      <c r="AJ13" s="18">
        <f>'Total Sunday-Holiday Boardings'!AJ13/SUM('Service Days per Month'!AJ$6:AJ$7)</f>
        <v>615</v>
      </c>
      <c r="AK13" s="18">
        <f>'Total Sunday-Holiday Boardings'!AK13/SUM('Service Days per Month'!AK$6:AK$7)</f>
        <v>688.57142857142856</v>
      </c>
      <c r="AL13" s="18">
        <f>'Total Sunday-Holiday Boardings'!AL13/SUM('Service Days per Month'!AL$6:AL$7)</f>
        <v>433.66666666666669</v>
      </c>
      <c r="AM13" s="18">
        <f>'Total Sunday-Holiday Boardings'!AM13/SUM('Service Days per Month'!AM$6:AM$7)</f>
        <v>571.71428571428567</v>
      </c>
      <c r="AN13" s="18">
        <f>'Total Sunday-Holiday Boardings'!AN13/SUM('Service Days per Month'!AN$6:AN$7)</f>
        <v>602.4</v>
      </c>
      <c r="AO13" s="18">
        <f>'Total Sunday-Holiday Boardings'!AO13/SUM('Service Days per Month'!AO$6:AO$7)</f>
        <v>536.25</v>
      </c>
      <c r="AP13" s="18">
        <f>'Total Sunday-Holiday Boardings'!AP13/SUM('Service Days per Month'!AP$6:AP$7)</f>
        <v>636.4</v>
      </c>
      <c r="AQ13" s="18">
        <f>'Total Sunday-Holiday Boardings'!AQ13/SUM('Service Days per Month'!AQ$6:AQ$7)</f>
        <v>614.4</v>
      </c>
      <c r="AR13" s="19">
        <f>'Total Sunday-Holiday Boardings'!AR13/SUM('Service Days per Month'!AR$6:AR$7)</f>
        <v>523.5</v>
      </c>
      <c r="AS13" s="17">
        <f>'Total Sunday-Holiday Boardings'!AS13/SUM('Service Days per Month'!AS$6:AS$7)</f>
        <v>688</v>
      </c>
      <c r="AT13" s="18">
        <f>'Total Sunday-Holiday Boardings'!AT13/SUM('Service Days per Month'!AT$6:AT$7)</f>
        <v>509.5</v>
      </c>
      <c r="AU13" s="18">
        <f>'Total Sunday-Holiday Boardings'!AU13/SUM('Service Days per Month'!AU$6:AU$7)</f>
        <v>547</v>
      </c>
      <c r="AV13" s="18">
        <f>'Total Sunday-Holiday Boardings'!AV13/SUM('Service Days per Month'!AV$6:AV$7)</f>
        <v>690.5</v>
      </c>
      <c r="AW13" s="18">
        <f>'Total Sunday-Holiday Boardings'!AW13/SUM('Service Days per Month'!AW$6:AW$7)</f>
        <v>605.42857142857144</v>
      </c>
      <c r="AX13" s="18">
        <f>'Total Sunday-Holiday Boardings'!AX13/SUM('Service Days per Month'!AX$6:AX$7)</f>
        <v>496.85714285714283</v>
      </c>
      <c r="AY13" s="18">
        <f>'Total Sunday-Holiday Boardings'!AY13/SUM('Service Days per Month'!AY$6:AY$7)</f>
        <v>652.5</v>
      </c>
      <c r="AZ13" s="18">
        <f>'Total Sunday-Holiday Boardings'!AZ13/SUM('Service Days per Month'!AZ$6:AZ$7)</f>
        <v>660.6</v>
      </c>
      <c r="BA13" s="18">
        <f>'Total Sunday-Holiday Boardings'!BA13/SUM('Service Days per Month'!BA$6:BA$7)</f>
        <v>746.2</v>
      </c>
      <c r="BB13" s="18">
        <f>'Total Sunday-Holiday Boardings'!BB13/SUM('Service Days per Month'!BB$6:BB$7)</f>
        <v>789.25</v>
      </c>
      <c r="BC13" s="18">
        <f>'Total Sunday-Holiday Boardings'!BC13/SUM('Service Days per Month'!BC$6:BC$7)</f>
        <v>770.6</v>
      </c>
      <c r="BD13" s="19">
        <f>'Total Sunday-Holiday Boardings'!BD13/SUM('Service Days per Month'!BD$6:BD$7)</f>
        <v>560.4</v>
      </c>
      <c r="BE13" s="17">
        <f>'Total Sunday-Holiday Boardings'!BE13/SUM('Service Days per Month'!BE$6:BE$7)</f>
        <v>687.4</v>
      </c>
      <c r="BF13" s="18">
        <f>'Total Sunday-Holiday Boardings'!BF13/SUM('Service Days per Month'!BF$6:BF$7)</f>
        <v>512.25</v>
      </c>
      <c r="BG13" s="18">
        <f>'Total Sunday-Holiday Boardings'!BG13/SUM('Service Days per Month'!BG$6:BG$7)</f>
        <v>559.66666666666663</v>
      </c>
      <c r="BH13" s="18">
        <f>'Total Sunday-Holiday Boardings'!BH13/SUM('Service Days per Month'!BH$6:BH$7)</f>
        <v>584.75</v>
      </c>
      <c r="BI13" s="18">
        <f>'Total Sunday-Holiday Boardings'!BI13/SUM('Service Days per Month'!BI$6:BI$7)</f>
        <v>592.17732665797951</v>
      </c>
      <c r="BJ13" s="18">
        <f>'Total Sunday-Holiday Boardings'!BJ13/SUM('Service Days per Month'!BJ$6:BJ$7)</f>
        <v>533.42857142857144</v>
      </c>
      <c r="BK13" s="18">
        <f>'Total Sunday-Holiday Boardings'!BK13/SUM('Service Days per Month'!BK$6:BK$7)</f>
        <v>616.83333333333337</v>
      </c>
      <c r="BL13" s="18">
        <f>'Total Sunday-Holiday Boardings'!BL13/SUM('Service Days per Month'!BL$6:BL$7)</f>
        <v>667.6</v>
      </c>
      <c r="BM13" s="18">
        <f>'Total Sunday-Holiday Boardings'!BM13/SUM('Service Days per Month'!BM$6:BM$7)</f>
        <v>664</v>
      </c>
      <c r="BN13" s="18">
        <f>'Total Sunday-Holiday Boardings'!BN13/SUM('Service Days per Month'!BN$6:BN$7)</f>
        <v>624.25</v>
      </c>
      <c r="BO13" s="18">
        <f>'Total Sunday-Holiday Boardings'!BO13/SUM('Service Days per Month'!BO$6:BO$7)</f>
        <v>592</v>
      </c>
      <c r="BP13" s="19">
        <f>'Total Sunday-Holiday Boardings'!BP13/SUM('Service Days per Month'!BP$6:BP$7)</f>
        <v>600</v>
      </c>
      <c r="BQ13" s="17">
        <f>'Total Sunday-Holiday Boardings'!BQ13/SUM('Service Days per Month'!BQ$6:BQ$7)</f>
        <v>655.20000000000005</v>
      </c>
      <c r="BR13" s="18">
        <f>'Total Sunday-Holiday Boardings'!BR13/SUM('Service Days per Month'!BR$6:BR$7)</f>
        <v>543.6</v>
      </c>
      <c r="BS13" s="18">
        <f>'Total Sunday-Holiday Boardings'!BS13/SUM('Service Days per Month'!BS$6:BS$7)</f>
        <v>527.4</v>
      </c>
      <c r="BT13" s="18">
        <f>'Total Sunday-Holiday Boardings'!BT13/SUM('Service Days per Month'!BT$6:BT$7)</f>
        <v>573.5</v>
      </c>
      <c r="BU13" s="18">
        <f>'Total Sunday-Holiday Boardings'!BU13/SUM('Service Days per Month'!BU$6:BU$7)</f>
        <v>653.75</v>
      </c>
      <c r="BV13" s="18">
        <f>'Total Sunday-Holiday Boardings'!BV13/SUM('Service Days per Month'!BV$6:BV$7)</f>
        <v>541.16666666666663</v>
      </c>
      <c r="BW13" s="18">
        <f>'Total Sunday-Holiday Boardings'!BW13/SUM('Service Days per Month'!BW$6:BW$7)</f>
        <v>670.16666666666663</v>
      </c>
      <c r="BX13" s="18">
        <f>'Total Sunday-Holiday Boardings'!BX13/SUM('Service Days per Month'!BX$6:BX$7)</f>
        <v>768.2</v>
      </c>
      <c r="BY13" s="18">
        <f>'Total Sunday-Holiday Boardings'!BY13/SUM('Service Days per Month'!BY$6:BY$7)</f>
        <v>629.20000000000005</v>
      </c>
      <c r="BZ13" s="18">
        <f>'Total Sunday-Holiday Boardings'!BZ13/SUM('Service Days per Month'!BZ$6:BZ$7)</f>
        <v>632.25</v>
      </c>
      <c r="CA13" s="18">
        <f>'Total Sunday-Holiday Boardings'!CA13/SUM('Service Days per Month'!CA$6:CA$7)</f>
        <v>618.5</v>
      </c>
      <c r="CB13" s="19">
        <f>'Total Sunday-Holiday Boardings'!CB13/SUM('Service Days per Month'!CB$6:CB$7)</f>
        <v>510</v>
      </c>
      <c r="CC13" s="20">
        <f>'Total Sunday-Holiday Boardings'!CC13/SUM('Service Days per Month'!CC$6:CC$7)</f>
        <v>532.20000000000005</v>
      </c>
      <c r="CD13" s="18">
        <f>'Total Sunday-Holiday Boardings'!CD13/SUM('Service Days per Month'!CD$6:CD$7)</f>
        <v>474.8</v>
      </c>
      <c r="CE13" s="18">
        <f>'Total Sunday-Holiday Boardings'!CE13/SUM('Service Days per Month'!CE$6:CE$7)</f>
        <v>512</v>
      </c>
      <c r="CF13" s="18">
        <f>'Total Sunday-Holiday Boardings'!CF13/SUM('Service Days per Month'!CF$6:CF$7)</f>
        <v>577.25</v>
      </c>
      <c r="CG13" s="18">
        <f>'Total Sunday-Holiday Boardings'!CG13/SUM('Service Days per Month'!CG$6:CG$7)</f>
        <v>598.5</v>
      </c>
      <c r="CH13" s="18">
        <f>'Total Sunday-Holiday Boardings'!CH13/SUM('Service Days per Month'!CH$6:CH$7)</f>
        <v>484</v>
      </c>
      <c r="CI13" s="18">
        <f>'Total Sunday-Holiday Boardings'!CI13/SUM('Service Days per Month'!CI$6:CI$7)</f>
        <v>615.57142857142856</v>
      </c>
      <c r="CJ13" s="18">
        <f>'Total Sunday-Holiday Boardings'!CJ13/SUM('Service Days per Month'!CJ$6:CJ$7)</f>
        <v>632.79999999999995</v>
      </c>
      <c r="CK13" s="18">
        <f>'Total Sunday-Holiday Boardings'!CK13/SUM('Service Days per Month'!CK$6:CK$7)</f>
        <v>573.75</v>
      </c>
      <c r="CL13" s="18">
        <f>'Total Sunday-Holiday Boardings'!CL13/SUM('Service Days per Month'!CL$6:CL$7)</f>
        <v>685.75</v>
      </c>
      <c r="CM13" s="18">
        <f>'Total Sunday-Holiday Boardings'!CM13/SUM('Service Days per Month'!CM$6:CM$7)</f>
        <v>590.16666666666663</v>
      </c>
      <c r="CN13" s="21">
        <f>'Total Sunday-Holiday Boardings'!CN13/SUM('Service Days per Month'!CN$6:CN$7)</f>
        <v>581.75</v>
      </c>
      <c r="CO13" s="17">
        <f>'Total Sunday-Holiday Boardings'!CO13/SUM('Service Days per Month'!CO$6:CO$7)</f>
        <v>651.5</v>
      </c>
      <c r="CP13" s="18">
        <f>'Total Sunday-Holiday Boardings'!CP13/SUM('Service Days per Month'!CP$6:CP$7)</f>
        <v>559</v>
      </c>
      <c r="CQ13" s="18">
        <f>'Total Sunday-Holiday Boardings'!CQ13/SUM('Service Days per Month'!CQ$6:CQ$7)</f>
        <v>558</v>
      </c>
      <c r="CR13" s="18">
        <f>'Total Sunday-Holiday Boardings'!CR13/SUM('Service Days per Month'!CR$6:CR$7)</f>
        <v>561.6</v>
      </c>
      <c r="CS13" s="18">
        <f>'Total Sunday-Holiday Boardings'!CS13/SUM('Service Days per Month'!CS$6:CS$7)</f>
        <v>843</v>
      </c>
      <c r="CT13" s="18">
        <f>'Total Sunday-Holiday Boardings'!CT13/SUM('Service Days per Month'!CT$6:CT$7)</f>
        <v>651.83333333333337</v>
      </c>
      <c r="CU13" s="18">
        <f>'Total Sunday-Holiday Boardings'!CU13/SUM('Service Days per Month'!CU$6:CU$7)</f>
        <v>611.42857142857144</v>
      </c>
      <c r="CV13" s="18">
        <f>'Total Sunday-Holiday Boardings'!CV13/SUM('Service Days per Month'!CV$6:CV$7)</f>
        <v>611.4</v>
      </c>
      <c r="CW13" s="18">
        <f>'Total Sunday-Holiday Boardings'!CW13/SUM('Service Days per Month'!CW$6:CW$7)</f>
        <v>643.75</v>
      </c>
      <c r="CX13" s="18">
        <f>'Total Sunday-Holiday Boardings'!CX13/SUM('Service Days per Month'!CX$6:CX$7)</f>
        <v>1020.6</v>
      </c>
      <c r="CY13" s="18">
        <f>'Total Sunday-Holiday Boardings'!CY13/SUM('Service Days per Month'!CY$6:CY$7)</f>
        <v>578.20000000000005</v>
      </c>
      <c r="CZ13" s="19">
        <f>'Total Sunday-Holiday Boardings'!CZ13/SUM('Service Days per Month'!CZ$6:CZ$7)</f>
        <v>481.75</v>
      </c>
      <c r="DA13" s="17">
        <f>'Total Sunday-Holiday Boardings'!DA13/SUM('Service Days per Month'!DA$6:DA$7)</f>
        <v>580.83333333333337</v>
      </c>
      <c r="DB13" s="18">
        <f>'Total Sunday-Holiday Boardings'!DB13/SUM('Service Days per Month'!DB$6:DB$7)</f>
        <v>507.5</v>
      </c>
      <c r="DC13" s="18">
        <f>'Total Sunday-Holiday Boardings'!DC13/SUM('Service Days per Month'!DC$6:DC$7)</f>
        <v>521</v>
      </c>
      <c r="DD13" s="18">
        <f>'Total Sunday-Holiday Boardings'!DD13/SUM('Service Days per Month'!DD$6:DD$7)</f>
        <v>645.6</v>
      </c>
      <c r="DE13" s="18">
        <f>'Total Sunday-Holiday Boardings'!DE13/SUM('Service Days per Month'!DE$6:DE$7)</f>
        <v>560.85714285714289</v>
      </c>
      <c r="DF13" s="18">
        <f>'Total Sunday-Holiday Boardings'!DF13/SUM('Service Days per Month'!DF$6:DF$7)</f>
        <v>454.66666666666669</v>
      </c>
      <c r="DG13" s="18">
        <f>'Total Sunday-Holiday Boardings'!DG13/SUM('Service Days per Month'!DG$6:DG$7)</f>
        <v>574</v>
      </c>
      <c r="DH13" s="18">
        <f>'Total Sunday-Holiday Boardings'!DH13/SUM('Service Days per Month'!DH$6:DH$7)</f>
        <v>525.79999999999995</v>
      </c>
      <c r="DI13" s="18">
        <f>'Total Sunday-Holiday Boardings'!DI13/SUM('Service Days per Month'!DI$6:DI$7)</f>
        <v>568.5</v>
      </c>
      <c r="DJ13" s="18">
        <f>'Total Sunday-Holiday Boardings'!DJ13/SUM('Service Days per Month'!DJ$6:DJ$7)</f>
        <v>548.79999999999995</v>
      </c>
      <c r="DK13" s="18">
        <f>'Total Sunday-Holiday Boardings'!DK13/SUM('Service Days per Month'!DK$6:DK$7)</f>
        <v>566.4</v>
      </c>
      <c r="DL13" s="19">
        <f>'Total Sunday-Holiday Boardings'!DL13/SUM('Service Days per Month'!DL$6:DL$7)</f>
        <v>449</v>
      </c>
      <c r="DM13" s="17">
        <f>'Total Sunday-Holiday Boardings'!DM13/('Service Days per Month'!DM$6+'Service Days per Month'!DM$7)</f>
        <v>538.83333333333337</v>
      </c>
      <c r="DN13" s="18">
        <f>'Total Sunday-Holiday Boardings'!DN13/('Service Days per Month'!DN$6+'Service Days per Month'!DN$7)</f>
        <v>446.25</v>
      </c>
      <c r="DO13" s="18">
        <f>'Total Sunday-Holiday Boardings'!DO13/('Service Days per Month'!DO$6+'Service Days per Month'!DO$7)</f>
        <v>461.5</v>
      </c>
      <c r="DP13" s="18">
        <f>'Total Sunday-Holiday Boardings'!DP13/('Service Days per Month'!DP$6+'Service Days per Month'!DP$7)</f>
        <v>430.75</v>
      </c>
      <c r="DQ13" s="18">
        <f>'Total Sunday-Holiday Boardings'!DQ13/('Service Days per Month'!DQ$6+'Service Days per Month'!DQ$7)</f>
        <v>471</v>
      </c>
      <c r="DR13" s="18">
        <f>'Total Sunday-Holiday Boardings'!DR13/('Service Days per Month'!DR$6+'Service Days per Month'!DR$7)</f>
        <v>422.5</v>
      </c>
      <c r="DS13" s="18">
        <f>'Total Sunday-Holiday Boardings'!DS13/('Service Days per Month'!DS$6+'Service Days per Month'!DS$7)</f>
        <v>481.6</v>
      </c>
      <c r="DT13" s="18">
        <f>'Total Sunday-Holiday Boardings'!DT13/('Service Days per Month'!DT$6+'Service Days per Month'!DT$7)</f>
        <v>448.5</v>
      </c>
      <c r="DU13" s="18">
        <f>'Total Sunday-Holiday Boardings'!DU13/('Service Days per Month'!DU$6+'Service Days per Month'!DU$7)</f>
        <v>576.20000000000005</v>
      </c>
      <c r="DV13" s="18">
        <f>'Total Sunday-Holiday Boardings'!DV13/('Service Days per Month'!DV$6+'Service Days per Month'!DV$7)</f>
        <v>530.5</v>
      </c>
      <c r="DW13" s="18">
        <f>'Total Sunday-Holiday Boardings'!DW13/('Service Days per Month'!DW$6+'Service Days per Month'!DW$7)</f>
        <v>546.4</v>
      </c>
      <c r="DX13" s="18">
        <f>'Total Sunday-Holiday Boardings'!DX13/('Service Days per Month'!DX$6+'Service Days per Month'!DX$7)</f>
        <v>491.2</v>
      </c>
      <c r="DY13" s="17">
        <f>'Total Sunday-Holiday Boardings'!DY13/('Service Days per Month'!DY$6+'Service Days per Month'!DY$7)</f>
        <v>484.8</v>
      </c>
      <c r="DZ13" s="18">
        <f>'Total Sunday-Holiday Boardings'!DZ13/('Service Days per Month'!DZ$6+'Service Days per Month'!DZ$7)</f>
        <v>464.75</v>
      </c>
      <c r="EA13" s="18">
        <f>'Total Sunday-Holiday Boardings'!EA13/('Service Days per Month'!EA$6+'Service Days per Month'!EA$7)</f>
        <v>443.33333333333331</v>
      </c>
      <c r="EB13" s="18">
        <f>'Total Sunday-Holiday Boardings'!EB13/('Service Days per Month'!EB$6+'Service Days per Month'!EB$7)</f>
        <v>448.75</v>
      </c>
      <c r="EC13" s="18">
        <f>'Total Sunday-Holiday Boardings'!EC13/('Service Days per Month'!EC$6+'Service Days per Month'!EC$7)</f>
        <v>429.2</v>
      </c>
      <c r="ED13" s="18">
        <f>'Total Sunday-Holiday Boardings'!ED13/('Service Days per Month'!ED$6+'Service Days per Month'!ED$7)</f>
        <v>368</v>
      </c>
      <c r="EE13" s="18">
        <f>'Total Sunday-Holiday Boardings'!EE13/('Service Days per Month'!EE$6+'Service Days per Month'!EE$7)</f>
        <v>590.75</v>
      </c>
      <c r="EF13" s="18">
        <f>'Total Sunday-Holiday Boardings'!EF13/('Service Days per Month'!EF$6+'Service Days per Month'!EF$7)</f>
        <v>491.25</v>
      </c>
      <c r="EG13" s="18">
        <f>'Total Sunday-Holiday Boardings'!EG13/('Service Days per Month'!EG$6+'Service Days per Month'!EG$7)</f>
        <v>387.4</v>
      </c>
      <c r="EH13" s="18">
        <f>'Total Sunday-Holiday Boardings'!EH13/('Service Days per Month'!EH$6+'Service Days per Month'!EH$7)</f>
        <v>222.5</v>
      </c>
      <c r="EI13" s="18">
        <f>'Total Sunday-Holiday Boardings'!EI13/('Service Days per Month'!EI$6+'Service Days per Month'!EI$7)</f>
        <v>214</v>
      </c>
      <c r="EJ13" s="18">
        <f>'Total Sunday-Holiday Boardings'!EJ13/('Service Days per Month'!EJ$6+'Service Days per Month'!EJ$7)</f>
        <v>204.25</v>
      </c>
      <c r="EK13" s="17">
        <f>'Total Sunday-Holiday Boardings'!EK13/('Service Days per Month'!EK$6+'Service Days per Month'!EK$7)</f>
        <v>202.4</v>
      </c>
      <c r="EL13" s="18">
        <f>'Total Sunday-Holiday Boardings'!EL13/('Service Days per Month'!EL$6+'Service Days per Month'!EL$7)</f>
        <v>207.2</v>
      </c>
      <c r="EM13" s="18">
        <f>'Total Sunday-Holiday Boardings'!EM13/('Service Days per Month'!EM$6+'Service Days per Month'!EM$7)</f>
        <v>224</v>
      </c>
      <c r="EN13" s="18">
        <f>'Total Sunday-Holiday Boardings'!EN13/('Service Days per Month'!EN$6+'Service Days per Month'!EN$7)</f>
        <v>213.75</v>
      </c>
      <c r="EO13" s="18">
        <f>'Total Sunday-Holiday Boardings'!EO13/('Service Days per Month'!EO$6+'Service Days per Month'!EO$7)</f>
        <v>152.33333333333334</v>
      </c>
      <c r="EP13" s="18">
        <f>'Total Sunday-Holiday Boardings'!EP13/('Service Days per Month'!EP$6+'Service Days per Month'!EP$7)</f>
        <v>157.6</v>
      </c>
      <c r="EQ13" s="18">
        <f>'Total Sunday-Holiday Boardings'!EQ13/('Service Days per Month'!EQ$6+'Service Days per Month'!EQ$7)</f>
        <v>97.4</v>
      </c>
      <c r="ER13" s="18">
        <f>'Total Sunday-Holiday Boardings'!ER13/('Service Days per Month'!ER$6+'Service Days per Month'!ER$7)</f>
        <v>219</v>
      </c>
      <c r="ES13" s="18">
        <f>'Total Sunday-Holiday Boardings'!ES13/('Service Days per Month'!ES$6+'Service Days per Month'!ES$7)</f>
        <v>233.75</v>
      </c>
      <c r="ET13" s="18">
        <f>'Total Sunday-Holiday Boardings'!ET13/('Service Days per Month'!ET$6+'Service Days per Month'!ET$7)</f>
        <v>225.75</v>
      </c>
      <c r="EU13" s="18">
        <f>'Total Sunday-Holiday Boardings'!EU13/('Service Days per Month'!EU$6+'Service Days per Month'!EU$7)</f>
        <v>185.66666666666666</v>
      </c>
      <c r="EV13" s="18">
        <f>'Total Sunday-Holiday Boardings'!EV13/('Service Days per Month'!EV$6+'Service Days per Month'!EV$7)</f>
        <v>262</v>
      </c>
      <c r="EW13" s="17">
        <f>'Total Sunday-Holiday Boardings'!EW13/('Service Days per Month'!EW$6+'Service Days per Month'!EW$7)</f>
        <v>223.2</v>
      </c>
      <c r="EX13" s="18">
        <f>'Total Sunday-Holiday Boardings'!EX13/('Service Days per Month'!EX$6+'Service Days per Month'!EX$7)</f>
        <v>313.8</v>
      </c>
      <c r="EY13" s="18">
        <f>'Total Sunday-Holiday Boardings'!EY13/('Service Days per Month'!EY$6+'Service Days per Month'!EY$7)</f>
        <v>228.4</v>
      </c>
      <c r="EZ13" s="18">
        <f>'Total Sunday-Holiday Boardings'!EZ13/('Service Days per Month'!EZ$6+'Service Days per Month'!EZ$7)</f>
        <v>231</v>
      </c>
      <c r="FA13" s="18">
        <f>'Total Sunday-Holiday Boardings'!FA13/('Service Days per Month'!FA$6+'Service Days per Month'!FA$7)</f>
        <v>261.39999999999998</v>
      </c>
      <c r="FB13" s="18">
        <f>'Total Sunday-Holiday Boardings'!FB13/('Service Days per Month'!FB$6+'Service Days per Month'!FB$7)</f>
        <v>325</v>
      </c>
      <c r="FC13" s="18">
        <f>'Total Sunday-Holiday Boardings'!FC13/('Service Days per Month'!FC$6+'Service Days per Month'!FC$7)</f>
        <v>251</v>
      </c>
      <c r="FD13" s="18">
        <f>'Total Sunday-Holiday Boardings'!FD13/('Service Days per Month'!FD$6+'Service Days per Month'!FD$7)</f>
        <v>309.25</v>
      </c>
      <c r="FE13" s="18">
        <f>'Total Sunday-Holiday Boardings'!FE13/('Service Days per Month'!FE$6+'Service Days per Month'!FE$7)</f>
        <v>362.75</v>
      </c>
      <c r="FF13" s="18">
        <f>'Total Sunday-Holiday Boardings'!FF13/('Service Days per Month'!FF$6+'Service Days per Month'!FF$7)</f>
        <v>340.75</v>
      </c>
      <c r="FG13" s="18">
        <f>'Total Sunday-Holiday Boardings'!FG13/('Service Days per Month'!FG$6+'Service Days per Month'!FG$7)</f>
        <v>366.83333333333331</v>
      </c>
      <c r="FH13" s="18">
        <f>'Total Sunday-Holiday Boardings'!FH13/('Service Days per Month'!FH$6+'Service Days per Month'!FH$7)</f>
        <v>275.25</v>
      </c>
      <c r="FI13" s="17">
        <v>267.16666666666669</v>
      </c>
      <c r="FJ13" s="18">
        <v>258.5</v>
      </c>
      <c r="FK13" s="18">
        <v>282.2</v>
      </c>
      <c r="FL13" s="18">
        <v>332.8</v>
      </c>
      <c r="FM13" s="18">
        <v>275.8</v>
      </c>
      <c r="FN13" s="18">
        <v>306.2</v>
      </c>
      <c r="FO13" s="18">
        <v>346.4</v>
      </c>
      <c r="FP13" s="18">
        <v>459.75</v>
      </c>
      <c r="FQ13" s="18">
        <v>372.5</v>
      </c>
      <c r="FR13" s="18">
        <f>'Total Sunday-Holiday Boardings'!FR13/5</f>
        <v>388</v>
      </c>
      <c r="FS13" s="18">
        <f>'Total Sunday-Holiday Boardings'!FS13/5</f>
        <v>387.2</v>
      </c>
      <c r="FT13" s="21">
        <f>'Total Sunday-Holiday Boardings'!FT13/4</f>
        <v>384.5</v>
      </c>
      <c r="FU13" s="18">
        <f>'Total Sunday-Holiday Boardings'!FU13/5</f>
        <v>510</v>
      </c>
      <c r="FV13" s="18">
        <f>'Total Sunday-Holiday Boardings'!FV13/4</f>
        <v>481.75</v>
      </c>
      <c r="FW13" s="18">
        <f>'Total Sunday-Holiday Boardings'!FW13/4</f>
        <v>412</v>
      </c>
      <c r="FX13" s="18">
        <f>'Total Sunday-Holiday Boardings'!FX13/5</f>
        <v>365.8</v>
      </c>
      <c r="FY13" s="18">
        <f>'Total Sunday-Holiday Boardings'!FY13/4</f>
        <v>367.75</v>
      </c>
      <c r="FZ13" s="18">
        <f>'Total Sunday-Holiday Boardings'!FZ13/5</f>
        <v>405</v>
      </c>
      <c r="GA13" s="18">
        <f>'Total Sunday-Holiday Boardings'!GA13/4</f>
        <v>509</v>
      </c>
      <c r="GB13" s="18">
        <f>'Total Sunday-Holiday Boardings'!GB13/4</f>
        <v>432.5</v>
      </c>
      <c r="GC13" s="18">
        <f>'Total Sunday-Holiday Boardings'!GC13/5</f>
        <v>361.6</v>
      </c>
      <c r="GD13" s="18">
        <f>'Total Sunday-Holiday Boardings'!GD13/4</f>
        <v>519.5</v>
      </c>
      <c r="GE13" s="18">
        <f>'Total Sunday-Holiday Boardings'!GE13/4</f>
        <v>478.5</v>
      </c>
      <c r="GF13" s="18">
        <f>'Total Sunday-Holiday Boardings'!GF13/5</f>
        <v>383.4</v>
      </c>
      <c r="GG13" s="18">
        <f>'Total Sunday-Holiday Boardings'!GG13/4</f>
        <v>424.5</v>
      </c>
      <c r="GH13" s="18">
        <f>'Total Sunday-Holiday Boardings'!GH13/4</f>
        <v>285.5</v>
      </c>
      <c r="GI13" s="18">
        <f>'Total Sunday-Holiday Boardings'!GI13/5</f>
        <v>437.8</v>
      </c>
      <c r="GJ13" s="18">
        <f>'Total Sunday-Holiday Boardings'!GJ13/4</f>
        <v>359</v>
      </c>
      <c r="GK13" s="18">
        <f>'Total Sunday-Holiday Boardings'!GK13/4</f>
        <v>379.25</v>
      </c>
      <c r="GL13" s="18">
        <f>'Total Sunday-Holiday Boardings'!GL13/5</f>
        <v>383.4</v>
      </c>
    </row>
    <row r="14" spans="1:194" x14ac:dyDescent="0.3">
      <c r="A14" s="3" t="s">
        <v>7</v>
      </c>
      <c r="B14" s="17"/>
      <c r="C14" s="18">
        <f>'Total Sunday-Holiday Boardings'!C14/SUM('Service Days per Month'!C$6:C$7)</f>
        <v>208.8</v>
      </c>
      <c r="D14" s="18">
        <f>'Total Sunday-Holiday Boardings'!D14/SUM('Service Days per Month'!D$6:D$7)</f>
        <v>227.5</v>
      </c>
      <c r="E14" s="18">
        <f>'Total Sunday-Holiday Boardings'!E14/SUM('Service Days per Month'!E$6:E$7)</f>
        <v>200.2</v>
      </c>
      <c r="F14" s="18">
        <f>'Total Sunday-Holiday Boardings'!F14/SUM('Service Days per Month'!F$6:F$7)</f>
        <v>171.2</v>
      </c>
      <c r="G14" s="18">
        <f>'Total Sunday-Holiday Boardings'!G14/SUM('Service Days per Month'!G$6:G$7)</f>
        <v>143.5</v>
      </c>
      <c r="H14" s="19">
        <f>'Total Sunday-Holiday Boardings'!H14/SUM('Service Days per Month'!H$6:H$7)</f>
        <v>115.75</v>
      </c>
      <c r="I14" s="17">
        <f>'Total Sunday-Holiday Boardings'!I14/SUM('Service Days per Month'!I$6:I$7)</f>
        <v>352.4</v>
      </c>
      <c r="J14" s="18">
        <f>'Total Sunday-Holiday Boardings'!J14/SUM('Service Days per Month'!J$6:J$7)</f>
        <v>135.19999999999999</v>
      </c>
      <c r="K14" s="18">
        <f>'Total Sunday-Holiday Boardings'!K14/SUM('Service Days per Month'!K$6:K$7)</f>
        <v>162.6</v>
      </c>
      <c r="L14" s="18">
        <f>'Total Sunday-Holiday Boardings'!L14/SUM('Service Days per Month'!L$6:L$7)</f>
        <v>143.25</v>
      </c>
      <c r="M14" s="18">
        <f>'Total Sunday-Holiday Boardings'!M14/SUM('Service Days per Month'!M$6:M$7)</f>
        <v>294.33333333333331</v>
      </c>
      <c r="N14" s="18">
        <f>'Total Sunday-Holiday Boardings'!N14/SUM('Service Days per Month'!N$6:N$7)</f>
        <v>130</v>
      </c>
      <c r="O14" s="79">
        <f>'Total Sunday-Holiday Boardings'!O14/SUM('Service Days per Month'!O$6:O$7)</f>
        <v>206.5</v>
      </c>
      <c r="P14" s="79">
        <f>'Total Sunday-Holiday Boardings'!P14/SUM('Service Days per Month'!P$6:P$7)</f>
        <v>229.5</v>
      </c>
      <c r="Q14" s="79">
        <f>'Total Sunday-Holiday Boardings'!Q14/SUM('Service Days per Month'!Q$6:Q$7)</f>
        <v>200.25</v>
      </c>
      <c r="R14" s="79">
        <f>'Total Sunday-Holiday Boardings'!R14/SUM('Service Days per Month'!R$6:R$7)</f>
        <v>185.75</v>
      </c>
      <c r="S14" s="79">
        <f>'Total Sunday-Holiday Boardings'!S14/SUM('Service Days per Month'!S$6:S$7)</f>
        <v>193.16666666666666</v>
      </c>
      <c r="T14" s="80">
        <f>'Total Sunday-Holiday Boardings'!T14/SUM('Service Days per Month'!T$6:T$7)</f>
        <v>133.25</v>
      </c>
      <c r="U14" s="81">
        <f>'Total Sunday-Holiday Boardings'!U14/SUM('Service Days per Month'!U$6:U$7)</f>
        <v>392.2</v>
      </c>
      <c r="V14" s="79">
        <f>'Total Sunday-Holiday Boardings'!V14/SUM('Service Days per Month'!V$6:V$7)</f>
        <v>140.4</v>
      </c>
      <c r="W14" s="79">
        <f>'Total Sunday-Holiday Boardings'!W14/SUM('Service Days per Month'!W$6:W$7)</f>
        <v>193.8</v>
      </c>
      <c r="X14" s="79">
        <f>'Total Sunday-Holiday Boardings'!X14/SUM('Service Days per Month'!X$6:X$7)</f>
        <v>168.4</v>
      </c>
      <c r="Y14" s="79">
        <f>'Total Sunday-Holiday Boardings'!Y14/SUM('Service Days per Month'!Y$6:Y$7)</f>
        <v>236.57142857142858</v>
      </c>
      <c r="Z14" s="79">
        <f>'Total Sunday-Holiday Boardings'!Z14/SUM('Service Days per Month'!Z$6:Z$7)</f>
        <v>103</v>
      </c>
      <c r="AA14" s="18">
        <f>'Total Sunday-Holiday Boardings'!AA14/SUM('Service Days per Month'!AA$6:AA$7)</f>
        <v>158.66666666666666</v>
      </c>
      <c r="AB14" s="18">
        <f>'Total Sunday-Holiday Boardings'!AB14/SUM('Service Days per Month'!AB$6:AB$7)</f>
        <v>186</v>
      </c>
      <c r="AC14" s="18">
        <f>'Total Sunday-Holiday Boardings'!AC14/SUM('Service Days per Month'!AC$6:AC$7)</f>
        <v>201.25</v>
      </c>
      <c r="AD14" s="18">
        <f>'Total Sunday-Holiday Boardings'!AD14/SUM('Service Days per Month'!AD$6:AD$7)</f>
        <v>189.75</v>
      </c>
      <c r="AE14" s="18">
        <f>'Total Sunday-Holiday Boardings'!AE14/SUM('Service Days per Month'!AE$6:AE$7)</f>
        <v>166.33333333333334</v>
      </c>
      <c r="AF14" s="19">
        <f>'Total Sunday-Holiday Boardings'!AF14/SUM('Service Days per Month'!AF$6:AF$7)</f>
        <v>151.25</v>
      </c>
      <c r="AG14" s="17">
        <f>'Total Sunday-Holiday Boardings'!AG14/SUM('Service Days per Month'!AG$6:AG$7)</f>
        <v>426.83333333333331</v>
      </c>
      <c r="AH14" s="18">
        <f>'Total Sunday-Holiday Boardings'!AH14/SUM('Service Days per Month'!AH$6:AH$7)</f>
        <v>159.5</v>
      </c>
      <c r="AI14" s="18">
        <f>'Total Sunday-Holiday Boardings'!AI14/SUM('Service Days per Month'!AI$6:AI$7)</f>
        <v>179.6</v>
      </c>
      <c r="AJ14" s="18">
        <f>'Total Sunday-Holiday Boardings'!AJ14/SUM('Service Days per Month'!AJ$6:AJ$7)</f>
        <v>200.4</v>
      </c>
      <c r="AK14" s="18">
        <f>'Total Sunday-Holiday Boardings'!AK14/SUM('Service Days per Month'!AK$6:AK$7)</f>
        <v>208.71428571428572</v>
      </c>
      <c r="AL14" s="18">
        <f>'Total Sunday-Holiday Boardings'!AL14/SUM('Service Days per Month'!AL$6:AL$7)</f>
        <v>126.66666666666667</v>
      </c>
      <c r="AM14" s="18">
        <f>'Total Sunday-Holiday Boardings'!AM14/SUM('Service Days per Month'!AM$6:AM$7)</f>
        <v>219.42857142857142</v>
      </c>
      <c r="AN14" s="18">
        <f>'Total Sunday-Holiday Boardings'!AN14/SUM('Service Days per Month'!AN$6:AN$7)</f>
        <v>224.6</v>
      </c>
      <c r="AO14" s="18">
        <f>'Total Sunday-Holiday Boardings'!AO14/SUM('Service Days per Month'!AO$6:AO$7)</f>
        <v>204</v>
      </c>
      <c r="AP14" s="18">
        <f>'Total Sunday-Holiday Boardings'!AP14/SUM('Service Days per Month'!AP$6:AP$7)</f>
        <v>230</v>
      </c>
      <c r="AQ14" s="18">
        <f>'Total Sunday-Holiday Boardings'!AQ14/SUM('Service Days per Month'!AQ$6:AQ$7)</f>
        <v>208.4</v>
      </c>
      <c r="AR14" s="19">
        <f>'Total Sunday-Holiday Boardings'!AR14/SUM('Service Days per Month'!AR$6:AR$7)</f>
        <v>225.25</v>
      </c>
      <c r="AS14" s="17">
        <f>'Total Sunday-Holiday Boardings'!AS14/SUM('Service Days per Month'!AS$6:AS$7)</f>
        <v>392.66666666666669</v>
      </c>
      <c r="AT14" s="18">
        <f>'Total Sunday-Holiday Boardings'!AT14/SUM('Service Days per Month'!AT$6:AT$7)</f>
        <v>219</v>
      </c>
      <c r="AU14" s="18">
        <f>'Total Sunday-Holiday Boardings'!AU14/SUM('Service Days per Month'!AU$6:AU$7)</f>
        <v>258.83333333333331</v>
      </c>
      <c r="AV14" s="18">
        <f>'Total Sunday-Holiday Boardings'!AV14/SUM('Service Days per Month'!AV$6:AV$7)</f>
        <v>257.5</v>
      </c>
      <c r="AW14" s="18">
        <f>'Total Sunday-Holiday Boardings'!AW14/SUM('Service Days per Month'!AW$6:AW$7)</f>
        <v>239.57142857142858</v>
      </c>
      <c r="AX14" s="18">
        <f>'Total Sunday-Holiday Boardings'!AX14/SUM('Service Days per Month'!AX$6:AX$7)</f>
        <v>194.71428571428572</v>
      </c>
      <c r="AY14" s="18">
        <f>'Total Sunday-Holiday Boardings'!AY14/SUM('Service Days per Month'!AY$6:AY$7)</f>
        <v>284.33333333333331</v>
      </c>
      <c r="AZ14" s="18">
        <f>'Total Sunday-Holiday Boardings'!AZ14/SUM('Service Days per Month'!AZ$6:AZ$7)</f>
        <v>277</v>
      </c>
      <c r="BA14" s="18">
        <f>'Total Sunday-Holiday Boardings'!BA14/SUM('Service Days per Month'!BA$6:BA$7)</f>
        <v>278.60000000000002</v>
      </c>
      <c r="BB14" s="18">
        <f>'Total Sunday-Holiday Boardings'!BB14/SUM('Service Days per Month'!BB$6:BB$7)</f>
        <v>287</v>
      </c>
      <c r="BC14" s="18">
        <f>'Total Sunday-Holiday Boardings'!BC14/SUM('Service Days per Month'!BC$6:BC$7)</f>
        <v>297.2</v>
      </c>
      <c r="BD14" s="19">
        <f>'Total Sunday-Holiday Boardings'!BD14/SUM('Service Days per Month'!BD$6:BD$7)</f>
        <v>228.8</v>
      </c>
      <c r="BE14" s="17">
        <f>'Total Sunday-Holiday Boardings'!BE14/SUM('Service Days per Month'!BE$6:BE$7)</f>
        <v>449.8</v>
      </c>
      <c r="BF14" s="18">
        <f>'Total Sunday-Holiday Boardings'!BF14/SUM('Service Days per Month'!BF$6:BF$7)</f>
        <v>225</v>
      </c>
      <c r="BG14" s="18">
        <f>'Total Sunday-Holiday Boardings'!BG14/SUM('Service Days per Month'!BG$6:BG$7)</f>
        <v>240.66666666666666</v>
      </c>
      <c r="BH14" s="18">
        <f>'Total Sunday-Holiday Boardings'!BH14/SUM('Service Days per Month'!BH$6:BH$7)</f>
        <v>285</v>
      </c>
      <c r="BI14" s="18">
        <f>'Total Sunday-Holiday Boardings'!BI14/SUM('Service Days per Month'!BI$6:BI$7)</f>
        <v>279.25829504149232</v>
      </c>
      <c r="BJ14" s="18">
        <f>'Total Sunday-Holiday Boardings'!BJ14/SUM('Service Days per Month'!BJ$6:BJ$7)</f>
        <v>251.42857142857142</v>
      </c>
      <c r="BK14" s="18">
        <f>'Total Sunday-Holiday Boardings'!BK14/SUM('Service Days per Month'!BK$6:BK$7)</f>
        <v>285</v>
      </c>
      <c r="BL14" s="18">
        <f>'Total Sunday-Holiday Boardings'!BL14/SUM('Service Days per Month'!BL$6:BL$7)</f>
        <v>286.39999999999998</v>
      </c>
      <c r="BM14" s="18">
        <f>'Total Sunday-Holiday Boardings'!BM14/SUM('Service Days per Month'!BM$6:BM$7)</f>
        <v>286.60000000000002</v>
      </c>
      <c r="BN14" s="18">
        <f>'Total Sunday-Holiday Boardings'!BN14/SUM('Service Days per Month'!BN$6:BN$7)</f>
        <v>257.25</v>
      </c>
      <c r="BO14" s="18">
        <f>'Total Sunday-Holiday Boardings'!BO14/SUM('Service Days per Month'!BO$6:BO$7)</f>
        <v>243.8</v>
      </c>
      <c r="BP14" s="19">
        <f>'Total Sunday-Holiday Boardings'!BP14/SUM('Service Days per Month'!BP$6:BP$7)</f>
        <v>230.2</v>
      </c>
      <c r="BQ14" s="17">
        <f>'Total Sunday-Holiday Boardings'!BQ14/SUM('Service Days per Month'!BQ$6:BQ$7)</f>
        <v>396</v>
      </c>
      <c r="BR14" s="18">
        <f>'Total Sunday-Holiday Boardings'!BR14/SUM('Service Days per Month'!BR$6:BR$7)</f>
        <v>223</v>
      </c>
      <c r="BS14" s="18">
        <f>'Total Sunday-Holiday Boardings'!BS14/SUM('Service Days per Month'!BS$6:BS$7)</f>
        <v>253.2</v>
      </c>
      <c r="BT14" s="18">
        <f>'Total Sunday-Holiday Boardings'!BT14/SUM('Service Days per Month'!BT$6:BT$7)</f>
        <v>251</v>
      </c>
      <c r="BU14" s="18">
        <f>'Total Sunday-Holiday Boardings'!BU14/SUM('Service Days per Month'!BU$6:BU$7)</f>
        <v>280.625</v>
      </c>
      <c r="BV14" s="18">
        <f>'Total Sunday-Holiday Boardings'!BV14/SUM('Service Days per Month'!BV$6:BV$7)</f>
        <v>244.66666666666666</v>
      </c>
      <c r="BW14" s="18">
        <f>'Total Sunday-Holiday Boardings'!BW14/SUM('Service Days per Month'!BW$6:BW$7)</f>
        <v>292.33333333333331</v>
      </c>
      <c r="BX14" s="18">
        <f>'Total Sunday-Holiday Boardings'!BX14/SUM('Service Days per Month'!BX$6:BX$7)</f>
        <v>323</v>
      </c>
      <c r="BY14" s="18">
        <f>'Total Sunday-Holiday Boardings'!BY14/SUM('Service Days per Month'!BY$6:BY$7)</f>
        <v>279.60000000000002</v>
      </c>
      <c r="BZ14" s="18">
        <f>'Total Sunday-Holiday Boardings'!BZ14/SUM('Service Days per Month'!BZ$6:BZ$7)</f>
        <v>264.25</v>
      </c>
      <c r="CA14" s="18">
        <f>'Total Sunday-Holiday Boardings'!CA14/SUM('Service Days per Month'!CA$6:CA$7)</f>
        <v>252.66666666666666</v>
      </c>
      <c r="CB14" s="19">
        <f>'Total Sunday-Holiday Boardings'!CB14/SUM('Service Days per Month'!CB$6:CB$7)</f>
        <v>218.5</v>
      </c>
      <c r="CC14" s="20">
        <f>'Total Sunday-Holiday Boardings'!CC14/SUM('Service Days per Month'!CC$6:CC$7)</f>
        <v>250.4</v>
      </c>
      <c r="CD14" s="18">
        <f>'Total Sunday-Holiday Boardings'!CD14/SUM('Service Days per Month'!CD$6:CD$7)</f>
        <v>206.6</v>
      </c>
      <c r="CE14" s="18">
        <f>'Total Sunday-Holiday Boardings'!CE14/SUM('Service Days per Month'!CE$6:CE$7)</f>
        <v>241.8</v>
      </c>
      <c r="CF14" s="18">
        <f>'Total Sunday-Holiday Boardings'!CF14/SUM('Service Days per Month'!CF$6:CF$7)</f>
        <v>233</v>
      </c>
      <c r="CG14" s="18">
        <f>'Total Sunday-Holiday Boardings'!CG14/SUM('Service Days per Month'!CG$6:CG$7)</f>
        <v>275.5</v>
      </c>
      <c r="CH14" s="18">
        <f>'Total Sunday-Holiday Boardings'!CH14/SUM('Service Days per Month'!CH$6:CH$7)</f>
        <v>221.83333333333334</v>
      </c>
      <c r="CI14" s="18">
        <f>'Total Sunday-Holiday Boardings'!CI14/SUM('Service Days per Month'!CI$6:CI$7)</f>
        <v>255.57142857142858</v>
      </c>
      <c r="CJ14" s="18">
        <f>'Total Sunday-Holiday Boardings'!CJ14/SUM('Service Days per Month'!CJ$6:CJ$7)</f>
        <v>267.2</v>
      </c>
      <c r="CK14" s="18">
        <f>'Total Sunday-Holiday Boardings'!CK14/SUM('Service Days per Month'!CK$6:CK$7)</f>
        <v>306</v>
      </c>
      <c r="CL14" s="18">
        <f>'Total Sunday-Holiday Boardings'!CL14/SUM('Service Days per Month'!CL$6:CL$7)</f>
        <v>287.75</v>
      </c>
      <c r="CM14" s="18">
        <f>'Total Sunday-Holiday Boardings'!CM14/SUM('Service Days per Month'!CM$6:CM$7)</f>
        <v>238.5</v>
      </c>
      <c r="CN14" s="21">
        <f>'Total Sunday-Holiday Boardings'!CN14/SUM('Service Days per Month'!CN$6:CN$7)</f>
        <v>279.5</v>
      </c>
      <c r="CO14" s="17">
        <f>'Total Sunday-Holiday Boardings'!CO14/SUM('Service Days per Month'!CO$6:CO$7)</f>
        <v>475.66666666666669</v>
      </c>
      <c r="CP14" s="18">
        <f>'Total Sunday-Holiday Boardings'!CP14/SUM('Service Days per Month'!CP$6:CP$7)</f>
        <v>264</v>
      </c>
      <c r="CQ14" s="18">
        <f>'Total Sunday-Holiday Boardings'!CQ14/SUM('Service Days per Month'!CQ$6:CQ$7)</f>
        <v>249</v>
      </c>
      <c r="CR14" s="18">
        <f>'Total Sunday-Holiday Boardings'!CR14/SUM('Service Days per Month'!CR$6:CR$7)</f>
        <v>250.6</v>
      </c>
      <c r="CS14" s="18">
        <f>'Total Sunday-Holiday Boardings'!CS14/SUM('Service Days per Month'!CS$6:CS$7)</f>
        <v>382.28571428571428</v>
      </c>
      <c r="CT14" s="18">
        <f>'Total Sunday-Holiday Boardings'!CT14/SUM('Service Days per Month'!CT$6:CT$7)</f>
        <v>338.16666666666669</v>
      </c>
      <c r="CU14" s="18">
        <f>'Total Sunday-Holiday Boardings'!CU14/SUM('Service Days per Month'!CU$6:CU$7)</f>
        <v>288.57142857142856</v>
      </c>
      <c r="CV14" s="18">
        <f>'Total Sunday-Holiday Boardings'!CV14/SUM('Service Days per Month'!CV$6:CV$7)</f>
        <v>292.39999999999998</v>
      </c>
      <c r="CW14" s="18">
        <f>'Total Sunday-Holiday Boardings'!CW14/SUM('Service Days per Month'!CW$6:CW$7)</f>
        <v>271.25</v>
      </c>
      <c r="CX14" s="18">
        <f>'Total Sunday-Holiday Boardings'!CX14/SUM('Service Days per Month'!CX$6:CX$7)</f>
        <v>354.6</v>
      </c>
      <c r="CY14" s="18">
        <f>'Total Sunday-Holiday Boardings'!CY14/SUM('Service Days per Month'!CY$6:CY$7)</f>
        <v>253</v>
      </c>
      <c r="CZ14" s="19">
        <f>'Total Sunday-Holiday Boardings'!CZ14/SUM('Service Days per Month'!CZ$6:CZ$7)</f>
        <v>240.25</v>
      </c>
      <c r="DA14" s="17">
        <f>'Total Sunday-Holiday Boardings'!DA14/SUM('Service Days per Month'!DA$6:DA$7)</f>
        <v>388.66666666666669</v>
      </c>
      <c r="DB14" s="18">
        <f>'Total Sunday-Holiday Boardings'!DB14/SUM('Service Days per Month'!DB$6:DB$7)</f>
        <v>236.75</v>
      </c>
      <c r="DC14" s="18">
        <f>'Total Sunday-Holiday Boardings'!DC14/SUM('Service Days per Month'!DC$6:DC$7)</f>
        <v>246.4</v>
      </c>
      <c r="DD14" s="18">
        <f>'Total Sunday-Holiday Boardings'!DD14/SUM('Service Days per Month'!DD$6:DD$7)</f>
        <v>354</v>
      </c>
      <c r="DE14" s="18">
        <f>'Total Sunday-Holiday Boardings'!DE14/SUM('Service Days per Month'!DE$6:DE$7)</f>
        <v>284</v>
      </c>
      <c r="DF14" s="18">
        <f>'Total Sunday-Holiday Boardings'!DF14/SUM('Service Days per Month'!DF$6:DF$7)</f>
        <v>229.16666666666666</v>
      </c>
      <c r="DG14" s="18">
        <f>'Total Sunday-Holiday Boardings'!DG14/SUM('Service Days per Month'!DG$6:DG$7)</f>
        <v>239.83333333333334</v>
      </c>
      <c r="DH14" s="18">
        <f>'Total Sunday-Holiday Boardings'!DH14/SUM('Service Days per Month'!DH$6:DH$7)</f>
        <v>251</v>
      </c>
      <c r="DI14" s="18">
        <f>'Total Sunday-Holiday Boardings'!DI14/SUM('Service Days per Month'!DI$6:DI$7)</f>
        <v>245.25</v>
      </c>
      <c r="DJ14" s="18">
        <f>'Total Sunday-Holiday Boardings'!DJ14/SUM('Service Days per Month'!DJ$6:DJ$7)</f>
        <v>236.8</v>
      </c>
      <c r="DK14" s="18">
        <f>'Total Sunday-Holiday Boardings'!DK14/SUM('Service Days per Month'!DK$6:DK$7)</f>
        <v>226.6</v>
      </c>
      <c r="DL14" s="19">
        <f>'Total Sunday-Holiday Boardings'!DL14/SUM('Service Days per Month'!DL$6:DL$7)</f>
        <v>224.25</v>
      </c>
      <c r="DM14" s="17">
        <f>'Total Sunday-Holiday Boardings'!DM14/('Service Days per Month'!DM$6+'Service Days per Month'!DM$7)</f>
        <v>317.83333333333331</v>
      </c>
      <c r="DN14" s="18">
        <f>'Total Sunday-Holiday Boardings'!DN14/('Service Days per Month'!DN$6+'Service Days per Month'!DN$7)</f>
        <v>222</v>
      </c>
      <c r="DO14" s="18">
        <f>'Total Sunday-Holiday Boardings'!DO14/('Service Days per Month'!DO$6+'Service Days per Month'!DO$7)</f>
        <v>232.83333333333334</v>
      </c>
      <c r="DP14" s="18">
        <f>'Total Sunday-Holiday Boardings'!DP14/('Service Days per Month'!DP$6+'Service Days per Month'!DP$7)</f>
        <v>246.75</v>
      </c>
      <c r="DQ14" s="18">
        <f>'Total Sunday-Holiday Boardings'!DQ14/('Service Days per Month'!DQ$6+'Service Days per Month'!DQ$7)</f>
        <v>233.4</v>
      </c>
      <c r="DR14" s="18">
        <f>'Total Sunday-Holiday Boardings'!DR14/('Service Days per Month'!DR$6+'Service Days per Month'!DR$7)</f>
        <v>204.66666666666666</v>
      </c>
      <c r="DS14" s="18">
        <f>'Total Sunday-Holiday Boardings'!DS14/('Service Days per Month'!DS$6+'Service Days per Month'!DS$7)</f>
        <v>211</v>
      </c>
      <c r="DT14" s="18">
        <f>'Total Sunday-Holiday Boardings'!DT14/('Service Days per Month'!DT$6+'Service Days per Month'!DT$7)</f>
        <v>198.5</v>
      </c>
      <c r="DU14" s="18">
        <f>'Total Sunday-Holiday Boardings'!DU14/('Service Days per Month'!DU$6+'Service Days per Month'!DU$7)</f>
        <v>262.2</v>
      </c>
      <c r="DV14" s="18">
        <f>'Total Sunday-Holiday Boardings'!DV14/('Service Days per Month'!DV$6+'Service Days per Month'!DV$7)</f>
        <v>223</v>
      </c>
      <c r="DW14" s="18">
        <f>'Total Sunday-Holiday Boardings'!DW14/('Service Days per Month'!DW$6+'Service Days per Month'!DW$7)</f>
        <v>200.8</v>
      </c>
      <c r="DX14" s="18">
        <f>'Total Sunday-Holiday Boardings'!DX14/('Service Days per Month'!DX$6+'Service Days per Month'!DX$7)</f>
        <v>218.8</v>
      </c>
      <c r="DY14" s="17">
        <f>'Total Sunday-Holiday Boardings'!DY14/('Service Days per Month'!DY$6+'Service Days per Month'!DY$7)</f>
        <v>337</v>
      </c>
      <c r="DZ14" s="18">
        <f>'Total Sunday-Holiday Boardings'!DZ14/('Service Days per Month'!DZ$6+'Service Days per Month'!DZ$7)</f>
        <v>209</v>
      </c>
      <c r="EA14" s="18">
        <f>'Total Sunday-Holiday Boardings'!EA14/('Service Days per Month'!EA$6+'Service Days per Month'!EA$7)</f>
        <v>220.83333333333334</v>
      </c>
      <c r="EB14" s="18">
        <f>'Total Sunday-Holiday Boardings'!EB14/('Service Days per Month'!EB$6+'Service Days per Month'!EB$7)</f>
        <v>229.5</v>
      </c>
      <c r="EC14" s="18">
        <f>'Total Sunday-Holiday Boardings'!EC14/('Service Days per Month'!EC$6+'Service Days per Month'!EC$7)</f>
        <v>233.6</v>
      </c>
      <c r="ED14" s="18">
        <f>'Total Sunday-Holiday Boardings'!ED14/('Service Days per Month'!ED$6+'Service Days per Month'!ED$7)</f>
        <v>201.83333333333334</v>
      </c>
      <c r="EE14" s="18">
        <f>'Total Sunday-Holiday Boardings'!EE14/('Service Days per Month'!EE$6+'Service Days per Month'!EE$7)</f>
        <v>248.5</v>
      </c>
      <c r="EF14" s="18">
        <f>'Total Sunday-Holiday Boardings'!EF14/('Service Days per Month'!EF$6+'Service Days per Month'!EF$7)</f>
        <v>247.25</v>
      </c>
      <c r="EG14" s="18">
        <f>'Total Sunday-Holiday Boardings'!EG14/('Service Days per Month'!EG$6+'Service Days per Month'!EG$7)</f>
        <v>172.8</v>
      </c>
      <c r="EH14" s="18">
        <f>'Total Sunday-Holiday Boardings'!EH14/('Service Days per Month'!EH$6+'Service Days per Month'!EH$7)</f>
        <v>112.75</v>
      </c>
      <c r="EI14" s="18">
        <f>'Total Sunday-Holiday Boardings'!EI14/('Service Days per Month'!EI$6+'Service Days per Month'!EI$7)</f>
        <v>115.66666666666667</v>
      </c>
      <c r="EJ14" s="18">
        <f>'Total Sunday-Holiday Boardings'!EJ14/('Service Days per Month'!EJ$6+'Service Days per Month'!EJ$7)</f>
        <v>109.5</v>
      </c>
      <c r="EK14" s="17">
        <f>'Total Sunday-Holiday Boardings'!EK14/('Service Days per Month'!EK$6+'Service Days per Month'!EK$7)</f>
        <v>97.4</v>
      </c>
      <c r="EL14" s="18">
        <f>'Total Sunday-Holiday Boardings'!EL14/('Service Days per Month'!EL$6+'Service Days per Month'!EL$7)</f>
        <v>122</v>
      </c>
      <c r="EM14" s="18">
        <f>'Total Sunday-Holiday Boardings'!EM14/('Service Days per Month'!EM$6+'Service Days per Month'!EM$7)</f>
        <v>139.80000000000001</v>
      </c>
      <c r="EN14" s="18">
        <f>'Total Sunday-Holiday Boardings'!EN14/('Service Days per Month'!EN$6+'Service Days per Month'!EN$7)</f>
        <v>125.75</v>
      </c>
      <c r="EO14" s="18">
        <f>'Total Sunday-Holiday Boardings'!EO14/('Service Days per Month'!EO$6+'Service Days per Month'!EO$7)</f>
        <v>88</v>
      </c>
      <c r="EP14" s="18">
        <f>'Total Sunday-Holiday Boardings'!EP14/('Service Days per Month'!EP$6+'Service Days per Month'!EP$7)</f>
        <v>89.8</v>
      </c>
      <c r="EQ14" s="18">
        <f>'Total Sunday-Holiday Boardings'!EQ14/('Service Days per Month'!EQ$6+'Service Days per Month'!EQ$7)</f>
        <v>57.8</v>
      </c>
      <c r="ER14" s="18">
        <f>'Total Sunday-Holiday Boardings'!ER14/('Service Days per Month'!ER$6+'Service Days per Month'!ER$7)</f>
        <v>135.75</v>
      </c>
      <c r="ES14" s="18">
        <f>'Total Sunday-Holiday Boardings'!ES14/('Service Days per Month'!ES$6+'Service Days per Month'!ES$7)</f>
        <v>119.25</v>
      </c>
      <c r="ET14" s="18">
        <f>'Total Sunday-Holiday Boardings'!ET14/('Service Days per Month'!ET$6+'Service Days per Month'!ET$7)</f>
        <v>116.75</v>
      </c>
      <c r="EU14" s="18">
        <f>'Total Sunday-Holiday Boardings'!EU14/('Service Days per Month'!EU$6+'Service Days per Month'!EU$7)</f>
        <v>105.16666666666667</v>
      </c>
      <c r="EV14" s="18">
        <f>'Total Sunday-Holiday Boardings'!EV14/('Service Days per Month'!EV$6+'Service Days per Month'!EV$7)</f>
        <v>127.25</v>
      </c>
      <c r="EW14" s="17">
        <f>'Total Sunday-Holiday Boardings'!EW14/('Service Days per Month'!EW$6+'Service Days per Month'!EW$7)</f>
        <v>136.19999999999999</v>
      </c>
      <c r="EX14" s="18">
        <f>'Total Sunday-Holiday Boardings'!EX14/('Service Days per Month'!EX$6+'Service Days per Month'!EX$7)</f>
        <v>281</v>
      </c>
      <c r="EY14" s="18">
        <f>'Total Sunday-Holiday Boardings'!EY14/('Service Days per Month'!EY$6+'Service Days per Month'!EY$7)</f>
        <v>109.8</v>
      </c>
      <c r="EZ14" s="18">
        <f>'Total Sunday-Holiday Boardings'!EZ14/('Service Days per Month'!EZ$6+'Service Days per Month'!EZ$7)</f>
        <v>122</v>
      </c>
      <c r="FA14" s="18">
        <f>'Total Sunday-Holiday Boardings'!FA14/('Service Days per Month'!FA$6+'Service Days per Month'!FA$7)</f>
        <v>125.4</v>
      </c>
      <c r="FB14" s="18">
        <f>'Total Sunday-Holiday Boardings'!FB14/('Service Days per Month'!FB$6+'Service Days per Month'!FB$7)</f>
        <v>146.80000000000001</v>
      </c>
      <c r="FC14" s="18">
        <f>'Total Sunday-Holiday Boardings'!FC14/('Service Days per Month'!FC$6+'Service Days per Month'!FC$7)</f>
        <v>107.6</v>
      </c>
      <c r="FD14" s="18">
        <f>'Total Sunday-Holiday Boardings'!FD14/('Service Days per Month'!FD$6+'Service Days per Month'!FD$7)</f>
        <v>125.5</v>
      </c>
      <c r="FE14" s="18">
        <f>'Total Sunday-Holiday Boardings'!FE14/('Service Days per Month'!FE$6+'Service Days per Month'!FE$7)</f>
        <v>155.25</v>
      </c>
      <c r="FF14" s="18">
        <f>'Total Sunday-Holiday Boardings'!FF14/('Service Days per Month'!FF$6+'Service Days per Month'!FF$7)</f>
        <v>139.75</v>
      </c>
      <c r="FG14" s="18">
        <f>'Total Sunday-Holiday Boardings'!FG14/('Service Days per Month'!FG$6+'Service Days per Month'!FG$7)</f>
        <v>152.5</v>
      </c>
      <c r="FH14" s="18">
        <f>'Total Sunday-Holiday Boardings'!FH14/('Service Days per Month'!FH$6+'Service Days per Month'!FH$7)</f>
        <v>107.75</v>
      </c>
      <c r="FI14" s="17">
        <v>113.33333333333333</v>
      </c>
      <c r="FJ14" s="18">
        <v>97.5</v>
      </c>
      <c r="FK14" s="18">
        <v>115.8</v>
      </c>
      <c r="FL14" s="18">
        <v>109.2</v>
      </c>
      <c r="FM14" s="18">
        <v>92.4</v>
      </c>
      <c r="FN14" s="18">
        <v>113.6</v>
      </c>
      <c r="FO14" s="18">
        <v>168.8</v>
      </c>
      <c r="FP14" s="18">
        <v>149</v>
      </c>
      <c r="FQ14" s="18">
        <v>142</v>
      </c>
      <c r="FR14" s="18">
        <f>'Total Sunday-Holiday Boardings'!FR14/5</f>
        <v>132.4</v>
      </c>
      <c r="FS14" s="18">
        <f>'Total Sunday-Holiday Boardings'!FS14/5</f>
        <v>158.19999999999999</v>
      </c>
      <c r="FT14" s="21">
        <f>'Total Sunday-Holiday Boardings'!FT14/4</f>
        <v>139.25</v>
      </c>
      <c r="FU14" s="18">
        <f>'Total Sunday-Holiday Boardings'!FU14/5</f>
        <v>262.2</v>
      </c>
      <c r="FV14" s="18">
        <f>'Total Sunday-Holiday Boardings'!FV14/4</f>
        <v>203.5</v>
      </c>
      <c r="FW14" s="18">
        <f>'Total Sunday-Holiday Boardings'!FW14/4</f>
        <v>165.25</v>
      </c>
      <c r="FX14" s="18">
        <f>'Total Sunday-Holiday Boardings'!FX14/5</f>
        <v>121</v>
      </c>
      <c r="FY14" s="18">
        <f>'Total Sunday-Holiday Boardings'!FY14/4</f>
        <v>150.75</v>
      </c>
      <c r="FZ14" s="18">
        <f>'Total Sunday-Holiday Boardings'!FZ14/5</f>
        <v>145.4</v>
      </c>
      <c r="GA14" s="18">
        <f>'Total Sunday-Holiday Boardings'!GA14/4</f>
        <v>312.5</v>
      </c>
      <c r="GB14" s="18">
        <f>'Total Sunday-Holiday Boardings'!GB14/4</f>
        <v>183.75</v>
      </c>
      <c r="GC14" s="18">
        <f>'Total Sunday-Holiday Boardings'!GC14/5</f>
        <v>146.4</v>
      </c>
      <c r="GD14" s="18">
        <f>'Total Sunday-Holiday Boardings'!GD14/4</f>
        <v>172.25</v>
      </c>
      <c r="GE14" s="18">
        <f>'Total Sunday-Holiday Boardings'!GE14/4</f>
        <v>174.75</v>
      </c>
      <c r="GF14" s="18">
        <f>'Total Sunday-Holiday Boardings'!GF14/5</f>
        <v>135.80000000000001</v>
      </c>
      <c r="GG14" s="18">
        <f>'Total Sunday-Holiday Boardings'!GG14/4</f>
        <v>233.25</v>
      </c>
      <c r="GH14" s="18">
        <f>'Total Sunday-Holiday Boardings'!GH14/4</f>
        <v>147.25</v>
      </c>
      <c r="GI14" s="18">
        <f>'Total Sunday-Holiday Boardings'!GI14/5</f>
        <v>172.4</v>
      </c>
      <c r="GJ14" s="18">
        <f>'Total Sunday-Holiday Boardings'!GJ14/4</f>
        <v>160.5</v>
      </c>
      <c r="GK14" s="18">
        <f>'Total Sunday-Holiday Boardings'!GK14/4</f>
        <v>189.25</v>
      </c>
      <c r="GL14" s="18">
        <f>'Total Sunday-Holiday Boardings'!GL14/5</f>
        <v>184.2</v>
      </c>
    </row>
    <row r="15" spans="1:194" x14ac:dyDescent="0.3">
      <c r="A15" s="3" t="s">
        <v>8</v>
      </c>
      <c r="B15" s="17"/>
      <c r="C15" s="18">
        <f>'Total Sunday-Holiday Boardings'!C15/SUM('Service Days per Month'!C$6:C$7)</f>
        <v>698.4</v>
      </c>
      <c r="D15" s="18">
        <f>'Total Sunday-Holiday Boardings'!D15/SUM('Service Days per Month'!D$6:D$7)</f>
        <v>686.25</v>
      </c>
      <c r="E15" s="18">
        <f>'Total Sunday-Holiday Boardings'!E15/SUM('Service Days per Month'!E$6:E$7)</f>
        <v>601.4</v>
      </c>
      <c r="F15" s="18">
        <f>'Total Sunday-Holiday Boardings'!F15/SUM('Service Days per Month'!F$6:F$7)</f>
        <v>648.4</v>
      </c>
      <c r="G15" s="18">
        <f>'Total Sunday-Holiday Boardings'!G15/SUM('Service Days per Month'!G$6:G$7)</f>
        <v>555.83333333333337</v>
      </c>
      <c r="H15" s="19">
        <f>'Total Sunday-Holiday Boardings'!H15/SUM('Service Days per Month'!H$6:H$7)</f>
        <v>494</v>
      </c>
      <c r="I15" s="17">
        <f>'Total Sunday-Holiday Boardings'!I15/SUM('Service Days per Month'!I$6:I$7)</f>
        <v>876.4</v>
      </c>
      <c r="J15" s="18">
        <f>'Total Sunday-Holiday Boardings'!J15/SUM('Service Days per Month'!J$6:J$7)</f>
        <v>534.20000000000005</v>
      </c>
      <c r="K15" s="18">
        <f>'Total Sunday-Holiday Boardings'!K15/SUM('Service Days per Month'!K$6:K$7)</f>
        <v>543.79999999999995</v>
      </c>
      <c r="L15" s="18">
        <f>'Total Sunday-Holiday Boardings'!L15/SUM('Service Days per Month'!L$6:L$7)</f>
        <v>591.25</v>
      </c>
      <c r="M15" s="18">
        <f>'Total Sunday-Holiday Boardings'!M15/SUM('Service Days per Month'!M$6:M$7)</f>
        <v>946.16666666666663</v>
      </c>
      <c r="N15" s="18">
        <f>'Total Sunday-Holiday Boardings'!N15/SUM('Service Days per Month'!N$6:N$7)</f>
        <v>515.4</v>
      </c>
      <c r="O15" s="79">
        <f>'Total Sunday-Holiday Boardings'!O15/SUM('Service Days per Month'!O$6:O$7)</f>
        <v>655.33333333333337</v>
      </c>
      <c r="P15" s="79">
        <f>'Total Sunday-Holiday Boardings'!P15/SUM('Service Days per Month'!P$6:P$7)</f>
        <v>833.75</v>
      </c>
      <c r="Q15" s="79">
        <f>'Total Sunday-Holiday Boardings'!Q15/SUM('Service Days per Month'!Q$6:Q$7)</f>
        <v>733.75</v>
      </c>
      <c r="R15" s="79">
        <f>'Total Sunday-Holiday Boardings'!R15/SUM('Service Days per Month'!R$6:R$7)</f>
        <v>810</v>
      </c>
      <c r="S15" s="79">
        <f>'Total Sunday-Holiday Boardings'!S15/SUM('Service Days per Month'!S$6:S$7)</f>
        <v>708.5</v>
      </c>
      <c r="T15" s="80">
        <f>'Total Sunday-Holiday Boardings'!T15/SUM('Service Days per Month'!T$6:T$7)</f>
        <v>652</v>
      </c>
      <c r="U15" s="81">
        <f>'Total Sunday-Holiday Boardings'!U15/SUM('Service Days per Month'!U$6:U$7)</f>
        <v>802.2</v>
      </c>
      <c r="V15" s="79">
        <f>'Total Sunday-Holiday Boardings'!V15/SUM('Service Days per Month'!V$6:V$7)</f>
        <v>554.20000000000005</v>
      </c>
      <c r="W15" s="79">
        <f>'Total Sunday-Holiday Boardings'!W15/SUM('Service Days per Month'!W$6:W$7)</f>
        <v>595.20000000000005</v>
      </c>
      <c r="X15" s="79">
        <f>'Total Sunday-Holiday Boardings'!X15/SUM('Service Days per Month'!X$6:X$7)</f>
        <v>630.79999999999995</v>
      </c>
      <c r="Y15" s="79">
        <f>'Total Sunday-Holiday Boardings'!Y15/SUM('Service Days per Month'!Y$6:Y$7)</f>
        <v>771.71428571428567</v>
      </c>
      <c r="Z15" s="79">
        <f>'Total Sunday-Holiday Boardings'!Z15/SUM('Service Days per Month'!Z$6:Z$7)</f>
        <v>403.57142857142856</v>
      </c>
      <c r="AA15" s="18">
        <f>'Total Sunday-Holiday Boardings'!AA15/SUM('Service Days per Month'!AA$6:AA$7)</f>
        <v>577.66666666666663</v>
      </c>
      <c r="AB15" s="18">
        <f>'Total Sunday-Holiday Boardings'!AB15/SUM('Service Days per Month'!AB$6:AB$7)</f>
        <v>701.4</v>
      </c>
      <c r="AC15" s="18">
        <f>'Total Sunday-Holiday Boardings'!AC15/SUM('Service Days per Month'!AC$6:AC$7)</f>
        <v>671.25</v>
      </c>
      <c r="AD15" s="18">
        <f>'Total Sunday-Holiday Boardings'!AD15/SUM('Service Days per Month'!AD$6:AD$7)</f>
        <v>797.25</v>
      </c>
      <c r="AE15" s="18">
        <f>'Total Sunday-Holiday Boardings'!AE15/SUM('Service Days per Month'!AE$6:AE$7)</f>
        <v>624.16666666666663</v>
      </c>
      <c r="AF15" s="19">
        <f>'Total Sunday-Holiday Boardings'!AF15/SUM('Service Days per Month'!AF$6:AF$7)</f>
        <v>578</v>
      </c>
      <c r="AG15" s="17">
        <f>'Total Sunday-Holiday Boardings'!AG15/SUM('Service Days per Month'!AG$6:AG$7)</f>
        <v>943.33333333333337</v>
      </c>
      <c r="AH15" s="18">
        <f>'Total Sunday-Holiday Boardings'!AH15/SUM('Service Days per Month'!AH$6:AH$7)</f>
        <v>604.25</v>
      </c>
      <c r="AI15" s="18">
        <f>'Total Sunday-Holiday Boardings'!AI15/SUM('Service Days per Month'!AI$6:AI$7)</f>
        <v>619.4</v>
      </c>
      <c r="AJ15" s="18">
        <f>'Total Sunday-Holiday Boardings'!AJ15/SUM('Service Days per Month'!AJ$6:AJ$7)</f>
        <v>676</v>
      </c>
      <c r="AK15" s="18">
        <f>'Total Sunday-Holiday Boardings'!AK15/SUM('Service Days per Month'!AK$6:AK$7)</f>
        <v>728.57142857142856</v>
      </c>
      <c r="AL15" s="18">
        <f>'Total Sunday-Holiday Boardings'!AL15/SUM('Service Days per Month'!AL$6:AL$7)</f>
        <v>534.5</v>
      </c>
      <c r="AM15" s="18">
        <f>'Total Sunday-Holiday Boardings'!AM15/SUM('Service Days per Month'!AM$6:AM$7)</f>
        <v>699.85714285714289</v>
      </c>
      <c r="AN15" s="18">
        <f>'Total Sunday-Holiday Boardings'!AN15/SUM('Service Days per Month'!AN$6:AN$7)</f>
        <v>732.2</v>
      </c>
      <c r="AO15" s="18">
        <f>'Total Sunday-Holiday Boardings'!AO15/SUM('Service Days per Month'!AO$6:AO$7)</f>
        <v>771</v>
      </c>
      <c r="AP15" s="18">
        <f>'Total Sunday-Holiday Boardings'!AP15/SUM('Service Days per Month'!AP$6:AP$7)</f>
        <v>817.4</v>
      </c>
      <c r="AQ15" s="18">
        <f>'Total Sunday-Holiday Boardings'!AQ15/SUM('Service Days per Month'!AQ$6:AQ$7)</f>
        <v>710.8</v>
      </c>
      <c r="AR15" s="19">
        <f>'Total Sunday-Holiday Boardings'!AR15/SUM('Service Days per Month'!AR$6:AR$7)</f>
        <v>691</v>
      </c>
      <c r="AS15" s="17">
        <f>'Total Sunday-Holiday Boardings'!AS15/SUM('Service Days per Month'!AS$6:AS$7)</f>
        <v>1095.5</v>
      </c>
      <c r="AT15" s="18">
        <f>'Total Sunday-Holiday Boardings'!AT15/SUM('Service Days per Month'!AT$6:AT$7)</f>
        <v>686.5</v>
      </c>
      <c r="AU15" s="18">
        <f>'Total Sunday-Holiday Boardings'!AU15/SUM('Service Days per Month'!AU$6:AU$7)</f>
        <v>732.5</v>
      </c>
      <c r="AV15" s="18">
        <f>'Total Sunday-Holiday Boardings'!AV15/SUM('Service Days per Month'!AV$6:AV$7)</f>
        <v>809</v>
      </c>
      <c r="AW15" s="18">
        <f>'Total Sunday-Holiday Boardings'!AW15/SUM('Service Days per Month'!AW$6:AW$7)</f>
        <v>717</v>
      </c>
      <c r="AX15" s="18">
        <f>'Total Sunday-Holiday Boardings'!AX15/SUM('Service Days per Month'!AX$6:AX$7)</f>
        <v>632.85714285714289</v>
      </c>
      <c r="AY15" s="18">
        <f>'Total Sunday-Holiday Boardings'!AY15/SUM('Service Days per Month'!AY$6:AY$7)</f>
        <v>752.33333333333337</v>
      </c>
      <c r="AZ15" s="18">
        <f>'Total Sunday-Holiday Boardings'!AZ15/SUM('Service Days per Month'!AZ$6:AZ$7)</f>
        <v>865.6</v>
      </c>
      <c r="BA15" s="18">
        <f>'Total Sunday-Holiday Boardings'!BA15/SUM('Service Days per Month'!BA$6:BA$7)</f>
        <v>851.2</v>
      </c>
      <c r="BB15" s="18">
        <f>'Total Sunday-Holiday Boardings'!BB15/SUM('Service Days per Month'!BB$6:BB$7)</f>
        <v>933.75</v>
      </c>
      <c r="BC15" s="18">
        <f>'Total Sunday-Holiday Boardings'!BC15/SUM('Service Days per Month'!BC$6:BC$7)</f>
        <v>814.6</v>
      </c>
      <c r="BD15" s="19">
        <f>'Total Sunday-Holiday Boardings'!BD15/SUM('Service Days per Month'!BD$6:BD$7)</f>
        <v>711.4</v>
      </c>
      <c r="BE15" s="17">
        <f>'Total Sunday-Holiday Boardings'!BE15/SUM('Service Days per Month'!BE$6:BE$7)</f>
        <v>1091.5999999999999</v>
      </c>
      <c r="BF15" s="18">
        <f>'Total Sunday-Holiday Boardings'!BF15/SUM('Service Days per Month'!BF$6:BF$7)</f>
        <v>693.75</v>
      </c>
      <c r="BG15" s="18">
        <f>'Total Sunday-Holiday Boardings'!BG15/SUM('Service Days per Month'!BG$6:BG$7)</f>
        <v>729.66666666666663</v>
      </c>
      <c r="BH15" s="18">
        <f>'Total Sunday-Holiday Boardings'!BH15/SUM('Service Days per Month'!BH$6:BH$7)</f>
        <v>789.25</v>
      </c>
      <c r="BI15" s="18">
        <f>'Total Sunday-Holiday Boardings'!BI15/SUM('Service Days per Month'!BI$6:BI$7)</f>
        <v>707.49091283176745</v>
      </c>
      <c r="BJ15" s="18">
        <f>'Total Sunday-Holiday Boardings'!BJ15/SUM('Service Days per Month'!BJ$6:BJ$7)</f>
        <v>774.71428571428567</v>
      </c>
      <c r="BK15" s="18">
        <f>'Total Sunday-Holiday Boardings'!BK15/SUM('Service Days per Month'!BK$6:BK$7)</f>
        <v>821</v>
      </c>
      <c r="BL15" s="18">
        <f>'Total Sunday-Holiday Boardings'!BL15/SUM('Service Days per Month'!BL$6:BL$7)</f>
        <v>936.4</v>
      </c>
      <c r="BM15" s="18">
        <f>'Total Sunday-Holiday Boardings'!BM15/SUM('Service Days per Month'!BM$6:BM$7)</f>
        <v>894.2</v>
      </c>
      <c r="BN15" s="18">
        <f>'Total Sunday-Holiday Boardings'!BN15/SUM('Service Days per Month'!BN$6:BN$7)</f>
        <v>920.25</v>
      </c>
      <c r="BO15" s="18">
        <f>'Total Sunday-Holiday Boardings'!BO15/SUM('Service Days per Month'!BO$6:BO$7)</f>
        <v>755.8</v>
      </c>
      <c r="BP15" s="19">
        <f>'Total Sunday-Holiday Boardings'!BP15/SUM('Service Days per Month'!BP$6:BP$7)</f>
        <v>704.6</v>
      </c>
      <c r="BQ15" s="17">
        <f>'Total Sunday-Holiday Boardings'!BQ15/SUM('Service Days per Month'!BQ$6:BQ$7)</f>
        <v>1155.2</v>
      </c>
      <c r="BR15" s="18">
        <f>'Total Sunday-Holiday Boardings'!BR15/SUM('Service Days per Month'!BR$6:BR$7)</f>
        <v>775.8</v>
      </c>
      <c r="BS15" s="18">
        <f>'Total Sunday-Holiday Boardings'!BS15/SUM('Service Days per Month'!BS$6:BS$7)</f>
        <v>801.2</v>
      </c>
      <c r="BT15" s="18">
        <f>'Total Sunday-Holiday Boardings'!BT15/SUM('Service Days per Month'!BT$6:BT$7)</f>
        <v>830.25</v>
      </c>
      <c r="BU15" s="18">
        <f>'Total Sunday-Holiday Boardings'!BU15/SUM('Service Days per Month'!BU$6:BU$7)</f>
        <v>884.25</v>
      </c>
      <c r="BV15" s="18">
        <f>'Total Sunday-Holiday Boardings'!BV15/SUM('Service Days per Month'!BV$6:BV$7)</f>
        <v>825</v>
      </c>
      <c r="BW15" s="18">
        <f>'Total Sunday-Holiday Boardings'!BW15/SUM('Service Days per Month'!BW$6:BW$7)</f>
        <v>865.66666666666663</v>
      </c>
      <c r="BX15" s="18">
        <f>'Total Sunday-Holiday Boardings'!BX15/SUM('Service Days per Month'!BX$6:BX$7)</f>
        <v>986.8</v>
      </c>
      <c r="BY15" s="18">
        <f>'Total Sunday-Holiday Boardings'!BY15/SUM('Service Days per Month'!BY$6:BY$7)</f>
        <v>891.6</v>
      </c>
      <c r="BZ15" s="18">
        <f>'Total Sunday-Holiday Boardings'!BZ15/SUM('Service Days per Month'!BZ$6:BZ$7)</f>
        <v>1111.5</v>
      </c>
      <c r="CA15" s="18">
        <f>'Total Sunday-Holiday Boardings'!CA15/SUM('Service Days per Month'!CA$6:CA$7)</f>
        <v>806.66666666666663</v>
      </c>
      <c r="CB15" s="19">
        <f>'Total Sunday-Holiday Boardings'!CB15/SUM('Service Days per Month'!CB$6:CB$7)</f>
        <v>758.75</v>
      </c>
      <c r="CC15" s="20">
        <f>'Total Sunday-Holiday Boardings'!CC15/SUM('Service Days per Month'!CC$6:CC$7)</f>
        <v>820.4</v>
      </c>
      <c r="CD15" s="18">
        <f>'Total Sunday-Holiday Boardings'!CD15/SUM('Service Days per Month'!CD$6:CD$7)</f>
        <v>740.6</v>
      </c>
      <c r="CE15" s="18">
        <f>'Total Sunday-Holiday Boardings'!CE15/SUM('Service Days per Month'!CE$6:CE$7)</f>
        <v>842.2</v>
      </c>
      <c r="CF15" s="18">
        <f>'Total Sunday-Holiday Boardings'!CF15/SUM('Service Days per Month'!CF$6:CF$7)</f>
        <v>902.75</v>
      </c>
      <c r="CG15" s="18">
        <f>'Total Sunday-Holiday Boardings'!CG15/SUM('Service Days per Month'!CG$6:CG$7)</f>
        <v>912.625</v>
      </c>
      <c r="CH15" s="18">
        <f>'Total Sunday-Holiday Boardings'!CH15/SUM('Service Days per Month'!CH$6:CH$7)</f>
        <v>796</v>
      </c>
      <c r="CI15" s="18">
        <f>'Total Sunday-Holiday Boardings'!CI15/SUM('Service Days per Month'!CI$6:CI$7)</f>
        <v>864.42857142857144</v>
      </c>
      <c r="CJ15" s="18">
        <f>'Total Sunday-Holiday Boardings'!CJ15/SUM('Service Days per Month'!CJ$6:CJ$7)</f>
        <v>926.8</v>
      </c>
      <c r="CK15" s="18">
        <f>'Total Sunday-Holiday Boardings'!CK15/SUM('Service Days per Month'!CK$6:CK$7)</f>
        <v>903</v>
      </c>
      <c r="CL15" s="18">
        <f>'Total Sunday-Holiday Boardings'!CL15/SUM('Service Days per Month'!CL$6:CL$7)</f>
        <v>1248</v>
      </c>
      <c r="CM15" s="18">
        <f>'Total Sunday-Holiday Boardings'!CM15/SUM('Service Days per Month'!CM$6:CM$7)</f>
        <v>900</v>
      </c>
      <c r="CN15" s="21">
        <f>'Total Sunday-Holiday Boardings'!CN15/SUM('Service Days per Month'!CN$6:CN$7)</f>
        <v>875.25</v>
      </c>
      <c r="CO15" s="17">
        <f>'Total Sunday-Holiday Boardings'!CO15/SUM('Service Days per Month'!CO$6:CO$7)</f>
        <v>1137.3333333333333</v>
      </c>
      <c r="CP15" s="18">
        <f>'Total Sunday-Holiday Boardings'!CP15/SUM('Service Days per Month'!CP$6:CP$7)</f>
        <v>909</v>
      </c>
      <c r="CQ15" s="18">
        <f>'Total Sunday-Holiday Boardings'!CQ15/SUM('Service Days per Month'!CQ$6:CQ$7)</f>
        <v>894.2</v>
      </c>
      <c r="CR15" s="18">
        <f>'Total Sunday-Holiday Boardings'!CR15/SUM('Service Days per Month'!CR$6:CR$7)</f>
        <v>894.6</v>
      </c>
      <c r="CS15" s="18">
        <f>'Total Sunday-Holiday Boardings'!CS15/SUM('Service Days per Month'!CS$6:CS$7)</f>
        <v>1213.7142857142858</v>
      </c>
      <c r="CT15" s="18">
        <f>'Total Sunday-Holiday Boardings'!CT15/SUM('Service Days per Month'!CT$6:CT$7)</f>
        <v>1121.1666666666667</v>
      </c>
      <c r="CU15" s="18">
        <f>'Total Sunday-Holiday Boardings'!CU15/SUM('Service Days per Month'!CU$6:CU$7)</f>
        <v>903.71428571428567</v>
      </c>
      <c r="CV15" s="18">
        <f>'Total Sunday-Holiday Boardings'!CV15/SUM('Service Days per Month'!CV$6:CV$7)</f>
        <v>982</v>
      </c>
      <c r="CW15" s="18">
        <f>'Total Sunday-Holiday Boardings'!CW15/SUM('Service Days per Month'!CW$6:CW$7)</f>
        <v>974.75</v>
      </c>
      <c r="CX15" s="18">
        <f>'Total Sunday-Holiday Boardings'!CX15/SUM('Service Days per Month'!CX$6:CX$7)</f>
        <v>1299.4000000000001</v>
      </c>
      <c r="CY15" s="18">
        <f>'Total Sunday-Holiday Boardings'!CY15/SUM('Service Days per Month'!CY$6:CY$7)</f>
        <v>856.2</v>
      </c>
      <c r="CZ15" s="19">
        <f>'Total Sunday-Holiday Boardings'!CZ15/SUM('Service Days per Month'!CZ$6:CZ$7)</f>
        <v>732.5</v>
      </c>
      <c r="DA15" s="17">
        <f>'Total Sunday-Holiday Boardings'!DA15/SUM('Service Days per Month'!DA$6:DA$7)</f>
        <v>1053.1666666666667</v>
      </c>
      <c r="DB15" s="18">
        <f>'Total Sunday-Holiday Boardings'!DB15/SUM('Service Days per Month'!DB$6:DB$7)</f>
        <v>792.25</v>
      </c>
      <c r="DC15" s="18">
        <f>'Total Sunday-Holiday Boardings'!DC15/SUM('Service Days per Month'!DC$6:DC$7)</f>
        <v>796.4</v>
      </c>
      <c r="DD15" s="18">
        <f>'Total Sunday-Holiday Boardings'!DD15/SUM('Service Days per Month'!DD$6:DD$7)</f>
        <v>1579.6</v>
      </c>
      <c r="DE15" s="18">
        <f>'Total Sunday-Holiday Boardings'!DE15/SUM('Service Days per Month'!DE$6:DE$7)</f>
        <v>886</v>
      </c>
      <c r="DF15" s="18">
        <f>'Total Sunday-Holiday Boardings'!DF15/SUM('Service Days per Month'!DF$6:DF$7)</f>
        <v>745.16666666666663</v>
      </c>
      <c r="DG15" s="18">
        <f>'Total Sunday-Holiday Boardings'!DG15/SUM('Service Days per Month'!DG$6:DG$7)</f>
        <v>767</v>
      </c>
      <c r="DH15" s="18">
        <f>'Total Sunday-Holiday Boardings'!DH15/SUM('Service Days per Month'!DH$6:DH$7)</f>
        <v>804.4</v>
      </c>
      <c r="DI15" s="18">
        <f>'Total Sunday-Holiday Boardings'!DI15/SUM('Service Days per Month'!DI$6:DI$7)</f>
        <v>794.5</v>
      </c>
      <c r="DJ15" s="18">
        <f>'Total Sunday-Holiday Boardings'!DJ15/SUM('Service Days per Month'!DJ$6:DJ$7)</f>
        <v>1161.2</v>
      </c>
      <c r="DK15" s="18">
        <f>'Total Sunday-Holiday Boardings'!DK15/SUM('Service Days per Month'!DK$6:DK$7)</f>
        <v>765.8</v>
      </c>
      <c r="DL15" s="19">
        <f>'Total Sunday-Holiday Boardings'!DL15/SUM('Service Days per Month'!DL$6:DL$7)</f>
        <v>753.5</v>
      </c>
      <c r="DM15" s="17">
        <f>'Total Sunday-Holiday Boardings'!DM15/('Service Days per Month'!DM$6+'Service Days per Month'!DM$7)</f>
        <v>971.66666666666663</v>
      </c>
      <c r="DN15" s="18">
        <f>'Total Sunday-Holiday Boardings'!DN15/('Service Days per Month'!DN$6+'Service Days per Month'!DN$7)</f>
        <v>720</v>
      </c>
      <c r="DO15" s="18">
        <f>'Total Sunday-Holiday Boardings'!DO15/('Service Days per Month'!DO$6+'Service Days per Month'!DO$7)</f>
        <v>736.33333333333337</v>
      </c>
      <c r="DP15" s="18">
        <f>'Total Sunday-Holiday Boardings'!DP15/('Service Days per Month'!DP$6+'Service Days per Month'!DP$7)</f>
        <v>743</v>
      </c>
      <c r="DQ15" s="18">
        <f>'Total Sunday-Holiday Boardings'!DQ15/('Service Days per Month'!DQ$6+'Service Days per Month'!DQ$7)</f>
        <v>720.4</v>
      </c>
      <c r="DR15" s="18">
        <f>'Total Sunday-Holiday Boardings'!DR15/('Service Days per Month'!DR$6+'Service Days per Month'!DR$7)</f>
        <v>693.33333333333337</v>
      </c>
      <c r="DS15" s="18">
        <f>'Total Sunday-Holiday Boardings'!DS15/('Service Days per Month'!DS$6+'Service Days per Month'!DS$7)</f>
        <v>701</v>
      </c>
      <c r="DT15" s="18">
        <f>'Total Sunday-Holiday Boardings'!DT15/('Service Days per Month'!DT$6+'Service Days per Month'!DT$7)</f>
        <v>705.5</v>
      </c>
      <c r="DU15" s="18">
        <f>'Total Sunday-Holiday Boardings'!DU15/('Service Days per Month'!DU$6+'Service Days per Month'!DU$7)</f>
        <v>972</v>
      </c>
      <c r="DV15" s="18">
        <f>'Total Sunday-Holiday Boardings'!DV15/('Service Days per Month'!DV$6+'Service Days per Month'!DV$7)</f>
        <v>1188.75</v>
      </c>
      <c r="DW15" s="18">
        <f>'Total Sunday-Holiday Boardings'!DW15/('Service Days per Month'!DW$6+'Service Days per Month'!DW$7)</f>
        <v>720.4</v>
      </c>
      <c r="DX15" s="18">
        <f>'Total Sunday-Holiday Boardings'!DX15/('Service Days per Month'!DX$6+'Service Days per Month'!DX$7)</f>
        <v>669.4</v>
      </c>
      <c r="DY15" s="17">
        <f>'Total Sunday-Holiday Boardings'!DY15/('Service Days per Month'!DY$6+'Service Days per Month'!DY$7)</f>
        <v>971.2</v>
      </c>
      <c r="DZ15" s="18">
        <f>'Total Sunday-Holiday Boardings'!DZ15/('Service Days per Month'!DZ$6+'Service Days per Month'!DZ$7)</f>
        <v>648.25</v>
      </c>
      <c r="EA15" s="18">
        <f>'Total Sunday-Holiday Boardings'!EA15/('Service Days per Month'!EA$6+'Service Days per Month'!EA$7)</f>
        <v>666.66666666666663</v>
      </c>
      <c r="EB15" s="18">
        <f>'Total Sunday-Holiday Boardings'!EB15/('Service Days per Month'!EB$6+'Service Days per Month'!EB$7)</f>
        <v>753.75</v>
      </c>
      <c r="EC15" s="18">
        <f>'Total Sunday-Holiday Boardings'!EC15/('Service Days per Month'!EC$6+'Service Days per Month'!EC$7)</f>
        <v>702</v>
      </c>
      <c r="ED15" s="18">
        <f>'Total Sunday-Holiday Boardings'!ED15/('Service Days per Month'!ED$6+'Service Days per Month'!ED$7)</f>
        <v>604.33333333333337</v>
      </c>
      <c r="EE15" s="18">
        <f>'Total Sunday-Holiday Boardings'!EE15/('Service Days per Month'!EE$6+'Service Days per Month'!EE$7)</f>
        <v>809</v>
      </c>
      <c r="EF15" s="18">
        <f>'Total Sunday-Holiday Boardings'!EF15/('Service Days per Month'!EF$6+'Service Days per Month'!EF$7)</f>
        <v>943.5</v>
      </c>
      <c r="EG15" s="18">
        <f>'Total Sunday-Holiday Boardings'!EG15/('Service Days per Month'!EG$6+'Service Days per Month'!EG$7)</f>
        <v>622</v>
      </c>
      <c r="EH15" s="18">
        <f>'Total Sunday-Holiday Boardings'!EH15/('Service Days per Month'!EH$6+'Service Days per Month'!EH$7)</f>
        <v>406</v>
      </c>
      <c r="EI15" s="18">
        <f>'Total Sunday-Holiday Boardings'!EI15/('Service Days per Month'!EI$6+'Service Days per Month'!EI$7)</f>
        <v>392</v>
      </c>
      <c r="EJ15" s="18">
        <f>'Total Sunday-Holiday Boardings'!EJ15/('Service Days per Month'!EJ$6+'Service Days per Month'!EJ$7)</f>
        <v>383.5</v>
      </c>
      <c r="EK15" s="17">
        <f>'Total Sunday-Holiday Boardings'!EK15/('Service Days per Month'!EK$6+'Service Days per Month'!EK$7)</f>
        <v>321</v>
      </c>
      <c r="EL15" s="18">
        <f>'Total Sunday-Holiday Boardings'!EL15/('Service Days per Month'!EL$6+'Service Days per Month'!EL$7)</f>
        <v>343.4</v>
      </c>
      <c r="EM15" s="18">
        <f>'Total Sunday-Holiday Boardings'!EM15/('Service Days per Month'!EM$6+'Service Days per Month'!EM$7)</f>
        <v>387.2</v>
      </c>
      <c r="EN15" s="18">
        <f>'Total Sunday-Holiday Boardings'!EN15/('Service Days per Month'!EN$6+'Service Days per Month'!EN$7)</f>
        <v>356.75</v>
      </c>
      <c r="EO15" s="18">
        <f>'Total Sunday-Holiday Boardings'!EO15/('Service Days per Month'!EO$6+'Service Days per Month'!EO$7)</f>
        <v>250.83333333333334</v>
      </c>
      <c r="EP15" s="18">
        <f>'Total Sunday-Holiday Boardings'!EP15/('Service Days per Month'!EP$6+'Service Days per Month'!EP$7)</f>
        <v>239.4</v>
      </c>
      <c r="EQ15" s="18">
        <f>'Total Sunday-Holiday Boardings'!EQ15/('Service Days per Month'!EQ$6+'Service Days per Month'!EQ$7)</f>
        <v>154</v>
      </c>
      <c r="ER15" s="18">
        <f>'Total Sunday-Holiday Boardings'!ER15/('Service Days per Month'!ER$6+'Service Days per Month'!ER$7)</f>
        <v>350</v>
      </c>
      <c r="ES15" s="18">
        <f>'Total Sunday-Holiday Boardings'!ES15/('Service Days per Month'!ES$6+'Service Days per Month'!ES$7)</f>
        <v>328.5</v>
      </c>
      <c r="ET15" s="18">
        <f>'Total Sunday-Holiday Boardings'!ET15/('Service Days per Month'!ET$6+'Service Days per Month'!ET$7)</f>
        <v>335.75</v>
      </c>
      <c r="EU15" s="18">
        <f>'Total Sunday-Holiday Boardings'!EU15/('Service Days per Month'!EU$6+'Service Days per Month'!EU$7)</f>
        <v>285.5</v>
      </c>
      <c r="EV15" s="18">
        <f>'Total Sunday-Holiday Boardings'!EV15/('Service Days per Month'!EV$6+'Service Days per Month'!EV$7)</f>
        <v>337.75</v>
      </c>
      <c r="EW15" s="17">
        <f>'Total Sunday-Holiday Boardings'!EW15/('Service Days per Month'!EW$6+'Service Days per Month'!EW$7)</f>
        <v>368.6</v>
      </c>
      <c r="EX15" s="18">
        <f>'Total Sunday-Holiday Boardings'!EX15/('Service Days per Month'!EX$6+'Service Days per Month'!EX$7)</f>
        <v>441.4</v>
      </c>
      <c r="EY15" s="18">
        <f>'Total Sunday-Holiday Boardings'!EY15/('Service Days per Month'!EY$6+'Service Days per Month'!EY$7)</f>
        <v>335.6</v>
      </c>
      <c r="EZ15" s="18">
        <f>'Total Sunday-Holiday Boardings'!EZ15/('Service Days per Month'!EZ$6+'Service Days per Month'!EZ$7)</f>
        <v>332.6</v>
      </c>
      <c r="FA15" s="18">
        <f>'Total Sunday-Holiday Boardings'!FA15/('Service Days per Month'!FA$6+'Service Days per Month'!FA$7)</f>
        <v>423.4</v>
      </c>
      <c r="FB15" s="18">
        <f>'Total Sunday-Holiday Boardings'!FB15/('Service Days per Month'!FB$6+'Service Days per Month'!FB$7)</f>
        <v>450.6</v>
      </c>
      <c r="FC15" s="18">
        <f>'Total Sunday-Holiday Boardings'!FC15/('Service Days per Month'!FC$6+'Service Days per Month'!FC$7)</f>
        <v>347.6</v>
      </c>
      <c r="FD15" s="18">
        <f>'Total Sunday-Holiday Boardings'!FD15/('Service Days per Month'!FD$6+'Service Days per Month'!FD$7)</f>
        <v>400.75</v>
      </c>
      <c r="FE15" s="18">
        <f>'Total Sunday-Holiday Boardings'!FE15/('Service Days per Month'!FE$6+'Service Days per Month'!FE$7)</f>
        <v>471.5</v>
      </c>
      <c r="FF15" s="18">
        <f>'Total Sunday-Holiday Boardings'!FF15/('Service Days per Month'!FF$6+'Service Days per Month'!FF$7)</f>
        <v>445.5</v>
      </c>
      <c r="FG15" s="18">
        <f>'Total Sunday-Holiday Boardings'!FG15/('Service Days per Month'!FG$6+'Service Days per Month'!FG$7)</f>
        <v>429.5</v>
      </c>
      <c r="FH15" s="18">
        <f>'Total Sunday-Holiday Boardings'!FH15/('Service Days per Month'!FH$6+'Service Days per Month'!FH$7)</f>
        <v>378</v>
      </c>
      <c r="FI15" s="17">
        <v>375.83333333333331</v>
      </c>
      <c r="FJ15" s="18">
        <v>349</v>
      </c>
      <c r="FK15" s="18">
        <v>424</v>
      </c>
      <c r="FL15" s="18">
        <v>624.79999999999995</v>
      </c>
      <c r="FM15" s="18">
        <v>367.4</v>
      </c>
      <c r="FN15" s="18">
        <v>412.8</v>
      </c>
      <c r="FO15" s="18">
        <v>490.8</v>
      </c>
      <c r="FP15" s="18">
        <v>572.25</v>
      </c>
      <c r="FQ15" s="18">
        <v>502.5</v>
      </c>
      <c r="FR15" s="18">
        <f>'Total Sunday-Holiday Boardings'!FR15/5</f>
        <v>499.6</v>
      </c>
      <c r="FS15" s="18">
        <f>'Total Sunday-Holiday Boardings'!FS15/5</f>
        <v>517.4</v>
      </c>
      <c r="FT15" s="21">
        <f>'Total Sunday-Holiday Boardings'!FT15/4</f>
        <v>460</v>
      </c>
      <c r="FU15" s="18">
        <f>'Total Sunday-Holiday Boardings'!FU15/5</f>
        <v>827</v>
      </c>
      <c r="FV15" s="18">
        <f>'Total Sunday-Holiday Boardings'!FV15/4</f>
        <v>690.75</v>
      </c>
      <c r="FW15" s="18">
        <f>'Total Sunday-Holiday Boardings'!FW15/4</f>
        <v>584.75</v>
      </c>
      <c r="FX15" s="18">
        <f>'Total Sunday-Holiday Boardings'!FX15/5</f>
        <v>666.8</v>
      </c>
      <c r="FY15" s="18">
        <f>'Total Sunday-Holiday Boardings'!FY15/4</f>
        <v>562.25</v>
      </c>
      <c r="FZ15" s="18">
        <f>'Total Sunday-Holiday Boardings'!FZ15/5</f>
        <v>580</v>
      </c>
      <c r="GA15" s="18">
        <f>'Total Sunday-Holiday Boardings'!GA15/4</f>
        <v>720.75</v>
      </c>
      <c r="GB15" s="18">
        <f>'Total Sunday-Holiday Boardings'!GB15/4</f>
        <v>783.75</v>
      </c>
      <c r="GC15" s="18">
        <f>'Total Sunday-Holiday Boardings'!GC15/5</f>
        <v>529</v>
      </c>
      <c r="GD15" s="18">
        <f>'Total Sunday-Holiday Boardings'!GD15/4</f>
        <v>559.75</v>
      </c>
      <c r="GE15" s="18">
        <f>'Total Sunday-Holiday Boardings'!GE15/4</f>
        <v>650.5</v>
      </c>
      <c r="GF15" s="18">
        <f>'Total Sunday-Holiday Boardings'!GF15/5</f>
        <v>525.4</v>
      </c>
      <c r="GG15" s="18">
        <f>'Total Sunday-Holiday Boardings'!GG15/4</f>
        <v>940.5</v>
      </c>
      <c r="GH15" s="18">
        <f>'Total Sunday-Holiday Boardings'!GH15/4</f>
        <v>469.75</v>
      </c>
      <c r="GI15" s="18">
        <f>'Total Sunday-Holiday Boardings'!GI15/5</f>
        <v>592.4</v>
      </c>
      <c r="GJ15" s="18">
        <f>'Total Sunday-Holiday Boardings'!GJ15/4</f>
        <v>732.75</v>
      </c>
      <c r="GK15" s="18">
        <f>'Total Sunday-Holiday Boardings'!GK15/4</f>
        <v>562.25</v>
      </c>
      <c r="GL15" s="18">
        <f>'Total Sunday-Holiday Boardings'!GL15/5</f>
        <v>522.6</v>
      </c>
    </row>
    <row r="16" spans="1:194" x14ac:dyDescent="0.3">
      <c r="A16" s="3" t="s">
        <v>9</v>
      </c>
      <c r="B16" s="17"/>
      <c r="C16" s="18">
        <f>'Total Sunday-Holiday Boardings'!C16/SUM('Service Days per Month'!C$6:C$7)</f>
        <v>312.8</v>
      </c>
      <c r="D16" s="18">
        <f>'Total Sunday-Holiday Boardings'!D16/SUM('Service Days per Month'!D$6:D$7)</f>
        <v>450.5</v>
      </c>
      <c r="E16" s="18">
        <f>'Total Sunday-Holiday Boardings'!E16/SUM('Service Days per Month'!E$6:E$7)</f>
        <v>375.4</v>
      </c>
      <c r="F16" s="18">
        <f>'Total Sunday-Holiday Boardings'!F16/SUM('Service Days per Month'!F$6:F$7)</f>
        <v>292.8</v>
      </c>
      <c r="G16" s="18">
        <f>'Total Sunday-Holiday Boardings'!G16/SUM('Service Days per Month'!G$6:G$7)</f>
        <v>326.5</v>
      </c>
      <c r="H16" s="19">
        <f>'Total Sunday-Holiday Boardings'!H16/SUM('Service Days per Month'!H$6:H$7)</f>
        <v>258.5</v>
      </c>
      <c r="I16" s="17">
        <f>'Total Sunday-Holiday Boardings'!I16/SUM('Service Days per Month'!I$6:I$7)</f>
        <v>344.6</v>
      </c>
      <c r="J16" s="18">
        <f>'Total Sunday-Holiday Boardings'!J16/SUM('Service Days per Month'!J$6:J$7)</f>
        <v>258.60000000000002</v>
      </c>
      <c r="K16" s="18">
        <f>'Total Sunday-Holiday Boardings'!K16/SUM('Service Days per Month'!K$6:K$7)</f>
        <v>305.8</v>
      </c>
      <c r="L16" s="18">
        <f>'Total Sunday-Holiday Boardings'!L16/SUM('Service Days per Month'!L$6:L$7)</f>
        <v>305.75</v>
      </c>
      <c r="M16" s="18">
        <f>'Total Sunday-Holiday Boardings'!M16/SUM('Service Days per Month'!M$6:M$7)</f>
        <v>534.66666666666663</v>
      </c>
      <c r="N16" s="18">
        <f>'Total Sunday-Holiday Boardings'!N16/SUM('Service Days per Month'!N$6:N$7)</f>
        <v>269</v>
      </c>
      <c r="O16" s="79">
        <f>'Total Sunday-Holiday Boardings'!O16/SUM('Service Days per Month'!O$6:O$7)</f>
        <v>436.83333333333331</v>
      </c>
      <c r="P16" s="79">
        <f>'Total Sunday-Holiday Boardings'!P16/SUM('Service Days per Month'!P$6:P$7)</f>
        <v>510.5</v>
      </c>
      <c r="Q16" s="79">
        <f>'Total Sunday-Holiday Boardings'!Q16/SUM('Service Days per Month'!Q$6:Q$7)</f>
        <v>448.75</v>
      </c>
      <c r="R16" s="79">
        <f>'Total Sunday-Holiday Boardings'!R16/SUM('Service Days per Month'!R$6:R$7)</f>
        <v>397</v>
      </c>
      <c r="S16" s="79">
        <f>'Total Sunday-Holiday Boardings'!S16/SUM('Service Days per Month'!S$6:S$7)</f>
        <v>435.83333333333331</v>
      </c>
      <c r="T16" s="80">
        <f>'Total Sunday-Holiday Boardings'!T16/SUM('Service Days per Month'!T$6:T$7)</f>
        <v>315</v>
      </c>
      <c r="U16" s="81">
        <f>'Total Sunday-Holiday Boardings'!U16/SUM('Service Days per Month'!U$6:U$7)</f>
        <v>333.4</v>
      </c>
      <c r="V16" s="79">
        <f>'Total Sunday-Holiday Boardings'!V16/SUM('Service Days per Month'!V$6:V$7)</f>
        <v>285.8</v>
      </c>
      <c r="W16" s="79">
        <f>'Total Sunday-Holiday Boardings'!W16/SUM('Service Days per Month'!W$6:W$7)</f>
        <v>342</v>
      </c>
      <c r="X16" s="79">
        <f>'Total Sunday-Holiday Boardings'!X16/SUM('Service Days per Month'!X$6:X$7)</f>
        <v>356.4</v>
      </c>
      <c r="Y16" s="79">
        <f>'Total Sunday-Holiday Boardings'!Y16/SUM('Service Days per Month'!Y$6:Y$7)</f>
        <v>418.28571428571428</v>
      </c>
      <c r="Z16" s="79">
        <f>'Total Sunday-Holiday Boardings'!Z16/SUM('Service Days per Month'!Z$6:Z$7)</f>
        <v>223.85714285714286</v>
      </c>
      <c r="AA16" s="18">
        <f>'Total Sunday-Holiday Boardings'!AA16/SUM('Service Days per Month'!AA$6:AA$7)</f>
        <v>338.83333333333331</v>
      </c>
      <c r="AB16" s="18">
        <f>'Total Sunday-Holiday Boardings'!AB16/SUM('Service Days per Month'!AB$6:AB$7)</f>
        <v>404.8</v>
      </c>
      <c r="AC16" s="18">
        <f>'Total Sunday-Holiday Boardings'!AC16/SUM('Service Days per Month'!AC$6:AC$7)</f>
        <v>375</v>
      </c>
      <c r="AD16" s="18">
        <f>'Total Sunday-Holiday Boardings'!AD16/SUM('Service Days per Month'!AD$6:AD$7)</f>
        <v>408.25</v>
      </c>
      <c r="AE16" s="18">
        <f>'Total Sunday-Holiday Boardings'!AE16/SUM('Service Days per Month'!AE$6:AE$7)</f>
        <v>368.5</v>
      </c>
      <c r="AF16" s="19">
        <f>'Total Sunday-Holiday Boardings'!AF16/SUM('Service Days per Month'!AF$6:AF$7)</f>
        <v>328</v>
      </c>
      <c r="AG16" s="17">
        <f>'Total Sunday-Holiday Boardings'!AG16/SUM('Service Days per Month'!AG$6:AG$7)</f>
        <v>409.66666666666669</v>
      </c>
      <c r="AH16" s="18">
        <f>'Total Sunday-Holiday Boardings'!AH16/SUM('Service Days per Month'!AH$6:AH$7)</f>
        <v>328.25</v>
      </c>
      <c r="AI16" s="18">
        <f>'Total Sunday-Holiday Boardings'!AI16/SUM('Service Days per Month'!AI$6:AI$7)</f>
        <v>340.6</v>
      </c>
      <c r="AJ16" s="18">
        <f>'Total Sunday-Holiday Boardings'!AJ16/SUM('Service Days per Month'!AJ$6:AJ$7)</f>
        <v>395.6</v>
      </c>
      <c r="AK16" s="18">
        <f>'Total Sunday-Holiday Boardings'!AK16/SUM('Service Days per Month'!AK$6:AK$7)</f>
        <v>398</v>
      </c>
      <c r="AL16" s="18">
        <f>'Total Sunday-Holiday Boardings'!AL16/SUM('Service Days per Month'!AL$6:AL$7)</f>
        <v>293</v>
      </c>
      <c r="AM16" s="18">
        <f>'Total Sunday-Holiday Boardings'!AM16/SUM('Service Days per Month'!AM$6:AM$7)</f>
        <v>439.42857142857144</v>
      </c>
      <c r="AN16" s="18">
        <f>'Total Sunday-Holiday Boardings'!AN16/SUM('Service Days per Month'!AN$6:AN$7)</f>
        <v>483.8</v>
      </c>
      <c r="AO16" s="18">
        <f>'Total Sunday-Holiday Boardings'!AO16/SUM('Service Days per Month'!AO$6:AO$7)</f>
        <v>411.25</v>
      </c>
      <c r="AP16" s="18">
        <f>'Total Sunday-Holiday Boardings'!AP16/SUM('Service Days per Month'!AP$6:AP$7)</f>
        <v>416.6</v>
      </c>
      <c r="AQ16" s="18">
        <f>'Total Sunday-Holiday Boardings'!AQ16/SUM('Service Days per Month'!AQ$6:AQ$7)</f>
        <v>420.8</v>
      </c>
      <c r="AR16" s="19">
        <f>'Total Sunday-Holiday Boardings'!AR16/SUM('Service Days per Month'!AR$6:AR$7)</f>
        <v>356.75</v>
      </c>
      <c r="AS16" s="17">
        <f>'Total Sunday-Holiday Boardings'!AS16/SUM('Service Days per Month'!AS$6:AS$7)</f>
        <v>446.83333333333331</v>
      </c>
      <c r="AT16" s="18">
        <f>'Total Sunday-Holiday Boardings'!AT16/SUM('Service Days per Month'!AT$6:AT$7)</f>
        <v>359.5</v>
      </c>
      <c r="AU16" s="18">
        <f>'Total Sunday-Holiday Boardings'!AU16/SUM('Service Days per Month'!AU$6:AU$7)</f>
        <v>381.5</v>
      </c>
      <c r="AV16" s="18">
        <f>'Total Sunday-Holiday Boardings'!AV16/SUM('Service Days per Month'!AV$6:AV$7)</f>
        <v>475.25</v>
      </c>
      <c r="AW16" s="18">
        <f>'Total Sunday-Holiday Boardings'!AW16/SUM('Service Days per Month'!AW$6:AW$7)</f>
        <v>383.28571428571428</v>
      </c>
      <c r="AX16" s="18">
        <f>'Total Sunday-Holiday Boardings'!AX16/SUM('Service Days per Month'!AX$6:AX$7)</f>
        <v>334.71428571428572</v>
      </c>
      <c r="AY16" s="18">
        <f>'Total Sunday-Holiday Boardings'!AY16/SUM('Service Days per Month'!AY$6:AY$7)</f>
        <v>458.66666666666669</v>
      </c>
      <c r="AZ16" s="18">
        <f>'Total Sunday-Holiday Boardings'!AZ16/SUM('Service Days per Month'!AZ$6:AZ$7)</f>
        <v>536.20000000000005</v>
      </c>
      <c r="BA16" s="18">
        <f>'Total Sunday-Holiday Boardings'!BA16/SUM('Service Days per Month'!BA$6:BA$7)</f>
        <v>497.6</v>
      </c>
      <c r="BB16" s="18">
        <f>'Total Sunday-Holiday Boardings'!BB16/SUM('Service Days per Month'!BB$6:BB$7)</f>
        <v>472.5</v>
      </c>
      <c r="BC16" s="18">
        <f>'Total Sunday-Holiday Boardings'!BC16/SUM('Service Days per Month'!BC$6:BC$7)</f>
        <v>523</v>
      </c>
      <c r="BD16" s="19">
        <f>'Total Sunday-Holiday Boardings'!BD16/SUM('Service Days per Month'!BD$6:BD$7)</f>
        <v>385.2</v>
      </c>
      <c r="BE16" s="17">
        <f>'Total Sunday-Holiday Boardings'!BE16/SUM('Service Days per Month'!BE$6:BE$7)</f>
        <v>441.4</v>
      </c>
      <c r="BF16" s="18">
        <f>'Total Sunday-Holiday Boardings'!BF16/SUM('Service Days per Month'!BF$6:BF$7)</f>
        <v>409</v>
      </c>
      <c r="BG16" s="18">
        <f>'Total Sunday-Holiday Boardings'!BG16/SUM('Service Days per Month'!BG$6:BG$7)</f>
        <v>431.5</v>
      </c>
      <c r="BH16" s="18">
        <f>'Total Sunday-Holiday Boardings'!BH16/SUM('Service Days per Month'!BH$6:BH$7)</f>
        <v>466.75</v>
      </c>
      <c r="BI16" s="18">
        <f>'Total Sunday-Holiday Boardings'!BI16/SUM('Service Days per Month'!BI$6:BI$7)</f>
        <v>429.66490638502154</v>
      </c>
      <c r="BJ16" s="18">
        <f>'Total Sunday-Holiday Boardings'!BJ16/SUM('Service Days per Month'!BJ$6:BJ$7)</f>
        <v>460.71428571428572</v>
      </c>
      <c r="BK16" s="18">
        <f>'Total Sunday-Holiday Boardings'!BK16/SUM('Service Days per Month'!BK$6:BK$7)</f>
        <v>495.83333333333331</v>
      </c>
      <c r="BL16" s="18">
        <f>'Total Sunday-Holiday Boardings'!BL16/SUM('Service Days per Month'!BL$6:BL$7)</f>
        <v>580.6</v>
      </c>
      <c r="BM16" s="18">
        <f>'Total Sunday-Holiday Boardings'!BM16/SUM('Service Days per Month'!BM$6:BM$7)</f>
        <v>563.4</v>
      </c>
      <c r="BN16" s="18">
        <f>'Total Sunday-Holiday Boardings'!BN16/SUM('Service Days per Month'!BN$6:BN$7)</f>
        <v>478.25</v>
      </c>
      <c r="BO16" s="18">
        <f>'Total Sunday-Holiday Boardings'!BO16/SUM('Service Days per Month'!BO$6:BO$7)</f>
        <v>486.6</v>
      </c>
      <c r="BP16" s="19">
        <f>'Total Sunday-Holiday Boardings'!BP16/SUM('Service Days per Month'!BP$6:BP$7)</f>
        <v>465.4</v>
      </c>
      <c r="BQ16" s="17">
        <f>'Total Sunday-Holiday Boardings'!BQ16/SUM('Service Days per Month'!BQ$6:BQ$7)</f>
        <v>466.6</v>
      </c>
      <c r="BR16" s="18">
        <f>'Total Sunday-Holiday Boardings'!BR16/SUM('Service Days per Month'!BR$6:BR$7)</f>
        <v>430.8</v>
      </c>
      <c r="BS16" s="18">
        <f>'Total Sunday-Holiday Boardings'!BS16/SUM('Service Days per Month'!BS$6:BS$7)</f>
        <v>440.6</v>
      </c>
      <c r="BT16" s="18">
        <f>'Total Sunday-Holiday Boardings'!BT16/SUM('Service Days per Month'!BT$6:BT$7)</f>
        <v>474.25</v>
      </c>
      <c r="BU16" s="18">
        <f>'Total Sunday-Holiday Boardings'!BU16/SUM('Service Days per Month'!BU$6:BU$7)</f>
        <v>484.375</v>
      </c>
      <c r="BV16" s="18">
        <f>'Total Sunday-Holiday Boardings'!BV16/SUM('Service Days per Month'!BV$6:BV$7)</f>
        <v>475.16666666666669</v>
      </c>
      <c r="BW16" s="18">
        <f>'Total Sunday-Holiday Boardings'!BW16/SUM('Service Days per Month'!BW$6:BW$7)</f>
        <v>565</v>
      </c>
      <c r="BX16" s="18">
        <f>'Total Sunday-Holiday Boardings'!BX16/SUM('Service Days per Month'!BX$6:BX$7)</f>
        <v>564.79999999999995</v>
      </c>
      <c r="BY16" s="18">
        <f>'Total Sunday-Holiday Boardings'!BY16/SUM('Service Days per Month'!BY$6:BY$7)</f>
        <v>485.4</v>
      </c>
      <c r="BZ16" s="18">
        <f>'Total Sunday-Holiday Boardings'!BZ16/SUM('Service Days per Month'!BZ$6:BZ$7)</f>
        <v>488</v>
      </c>
      <c r="CA16" s="18">
        <f>'Total Sunday-Holiday Boardings'!CA16/SUM('Service Days per Month'!CA$6:CA$7)</f>
        <v>514.5</v>
      </c>
      <c r="CB16" s="19">
        <f>'Total Sunday-Holiday Boardings'!CB16/SUM('Service Days per Month'!CB$6:CB$7)</f>
        <v>421.25</v>
      </c>
      <c r="CC16" s="20">
        <f>'Total Sunday-Holiday Boardings'!CC16/SUM('Service Days per Month'!CC$6:CC$7)</f>
        <v>428</v>
      </c>
      <c r="CD16" s="18">
        <f>'Total Sunday-Holiday Boardings'!CD16/SUM('Service Days per Month'!CD$6:CD$7)</f>
        <v>379.2</v>
      </c>
      <c r="CE16" s="18">
        <f>'Total Sunday-Holiday Boardings'!CE16/SUM('Service Days per Month'!CE$6:CE$7)</f>
        <v>458.8</v>
      </c>
      <c r="CF16" s="18">
        <f>'Total Sunday-Holiday Boardings'!CF16/SUM('Service Days per Month'!CF$6:CF$7)</f>
        <v>496</v>
      </c>
      <c r="CG16" s="18">
        <f>'Total Sunday-Holiday Boardings'!CG16/SUM('Service Days per Month'!CG$6:CG$7)</f>
        <v>519.625</v>
      </c>
      <c r="CH16" s="18">
        <f>'Total Sunday-Holiday Boardings'!CH16/SUM('Service Days per Month'!CH$6:CH$7)</f>
        <v>455.83333333333331</v>
      </c>
      <c r="CI16" s="18">
        <f>'Total Sunday-Holiday Boardings'!CI16/SUM('Service Days per Month'!CI$6:CI$7)</f>
        <v>528</v>
      </c>
      <c r="CJ16" s="18">
        <f>'Total Sunday-Holiday Boardings'!CJ16/SUM('Service Days per Month'!CJ$6:CJ$7)</f>
        <v>633.4</v>
      </c>
      <c r="CK16" s="18">
        <f>'Total Sunday-Holiday Boardings'!CK16/SUM('Service Days per Month'!CK$6:CK$7)</f>
        <v>510</v>
      </c>
      <c r="CL16" s="18">
        <f>'Total Sunday-Holiday Boardings'!CL16/SUM('Service Days per Month'!CL$6:CL$7)</f>
        <v>637.5</v>
      </c>
      <c r="CM16" s="18">
        <f>'Total Sunday-Holiday Boardings'!CM16/SUM('Service Days per Month'!CM$6:CM$7)</f>
        <v>490.33333333333331</v>
      </c>
      <c r="CN16" s="21">
        <f>'Total Sunday-Holiday Boardings'!CN16/SUM('Service Days per Month'!CN$6:CN$7)</f>
        <v>491.75</v>
      </c>
      <c r="CO16" s="17">
        <f>'Total Sunday-Holiday Boardings'!CO16/SUM('Service Days per Month'!CO$6:CO$7)</f>
        <v>526</v>
      </c>
      <c r="CP16" s="18">
        <f>'Total Sunday-Holiday Boardings'!CP16/SUM('Service Days per Month'!CP$6:CP$7)</f>
        <v>473</v>
      </c>
      <c r="CQ16" s="18">
        <f>'Total Sunday-Holiday Boardings'!CQ16/SUM('Service Days per Month'!CQ$6:CQ$7)</f>
        <v>465</v>
      </c>
      <c r="CR16" s="18">
        <f>'Total Sunday-Holiday Boardings'!CR16/SUM('Service Days per Month'!CR$6:CR$7)</f>
        <v>512.4</v>
      </c>
      <c r="CS16" s="18">
        <f>'Total Sunday-Holiday Boardings'!CS16/SUM('Service Days per Month'!CS$6:CS$7)</f>
        <v>723.28571428571433</v>
      </c>
      <c r="CT16" s="18">
        <f>'Total Sunday-Holiday Boardings'!CT16/SUM('Service Days per Month'!CT$6:CT$7)</f>
        <v>669.33333333333337</v>
      </c>
      <c r="CU16" s="18">
        <f>'Total Sunday-Holiday Boardings'!CU16/SUM('Service Days per Month'!CU$6:CU$7)</f>
        <v>547.28571428571433</v>
      </c>
      <c r="CV16" s="18">
        <f>'Total Sunday-Holiday Boardings'!CV16/SUM('Service Days per Month'!CV$6:CV$7)</f>
        <v>528.6</v>
      </c>
      <c r="CW16" s="18">
        <f>'Total Sunday-Holiday Boardings'!CW16/SUM('Service Days per Month'!CW$6:CW$7)</f>
        <v>513.5</v>
      </c>
      <c r="CX16" s="18">
        <f>'Total Sunday-Holiday Boardings'!CX16/SUM('Service Days per Month'!CX$6:CX$7)</f>
        <v>654.6</v>
      </c>
      <c r="CY16" s="18">
        <f>'Total Sunday-Holiday Boardings'!CY16/SUM('Service Days per Month'!CY$6:CY$7)</f>
        <v>525.6</v>
      </c>
      <c r="CZ16" s="19">
        <f>'Total Sunday-Holiday Boardings'!CZ16/SUM('Service Days per Month'!CZ$6:CZ$7)</f>
        <v>493.5</v>
      </c>
      <c r="DA16" s="17">
        <f>'Total Sunday-Holiday Boardings'!DA16/SUM('Service Days per Month'!DA$6:DA$7)</f>
        <v>544.66666666666663</v>
      </c>
      <c r="DB16" s="18">
        <f>'Total Sunday-Holiday Boardings'!DB16/SUM('Service Days per Month'!DB$6:DB$7)</f>
        <v>465.75</v>
      </c>
      <c r="DC16" s="18">
        <f>'Total Sunday-Holiday Boardings'!DC16/SUM('Service Days per Month'!DC$6:DC$7)</f>
        <v>473.2</v>
      </c>
      <c r="DD16" s="18">
        <f>'Total Sunday-Holiday Boardings'!DD16/SUM('Service Days per Month'!DD$6:DD$7)</f>
        <v>595.20000000000005</v>
      </c>
      <c r="DE16" s="18">
        <f>'Total Sunday-Holiday Boardings'!DE16/SUM('Service Days per Month'!DE$6:DE$7)</f>
        <v>516.57142857142856</v>
      </c>
      <c r="DF16" s="18">
        <f>'Total Sunday-Holiday Boardings'!DF16/SUM('Service Days per Month'!DF$6:DF$7)</f>
        <v>471.66666666666669</v>
      </c>
      <c r="DG16" s="18">
        <f>'Total Sunday-Holiday Boardings'!DG16/SUM('Service Days per Month'!DG$6:DG$7)</f>
        <v>466</v>
      </c>
      <c r="DH16" s="18">
        <f>'Total Sunday-Holiday Boardings'!DH16/SUM('Service Days per Month'!DH$6:DH$7)</f>
        <v>504.4</v>
      </c>
      <c r="DI16" s="18">
        <f>'Total Sunday-Holiday Boardings'!DI16/SUM('Service Days per Month'!DI$6:DI$7)</f>
        <v>507.25</v>
      </c>
      <c r="DJ16" s="18">
        <f>'Total Sunday-Holiday Boardings'!DJ16/SUM('Service Days per Month'!DJ$6:DJ$7)</f>
        <v>505.8</v>
      </c>
      <c r="DK16" s="18">
        <f>'Total Sunday-Holiday Boardings'!DK16/SUM('Service Days per Month'!DK$6:DK$7)</f>
        <v>487.4</v>
      </c>
      <c r="DL16" s="19">
        <f>'Total Sunday-Holiday Boardings'!DL16/SUM('Service Days per Month'!DL$6:DL$7)</f>
        <v>452</v>
      </c>
      <c r="DM16" s="17">
        <f>'Total Sunday-Holiday Boardings'!DM16/('Service Days per Month'!DM$6+'Service Days per Month'!DM$7)</f>
        <v>464.83333333333331</v>
      </c>
      <c r="DN16" s="18">
        <f>'Total Sunday-Holiday Boardings'!DN16/('Service Days per Month'!DN$6+'Service Days per Month'!DN$7)</f>
        <v>423.75</v>
      </c>
      <c r="DO16" s="18">
        <f>'Total Sunday-Holiday Boardings'!DO16/('Service Days per Month'!DO$6+'Service Days per Month'!DO$7)</f>
        <v>442</v>
      </c>
      <c r="DP16" s="18">
        <f>'Total Sunday-Holiday Boardings'!DP16/('Service Days per Month'!DP$6+'Service Days per Month'!DP$7)</f>
        <v>444.5</v>
      </c>
      <c r="DQ16" s="18">
        <f>'Total Sunday-Holiday Boardings'!DQ16/('Service Days per Month'!DQ$6+'Service Days per Month'!DQ$7)</f>
        <v>465</v>
      </c>
      <c r="DR16" s="18">
        <f>'Total Sunday-Holiday Boardings'!DR16/('Service Days per Month'!DR$6+'Service Days per Month'!DR$7)</f>
        <v>399.16666666666669</v>
      </c>
      <c r="DS16" s="18">
        <f>'Total Sunday-Holiday Boardings'!DS16/('Service Days per Month'!DS$6+'Service Days per Month'!DS$7)</f>
        <v>447.4</v>
      </c>
      <c r="DT16" s="18">
        <f>'Total Sunday-Holiday Boardings'!DT16/('Service Days per Month'!DT$6+'Service Days per Month'!DT$7)</f>
        <v>390.5</v>
      </c>
      <c r="DU16" s="18">
        <f>'Total Sunday-Holiday Boardings'!DU16/('Service Days per Month'!DU$6+'Service Days per Month'!DU$7)</f>
        <v>492.2</v>
      </c>
      <c r="DV16" s="18">
        <f>'Total Sunday-Holiday Boardings'!DV16/('Service Days per Month'!DV$6+'Service Days per Month'!DV$7)</f>
        <v>460.75</v>
      </c>
      <c r="DW16" s="18">
        <f>'Total Sunday-Holiday Boardings'!DW16/('Service Days per Month'!DW$6+'Service Days per Month'!DW$7)</f>
        <v>410.4</v>
      </c>
      <c r="DX16" s="18">
        <f>'Total Sunday-Holiday Boardings'!DX16/('Service Days per Month'!DX$6+'Service Days per Month'!DX$7)</f>
        <v>400.6</v>
      </c>
      <c r="DY16" s="17">
        <f>'Total Sunday-Holiday Boardings'!DY16/('Service Days per Month'!DY$6+'Service Days per Month'!DY$7)</f>
        <v>443</v>
      </c>
      <c r="DZ16" s="18">
        <f>'Total Sunday-Holiday Boardings'!DZ16/('Service Days per Month'!DZ$6+'Service Days per Month'!DZ$7)</f>
        <v>418.5</v>
      </c>
      <c r="EA16" s="18">
        <f>'Total Sunday-Holiday Boardings'!EA16/('Service Days per Month'!EA$6+'Service Days per Month'!EA$7)</f>
        <v>415.66666666666669</v>
      </c>
      <c r="EB16" s="18">
        <f>'Total Sunday-Holiday Boardings'!EB16/('Service Days per Month'!EB$6+'Service Days per Month'!EB$7)</f>
        <v>416.75</v>
      </c>
      <c r="EC16" s="18">
        <f>'Total Sunday-Holiday Boardings'!EC16/('Service Days per Month'!EC$6+'Service Days per Month'!EC$7)</f>
        <v>462</v>
      </c>
      <c r="ED16" s="18">
        <f>'Total Sunday-Holiday Boardings'!ED16/('Service Days per Month'!ED$6+'Service Days per Month'!ED$7)</f>
        <v>379</v>
      </c>
      <c r="EE16" s="18">
        <f>'Total Sunday-Holiday Boardings'!EE16/('Service Days per Month'!EE$6+'Service Days per Month'!EE$7)</f>
        <v>487.25</v>
      </c>
      <c r="EF16" s="18">
        <f>'Total Sunday-Holiday Boardings'!EF16/('Service Days per Month'!EF$6+'Service Days per Month'!EF$7)</f>
        <v>444.75</v>
      </c>
      <c r="EG16" s="18">
        <f>'Total Sunday-Holiday Boardings'!EG16/('Service Days per Month'!EG$6+'Service Days per Month'!EG$7)</f>
        <v>360</v>
      </c>
      <c r="EH16" s="18">
        <f>'Total Sunday-Holiday Boardings'!EH16/('Service Days per Month'!EH$6+'Service Days per Month'!EH$7)</f>
        <v>248.25</v>
      </c>
      <c r="EI16" s="18">
        <f>'Total Sunday-Holiday Boardings'!EI16/('Service Days per Month'!EI$6+'Service Days per Month'!EI$7)</f>
        <v>268.66666666666669</v>
      </c>
      <c r="EJ16" s="18">
        <f>'Total Sunday-Holiday Boardings'!EJ16/('Service Days per Month'!EJ$6+'Service Days per Month'!EJ$7)</f>
        <v>248.75</v>
      </c>
      <c r="EK16" s="17">
        <f>'Total Sunday-Holiday Boardings'!EK16/('Service Days per Month'!EK$6+'Service Days per Month'!EK$7)</f>
        <v>257.8</v>
      </c>
      <c r="EL16" s="18">
        <f>'Total Sunday-Holiday Boardings'!EL16/('Service Days per Month'!EL$6+'Service Days per Month'!EL$7)</f>
        <v>238.2</v>
      </c>
      <c r="EM16" s="18">
        <f>'Total Sunday-Holiday Boardings'!EM16/('Service Days per Month'!EM$6+'Service Days per Month'!EM$7)</f>
        <v>255.2</v>
      </c>
      <c r="EN16" s="18">
        <f>'Total Sunday-Holiday Boardings'!EN16/('Service Days per Month'!EN$6+'Service Days per Month'!EN$7)</f>
        <v>220</v>
      </c>
      <c r="EO16" s="18">
        <f>'Total Sunday-Holiday Boardings'!EO16/('Service Days per Month'!EO$6+'Service Days per Month'!EO$7)</f>
        <v>164.33333333333334</v>
      </c>
      <c r="EP16" s="18">
        <f>'Total Sunday-Holiday Boardings'!EP16/('Service Days per Month'!EP$6+'Service Days per Month'!EP$7)</f>
        <v>135</v>
      </c>
      <c r="EQ16" s="18">
        <f>'Total Sunday-Holiday Boardings'!EQ16/('Service Days per Month'!EQ$6+'Service Days per Month'!EQ$7)</f>
        <v>106.2</v>
      </c>
      <c r="ER16" s="18">
        <f>'Total Sunday-Holiday Boardings'!ER16/('Service Days per Month'!ER$6+'Service Days per Month'!ER$7)</f>
        <v>213</v>
      </c>
      <c r="ES16" s="18">
        <f>'Total Sunday-Holiday Boardings'!ES16/('Service Days per Month'!ES$6+'Service Days per Month'!ES$7)</f>
        <v>235.5</v>
      </c>
      <c r="ET16" s="18">
        <f>'Total Sunday-Holiday Boardings'!ET16/('Service Days per Month'!ET$6+'Service Days per Month'!ET$7)</f>
        <v>238.75</v>
      </c>
      <c r="EU16" s="18">
        <f>'Total Sunday-Holiday Boardings'!EU16/('Service Days per Month'!EU$6+'Service Days per Month'!EU$7)</f>
        <v>205.66666666666666</v>
      </c>
      <c r="EV16" s="18">
        <f>'Total Sunday-Holiday Boardings'!EV16/('Service Days per Month'!EV$6+'Service Days per Month'!EV$7)</f>
        <v>233.75</v>
      </c>
      <c r="EW16" s="17">
        <f>'Total Sunday-Holiday Boardings'!EW16/('Service Days per Month'!EW$6+'Service Days per Month'!EW$7)</f>
        <v>245.2</v>
      </c>
      <c r="EX16" s="18">
        <f>'Total Sunday-Holiday Boardings'!EX16/('Service Days per Month'!EX$6+'Service Days per Month'!EX$7)</f>
        <v>333.8</v>
      </c>
      <c r="EY16" s="18">
        <f>'Total Sunday-Holiday Boardings'!EY16/('Service Days per Month'!EY$6+'Service Days per Month'!EY$7)</f>
        <v>229.2</v>
      </c>
      <c r="EZ16" s="18">
        <f>'Total Sunday-Holiday Boardings'!EZ16/('Service Days per Month'!EZ$6+'Service Days per Month'!EZ$7)</f>
        <v>222.8</v>
      </c>
      <c r="FA16" s="18">
        <f>'Total Sunday-Holiday Boardings'!FA16/('Service Days per Month'!FA$6+'Service Days per Month'!FA$7)</f>
        <v>218.6</v>
      </c>
      <c r="FB16" s="18">
        <f>'Total Sunday-Holiday Boardings'!FB16/('Service Days per Month'!FB$6+'Service Days per Month'!FB$7)</f>
        <v>303.8</v>
      </c>
      <c r="FC16" s="18">
        <f>'Total Sunday-Holiday Boardings'!FC16/('Service Days per Month'!FC$6+'Service Days per Month'!FC$7)</f>
        <v>224.2</v>
      </c>
      <c r="FD16" s="18">
        <f>'Total Sunday-Holiday Boardings'!FD16/('Service Days per Month'!FD$6+'Service Days per Month'!FD$7)</f>
        <v>256.5</v>
      </c>
      <c r="FE16" s="18">
        <f>'Total Sunday-Holiday Boardings'!FE16/('Service Days per Month'!FE$6+'Service Days per Month'!FE$7)</f>
        <v>293</v>
      </c>
      <c r="FF16" s="18">
        <f>'Total Sunday-Holiday Boardings'!FF16/('Service Days per Month'!FF$6+'Service Days per Month'!FF$7)</f>
        <v>268.5</v>
      </c>
      <c r="FG16" s="18">
        <f>'Total Sunday-Holiday Boardings'!FG16/('Service Days per Month'!FG$6+'Service Days per Month'!FG$7)</f>
        <v>285.33333333333331</v>
      </c>
      <c r="FH16" s="18">
        <f>'Total Sunday-Holiday Boardings'!FH16/('Service Days per Month'!FH$6+'Service Days per Month'!FH$7)</f>
        <v>236</v>
      </c>
      <c r="FI16" s="17">
        <v>247.33333333333334</v>
      </c>
      <c r="FJ16" s="18">
        <v>215.5</v>
      </c>
      <c r="FK16" s="18">
        <v>252.2</v>
      </c>
      <c r="FL16" s="18">
        <v>259</v>
      </c>
      <c r="FM16" s="18">
        <v>224</v>
      </c>
      <c r="FN16" s="18">
        <v>233.6</v>
      </c>
      <c r="FO16" s="18">
        <v>291</v>
      </c>
      <c r="FP16" s="18">
        <v>298.75</v>
      </c>
      <c r="FQ16" s="18">
        <v>298</v>
      </c>
      <c r="FR16" s="18">
        <f>'Total Sunday-Holiday Boardings'!FR16/5</f>
        <v>344.8</v>
      </c>
      <c r="FS16" s="18">
        <f>'Total Sunday-Holiday Boardings'!FS16/5</f>
        <v>299.8</v>
      </c>
      <c r="FT16" s="21">
        <f>'Total Sunday-Holiday Boardings'!FT16/4</f>
        <v>304.25</v>
      </c>
      <c r="FU16" s="18">
        <f>'Total Sunday-Holiday Boardings'!FU16/5</f>
        <v>411.8</v>
      </c>
      <c r="FV16" s="18">
        <f>'Total Sunday-Holiday Boardings'!FV16/4</f>
        <v>429.75</v>
      </c>
      <c r="FW16" s="18">
        <f>'Total Sunday-Holiday Boardings'!FW16/4</f>
        <v>345.25</v>
      </c>
      <c r="FX16" s="18">
        <f>'Total Sunday-Holiday Boardings'!FX16/5</f>
        <v>296.2</v>
      </c>
      <c r="FY16" s="18">
        <f>'Total Sunday-Holiday Boardings'!FY16/4</f>
        <v>316.25</v>
      </c>
      <c r="FZ16" s="18">
        <f>'Total Sunday-Holiday Boardings'!FZ16/5</f>
        <v>325.2</v>
      </c>
      <c r="GA16" s="18">
        <f>'Total Sunday-Holiday Boardings'!GA16/4</f>
        <v>417.5</v>
      </c>
      <c r="GB16" s="18">
        <f>'Total Sunday-Holiday Boardings'!GB16/4</f>
        <v>317</v>
      </c>
      <c r="GC16" s="18">
        <f>'Total Sunday-Holiday Boardings'!GC16/5</f>
        <v>300</v>
      </c>
      <c r="GD16" s="18">
        <f>'Total Sunday-Holiday Boardings'!GD16/4</f>
        <v>328.75</v>
      </c>
      <c r="GE16" s="18">
        <f>'Total Sunday-Holiday Boardings'!GE16/4</f>
        <v>378.5</v>
      </c>
      <c r="GF16" s="18">
        <f>'Total Sunday-Holiday Boardings'!GF16/5</f>
        <v>309.2</v>
      </c>
      <c r="GG16" s="18">
        <f>'Total Sunday-Holiday Boardings'!GG16/4</f>
        <v>364.5</v>
      </c>
      <c r="GH16" s="18">
        <f>'Total Sunday-Holiday Boardings'!GH16/4</f>
        <v>300</v>
      </c>
      <c r="GI16" s="18">
        <f>'Total Sunday-Holiday Boardings'!GI16/5</f>
        <v>348.8</v>
      </c>
      <c r="GJ16" s="18">
        <f>'Total Sunday-Holiday Boardings'!GJ16/4</f>
        <v>316.5</v>
      </c>
      <c r="GK16" s="18">
        <f>'Total Sunday-Holiday Boardings'!GK16/4</f>
        <v>357.75</v>
      </c>
      <c r="GL16" s="18">
        <f>'Total Sunday-Holiday Boardings'!GL16/5</f>
        <v>307.39999999999998</v>
      </c>
    </row>
    <row r="17" spans="1:194" x14ac:dyDescent="0.3">
      <c r="A17" s="3" t="s">
        <v>10</v>
      </c>
      <c r="B17" s="17"/>
      <c r="C17" s="18">
        <f>'Total Sunday-Holiday Boardings'!C17/SUM('Service Days per Month'!C$6:C$7)</f>
        <v>586.4</v>
      </c>
      <c r="D17" s="18">
        <f>'Total Sunday-Holiday Boardings'!D17/SUM('Service Days per Month'!D$6:D$7)</f>
        <v>692.5</v>
      </c>
      <c r="E17" s="18">
        <f>'Total Sunday-Holiday Boardings'!E17/SUM('Service Days per Month'!E$6:E$7)</f>
        <v>536.4</v>
      </c>
      <c r="F17" s="18">
        <f>'Total Sunday-Holiday Boardings'!F17/SUM('Service Days per Month'!F$6:F$7)</f>
        <v>469.6</v>
      </c>
      <c r="G17" s="18">
        <f>'Total Sunday-Holiday Boardings'!G17/SUM('Service Days per Month'!G$6:G$7)</f>
        <v>529.33333333333337</v>
      </c>
      <c r="H17" s="19">
        <f>'Total Sunday-Holiday Boardings'!H17/SUM('Service Days per Month'!H$6:H$7)</f>
        <v>462.75</v>
      </c>
      <c r="I17" s="17">
        <f>'Total Sunday-Holiday Boardings'!I17/SUM('Service Days per Month'!I$6:I$7)</f>
        <v>538</v>
      </c>
      <c r="J17" s="18">
        <f>'Total Sunday-Holiday Boardings'!J17/SUM('Service Days per Month'!J$6:J$7)</f>
        <v>418</v>
      </c>
      <c r="K17" s="18">
        <f>'Total Sunday-Holiday Boardings'!K17/SUM('Service Days per Month'!K$6:K$7)</f>
        <v>485.8</v>
      </c>
      <c r="L17" s="18">
        <f>'Total Sunday-Holiday Boardings'!L17/SUM('Service Days per Month'!L$6:L$7)</f>
        <v>507.5</v>
      </c>
      <c r="M17" s="18">
        <f>'Total Sunday-Holiday Boardings'!M17/SUM('Service Days per Month'!M$6:M$7)</f>
        <v>891.83333333333337</v>
      </c>
      <c r="N17" s="18">
        <f>'Total Sunday-Holiday Boardings'!N17/SUM('Service Days per Month'!N$6:N$7)</f>
        <v>417.4</v>
      </c>
      <c r="O17" s="79">
        <f>'Total Sunday-Holiday Boardings'!O17/SUM('Service Days per Month'!O$6:O$7)</f>
        <v>651.66666666666663</v>
      </c>
      <c r="P17" s="79">
        <f>'Total Sunday-Holiday Boardings'!P17/SUM('Service Days per Month'!P$6:P$7)</f>
        <v>807.75</v>
      </c>
      <c r="Q17" s="79">
        <f>'Total Sunday-Holiday Boardings'!Q17/SUM('Service Days per Month'!Q$6:Q$7)</f>
        <v>630</v>
      </c>
      <c r="R17" s="79">
        <f>'Total Sunday-Holiday Boardings'!R17/SUM('Service Days per Month'!R$6:R$7)</f>
        <v>571.5</v>
      </c>
      <c r="S17" s="79">
        <f>'Total Sunday-Holiday Boardings'!S17/SUM('Service Days per Month'!S$6:S$7)</f>
        <v>690.33333333333337</v>
      </c>
      <c r="T17" s="80">
        <f>'Total Sunday-Holiday Boardings'!T17/SUM('Service Days per Month'!T$6:T$7)</f>
        <v>527.75</v>
      </c>
      <c r="U17" s="81">
        <f>'Total Sunday-Holiday Boardings'!U17/SUM('Service Days per Month'!U$6:U$7)</f>
        <v>421.6</v>
      </c>
      <c r="V17" s="79">
        <f>'Total Sunday-Holiday Boardings'!V17/SUM('Service Days per Month'!V$6:V$7)</f>
        <v>444</v>
      </c>
      <c r="W17" s="79">
        <f>'Total Sunday-Holiday Boardings'!W17/SUM('Service Days per Month'!W$6:W$7)</f>
        <v>524.4</v>
      </c>
      <c r="X17" s="79">
        <f>'Total Sunday-Holiday Boardings'!X17/SUM('Service Days per Month'!X$6:X$7)</f>
        <v>545.4</v>
      </c>
      <c r="Y17" s="79">
        <f>'Total Sunday-Holiday Boardings'!Y17/SUM('Service Days per Month'!Y$6:Y$7)</f>
        <v>685.57142857142856</v>
      </c>
      <c r="Z17" s="79">
        <f>'Total Sunday-Holiday Boardings'!Z17/SUM('Service Days per Month'!Z$6:Z$7)</f>
        <v>330.57142857142856</v>
      </c>
      <c r="AA17" s="18">
        <f>'Total Sunday-Holiday Boardings'!AA17/SUM('Service Days per Month'!AA$6:AA$7)</f>
        <v>464.83333333333331</v>
      </c>
      <c r="AB17" s="18">
        <f>'Total Sunday-Holiday Boardings'!AB17/SUM('Service Days per Month'!AB$6:AB$7)</f>
        <v>613</v>
      </c>
      <c r="AC17" s="18">
        <f>'Total Sunday-Holiday Boardings'!AC17/SUM('Service Days per Month'!AC$6:AC$7)</f>
        <v>574.25</v>
      </c>
      <c r="AD17" s="18">
        <f>'Total Sunday-Holiday Boardings'!AD17/SUM('Service Days per Month'!AD$6:AD$7)</f>
        <v>501.25</v>
      </c>
      <c r="AE17" s="18">
        <f>'Total Sunday-Holiday Boardings'!AE17/SUM('Service Days per Month'!AE$6:AE$7)</f>
        <v>529.66666666666663</v>
      </c>
      <c r="AF17" s="19">
        <f>'Total Sunday-Holiday Boardings'!AF17/SUM('Service Days per Month'!AF$6:AF$7)</f>
        <v>503.75</v>
      </c>
      <c r="AG17" s="17">
        <f>'Total Sunday-Holiday Boardings'!AG17/SUM('Service Days per Month'!AG$6:AG$7)</f>
        <v>547.83333333333337</v>
      </c>
      <c r="AH17" s="18">
        <f>'Total Sunday-Holiday Boardings'!AH17/SUM('Service Days per Month'!AH$6:AH$7)</f>
        <v>523.75</v>
      </c>
      <c r="AI17" s="18">
        <f>'Total Sunday-Holiday Boardings'!AI17/SUM('Service Days per Month'!AI$6:AI$7)</f>
        <v>522.79999999999995</v>
      </c>
      <c r="AJ17" s="18">
        <f>'Total Sunday-Holiday Boardings'!AJ17/SUM('Service Days per Month'!AJ$6:AJ$7)</f>
        <v>590.6</v>
      </c>
      <c r="AK17" s="18">
        <f>'Total Sunday-Holiday Boardings'!AK17/SUM('Service Days per Month'!AK$6:AK$7)</f>
        <v>583.28571428571433</v>
      </c>
      <c r="AL17" s="18">
        <f>'Total Sunday-Holiday Boardings'!AL17/SUM('Service Days per Month'!AL$6:AL$7)</f>
        <v>464.5</v>
      </c>
      <c r="AM17" s="18">
        <f>'Total Sunday-Holiday Boardings'!AM17/SUM('Service Days per Month'!AM$6:AM$7)</f>
        <v>639.57142857142856</v>
      </c>
      <c r="AN17" s="18">
        <f>'Total Sunday-Holiday Boardings'!AN17/SUM('Service Days per Month'!AN$6:AN$7)</f>
        <v>653.6</v>
      </c>
      <c r="AO17" s="18">
        <f>'Total Sunday-Holiday Boardings'!AO17/SUM('Service Days per Month'!AO$6:AO$7)</f>
        <v>568.25</v>
      </c>
      <c r="AP17" s="18">
        <f>'Total Sunday-Holiday Boardings'!AP17/SUM('Service Days per Month'!AP$6:AP$7)</f>
        <v>646</v>
      </c>
      <c r="AQ17" s="18">
        <f>'Total Sunday-Holiday Boardings'!AQ17/SUM('Service Days per Month'!AQ$6:AQ$7)</f>
        <v>608.79999999999995</v>
      </c>
      <c r="AR17" s="19">
        <f>'Total Sunday-Holiday Boardings'!AR17/SUM('Service Days per Month'!AR$6:AR$7)</f>
        <v>530.75</v>
      </c>
      <c r="AS17" s="17">
        <f>'Total Sunday-Holiday Boardings'!AS17/SUM('Service Days per Month'!AS$6:AS$7)</f>
        <v>634.5</v>
      </c>
      <c r="AT17" s="18">
        <f>'Total Sunday-Holiday Boardings'!AT17/SUM('Service Days per Month'!AT$6:AT$7)</f>
        <v>562.5</v>
      </c>
      <c r="AU17" s="18">
        <f>'Total Sunday-Holiday Boardings'!AU17/SUM('Service Days per Month'!AU$6:AU$7)</f>
        <v>586.5</v>
      </c>
      <c r="AV17" s="18">
        <f>'Total Sunday-Holiday Boardings'!AV17/SUM('Service Days per Month'!AV$6:AV$7)</f>
        <v>708</v>
      </c>
      <c r="AW17" s="18">
        <f>'Total Sunday-Holiday Boardings'!AW17/SUM('Service Days per Month'!AW$6:AW$7)</f>
        <v>589.71428571428567</v>
      </c>
      <c r="AX17" s="18">
        <f>'Total Sunday-Holiday Boardings'!AX17/SUM('Service Days per Month'!AX$6:AX$7)</f>
        <v>495.85714285714283</v>
      </c>
      <c r="AY17" s="18">
        <f>'Total Sunday-Holiday Boardings'!AY17/SUM('Service Days per Month'!AY$6:AY$7)</f>
        <v>659.66666666666663</v>
      </c>
      <c r="AZ17" s="18">
        <f>'Total Sunday-Holiday Boardings'!AZ17/SUM('Service Days per Month'!AZ$6:AZ$7)</f>
        <v>725</v>
      </c>
      <c r="BA17" s="18">
        <f>'Total Sunday-Holiday Boardings'!BA17/SUM('Service Days per Month'!BA$6:BA$7)</f>
        <v>667.8</v>
      </c>
      <c r="BB17" s="18">
        <f>'Total Sunday-Holiday Boardings'!BB17/SUM('Service Days per Month'!BB$6:BB$7)</f>
        <v>690.25</v>
      </c>
      <c r="BC17" s="18">
        <f>'Total Sunday-Holiday Boardings'!BC17/SUM('Service Days per Month'!BC$6:BC$7)</f>
        <v>719.8</v>
      </c>
      <c r="BD17" s="19">
        <f>'Total Sunday-Holiday Boardings'!BD17/SUM('Service Days per Month'!BD$6:BD$7)</f>
        <v>611.4</v>
      </c>
      <c r="BE17" s="17">
        <f>'Total Sunday-Holiday Boardings'!BE17/SUM('Service Days per Month'!BE$6:BE$7)</f>
        <v>617.79999999999995</v>
      </c>
      <c r="BF17" s="18">
        <f>'Total Sunday-Holiday Boardings'!BF17/SUM('Service Days per Month'!BF$6:BF$7)</f>
        <v>593.5</v>
      </c>
      <c r="BG17" s="18">
        <f>'Total Sunday-Holiday Boardings'!BG17/SUM('Service Days per Month'!BG$6:BG$7)</f>
        <v>612.66666666666663</v>
      </c>
      <c r="BH17" s="18">
        <f>'Total Sunday-Holiday Boardings'!BH17/SUM('Service Days per Month'!BH$6:BH$7)</f>
        <v>623.25</v>
      </c>
      <c r="BI17" s="18">
        <f>'Total Sunday-Holiday Boardings'!BI17/SUM('Service Days per Month'!BI$6:BI$7)</f>
        <v>578.76970029490428</v>
      </c>
      <c r="BJ17" s="18">
        <f>'Total Sunday-Holiday Boardings'!BJ17/SUM('Service Days per Month'!BJ$6:BJ$7)</f>
        <v>624.42857142857144</v>
      </c>
      <c r="BK17" s="18">
        <f>'Total Sunday-Holiday Boardings'!BK17/SUM('Service Days per Month'!BK$6:BK$7)</f>
        <v>690.66666666666663</v>
      </c>
      <c r="BL17" s="18">
        <f>'Total Sunday-Holiday Boardings'!BL17/SUM('Service Days per Month'!BL$6:BL$7)</f>
        <v>803.8</v>
      </c>
      <c r="BM17" s="18">
        <f>'Total Sunday-Holiday Boardings'!BM17/SUM('Service Days per Month'!BM$6:BM$7)</f>
        <v>699</v>
      </c>
      <c r="BN17" s="18">
        <f>'Total Sunday-Holiday Boardings'!BN17/SUM('Service Days per Month'!BN$6:BN$7)</f>
        <v>627.25</v>
      </c>
      <c r="BO17" s="18">
        <f>'Total Sunday-Holiday Boardings'!BO17/SUM('Service Days per Month'!BO$6:BO$7)</f>
        <v>680.8</v>
      </c>
      <c r="BP17" s="19">
        <f>'Total Sunday-Holiday Boardings'!BP17/SUM('Service Days per Month'!BP$6:BP$7)</f>
        <v>657.6</v>
      </c>
      <c r="BQ17" s="17">
        <f>'Total Sunday-Holiday Boardings'!BQ17/SUM('Service Days per Month'!BQ$6:BQ$7)</f>
        <v>652.20000000000005</v>
      </c>
      <c r="BR17" s="18">
        <f>'Total Sunday-Holiday Boardings'!BR17/SUM('Service Days per Month'!BR$6:BR$7)</f>
        <v>609.6</v>
      </c>
      <c r="BS17" s="18">
        <f>'Total Sunday-Holiday Boardings'!BS17/SUM('Service Days per Month'!BS$6:BS$7)</f>
        <v>683.6</v>
      </c>
      <c r="BT17" s="18">
        <f>'Total Sunday-Holiday Boardings'!BT17/SUM('Service Days per Month'!BT$6:BT$7)</f>
        <v>640.5</v>
      </c>
      <c r="BU17" s="18">
        <f>'Total Sunday-Holiday Boardings'!BU17/SUM('Service Days per Month'!BU$6:BU$7)</f>
        <v>722.5</v>
      </c>
      <c r="BV17" s="18">
        <f>'Total Sunday-Holiday Boardings'!BV17/SUM('Service Days per Month'!BV$6:BV$7)</f>
        <v>648.66666666666663</v>
      </c>
      <c r="BW17" s="18">
        <f>'Total Sunday-Holiday Boardings'!BW17/SUM('Service Days per Month'!BW$6:BW$7)</f>
        <v>752.83333333333337</v>
      </c>
      <c r="BX17" s="18">
        <f>'Total Sunday-Holiday Boardings'!BX17/SUM('Service Days per Month'!BX$6:BX$7)</f>
        <v>822</v>
      </c>
      <c r="BY17" s="18">
        <f>'Total Sunday-Holiday Boardings'!BY17/SUM('Service Days per Month'!BY$6:BY$7)</f>
        <v>652</v>
      </c>
      <c r="BZ17" s="18">
        <f>'Total Sunday-Holiday Boardings'!BZ17/SUM('Service Days per Month'!BZ$6:BZ$7)</f>
        <v>628.5</v>
      </c>
      <c r="CA17" s="18">
        <f>'Total Sunday-Holiday Boardings'!CA17/SUM('Service Days per Month'!CA$6:CA$7)</f>
        <v>663.5</v>
      </c>
      <c r="CB17" s="19">
        <f>'Total Sunday-Holiday Boardings'!CB17/SUM('Service Days per Month'!CB$6:CB$7)</f>
        <v>599.75</v>
      </c>
      <c r="CC17" s="20">
        <f>'Total Sunday-Holiday Boardings'!CC17/SUM('Service Days per Month'!CC$6:CC$7)</f>
        <v>641.79999999999995</v>
      </c>
      <c r="CD17" s="18">
        <f>'Total Sunday-Holiday Boardings'!CD17/SUM('Service Days per Month'!CD$6:CD$7)</f>
        <v>550</v>
      </c>
      <c r="CE17" s="18">
        <f>'Total Sunday-Holiday Boardings'!CE17/SUM('Service Days per Month'!CE$6:CE$7)</f>
        <v>631.6</v>
      </c>
      <c r="CF17" s="18">
        <f>'Total Sunday-Holiday Boardings'!CF17/SUM('Service Days per Month'!CF$6:CF$7)</f>
        <v>691.5</v>
      </c>
      <c r="CG17" s="18">
        <f>'Total Sunday-Holiday Boardings'!CG17/SUM('Service Days per Month'!CG$6:CG$7)</f>
        <v>763.5</v>
      </c>
      <c r="CH17" s="18">
        <f>'Total Sunday-Holiday Boardings'!CH17/SUM('Service Days per Month'!CH$6:CH$7)</f>
        <v>622.83333333333337</v>
      </c>
      <c r="CI17" s="18">
        <f>'Total Sunday-Holiday Boardings'!CI17/SUM('Service Days per Month'!CI$6:CI$7)</f>
        <v>728.42857142857144</v>
      </c>
      <c r="CJ17" s="18">
        <f>'Total Sunday-Holiday Boardings'!CJ17/SUM('Service Days per Month'!CJ$6:CJ$7)</f>
        <v>752.6</v>
      </c>
      <c r="CK17" s="18">
        <f>'Total Sunday-Holiday Boardings'!CK17/SUM('Service Days per Month'!CK$6:CK$7)</f>
        <v>659.75</v>
      </c>
      <c r="CL17" s="18">
        <f>'Total Sunday-Holiday Boardings'!CL17/SUM('Service Days per Month'!CL$6:CL$7)</f>
        <v>765</v>
      </c>
      <c r="CM17" s="18">
        <f>'Total Sunday-Holiday Boardings'!CM17/SUM('Service Days per Month'!CM$6:CM$7)</f>
        <v>676.16666666666663</v>
      </c>
      <c r="CN17" s="21">
        <f>'Total Sunday-Holiday Boardings'!CN17/SUM('Service Days per Month'!CN$6:CN$7)</f>
        <v>678.75</v>
      </c>
      <c r="CO17" s="17">
        <f>'Total Sunday-Holiday Boardings'!CO17/SUM('Service Days per Month'!CO$6:CO$7)</f>
        <v>674</v>
      </c>
      <c r="CP17" s="18">
        <f>'Total Sunday-Holiday Boardings'!CP17/SUM('Service Days per Month'!CP$6:CP$7)</f>
        <v>637.5</v>
      </c>
      <c r="CQ17" s="18">
        <f>'Total Sunday-Holiday Boardings'!CQ17/SUM('Service Days per Month'!CQ$6:CQ$7)</f>
        <v>717.2</v>
      </c>
      <c r="CR17" s="18">
        <f>'Total Sunday-Holiday Boardings'!CR17/SUM('Service Days per Month'!CR$6:CR$7)</f>
        <v>693.8</v>
      </c>
      <c r="CS17" s="18">
        <f>'Total Sunday-Holiday Boardings'!CS17/SUM('Service Days per Month'!CS$6:CS$7)</f>
        <v>985.42857142857144</v>
      </c>
      <c r="CT17" s="18">
        <f>'Total Sunday-Holiday Boardings'!CT17/SUM('Service Days per Month'!CT$6:CT$7)</f>
        <v>894.66666666666663</v>
      </c>
      <c r="CU17" s="18">
        <f>'Total Sunday-Holiday Boardings'!CU17/SUM('Service Days per Month'!CU$6:CU$7)</f>
        <v>735.71428571428567</v>
      </c>
      <c r="CV17" s="18">
        <f>'Total Sunday-Holiday Boardings'!CV17/SUM('Service Days per Month'!CV$6:CV$7)</f>
        <v>771.6</v>
      </c>
      <c r="CW17" s="18">
        <f>'Total Sunday-Holiday Boardings'!CW17/SUM('Service Days per Month'!CW$6:CW$7)</f>
        <v>713.5</v>
      </c>
      <c r="CX17" s="18">
        <f>'Total Sunday-Holiday Boardings'!CX17/SUM('Service Days per Month'!CX$6:CX$7)</f>
        <v>878.8</v>
      </c>
      <c r="CY17" s="18">
        <f>'Total Sunday-Holiday Boardings'!CY17/SUM('Service Days per Month'!CY$6:CY$7)</f>
        <v>822</v>
      </c>
      <c r="CZ17" s="19">
        <f>'Total Sunday-Holiday Boardings'!CZ17/SUM('Service Days per Month'!CZ$6:CZ$7)</f>
        <v>674.75</v>
      </c>
      <c r="DA17" s="17">
        <f>'Total Sunday-Holiday Boardings'!DA17/SUM('Service Days per Month'!DA$6:DA$7)</f>
        <v>693.83333333333337</v>
      </c>
      <c r="DB17" s="18">
        <f>'Total Sunday-Holiday Boardings'!DB17/SUM('Service Days per Month'!DB$6:DB$7)</f>
        <v>664</v>
      </c>
      <c r="DC17" s="18">
        <f>'Total Sunday-Holiday Boardings'!DC17/SUM('Service Days per Month'!DC$6:DC$7)</f>
        <v>644.79999999999995</v>
      </c>
      <c r="DD17" s="18">
        <f>'Total Sunday-Holiday Boardings'!DD17/SUM('Service Days per Month'!DD$6:DD$7)</f>
        <v>688</v>
      </c>
      <c r="DE17" s="18">
        <f>'Total Sunday-Holiday Boardings'!DE17/SUM('Service Days per Month'!DE$6:DE$7)</f>
        <v>780.28571428571433</v>
      </c>
      <c r="DF17" s="18">
        <f>'Total Sunday-Holiday Boardings'!DF17/SUM('Service Days per Month'!DF$6:DF$7)</f>
        <v>602.33333333333337</v>
      </c>
      <c r="DG17" s="18">
        <f>'Total Sunday-Holiday Boardings'!DG17/SUM('Service Days per Month'!DG$6:DG$7)</f>
        <v>832.16666666666663</v>
      </c>
      <c r="DH17" s="18">
        <f>'Total Sunday-Holiday Boardings'!DH17/SUM('Service Days per Month'!DH$6:DH$7)</f>
        <v>864.6</v>
      </c>
      <c r="DI17" s="18">
        <f>'Total Sunday-Holiday Boardings'!DI17/SUM('Service Days per Month'!DI$6:DI$7)</f>
        <v>767</v>
      </c>
      <c r="DJ17" s="18">
        <f>'Total Sunday-Holiday Boardings'!DJ17/SUM('Service Days per Month'!DJ$6:DJ$7)</f>
        <v>709.6</v>
      </c>
      <c r="DK17" s="18">
        <f>'Total Sunday-Holiday Boardings'!DK17/SUM('Service Days per Month'!DK$6:DK$7)</f>
        <v>722.4</v>
      </c>
      <c r="DL17" s="19">
        <f>'Total Sunday-Holiday Boardings'!DL17/SUM('Service Days per Month'!DL$6:DL$7)</f>
        <v>655</v>
      </c>
      <c r="DM17" s="17">
        <f>'Total Sunday-Holiday Boardings'!DM17/('Service Days per Month'!DM$6+'Service Days per Month'!DM$7)</f>
        <v>691.66666666666663</v>
      </c>
      <c r="DN17" s="18">
        <f>'Total Sunday-Holiday Boardings'!DN17/('Service Days per Month'!DN$6+'Service Days per Month'!DN$7)</f>
        <v>625.75</v>
      </c>
      <c r="DO17" s="18">
        <f>'Total Sunday-Holiday Boardings'!DO17/('Service Days per Month'!DO$6+'Service Days per Month'!DO$7)</f>
        <v>681.83333333333337</v>
      </c>
      <c r="DP17" s="18">
        <f>'Total Sunday-Holiday Boardings'!DP17/('Service Days per Month'!DP$6+'Service Days per Month'!DP$7)</f>
        <v>703.75</v>
      </c>
      <c r="DQ17" s="18">
        <f>'Total Sunday-Holiday Boardings'!DQ17/('Service Days per Month'!DQ$6+'Service Days per Month'!DQ$7)</f>
        <v>686.6</v>
      </c>
      <c r="DR17" s="18">
        <f>'Total Sunday-Holiday Boardings'!DR17/('Service Days per Month'!DR$6+'Service Days per Month'!DR$7)</f>
        <v>632.16666666666663</v>
      </c>
      <c r="DS17" s="18">
        <f>'Total Sunday-Holiday Boardings'!DS17/('Service Days per Month'!DS$6+'Service Days per Month'!DS$7)</f>
        <v>636.79999999999995</v>
      </c>
      <c r="DT17" s="18">
        <f>'Total Sunday-Holiday Boardings'!DT17/('Service Days per Month'!DT$6+'Service Days per Month'!DT$7)</f>
        <v>654.75</v>
      </c>
      <c r="DU17" s="18">
        <f>'Total Sunday-Holiday Boardings'!DU17/('Service Days per Month'!DU$6+'Service Days per Month'!DU$7)</f>
        <v>717.4</v>
      </c>
      <c r="DV17" s="18">
        <f>'Total Sunday-Holiday Boardings'!DV17/('Service Days per Month'!DV$6+'Service Days per Month'!DV$7)</f>
        <v>743</v>
      </c>
      <c r="DW17" s="18">
        <f>'Total Sunday-Holiday Boardings'!DW17/('Service Days per Month'!DW$6+'Service Days per Month'!DW$7)</f>
        <v>692.4</v>
      </c>
      <c r="DX17" s="18">
        <f>'Total Sunday-Holiday Boardings'!DX17/('Service Days per Month'!DX$6+'Service Days per Month'!DX$7)</f>
        <v>622.4</v>
      </c>
      <c r="DY17" s="17">
        <f>'Total Sunday-Holiday Boardings'!DY17/('Service Days per Month'!DY$6+'Service Days per Month'!DY$7)</f>
        <v>607.79999999999995</v>
      </c>
      <c r="DZ17" s="18">
        <f>'Total Sunday-Holiday Boardings'!DZ17/('Service Days per Month'!DZ$6+'Service Days per Month'!DZ$7)</f>
        <v>694.75</v>
      </c>
      <c r="EA17" s="18">
        <f>'Total Sunday-Holiday Boardings'!EA17/('Service Days per Month'!EA$6+'Service Days per Month'!EA$7)</f>
        <v>653.33333333333337</v>
      </c>
      <c r="EB17" s="18">
        <f>'Total Sunday-Holiday Boardings'!EB17/('Service Days per Month'!EB$6+'Service Days per Month'!EB$7)</f>
        <v>654.25</v>
      </c>
      <c r="EC17" s="18">
        <f>'Total Sunday-Holiday Boardings'!EC17/('Service Days per Month'!EC$6+'Service Days per Month'!EC$7)</f>
        <v>645.79999999999995</v>
      </c>
      <c r="ED17" s="18">
        <f>'Total Sunday-Holiday Boardings'!ED17/('Service Days per Month'!ED$6+'Service Days per Month'!ED$7)</f>
        <v>570.33333333333337</v>
      </c>
      <c r="EE17" s="18">
        <f>'Total Sunday-Holiday Boardings'!EE17/('Service Days per Month'!EE$6+'Service Days per Month'!EE$7)</f>
        <v>739.25</v>
      </c>
      <c r="EF17" s="18">
        <f>'Total Sunday-Holiday Boardings'!EF17/('Service Days per Month'!EF$6+'Service Days per Month'!EF$7)</f>
        <v>675</v>
      </c>
      <c r="EG17" s="18">
        <f>'Total Sunday-Holiday Boardings'!EG17/('Service Days per Month'!EG$6+'Service Days per Month'!EG$7)</f>
        <v>557</v>
      </c>
      <c r="EH17" s="18">
        <f>'Total Sunday-Holiday Boardings'!EH17/('Service Days per Month'!EH$6+'Service Days per Month'!EH$7)</f>
        <v>393.75</v>
      </c>
      <c r="EI17" s="18">
        <f>'Total Sunday-Holiday Boardings'!EI17/('Service Days per Month'!EI$6+'Service Days per Month'!EI$7)</f>
        <v>390.66666666666669</v>
      </c>
      <c r="EJ17" s="18">
        <f>'Total Sunday-Holiday Boardings'!EJ17/('Service Days per Month'!EJ$6+'Service Days per Month'!EJ$7)</f>
        <v>349</v>
      </c>
      <c r="EK17" s="17">
        <f>'Total Sunday-Holiday Boardings'!EK17/('Service Days per Month'!EK$6+'Service Days per Month'!EK$7)</f>
        <v>352.6</v>
      </c>
      <c r="EL17" s="18">
        <f>'Total Sunday-Holiday Boardings'!EL17/('Service Days per Month'!EL$6+'Service Days per Month'!EL$7)</f>
        <v>333.8</v>
      </c>
      <c r="EM17" s="18">
        <f>'Total Sunday-Holiday Boardings'!EM17/('Service Days per Month'!EM$6+'Service Days per Month'!EM$7)</f>
        <v>333.8</v>
      </c>
      <c r="EN17" s="18">
        <f>'Total Sunday-Holiday Boardings'!EN17/('Service Days per Month'!EN$6+'Service Days per Month'!EN$7)</f>
        <v>352.75</v>
      </c>
      <c r="EO17" s="18">
        <f>'Total Sunday-Holiday Boardings'!EO17/('Service Days per Month'!EO$6+'Service Days per Month'!EO$7)</f>
        <v>250.33333333333334</v>
      </c>
      <c r="EP17" s="18">
        <f>'Total Sunday-Holiday Boardings'!EP17/('Service Days per Month'!EP$6+'Service Days per Month'!EP$7)</f>
        <v>228.6</v>
      </c>
      <c r="EQ17" s="18">
        <f>'Total Sunday-Holiday Boardings'!EQ17/('Service Days per Month'!EQ$6+'Service Days per Month'!EQ$7)</f>
        <v>152.19999999999999</v>
      </c>
      <c r="ER17" s="18">
        <f>'Total Sunday-Holiday Boardings'!ER17/('Service Days per Month'!ER$6+'Service Days per Month'!ER$7)</f>
        <v>329.5</v>
      </c>
      <c r="ES17" s="18">
        <f>'Total Sunday-Holiday Boardings'!ES17/('Service Days per Month'!ES$6+'Service Days per Month'!ES$7)</f>
        <v>340.5</v>
      </c>
      <c r="ET17" s="18">
        <f>'Total Sunday-Holiday Boardings'!ET17/('Service Days per Month'!ET$6+'Service Days per Month'!ET$7)</f>
        <v>360.25</v>
      </c>
      <c r="EU17" s="18">
        <f>'Total Sunday-Holiday Boardings'!EU17/('Service Days per Month'!EU$6+'Service Days per Month'!EU$7)</f>
        <v>308.16666666666669</v>
      </c>
      <c r="EV17" s="18">
        <f>'Total Sunday-Holiday Boardings'!EV17/('Service Days per Month'!EV$6+'Service Days per Month'!EV$7)</f>
        <v>348.25</v>
      </c>
      <c r="EW17" s="17">
        <f>'Total Sunday-Holiday Boardings'!EW17/('Service Days per Month'!EW$6+'Service Days per Month'!EW$7)</f>
        <v>382.4</v>
      </c>
      <c r="EX17" s="18">
        <f>'Total Sunday-Holiday Boardings'!EX17/('Service Days per Month'!EX$6+'Service Days per Month'!EX$7)</f>
        <v>487.2</v>
      </c>
      <c r="EY17" s="18">
        <f>'Total Sunday-Holiday Boardings'!EY17/('Service Days per Month'!EY$6+'Service Days per Month'!EY$7)</f>
        <v>369.2</v>
      </c>
      <c r="EZ17" s="18">
        <f>'Total Sunday-Holiday Boardings'!EZ17/('Service Days per Month'!EZ$6+'Service Days per Month'!EZ$7)</f>
        <v>383.2</v>
      </c>
      <c r="FA17" s="18">
        <f>'Total Sunday-Holiday Boardings'!FA17/('Service Days per Month'!FA$6+'Service Days per Month'!FA$7)</f>
        <v>368.8</v>
      </c>
      <c r="FB17" s="18">
        <f>'Total Sunday-Holiday Boardings'!FB17/('Service Days per Month'!FB$6+'Service Days per Month'!FB$7)</f>
        <v>490.6</v>
      </c>
      <c r="FC17" s="18">
        <f>'Total Sunday-Holiday Boardings'!FC17/('Service Days per Month'!FC$6+'Service Days per Month'!FC$7)</f>
        <v>389.2</v>
      </c>
      <c r="FD17" s="18">
        <f>'Total Sunday-Holiday Boardings'!FD17/('Service Days per Month'!FD$6+'Service Days per Month'!FD$7)</f>
        <v>453</v>
      </c>
      <c r="FE17" s="18">
        <f>'Total Sunday-Holiday Boardings'!FE17/('Service Days per Month'!FE$6+'Service Days per Month'!FE$7)</f>
        <v>507.75</v>
      </c>
      <c r="FF17" s="18">
        <f>'Total Sunday-Holiday Boardings'!FF17/('Service Days per Month'!FF$6+'Service Days per Month'!FF$7)</f>
        <v>504.75</v>
      </c>
      <c r="FG17" s="18">
        <f>'Total Sunday-Holiday Boardings'!FG17/('Service Days per Month'!FG$6+'Service Days per Month'!FG$7)</f>
        <v>443.5</v>
      </c>
      <c r="FH17" s="18">
        <f>'Total Sunday-Holiday Boardings'!FH17/('Service Days per Month'!FH$6+'Service Days per Month'!FH$7)</f>
        <v>385.5</v>
      </c>
      <c r="FI17" s="17">
        <v>413.16666666666669</v>
      </c>
      <c r="FJ17" s="18">
        <v>377.5</v>
      </c>
      <c r="FK17" s="18">
        <v>437</v>
      </c>
      <c r="FL17" s="18">
        <v>461.4</v>
      </c>
      <c r="FM17" s="18">
        <v>374.2</v>
      </c>
      <c r="FN17" s="18">
        <v>400.6</v>
      </c>
      <c r="FO17" s="18">
        <v>489.4</v>
      </c>
      <c r="FP17" s="18">
        <v>505</v>
      </c>
      <c r="FQ17" s="18">
        <v>535</v>
      </c>
      <c r="FR17" s="18">
        <f>'Total Sunday-Holiday Boardings'!FR17/5</f>
        <v>496</v>
      </c>
      <c r="FS17" s="18">
        <f>'Total Sunday-Holiday Boardings'!FS17/5</f>
        <v>518.20000000000005</v>
      </c>
      <c r="FT17" s="21">
        <f>'Total Sunday-Holiday Boardings'!FT17/4</f>
        <v>521.5</v>
      </c>
      <c r="FU17" s="18">
        <f>'Total Sunday-Holiday Boardings'!FU17/5</f>
        <v>601.20000000000005</v>
      </c>
      <c r="FV17" s="18">
        <f>'Total Sunday-Holiday Boardings'!FV17/4</f>
        <v>695.25</v>
      </c>
      <c r="FW17" s="18">
        <f>'Total Sunday-Holiday Boardings'!FW17/4</f>
        <v>587.75</v>
      </c>
      <c r="FX17" s="18">
        <f>'Total Sunday-Holiday Boardings'!FX17/5</f>
        <v>497.8</v>
      </c>
      <c r="FY17" s="18">
        <f>'Total Sunday-Holiday Boardings'!FY17/4</f>
        <v>548.5</v>
      </c>
      <c r="FZ17" s="18">
        <f>'Total Sunday-Holiday Boardings'!FZ17/5</f>
        <v>541.20000000000005</v>
      </c>
      <c r="GA17" s="18">
        <f>'Total Sunday-Holiday Boardings'!GA17/4</f>
        <v>745</v>
      </c>
      <c r="GB17" s="18">
        <f>'Total Sunday-Holiday Boardings'!GB17/4</f>
        <v>581</v>
      </c>
      <c r="GC17" s="18">
        <f>'Total Sunday-Holiday Boardings'!GC17/5</f>
        <v>570.6</v>
      </c>
      <c r="GD17" s="18">
        <f>'Total Sunday-Holiday Boardings'!GD17/4</f>
        <v>627</v>
      </c>
      <c r="GE17" s="18">
        <f>'Total Sunday-Holiday Boardings'!GE17/4</f>
        <v>693.75</v>
      </c>
      <c r="GF17" s="18">
        <f>'Total Sunday-Holiday Boardings'!GF17/5</f>
        <v>539.79999999999995</v>
      </c>
      <c r="GG17" s="18">
        <f>'Total Sunday-Holiday Boardings'!GG17/4</f>
        <v>604.75</v>
      </c>
      <c r="GH17" s="18">
        <f>'Total Sunday-Holiday Boardings'!GH17/4</f>
        <v>499</v>
      </c>
      <c r="GI17" s="18">
        <f>'Total Sunday-Holiday Boardings'!GI17/5</f>
        <v>660.4</v>
      </c>
      <c r="GJ17" s="18">
        <f>'Total Sunday-Holiday Boardings'!GJ17/4</f>
        <v>565.5</v>
      </c>
      <c r="GK17" s="18">
        <f>'Total Sunday-Holiday Boardings'!GK17/4</f>
        <v>584</v>
      </c>
      <c r="GL17" s="18">
        <f>'Total Sunday-Holiday Boardings'!GL17/5</f>
        <v>538</v>
      </c>
    </row>
    <row r="18" spans="1:194" x14ac:dyDescent="0.3">
      <c r="A18" s="3" t="s">
        <v>11</v>
      </c>
      <c r="B18" s="17"/>
      <c r="C18" s="18">
        <f>'Total Sunday-Holiday Boardings'!C18/SUM('Service Days per Month'!C$6:C$7)</f>
        <v>403.4</v>
      </c>
      <c r="D18" s="18">
        <f>'Total Sunday-Holiday Boardings'!D18/SUM('Service Days per Month'!D$6:D$7)</f>
        <v>478.25</v>
      </c>
      <c r="E18" s="18">
        <f>'Total Sunday-Holiday Boardings'!E18/SUM('Service Days per Month'!E$6:E$7)</f>
        <v>563</v>
      </c>
      <c r="F18" s="18">
        <f>'Total Sunday-Holiday Boardings'!F18/SUM('Service Days per Month'!F$6:F$7)</f>
        <v>251.6</v>
      </c>
      <c r="G18" s="18">
        <f>'Total Sunday-Holiday Boardings'!G18/SUM('Service Days per Month'!G$6:G$7)</f>
        <v>267</v>
      </c>
      <c r="H18" s="19">
        <f>'Total Sunday-Holiday Boardings'!H18/SUM('Service Days per Month'!H$6:H$7)</f>
        <v>232.25</v>
      </c>
      <c r="I18" s="17">
        <f>'Total Sunday-Holiday Boardings'!I18/SUM('Service Days per Month'!I$6:I$7)</f>
        <v>250.8</v>
      </c>
      <c r="J18" s="18">
        <f>'Total Sunday-Holiday Boardings'!J18/SUM('Service Days per Month'!J$6:J$7)</f>
        <v>199.8</v>
      </c>
      <c r="K18" s="18">
        <f>'Total Sunday-Holiday Boardings'!K18/SUM('Service Days per Month'!K$6:K$7)</f>
        <v>220</v>
      </c>
      <c r="L18" s="18">
        <f>'Total Sunday-Holiday Boardings'!L18/SUM('Service Days per Month'!L$6:L$7)</f>
        <v>234</v>
      </c>
      <c r="M18" s="18">
        <f>'Total Sunday-Holiday Boardings'!M18/SUM('Service Days per Month'!M$6:M$7)</f>
        <v>361.66666666666669</v>
      </c>
      <c r="N18" s="18">
        <f>'Total Sunday-Holiday Boardings'!N18/SUM('Service Days per Month'!N$6:N$7)</f>
        <v>194.8</v>
      </c>
      <c r="O18" s="79">
        <f>'Total Sunday-Holiday Boardings'!O18/SUM('Service Days per Month'!O$6:O$7)</f>
        <v>290</v>
      </c>
      <c r="P18" s="79">
        <f>'Total Sunday-Holiday Boardings'!P18/SUM('Service Days per Month'!P$6:P$7)</f>
        <v>466</v>
      </c>
      <c r="Q18" s="79">
        <f>'Total Sunday-Holiday Boardings'!Q18/SUM('Service Days per Month'!Q$6:Q$7)</f>
        <v>506.25</v>
      </c>
      <c r="R18" s="79">
        <f>'Total Sunday-Holiday Boardings'!R18/SUM('Service Days per Month'!R$6:R$7)</f>
        <v>263.25</v>
      </c>
      <c r="S18" s="79">
        <f>'Total Sunday-Holiday Boardings'!S18/SUM('Service Days per Month'!S$6:S$7)</f>
        <v>263.83333333333331</v>
      </c>
      <c r="T18" s="80">
        <f>'Total Sunday-Holiday Boardings'!T18/SUM('Service Days per Month'!T$6:T$7)</f>
        <v>199.5</v>
      </c>
      <c r="U18" s="81">
        <f>'Total Sunday-Holiday Boardings'!U18/SUM('Service Days per Month'!U$6:U$7)</f>
        <v>173.4</v>
      </c>
      <c r="V18" s="79">
        <f>'Total Sunday-Holiday Boardings'!V18/SUM('Service Days per Month'!V$6:V$7)</f>
        <v>160.6</v>
      </c>
      <c r="W18" s="79">
        <f>'Total Sunday-Holiday Boardings'!W18/SUM('Service Days per Month'!W$6:W$7)</f>
        <v>216.4</v>
      </c>
      <c r="X18" s="79">
        <f>'Total Sunday-Holiday Boardings'!X18/SUM('Service Days per Month'!X$6:X$7)</f>
        <v>233.6</v>
      </c>
      <c r="Y18" s="79">
        <f>'Total Sunday-Holiday Boardings'!Y18/SUM('Service Days per Month'!Y$6:Y$7)</f>
        <v>287</v>
      </c>
      <c r="Z18" s="79">
        <f>'Total Sunday-Holiday Boardings'!Z18/SUM('Service Days per Month'!Z$6:Z$7)</f>
        <v>129.42857142857142</v>
      </c>
      <c r="AA18" s="18">
        <f>'Total Sunday-Holiday Boardings'!AA18/SUM('Service Days per Month'!AA$6:AA$7)</f>
        <v>219.16666666666666</v>
      </c>
      <c r="AB18" s="18">
        <f>'Total Sunday-Holiday Boardings'!AB18/SUM('Service Days per Month'!AB$6:AB$7)</f>
        <v>303</v>
      </c>
      <c r="AC18" s="18">
        <f>'Total Sunday-Holiday Boardings'!AC18/SUM('Service Days per Month'!AC$6:AC$7)</f>
        <v>445.5</v>
      </c>
      <c r="AD18" s="18">
        <f>'Total Sunday-Holiday Boardings'!AD18/SUM('Service Days per Month'!AD$6:AD$7)</f>
        <v>245.25</v>
      </c>
      <c r="AE18" s="18">
        <f>'Total Sunday-Holiday Boardings'!AE18/SUM('Service Days per Month'!AE$6:AE$7)</f>
        <v>254.83333333333334</v>
      </c>
      <c r="AF18" s="19">
        <f>'Total Sunday-Holiday Boardings'!AF18/SUM('Service Days per Month'!AF$6:AF$7)</f>
        <v>211.5</v>
      </c>
      <c r="AG18" s="17">
        <f>'Total Sunday-Holiday Boardings'!AG18/SUM('Service Days per Month'!AG$6:AG$7)</f>
        <v>295</v>
      </c>
      <c r="AH18" s="18">
        <f>'Total Sunday-Holiday Boardings'!AH18/SUM('Service Days per Month'!AH$6:AH$7)</f>
        <v>214.5</v>
      </c>
      <c r="AI18" s="18">
        <f>'Total Sunday-Holiday Boardings'!AI18/SUM('Service Days per Month'!AI$6:AI$7)</f>
        <v>236.6</v>
      </c>
      <c r="AJ18" s="18">
        <f>'Total Sunday-Holiday Boardings'!AJ18/SUM('Service Days per Month'!AJ$6:AJ$7)</f>
        <v>270.8</v>
      </c>
      <c r="AK18" s="18">
        <f>'Total Sunday-Holiday Boardings'!AK18/SUM('Service Days per Month'!AK$6:AK$7)</f>
        <v>250</v>
      </c>
      <c r="AL18" s="18">
        <f>'Total Sunday-Holiday Boardings'!AL18/SUM('Service Days per Month'!AL$6:AL$7)</f>
        <v>182.5</v>
      </c>
      <c r="AM18" s="18">
        <f>'Total Sunday-Holiday Boardings'!AM18/SUM('Service Days per Month'!AM$6:AM$7)</f>
        <v>261.71428571428572</v>
      </c>
      <c r="AN18" s="18">
        <f>'Total Sunday-Holiday Boardings'!AN18/SUM('Service Days per Month'!AN$6:AN$7)</f>
        <v>333.2</v>
      </c>
      <c r="AO18" s="18">
        <f>'Total Sunday-Holiday Boardings'!AO18/SUM('Service Days per Month'!AO$6:AO$7)</f>
        <v>425.25</v>
      </c>
      <c r="AP18" s="18">
        <f>'Total Sunday-Holiday Boardings'!AP18/SUM('Service Days per Month'!AP$6:AP$7)</f>
        <v>294.8</v>
      </c>
      <c r="AQ18" s="18">
        <f>'Total Sunday-Holiday Boardings'!AQ18/SUM('Service Days per Month'!AQ$6:AQ$7)</f>
        <v>330.4</v>
      </c>
      <c r="AR18" s="19">
        <f>'Total Sunday-Holiday Boardings'!AR18/SUM('Service Days per Month'!AR$6:AR$7)</f>
        <v>248.25</v>
      </c>
      <c r="AS18" s="17">
        <f>'Total Sunday-Holiday Boardings'!AS18/SUM('Service Days per Month'!AS$6:AS$7)</f>
        <v>331.66666666666669</v>
      </c>
      <c r="AT18" s="18">
        <f>'Total Sunday-Holiday Boardings'!AT18/SUM('Service Days per Month'!AT$6:AT$7)</f>
        <v>228</v>
      </c>
      <c r="AU18" s="18">
        <f>'Total Sunday-Holiday Boardings'!AU18/SUM('Service Days per Month'!AU$6:AU$7)</f>
        <v>266.33333333333331</v>
      </c>
      <c r="AV18" s="18">
        <f>'Total Sunday-Holiday Boardings'!AV18/SUM('Service Days per Month'!AV$6:AV$7)</f>
        <v>321.75</v>
      </c>
      <c r="AW18" s="18">
        <f>'Total Sunday-Holiday Boardings'!AW18/SUM('Service Days per Month'!AW$6:AW$7)</f>
        <v>273</v>
      </c>
      <c r="AX18" s="18">
        <f>'Total Sunday-Holiday Boardings'!AX18/SUM('Service Days per Month'!AX$6:AX$7)</f>
        <v>228.42857142857142</v>
      </c>
      <c r="AY18" s="18">
        <f>'Total Sunday-Holiday Boardings'!AY18/SUM('Service Days per Month'!AY$6:AY$7)</f>
        <v>302.66666666666669</v>
      </c>
      <c r="AZ18" s="18">
        <f>'Total Sunday-Holiday Boardings'!AZ18/SUM('Service Days per Month'!AZ$6:AZ$7)</f>
        <v>374.4</v>
      </c>
      <c r="BA18" s="18">
        <f>'Total Sunday-Holiday Boardings'!BA18/SUM('Service Days per Month'!BA$6:BA$7)</f>
        <v>396</v>
      </c>
      <c r="BB18" s="18">
        <f>'Total Sunday-Holiday Boardings'!BB18/SUM('Service Days per Month'!BB$6:BB$7)</f>
        <v>369.75</v>
      </c>
      <c r="BC18" s="18">
        <f>'Total Sunday-Holiday Boardings'!BC18/SUM('Service Days per Month'!BC$6:BC$7)</f>
        <v>381.2</v>
      </c>
      <c r="BD18" s="19">
        <f>'Total Sunday-Holiday Boardings'!BD18/SUM('Service Days per Month'!BD$6:BD$7)</f>
        <v>301.8</v>
      </c>
      <c r="BE18" s="17">
        <f>'Total Sunday-Holiday Boardings'!BE18/SUM('Service Days per Month'!BE$6:BE$7)</f>
        <v>341</v>
      </c>
      <c r="BF18" s="18">
        <f>'Total Sunday-Holiday Boardings'!BF18/SUM('Service Days per Month'!BF$6:BF$7)</f>
        <v>285.25</v>
      </c>
      <c r="BG18" s="18">
        <f>'Total Sunday-Holiday Boardings'!BG18/SUM('Service Days per Month'!BG$6:BG$7)</f>
        <v>263.66666666666669</v>
      </c>
      <c r="BH18" s="18">
        <f>'Total Sunday-Holiday Boardings'!BH18/SUM('Service Days per Month'!BH$6:BH$7)</f>
        <v>304.75</v>
      </c>
      <c r="BI18" s="18">
        <f>'Total Sunday-Holiday Boardings'!BI18/SUM('Service Days per Month'!BI$6:BI$7)</f>
        <v>277.32147314998969</v>
      </c>
      <c r="BJ18" s="18">
        <f>'Total Sunday-Holiday Boardings'!BJ18/SUM('Service Days per Month'!BJ$6:BJ$7)</f>
        <v>275.42857142857144</v>
      </c>
      <c r="BK18" s="18">
        <f>'Total Sunday-Holiday Boardings'!BK18/SUM('Service Days per Month'!BK$6:BK$7)</f>
        <v>311.33333333333331</v>
      </c>
      <c r="BL18" s="18">
        <f>'Total Sunday-Holiday Boardings'!BL18/SUM('Service Days per Month'!BL$6:BL$7)</f>
        <v>415.8</v>
      </c>
      <c r="BM18" s="18">
        <f>'Total Sunday-Holiday Boardings'!BM18/SUM('Service Days per Month'!BM$6:BM$7)</f>
        <v>411.2</v>
      </c>
      <c r="BN18" s="18">
        <f>'Total Sunday-Holiday Boardings'!BN18/SUM('Service Days per Month'!BN$6:BN$7)</f>
        <v>298.5</v>
      </c>
      <c r="BO18" s="18">
        <f>'Total Sunday-Holiday Boardings'!BO18/SUM('Service Days per Month'!BO$6:BO$7)</f>
        <v>269.8</v>
      </c>
      <c r="BP18" s="19">
        <f>'Total Sunday-Holiday Boardings'!BP18/SUM('Service Days per Month'!BP$6:BP$7)</f>
        <v>316.60000000000002</v>
      </c>
      <c r="BQ18" s="17">
        <f>'Total Sunday-Holiday Boardings'!BQ18/SUM('Service Days per Month'!BQ$6:BQ$7)</f>
        <v>337.4</v>
      </c>
      <c r="BR18" s="18">
        <f>'Total Sunday-Holiday Boardings'!BR18/SUM('Service Days per Month'!BR$6:BR$7)</f>
        <v>277.2</v>
      </c>
      <c r="BS18" s="18">
        <f>'Total Sunday-Holiday Boardings'!BS18/SUM('Service Days per Month'!BS$6:BS$7)</f>
        <v>277.60000000000002</v>
      </c>
      <c r="BT18" s="18">
        <f>'Total Sunday-Holiday Boardings'!BT18/SUM('Service Days per Month'!BT$6:BT$7)</f>
        <v>297.75</v>
      </c>
      <c r="BU18" s="18">
        <f>'Total Sunday-Holiday Boardings'!BU18/SUM('Service Days per Month'!BU$6:BU$7)</f>
        <v>332.625</v>
      </c>
      <c r="BV18" s="18">
        <f>'Total Sunday-Holiday Boardings'!BV18/SUM('Service Days per Month'!BV$6:BV$7)</f>
        <v>275.83333333333331</v>
      </c>
      <c r="BW18" s="18">
        <f>'Total Sunday-Holiday Boardings'!BW18/SUM('Service Days per Month'!BW$6:BW$7)</f>
        <v>354.66666666666669</v>
      </c>
      <c r="BX18" s="18">
        <f>'Total Sunday-Holiday Boardings'!BX18/SUM('Service Days per Month'!BX$6:BX$7)</f>
        <v>429.4</v>
      </c>
      <c r="BY18" s="18">
        <f>'Total Sunday-Holiday Boardings'!BY18/SUM('Service Days per Month'!BY$6:BY$7)</f>
        <v>430.2</v>
      </c>
      <c r="BZ18" s="18">
        <f>'Total Sunday-Holiday Boardings'!BZ18/SUM('Service Days per Month'!BZ$6:BZ$7)</f>
        <v>333.75</v>
      </c>
      <c r="CA18" s="18">
        <f>'Total Sunday-Holiday Boardings'!CA18/SUM('Service Days per Month'!CA$6:CA$7)</f>
        <v>332.66666666666669</v>
      </c>
      <c r="CB18" s="19">
        <f>'Total Sunday-Holiday Boardings'!CB18/SUM('Service Days per Month'!CB$6:CB$7)</f>
        <v>263.5</v>
      </c>
      <c r="CC18" s="20">
        <f>'Total Sunday-Holiday Boardings'!CC18/SUM('Service Days per Month'!CC$6:CC$7)</f>
        <v>325.39999999999998</v>
      </c>
      <c r="CD18" s="18">
        <f>'Total Sunday-Holiday Boardings'!CD18/SUM('Service Days per Month'!CD$6:CD$7)</f>
        <v>266.60000000000002</v>
      </c>
      <c r="CE18" s="18">
        <f>'Total Sunday-Holiday Boardings'!CE18/SUM('Service Days per Month'!CE$6:CE$7)</f>
        <v>318.39999999999998</v>
      </c>
      <c r="CF18" s="18">
        <f>'Total Sunday-Holiday Boardings'!CF18/SUM('Service Days per Month'!CF$6:CF$7)</f>
        <v>314</v>
      </c>
      <c r="CG18" s="18">
        <f>'Total Sunday-Holiday Boardings'!CG18/SUM('Service Days per Month'!CG$6:CG$7)</f>
        <v>348.875</v>
      </c>
      <c r="CH18" s="18">
        <f>'Total Sunday-Holiday Boardings'!CH18/SUM('Service Days per Month'!CH$6:CH$7)</f>
        <v>321.66666666666669</v>
      </c>
      <c r="CI18" s="18">
        <f>'Total Sunday-Holiday Boardings'!CI18/SUM('Service Days per Month'!CI$6:CI$7)</f>
        <v>352.28571428571428</v>
      </c>
      <c r="CJ18" s="18">
        <f>'Total Sunday-Holiday Boardings'!CJ18/SUM('Service Days per Month'!CJ$6:CJ$7)</f>
        <v>425.6</v>
      </c>
      <c r="CK18" s="18">
        <f>'Total Sunday-Holiday Boardings'!CK18/SUM('Service Days per Month'!CK$6:CK$7)</f>
        <v>450.75</v>
      </c>
      <c r="CL18" s="18">
        <f>'Total Sunday-Holiday Boardings'!CL18/SUM('Service Days per Month'!CL$6:CL$7)</f>
        <v>398.5</v>
      </c>
      <c r="CM18" s="18">
        <f>'Total Sunday-Holiday Boardings'!CM18/SUM('Service Days per Month'!CM$6:CM$7)</f>
        <v>329.5</v>
      </c>
      <c r="CN18" s="21">
        <f>'Total Sunday-Holiday Boardings'!CN18/SUM('Service Days per Month'!CN$6:CN$7)</f>
        <v>344</v>
      </c>
      <c r="CO18" s="17">
        <f>'Total Sunday-Holiday Boardings'!CO18/SUM('Service Days per Month'!CO$6:CO$7)</f>
        <v>351.83333333333331</v>
      </c>
      <c r="CP18" s="18">
        <f>'Total Sunday-Holiday Boardings'!CP18/SUM('Service Days per Month'!CP$6:CP$7)</f>
        <v>333</v>
      </c>
      <c r="CQ18" s="18">
        <f>'Total Sunday-Holiday Boardings'!CQ18/SUM('Service Days per Month'!CQ$6:CQ$7)</f>
        <v>414.4</v>
      </c>
      <c r="CR18" s="18">
        <f>'Total Sunday-Holiday Boardings'!CR18/SUM('Service Days per Month'!CR$6:CR$7)</f>
        <v>397.4</v>
      </c>
      <c r="CS18" s="18">
        <f>'Total Sunday-Holiday Boardings'!CS18/SUM('Service Days per Month'!CS$6:CS$7)</f>
        <v>439</v>
      </c>
      <c r="CT18" s="18">
        <f>'Total Sunday-Holiday Boardings'!CT18/SUM('Service Days per Month'!CT$6:CT$7)</f>
        <v>389.5</v>
      </c>
      <c r="CU18" s="18">
        <f>'Total Sunday-Holiday Boardings'!CU18/SUM('Service Days per Month'!CU$6:CU$7)</f>
        <v>355.71428571428572</v>
      </c>
      <c r="CV18" s="18">
        <f>'Total Sunday-Holiday Boardings'!CV18/SUM('Service Days per Month'!CV$6:CV$7)</f>
        <v>407.4</v>
      </c>
      <c r="CW18" s="18">
        <f>'Total Sunday-Holiday Boardings'!CW18/SUM('Service Days per Month'!CW$6:CW$7)</f>
        <v>460.5</v>
      </c>
      <c r="CX18" s="18">
        <f>'Total Sunday-Holiday Boardings'!CX18/SUM('Service Days per Month'!CX$6:CX$7)</f>
        <v>490.2</v>
      </c>
      <c r="CY18" s="18">
        <f>'Total Sunday-Holiday Boardings'!CY18/SUM('Service Days per Month'!CY$6:CY$7)</f>
        <v>338.2</v>
      </c>
      <c r="CZ18" s="19">
        <f>'Total Sunday-Holiday Boardings'!CZ18/SUM('Service Days per Month'!CZ$6:CZ$7)</f>
        <v>309.25</v>
      </c>
      <c r="DA18" s="17">
        <f>'Total Sunday-Holiday Boardings'!DA18/SUM('Service Days per Month'!DA$6:DA$7)</f>
        <v>284.66666666666669</v>
      </c>
      <c r="DB18" s="18">
        <f>'Total Sunday-Holiday Boardings'!DB18/SUM('Service Days per Month'!DB$6:DB$7)</f>
        <v>322.5</v>
      </c>
      <c r="DC18" s="18">
        <f>'Total Sunday-Holiday Boardings'!DC18/SUM('Service Days per Month'!DC$6:DC$7)</f>
        <v>244.6</v>
      </c>
      <c r="DD18" s="18">
        <f>'Total Sunday-Holiday Boardings'!DD18/SUM('Service Days per Month'!DD$6:DD$7)</f>
        <v>286</v>
      </c>
      <c r="DE18" s="18">
        <f>'Total Sunday-Holiday Boardings'!DE18/SUM('Service Days per Month'!DE$6:DE$7)</f>
        <v>314.14285714285717</v>
      </c>
      <c r="DF18" s="18">
        <f>'Total Sunday-Holiday Boardings'!DF18/SUM('Service Days per Month'!DF$6:DF$7)</f>
        <v>240.33333333333334</v>
      </c>
      <c r="DG18" s="18">
        <f>'Total Sunday-Holiday Boardings'!DG18/SUM('Service Days per Month'!DG$6:DG$7)</f>
        <v>279</v>
      </c>
      <c r="DH18" s="18">
        <f>'Total Sunday-Holiday Boardings'!DH18/SUM('Service Days per Month'!DH$6:DH$7)</f>
        <v>336.6</v>
      </c>
      <c r="DI18" s="18">
        <f>'Total Sunday-Holiday Boardings'!DI18/SUM('Service Days per Month'!DI$6:DI$7)</f>
        <v>390.75</v>
      </c>
      <c r="DJ18" s="18">
        <f>'Total Sunday-Holiday Boardings'!DJ18/SUM('Service Days per Month'!DJ$6:DJ$7)</f>
        <v>274.2</v>
      </c>
      <c r="DK18" s="18">
        <f>'Total Sunday-Holiday Boardings'!DK18/SUM('Service Days per Month'!DK$6:DK$7)</f>
        <v>309.39999999999998</v>
      </c>
      <c r="DL18" s="19">
        <f>'Total Sunday-Holiday Boardings'!DL18/SUM('Service Days per Month'!DL$6:DL$7)</f>
        <v>283</v>
      </c>
      <c r="DM18" s="17">
        <f>'Total Sunday-Holiday Boardings'!DM18/('Service Days per Month'!DM$6+'Service Days per Month'!DM$7)</f>
        <v>267.5</v>
      </c>
      <c r="DN18" s="18">
        <f>'Total Sunday-Holiday Boardings'!DN18/('Service Days per Month'!DN$6+'Service Days per Month'!DN$7)</f>
        <v>244.25</v>
      </c>
      <c r="DO18" s="18">
        <f>'Total Sunday-Holiday Boardings'!DO18/('Service Days per Month'!DO$6+'Service Days per Month'!DO$7)</f>
        <v>271.16666666666669</v>
      </c>
      <c r="DP18" s="18">
        <f>'Total Sunday-Holiday Boardings'!DP18/('Service Days per Month'!DP$6+'Service Days per Month'!DP$7)</f>
        <v>283</v>
      </c>
      <c r="DQ18" s="18">
        <f>'Total Sunday-Holiday Boardings'!DQ18/('Service Days per Month'!DQ$6+'Service Days per Month'!DQ$7)</f>
        <v>282.2</v>
      </c>
      <c r="DR18" s="18">
        <f>'Total Sunday-Holiday Boardings'!DR18/('Service Days per Month'!DR$6+'Service Days per Month'!DR$7)</f>
        <v>268.83333333333331</v>
      </c>
      <c r="DS18" s="18">
        <f>'Total Sunday-Holiday Boardings'!DS18/('Service Days per Month'!DS$6+'Service Days per Month'!DS$7)</f>
        <v>261.2</v>
      </c>
      <c r="DT18" s="18">
        <f>'Total Sunday-Holiday Boardings'!DT18/('Service Days per Month'!DT$6+'Service Days per Month'!DT$7)</f>
        <v>314.25</v>
      </c>
      <c r="DU18" s="18">
        <f>'Total Sunday-Holiday Boardings'!DU18/('Service Days per Month'!DU$6+'Service Days per Month'!DU$7)</f>
        <v>394.8</v>
      </c>
      <c r="DV18" s="18">
        <f>'Total Sunday-Holiday Boardings'!DV18/('Service Days per Month'!DV$6+'Service Days per Month'!DV$7)</f>
        <v>80.5</v>
      </c>
      <c r="DW18" s="18">
        <f>'Total Sunday-Holiday Boardings'!DW18/('Service Days per Month'!DW$6+'Service Days per Month'!DW$7)</f>
        <v>283</v>
      </c>
      <c r="DX18" s="18">
        <f>'Total Sunday-Holiday Boardings'!DX18/('Service Days per Month'!DX$6+'Service Days per Month'!DX$7)</f>
        <v>218.8</v>
      </c>
      <c r="DY18" s="17">
        <f>'Total Sunday-Holiday Boardings'!DY18/('Service Days per Month'!DY$6+'Service Days per Month'!DY$7)</f>
        <v>220.6</v>
      </c>
      <c r="DZ18" s="18">
        <f>'Total Sunday-Holiday Boardings'!DZ18/('Service Days per Month'!DZ$6+'Service Days per Month'!DZ$7)</f>
        <v>223</v>
      </c>
      <c r="EA18" s="18">
        <f>'Total Sunday-Holiday Boardings'!EA18/('Service Days per Month'!EA$6+'Service Days per Month'!EA$7)</f>
        <v>240.16666666666666</v>
      </c>
      <c r="EB18" s="18">
        <f>'Total Sunday-Holiday Boardings'!EB18/('Service Days per Month'!EB$6+'Service Days per Month'!EB$7)</f>
        <v>254.75</v>
      </c>
      <c r="EC18" s="18">
        <f>'Total Sunday-Holiday Boardings'!EC18/('Service Days per Month'!EC$6+'Service Days per Month'!EC$7)</f>
        <v>301.8</v>
      </c>
      <c r="ED18" s="18">
        <f>'Total Sunday-Holiday Boardings'!ED18/('Service Days per Month'!ED$6+'Service Days per Month'!ED$7)</f>
        <v>230.16666666666666</v>
      </c>
      <c r="EE18" s="18">
        <f>'Total Sunday-Holiday Boardings'!EE18/('Service Days per Month'!EE$6+'Service Days per Month'!EE$7)</f>
        <v>306</v>
      </c>
      <c r="EF18" s="18">
        <f>'Total Sunday-Holiday Boardings'!EF18/('Service Days per Month'!EF$6+'Service Days per Month'!EF$7)</f>
        <v>342.5</v>
      </c>
      <c r="EG18" s="18">
        <f>'Total Sunday-Holiday Boardings'!EG18/('Service Days per Month'!EG$6+'Service Days per Month'!EG$7)</f>
        <v>278</v>
      </c>
      <c r="EH18" s="18">
        <f>'Total Sunday-Holiday Boardings'!EH18/('Service Days per Month'!EH$6+'Service Days per Month'!EH$7)</f>
        <v>149.25</v>
      </c>
      <c r="EI18" s="18">
        <f>'Total Sunday-Holiday Boardings'!EI18/('Service Days per Month'!EI$6+'Service Days per Month'!EI$7)</f>
        <v>123</v>
      </c>
      <c r="EJ18" s="18">
        <f>'Total Sunday-Holiday Boardings'!EJ18/('Service Days per Month'!EJ$6+'Service Days per Month'!EJ$7)</f>
        <v>137.25</v>
      </c>
      <c r="EK18" s="17">
        <f>'Total Sunday-Holiday Boardings'!EK18/('Service Days per Month'!EK$6+'Service Days per Month'!EK$7)</f>
        <v>126.2</v>
      </c>
      <c r="EL18" s="18">
        <f>'Total Sunday-Holiday Boardings'!EL18/('Service Days per Month'!EL$6+'Service Days per Month'!EL$7)</f>
        <v>122.2</v>
      </c>
      <c r="EM18" s="18">
        <f>'Total Sunday-Holiday Boardings'!EM18/('Service Days per Month'!EM$6+'Service Days per Month'!EM$7)</f>
        <v>138.80000000000001</v>
      </c>
      <c r="EN18" s="18">
        <f>'Total Sunday-Holiday Boardings'!EN18/('Service Days per Month'!EN$6+'Service Days per Month'!EN$7)</f>
        <v>140.75</v>
      </c>
      <c r="EO18" s="18">
        <f>'Total Sunday-Holiday Boardings'!EO18/('Service Days per Month'!EO$6+'Service Days per Month'!EO$7)</f>
        <v>96</v>
      </c>
      <c r="EP18" s="18">
        <f>'Total Sunday-Holiday Boardings'!EP18/('Service Days per Month'!EP$6+'Service Days per Month'!EP$7)</f>
        <v>93.2</v>
      </c>
      <c r="EQ18" s="18">
        <f>'Total Sunday-Holiday Boardings'!EQ18/('Service Days per Month'!EQ$6+'Service Days per Month'!EQ$7)</f>
        <v>63.4</v>
      </c>
      <c r="ER18" s="18">
        <f>'Total Sunday-Holiday Boardings'!ER18/('Service Days per Month'!ER$6+'Service Days per Month'!ER$7)</f>
        <v>143</v>
      </c>
      <c r="ES18" s="18">
        <f>'Total Sunday-Holiday Boardings'!ES18/('Service Days per Month'!ES$6+'Service Days per Month'!ES$7)</f>
        <v>151.5</v>
      </c>
      <c r="ET18" s="18">
        <f>'Total Sunday-Holiday Boardings'!ET18/('Service Days per Month'!ET$6+'Service Days per Month'!ET$7)</f>
        <v>154</v>
      </c>
      <c r="EU18" s="18">
        <f>'Total Sunday-Holiday Boardings'!EU18/('Service Days per Month'!EU$6+'Service Days per Month'!EU$7)</f>
        <v>127</v>
      </c>
      <c r="EV18" s="18">
        <f>'Total Sunday-Holiday Boardings'!EV18/('Service Days per Month'!EV$6+'Service Days per Month'!EV$7)</f>
        <v>167.5</v>
      </c>
      <c r="EW18" s="17">
        <f>'Total Sunday-Holiday Boardings'!EW18/('Service Days per Month'!EW$6+'Service Days per Month'!EW$7)</f>
        <v>138</v>
      </c>
      <c r="EX18" s="18">
        <f>'Total Sunday-Holiday Boardings'!EX18/('Service Days per Month'!EX$6+'Service Days per Month'!EX$7)</f>
        <v>181.4</v>
      </c>
      <c r="EY18" s="18">
        <f>'Total Sunday-Holiday Boardings'!EY18/('Service Days per Month'!EY$6+'Service Days per Month'!EY$7)</f>
        <v>133.6</v>
      </c>
      <c r="EZ18" s="18">
        <f>'Total Sunday-Holiday Boardings'!EZ18/('Service Days per Month'!EZ$6+'Service Days per Month'!EZ$7)</f>
        <v>134.80000000000001</v>
      </c>
      <c r="FA18" s="18">
        <f>'Total Sunday-Holiday Boardings'!FA18/('Service Days per Month'!FA$6+'Service Days per Month'!FA$7)</f>
        <v>149.6</v>
      </c>
      <c r="FB18" s="18">
        <f>'Total Sunday-Holiday Boardings'!FB18/('Service Days per Month'!FB$6+'Service Days per Month'!FB$7)</f>
        <v>177</v>
      </c>
      <c r="FC18" s="18">
        <f>'Total Sunday-Holiday Boardings'!FC18/('Service Days per Month'!FC$6+'Service Days per Month'!FC$7)</f>
        <v>143</v>
      </c>
      <c r="FD18" s="18">
        <f>'Total Sunday-Holiday Boardings'!FD18/('Service Days per Month'!FD$6+'Service Days per Month'!FD$7)</f>
        <v>172</v>
      </c>
      <c r="FE18" s="18">
        <f>'Total Sunday-Holiday Boardings'!FE18/('Service Days per Month'!FE$6+'Service Days per Month'!FE$7)</f>
        <v>276</v>
      </c>
      <c r="FF18" s="18">
        <f>'Total Sunday-Holiday Boardings'!FF18/('Service Days per Month'!FF$6+'Service Days per Month'!FF$7)</f>
        <v>180</v>
      </c>
      <c r="FG18" s="18">
        <f>'Total Sunday-Holiday Boardings'!FG18/('Service Days per Month'!FG$6+'Service Days per Month'!FG$7)</f>
        <v>167.16666666666666</v>
      </c>
      <c r="FH18" s="18">
        <f>'Total Sunday-Holiday Boardings'!FH18/('Service Days per Month'!FH$6+'Service Days per Month'!FH$7)</f>
        <v>147.25</v>
      </c>
      <c r="FI18" s="17">
        <v>124.33333333333333</v>
      </c>
      <c r="FJ18" s="18">
        <v>132.25</v>
      </c>
      <c r="FK18" s="18">
        <v>150.19999999999999</v>
      </c>
      <c r="FL18" s="18">
        <v>166.6</v>
      </c>
      <c r="FM18" s="18">
        <v>125.4</v>
      </c>
      <c r="FN18" s="18">
        <v>168.2</v>
      </c>
      <c r="FO18" s="18">
        <v>198</v>
      </c>
      <c r="FP18" s="18">
        <v>231.75</v>
      </c>
      <c r="FQ18" s="18">
        <v>267.5</v>
      </c>
      <c r="FR18" s="18">
        <f>'Total Sunday-Holiday Boardings'!FR18/5</f>
        <v>189</v>
      </c>
      <c r="FS18" s="18">
        <f>'Total Sunday-Holiday Boardings'!FS18/5</f>
        <v>186.2</v>
      </c>
      <c r="FT18" s="21">
        <f>'Total Sunday-Holiday Boardings'!FT18/4</f>
        <v>188</v>
      </c>
      <c r="FU18" s="18">
        <f>'Total Sunday-Holiday Boardings'!FU18/5</f>
        <v>203.2</v>
      </c>
      <c r="FV18" s="18">
        <f>'Total Sunday-Holiday Boardings'!FV18/4</f>
        <v>257.75</v>
      </c>
      <c r="FW18" s="18">
        <f>'Total Sunday-Holiday Boardings'!FW18/4</f>
        <v>213.5</v>
      </c>
      <c r="FX18" s="18">
        <f>'Total Sunday-Holiday Boardings'!FX18/5</f>
        <v>191.8</v>
      </c>
      <c r="FY18" s="18">
        <f>'Total Sunday-Holiday Boardings'!FY18/4</f>
        <v>199.75</v>
      </c>
      <c r="FZ18" s="18">
        <f>'Total Sunday-Holiday Boardings'!FZ18/5</f>
        <v>199</v>
      </c>
      <c r="GA18" s="18">
        <f>'Total Sunday-Holiday Boardings'!GA18/4</f>
        <v>247</v>
      </c>
      <c r="GB18" s="18">
        <f>'Total Sunday-Holiday Boardings'!GB18/4</f>
        <v>276.25</v>
      </c>
      <c r="GC18" s="18">
        <f>'Total Sunday-Holiday Boardings'!GC18/5</f>
        <v>252.2</v>
      </c>
      <c r="GD18" s="18">
        <f>'Total Sunday-Holiday Boardings'!GD18/4</f>
        <v>245.25</v>
      </c>
      <c r="GE18" s="18">
        <f>'Total Sunday-Holiday Boardings'!GE18/4</f>
        <v>266.5</v>
      </c>
      <c r="GF18" s="18">
        <f>'Total Sunday-Holiday Boardings'!GF18/5</f>
        <v>212</v>
      </c>
      <c r="GG18" s="18">
        <f>'Total Sunday-Holiday Boardings'!GG18/4</f>
        <v>215</v>
      </c>
      <c r="GH18" s="18">
        <f>'Total Sunday-Holiday Boardings'!GH18/4</f>
        <v>169.5</v>
      </c>
      <c r="GI18" s="18">
        <f>'Total Sunday-Holiday Boardings'!GI18/5</f>
        <v>249</v>
      </c>
      <c r="GJ18" s="18">
        <f>'Total Sunday-Holiday Boardings'!GJ18/4</f>
        <v>215.75</v>
      </c>
      <c r="GK18" s="18">
        <f>'Total Sunday-Holiday Boardings'!GK18/4</f>
        <v>233</v>
      </c>
      <c r="GL18" s="18">
        <f>'Total Sunday-Holiday Boardings'!GL18/5</f>
        <v>213.6</v>
      </c>
    </row>
    <row r="19" spans="1:194" x14ac:dyDescent="0.3">
      <c r="A19" s="3" t="s">
        <v>12</v>
      </c>
      <c r="B19" s="17"/>
      <c r="C19" s="18">
        <f>'Total Sunday-Holiday Boardings'!C19/SUM('Service Days per Month'!C$6:C$7)</f>
        <v>910.8</v>
      </c>
      <c r="D19" s="18">
        <f>'Total Sunday-Holiday Boardings'!D19/SUM('Service Days per Month'!D$6:D$7)</f>
        <v>1041.25</v>
      </c>
      <c r="E19" s="18">
        <f>'Total Sunday-Holiday Boardings'!E19/SUM('Service Days per Month'!E$6:E$7)</f>
        <v>981</v>
      </c>
      <c r="F19" s="18">
        <f>'Total Sunday-Holiday Boardings'!F19/SUM('Service Days per Month'!F$6:F$7)</f>
        <v>744.8</v>
      </c>
      <c r="G19" s="18">
        <f>'Total Sunday-Holiday Boardings'!G19/SUM('Service Days per Month'!G$6:G$7)</f>
        <v>803.33333333333337</v>
      </c>
      <c r="H19" s="19">
        <f>'Total Sunday-Holiday Boardings'!H19/SUM('Service Days per Month'!H$6:H$7)</f>
        <v>742.75</v>
      </c>
      <c r="I19" s="17">
        <f>'Total Sunday-Holiday Boardings'!I19/SUM('Service Days per Month'!I$6:I$7)</f>
        <v>803.8</v>
      </c>
      <c r="J19" s="18">
        <f>'Total Sunday-Holiday Boardings'!J19/SUM('Service Days per Month'!J$6:J$7)</f>
        <v>718.2</v>
      </c>
      <c r="K19" s="18">
        <f>'Total Sunday-Holiday Boardings'!K19/SUM('Service Days per Month'!K$6:K$7)</f>
        <v>759</v>
      </c>
      <c r="L19" s="18">
        <f>'Total Sunday-Holiday Boardings'!L19/SUM('Service Days per Month'!L$6:L$7)</f>
        <v>846</v>
      </c>
      <c r="M19" s="18">
        <f>'Total Sunday-Holiday Boardings'!M19/SUM('Service Days per Month'!M$6:M$7)</f>
        <v>1207.8333333333333</v>
      </c>
      <c r="N19" s="18">
        <f>'Total Sunday-Holiday Boardings'!N19/SUM('Service Days per Month'!N$6:N$7)</f>
        <v>628.79999999999995</v>
      </c>
      <c r="O19" s="79">
        <f>'Total Sunday-Holiday Boardings'!O19/SUM('Service Days per Month'!O$6:O$7)</f>
        <v>1027.3333333333333</v>
      </c>
      <c r="P19" s="79">
        <f>'Total Sunday-Holiday Boardings'!P19/SUM('Service Days per Month'!P$6:P$7)</f>
        <v>1166</v>
      </c>
      <c r="Q19" s="79">
        <f>'Total Sunday-Holiday Boardings'!Q19/SUM('Service Days per Month'!Q$6:Q$7)</f>
        <v>1130.75</v>
      </c>
      <c r="R19" s="79">
        <f>'Total Sunday-Holiday Boardings'!R19/SUM('Service Days per Month'!R$6:R$7)</f>
        <v>835.75</v>
      </c>
      <c r="S19" s="79">
        <f>'Total Sunday-Holiday Boardings'!S19/SUM('Service Days per Month'!S$6:S$7)</f>
        <v>926.83333333333337</v>
      </c>
      <c r="T19" s="80">
        <f>'Total Sunday-Holiday Boardings'!T19/SUM('Service Days per Month'!T$6:T$7)</f>
        <v>811.75</v>
      </c>
      <c r="U19" s="81">
        <f>'Total Sunday-Holiday Boardings'!U19/SUM('Service Days per Month'!U$6:U$7)</f>
        <v>599.4</v>
      </c>
      <c r="V19" s="79">
        <f>'Total Sunday-Holiday Boardings'!V19/SUM('Service Days per Month'!V$6:V$7)</f>
        <v>764.6</v>
      </c>
      <c r="W19" s="79">
        <f>'Total Sunday-Holiday Boardings'!W19/SUM('Service Days per Month'!W$6:W$7)</f>
        <v>864.6</v>
      </c>
      <c r="X19" s="79">
        <f>'Total Sunday-Holiday Boardings'!X19/SUM('Service Days per Month'!X$6:X$7)</f>
        <v>799.6</v>
      </c>
      <c r="Y19" s="79">
        <f>'Total Sunday-Holiday Boardings'!Y19/SUM('Service Days per Month'!Y$6:Y$7)</f>
        <v>903.42857142857144</v>
      </c>
      <c r="Z19" s="79">
        <f>'Total Sunday-Holiday Boardings'!Z19/SUM('Service Days per Month'!Z$6:Z$7)</f>
        <v>436.85714285714283</v>
      </c>
      <c r="AA19" s="18">
        <f>'Total Sunday-Holiday Boardings'!AA19/SUM('Service Days per Month'!AA$6:AA$7)</f>
        <v>771</v>
      </c>
      <c r="AB19" s="18">
        <f>'Total Sunday-Holiday Boardings'!AB19/SUM('Service Days per Month'!AB$6:AB$7)</f>
        <v>943.2</v>
      </c>
      <c r="AC19" s="18">
        <f>'Total Sunday-Holiday Boardings'!AC19/SUM('Service Days per Month'!AC$6:AC$7)</f>
        <v>927.75</v>
      </c>
      <c r="AD19" s="18">
        <f>'Total Sunday-Holiday Boardings'!AD19/SUM('Service Days per Month'!AD$6:AD$7)</f>
        <v>824.5</v>
      </c>
      <c r="AE19" s="18">
        <f>'Total Sunday-Holiday Boardings'!AE19/SUM('Service Days per Month'!AE$6:AE$7)</f>
        <v>739.33333333333337</v>
      </c>
      <c r="AF19" s="19">
        <f>'Total Sunday-Holiday Boardings'!AF19/SUM('Service Days per Month'!AF$6:AF$7)</f>
        <v>723.25</v>
      </c>
      <c r="AG19" s="17">
        <f>'Total Sunday-Holiday Boardings'!AG19/SUM('Service Days per Month'!AG$6:AG$7)</f>
        <v>791.66666666666663</v>
      </c>
      <c r="AH19" s="18">
        <f>'Total Sunday-Holiday Boardings'!AH19/SUM('Service Days per Month'!AH$6:AH$7)</f>
        <v>791</v>
      </c>
      <c r="AI19" s="18">
        <f>'Total Sunday-Holiday Boardings'!AI19/SUM('Service Days per Month'!AI$6:AI$7)</f>
        <v>750.2</v>
      </c>
      <c r="AJ19" s="18">
        <f>'Total Sunday-Holiday Boardings'!AJ19/SUM('Service Days per Month'!AJ$6:AJ$7)</f>
        <v>901</v>
      </c>
      <c r="AK19" s="18">
        <f>'Total Sunday-Holiday Boardings'!AK19/SUM('Service Days per Month'!AK$6:AK$7)</f>
        <v>781.57142857142856</v>
      </c>
      <c r="AL19" s="18">
        <f>'Total Sunday-Holiday Boardings'!AL19/SUM('Service Days per Month'!AL$6:AL$7)</f>
        <v>606.66666666666663</v>
      </c>
      <c r="AM19" s="18">
        <f>'Total Sunday-Holiday Boardings'!AM19/SUM('Service Days per Month'!AM$6:AM$7)</f>
        <v>831.85714285714289</v>
      </c>
      <c r="AN19" s="18">
        <f>'Total Sunday-Holiday Boardings'!AN19/SUM('Service Days per Month'!AN$6:AN$7)</f>
        <v>816.2</v>
      </c>
      <c r="AO19" s="18">
        <f>'Total Sunday-Holiday Boardings'!AO19/SUM('Service Days per Month'!AO$6:AO$7)</f>
        <v>865.25</v>
      </c>
      <c r="AP19" s="18">
        <f>'Total Sunday-Holiday Boardings'!AP19/SUM('Service Days per Month'!AP$6:AP$7)</f>
        <v>858.8</v>
      </c>
      <c r="AQ19" s="18">
        <f>'Total Sunday-Holiday Boardings'!AQ19/SUM('Service Days per Month'!AQ$6:AQ$7)</f>
        <v>813.6</v>
      </c>
      <c r="AR19" s="19">
        <f>'Total Sunday-Holiday Boardings'!AR19/SUM('Service Days per Month'!AR$6:AR$7)</f>
        <v>816.5</v>
      </c>
      <c r="AS19" s="17">
        <f>'Total Sunday-Holiday Boardings'!AS19/SUM('Service Days per Month'!AS$6:AS$7)</f>
        <v>850.66666666666663</v>
      </c>
      <c r="AT19" s="18">
        <f>'Total Sunday-Holiday Boardings'!AT19/SUM('Service Days per Month'!AT$6:AT$7)</f>
        <v>856.25</v>
      </c>
      <c r="AU19" s="18">
        <f>'Total Sunday-Holiday Boardings'!AU19/SUM('Service Days per Month'!AU$6:AU$7)</f>
        <v>875.16666666666663</v>
      </c>
      <c r="AV19" s="18">
        <f>'Total Sunday-Holiday Boardings'!AV19/SUM('Service Days per Month'!AV$6:AV$7)</f>
        <v>1074.5</v>
      </c>
      <c r="AW19" s="18">
        <f>'Total Sunday-Holiday Boardings'!AW19/SUM('Service Days per Month'!AW$6:AW$7)</f>
        <v>783.42857142857144</v>
      </c>
      <c r="AX19" s="18">
        <f>'Total Sunday-Holiday Boardings'!AX19/SUM('Service Days per Month'!AX$6:AX$7)</f>
        <v>715.71428571428567</v>
      </c>
      <c r="AY19" s="18">
        <f>'Total Sunday-Holiday Boardings'!AY19/SUM('Service Days per Month'!AY$6:AY$7)</f>
        <v>922.33333333333337</v>
      </c>
      <c r="AZ19" s="18">
        <f>'Total Sunday-Holiday Boardings'!AZ19/SUM('Service Days per Month'!AZ$6:AZ$7)</f>
        <v>985.6</v>
      </c>
      <c r="BA19" s="18">
        <f>'Total Sunday-Holiday Boardings'!BA19/SUM('Service Days per Month'!BA$6:BA$7)</f>
        <v>1005</v>
      </c>
      <c r="BB19" s="18">
        <f>'Total Sunday-Holiday Boardings'!BB19/SUM('Service Days per Month'!BB$6:BB$7)</f>
        <v>1006.75</v>
      </c>
      <c r="BC19" s="18">
        <f>'Total Sunday-Holiday Boardings'!BC19/SUM('Service Days per Month'!BC$6:BC$7)</f>
        <v>880.8</v>
      </c>
      <c r="BD19" s="19">
        <f>'Total Sunday-Holiday Boardings'!BD19/SUM('Service Days per Month'!BD$6:BD$7)</f>
        <v>870.2</v>
      </c>
      <c r="BE19" s="17">
        <f>'Total Sunday-Holiday Boardings'!BE19/SUM('Service Days per Month'!BE$6:BE$7)</f>
        <v>845.8</v>
      </c>
      <c r="BF19" s="18">
        <f>'Total Sunday-Holiday Boardings'!BF19/SUM('Service Days per Month'!BF$6:BF$7)</f>
        <v>865.25</v>
      </c>
      <c r="BG19" s="18">
        <f>'Total Sunday-Holiday Boardings'!BG19/SUM('Service Days per Month'!BG$6:BG$7)</f>
        <v>836.66666666666663</v>
      </c>
      <c r="BH19" s="18">
        <f>'Total Sunday-Holiday Boardings'!BH19/SUM('Service Days per Month'!BH$6:BH$7)</f>
        <v>1002.75</v>
      </c>
      <c r="BI19" s="18">
        <f>'Total Sunday-Holiday Boardings'!BI19/SUM('Service Days per Month'!BI$6:BI$7)</f>
        <v>773.55516082573206</v>
      </c>
      <c r="BJ19" s="18">
        <f>'Total Sunday-Holiday Boardings'!BJ19/SUM('Service Days per Month'!BJ$6:BJ$7)</f>
        <v>854.28571428571433</v>
      </c>
      <c r="BK19" s="18">
        <f>'Total Sunday-Holiday Boardings'!BK19/SUM('Service Days per Month'!BK$6:BK$7)</f>
        <v>981.5</v>
      </c>
      <c r="BL19" s="18">
        <f>'Total Sunday-Holiday Boardings'!BL19/SUM('Service Days per Month'!BL$6:BL$7)</f>
        <v>1065.2</v>
      </c>
      <c r="BM19" s="18">
        <f>'Total Sunday-Holiday Boardings'!BM19/SUM('Service Days per Month'!BM$6:BM$7)</f>
        <v>1057.8</v>
      </c>
      <c r="BN19" s="18">
        <f>'Total Sunday-Holiday Boardings'!BN19/SUM('Service Days per Month'!BN$6:BN$7)</f>
        <v>934.25</v>
      </c>
      <c r="BO19" s="18">
        <f>'Total Sunday-Holiday Boardings'!BO19/SUM('Service Days per Month'!BO$6:BO$7)</f>
        <v>884.4</v>
      </c>
      <c r="BP19" s="19">
        <f>'Total Sunday-Holiday Boardings'!BP19/SUM('Service Days per Month'!BP$6:BP$7)</f>
        <v>949</v>
      </c>
      <c r="BQ19" s="17">
        <f>'Total Sunday-Holiday Boardings'!BQ19/SUM('Service Days per Month'!BQ$6:BQ$7)</f>
        <v>888.6</v>
      </c>
      <c r="BR19" s="18">
        <f>'Total Sunday-Holiday Boardings'!BR19/SUM('Service Days per Month'!BR$6:BR$7)</f>
        <v>954.4</v>
      </c>
      <c r="BS19" s="18">
        <f>'Total Sunday-Holiday Boardings'!BS19/SUM('Service Days per Month'!BS$6:BS$7)</f>
        <v>937.6</v>
      </c>
      <c r="BT19" s="18">
        <f>'Total Sunday-Holiday Boardings'!BT19/SUM('Service Days per Month'!BT$6:BT$7)</f>
        <v>1098.5</v>
      </c>
      <c r="BU19" s="18">
        <f>'Total Sunday-Holiday Boardings'!BU19/SUM('Service Days per Month'!BU$6:BU$7)</f>
        <v>991.375</v>
      </c>
      <c r="BV19" s="18">
        <f>'Total Sunday-Holiday Boardings'!BV19/SUM('Service Days per Month'!BV$6:BV$7)</f>
        <v>876.66666666666663</v>
      </c>
      <c r="BW19" s="18">
        <f>'Total Sunday-Holiday Boardings'!BW19/SUM('Service Days per Month'!BW$6:BW$7)</f>
        <v>1003</v>
      </c>
      <c r="BX19" s="18">
        <f>'Total Sunday-Holiday Boardings'!BX19/SUM('Service Days per Month'!BX$6:BX$7)</f>
        <v>1088</v>
      </c>
      <c r="BY19" s="18">
        <f>'Total Sunday-Holiday Boardings'!BY19/SUM('Service Days per Month'!BY$6:BY$7)</f>
        <v>1097.2</v>
      </c>
      <c r="BZ19" s="18">
        <f>'Total Sunday-Holiday Boardings'!BZ19/SUM('Service Days per Month'!BZ$6:BZ$7)</f>
        <v>909.25</v>
      </c>
      <c r="CA19" s="18">
        <f>'Total Sunday-Holiday Boardings'!CA19/SUM('Service Days per Month'!CA$6:CA$7)</f>
        <v>951.5</v>
      </c>
      <c r="CB19" s="19">
        <f>'Total Sunday-Holiday Boardings'!CB19/SUM('Service Days per Month'!CB$6:CB$7)</f>
        <v>932</v>
      </c>
      <c r="CC19" s="20">
        <f>'Total Sunday-Holiday Boardings'!CC19/SUM('Service Days per Month'!CC$6:CC$7)</f>
        <v>1039</v>
      </c>
      <c r="CD19" s="18">
        <f>'Total Sunday-Holiday Boardings'!CD19/SUM('Service Days per Month'!CD$6:CD$7)</f>
        <v>929.4</v>
      </c>
      <c r="CE19" s="18">
        <f>'Total Sunday-Holiday Boardings'!CE19/SUM('Service Days per Month'!CE$6:CE$7)</f>
        <v>934.8</v>
      </c>
      <c r="CF19" s="18">
        <f>'Total Sunday-Holiday Boardings'!CF19/SUM('Service Days per Month'!CF$6:CF$7)</f>
        <v>1076.25</v>
      </c>
      <c r="CG19" s="18">
        <f>'Total Sunday-Holiday Boardings'!CG19/SUM('Service Days per Month'!CG$6:CG$7)</f>
        <v>1058</v>
      </c>
      <c r="CH19" s="18">
        <f>'Total Sunday-Holiday Boardings'!CH19/SUM('Service Days per Month'!CH$6:CH$7)</f>
        <v>882.16666666666663</v>
      </c>
      <c r="CI19" s="18">
        <f>'Total Sunday-Holiday Boardings'!CI19/SUM('Service Days per Month'!CI$6:CI$7)</f>
        <v>1054.4285714285713</v>
      </c>
      <c r="CJ19" s="18">
        <f>'Total Sunday-Holiday Boardings'!CJ19/SUM('Service Days per Month'!CJ$6:CJ$7)</f>
        <v>1103</v>
      </c>
      <c r="CK19" s="18">
        <f>'Total Sunday-Holiday Boardings'!CK19/SUM('Service Days per Month'!CK$6:CK$7)</f>
        <v>1163.75</v>
      </c>
      <c r="CL19" s="18">
        <f>'Total Sunday-Holiday Boardings'!CL19/SUM('Service Days per Month'!CL$6:CL$7)</f>
        <v>1166</v>
      </c>
      <c r="CM19" s="18">
        <f>'Total Sunday-Holiday Boardings'!CM19/SUM('Service Days per Month'!CM$6:CM$7)</f>
        <v>990.66666666666663</v>
      </c>
      <c r="CN19" s="21">
        <f>'Total Sunday-Holiday Boardings'!CN19/SUM('Service Days per Month'!CN$6:CN$7)</f>
        <v>1030.75</v>
      </c>
      <c r="CO19" s="17">
        <f>'Total Sunday-Holiday Boardings'!CO19/SUM('Service Days per Month'!CO$6:CO$7)</f>
        <v>952.83333333333337</v>
      </c>
      <c r="CP19" s="18">
        <f>'Total Sunday-Holiday Boardings'!CP19/SUM('Service Days per Month'!CP$6:CP$7)</f>
        <v>1077.75</v>
      </c>
      <c r="CQ19" s="18">
        <f>'Total Sunday-Holiday Boardings'!CQ19/SUM('Service Days per Month'!CQ$6:CQ$7)</f>
        <v>967</v>
      </c>
      <c r="CR19" s="18">
        <f>'Total Sunday-Holiday Boardings'!CR19/SUM('Service Days per Month'!CR$6:CR$7)</f>
        <v>1031.5999999999999</v>
      </c>
      <c r="CS19" s="18">
        <f>'Total Sunday-Holiday Boardings'!CS19/SUM('Service Days per Month'!CS$6:CS$7)</f>
        <v>1182.8571428571429</v>
      </c>
      <c r="CT19" s="18">
        <f>'Total Sunday-Holiday Boardings'!CT19/SUM('Service Days per Month'!CT$6:CT$7)</f>
        <v>1141.8333333333333</v>
      </c>
      <c r="CU19" s="18">
        <f>'Total Sunday-Holiday Boardings'!CU19/SUM('Service Days per Month'!CU$6:CU$7)</f>
        <v>1043.5714285714287</v>
      </c>
      <c r="CV19" s="18">
        <f>'Total Sunday-Holiday Boardings'!CV19/SUM('Service Days per Month'!CV$6:CV$7)</f>
        <v>1040.8</v>
      </c>
      <c r="CW19" s="18">
        <f>'Total Sunday-Holiday Boardings'!CW19/SUM('Service Days per Month'!CW$6:CW$7)</f>
        <v>1127.5</v>
      </c>
      <c r="CX19" s="18">
        <f>'Total Sunday-Holiday Boardings'!CX19/SUM('Service Days per Month'!CX$6:CX$7)</f>
        <v>1793.2</v>
      </c>
      <c r="CY19" s="18">
        <f>'Total Sunday-Holiday Boardings'!CY19/SUM('Service Days per Month'!CY$6:CY$7)</f>
        <v>1016.6</v>
      </c>
      <c r="CZ19" s="19">
        <f>'Total Sunday-Holiday Boardings'!CZ19/SUM('Service Days per Month'!CZ$6:CZ$7)</f>
        <v>1066.75</v>
      </c>
      <c r="DA19" s="17">
        <f>'Total Sunday-Holiday Boardings'!DA19/SUM('Service Days per Month'!DA$6:DA$7)</f>
        <v>997.66666666666663</v>
      </c>
      <c r="DB19" s="18">
        <f>'Total Sunday-Holiday Boardings'!DB19/SUM('Service Days per Month'!DB$6:DB$7)</f>
        <v>719</v>
      </c>
      <c r="DC19" s="18">
        <f>'Total Sunday-Holiday Boardings'!DC19/SUM('Service Days per Month'!DC$6:DC$7)</f>
        <v>743.6</v>
      </c>
      <c r="DD19" s="18">
        <f>'Total Sunday-Holiday Boardings'!DD19/SUM('Service Days per Month'!DD$6:DD$7)</f>
        <v>804.6</v>
      </c>
      <c r="DE19" s="18">
        <f>'Total Sunday-Holiday Boardings'!DE19/SUM('Service Days per Month'!DE$6:DE$7)</f>
        <v>774.42857142857144</v>
      </c>
      <c r="DF19" s="18">
        <f>'Total Sunday-Holiday Boardings'!DF19/SUM('Service Days per Month'!DF$6:DF$7)</f>
        <v>682.66666666666663</v>
      </c>
      <c r="DG19" s="18">
        <f>'Total Sunday-Holiday Boardings'!DG19/SUM('Service Days per Month'!DG$6:DG$7)</f>
        <v>799.33333333333337</v>
      </c>
      <c r="DH19" s="18">
        <f>'Total Sunday-Holiday Boardings'!DH19/SUM('Service Days per Month'!DH$6:DH$7)</f>
        <v>800.2</v>
      </c>
      <c r="DI19" s="18">
        <f>'Total Sunday-Holiday Boardings'!DI19/SUM('Service Days per Month'!DI$6:DI$7)</f>
        <v>771</v>
      </c>
      <c r="DJ19" s="18">
        <f>'Total Sunday-Holiday Boardings'!DJ19/SUM('Service Days per Month'!DJ$6:DJ$7)</f>
        <v>721.4</v>
      </c>
      <c r="DK19" s="18">
        <f>'Total Sunday-Holiday Boardings'!DK19/SUM('Service Days per Month'!DK$6:DK$7)</f>
        <v>669.2</v>
      </c>
      <c r="DL19" s="19">
        <f>'Total Sunday-Holiday Boardings'!DL19/SUM('Service Days per Month'!DL$6:DL$7)</f>
        <v>748</v>
      </c>
      <c r="DM19" s="17">
        <f>'Total Sunday-Holiday Boardings'!DM19/('Service Days per Month'!DM$6+'Service Days per Month'!DM$7)</f>
        <v>839.83333333333337</v>
      </c>
      <c r="DN19" s="18">
        <f>'Total Sunday-Holiday Boardings'!DN19/('Service Days per Month'!DN$6+'Service Days per Month'!DN$7)</f>
        <v>939.25</v>
      </c>
      <c r="DO19" s="18">
        <f>'Total Sunday-Holiday Boardings'!DO19/('Service Days per Month'!DO$6+'Service Days per Month'!DO$7)</f>
        <v>884.5</v>
      </c>
      <c r="DP19" s="18">
        <f>'Total Sunday-Holiday Boardings'!DP19/('Service Days per Month'!DP$6+'Service Days per Month'!DP$7)</f>
        <v>1010.25</v>
      </c>
      <c r="DQ19" s="18">
        <f>'Total Sunday-Holiday Boardings'!DQ19/('Service Days per Month'!DQ$6+'Service Days per Month'!DQ$7)</f>
        <v>831.6</v>
      </c>
      <c r="DR19" s="18">
        <f>'Total Sunday-Holiday Boardings'!DR19/('Service Days per Month'!DR$6+'Service Days per Month'!DR$7)</f>
        <v>797.33333333333337</v>
      </c>
      <c r="DS19" s="18">
        <f>'Total Sunday-Holiday Boardings'!DS19/('Service Days per Month'!DS$6+'Service Days per Month'!DS$7)</f>
        <v>886.8</v>
      </c>
      <c r="DT19" s="18">
        <f>'Total Sunday-Holiday Boardings'!DT19/('Service Days per Month'!DT$6+'Service Days per Month'!DT$7)</f>
        <v>912</v>
      </c>
      <c r="DU19" s="18">
        <f>'Total Sunday-Holiday Boardings'!DU19/('Service Days per Month'!DU$6+'Service Days per Month'!DU$7)</f>
        <v>947.8</v>
      </c>
      <c r="DV19" s="18">
        <f>'Total Sunday-Holiday Boardings'!DV19/('Service Days per Month'!DV$6+'Service Days per Month'!DV$7)</f>
        <v>951.25</v>
      </c>
      <c r="DW19" s="18">
        <f>'Total Sunday-Holiday Boardings'!DW19/('Service Days per Month'!DW$6+'Service Days per Month'!DW$7)</f>
        <v>811.8</v>
      </c>
      <c r="DX19" s="18">
        <f>'Total Sunday-Holiday Boardings'!DX19/('Service Days per Month'!DX$6+'Service Days per Month'!DX$7)</f>
        <v>854.6</v>
      </c>
      <c r="DY19" s="17">
        <f>'Total Sunday-Holiday Boardings'!DY19/('Service Days per Month'!DY$6+'Service Days per Month'!DY$7)</f>
        <v>796</v>
      </c>
      <c r="DZ19" s="18">
        <f>'Total Sunday-Holiday Boardings'!DZ19/('Service Days per Month'!DZ$6+'Service Days per Month'!DZ$7)</f>
        <v>844.25</v>
      </c>
      <c r="EA19" s="18">
        <f>'Total Sunday-Holiday Boardings'!EA19/('Service Days per Month'!EA$6+'Service Days per Month'!EA$7)</f>
        <v>876.83333333333337</v>
      </c>
      <c r="EB19" s="18">
        <f>'Total Sunday-Holiday Boardings'!EB19/('Service Days per Month'!EB$6+'Service Days per Month'!EB$7)</f>
        <v>951</v>
      </c>
      <c r="EC19" s="18">
        <f>'Total Sunday-Holiday Boardings'!EC19/('Service Days per Month'!EC$6+'Service Days per Month'!EC$7)</f>
        <v>835.6</v>
      </c>
      <c r="ED19" s="18">
        <f>'Total Sunday-Holiday Boardings'!ED19/('Service Days per Month'!ED$6+'Service Days per Month'!ED$7)</f>
        <v>786.33333333333337</v>
      </c>
      <c r="EE19" s="18">
        <f>'Total Sunday-Holiday Boardings'!EE19/('Service Days per Month'!EE$6+'Service Days per Month'!EE$7)</f>
        <v>1013.5</v>
      </c>
      <c r="EF19" s="18">
        <f>'Total Sunday-Holiday Boardings'!EF19/('Service Days per Month'!EF$6+'Service Days per Month'!EF$7)</f>
        <v>889</v>
      </c>
      <c r="EG19" s="18">
        <f>'Total Sunday-Holiday Boardings'!EG19/('Service Days per Month'!EG$6+'Service Days per Month'!EG$7)</f>
        <v>667.6</v>
      </c>
      <c r="EH19" s="18">
        <f>'Total Sunday-Holiday Boardings'!EH19/('Service Days per Month'!EH$6+'Service Days per Month'!EH$7)</f>
        <v>395.25</v>
      </c>
      <c r="EI19" s="18">
        <f>'Total Sunday-Holiday Boardings'!EI19/('Service Days per Month'!EI$6+'Service Days per Month'!EI$7)</f>
        <v>400.33333333333331</v>
      </c>
      <c r="EJ19" s="18">
        <f>'Total Sunday-Holiday Boardings'!EJ19/('Service Days per Month'!EJ$6+'Service Days per Month'!EJ$7)</f>
        <v>348.75</v>
      </c>
      <c r="EK19" s="17">
        <f>'Total Sunday-Holiday Boardings'!EK19/('Service Days per Month'!EK$6+'Service Days per Month'!EK$7)</f>
        <v>307</v>
      </c>
      <c r="EL19" s="18">
        <f>'Total Sunday-Holiday Boardings'!EL19/('Service Days per Month'!EL$6+'Service Days per Month'!EL$7)</f>
        <v>335.2</v>
      </c>
      <c r="EM19" s="18">
        <f>'Total Sunday-Holiday Boardings'!EM19/('Service Days per Month'!EM$6+'Service Days per Month'!EM$7)</f>
        <v>339.4</v>
      </c>
      <c r="EN19" s="18">
        <f>'Total Sunday-Holiday Boardings'!EN19/('Service Days per Month'!EN$6+'Service Days per Month'!EN$7)</f>
        <v>340.75</v>
      </c>
      <c r="EO19" s="18">
        <f>'Total Sunday-Holiday Boardings'!EO19/('Service Days per Month'!EO$6+'Service Days per Month'!EO$7)</f>
        <v>267</v>
      </c>
      <c r="EP19" s="18">
        <f>'Total Sunday-Holiday Boardings'!EP19/('Service Days per Month'!EP$6+'Service Days per Month'!EP$7)</f>
        <v>218.2</v>
      </c>
      <c r="EQ19" s="18">
        <f>'Total Sunday-Holiday Boardings'!EQ19/('Service Days per Month'!EQ$6+'Service Days per Month'!EQ$7)</f>
        <v>142</v>
      </c>
      <c r="ER19" s="18">
        <f>'Total Sunday-Holiday Boardings'!ER19/('Service Days per Month'!ER$6+'Service Days per Month'!ER$7)</f>
        <v>372.75</v>
      </c>
      <c r="ES19" s="18">
        <f>'Total Sunday-Holiday Boardings'!ES19/('Service Days per Month'!ES$6+'Service Days per Month'!ES$7)</f>
        <v>373.25</v>
      </c>
      <c r="ET19" s="18">
        <f>'Total Sunday-Holiday Boardings'!ET19/('Service Days per Month'!ET$6+'Service Days per Month'!ET$7)</f>
        <v>368.75</v>
      </c>
      <c r="EU19" s="18">
        <f>'Total Sunday-Holiday Boardings'!EU19/('Service Days per Month'!EU$6+'Service Days per Month'!EU$7)</f>
        <v>313</v>
      </c>
      <c r="EV19" s="18">
        <f>'Total Sunday-Holiday Boardings'!EV19/('Service Days per Month'!EV$6+'Service Days per Month'!EV$7)</f>
        <v>401.5</v>
      </c>
      <c r="EW19" s="17">
        <f>'Total Sunday-Holiday Boardings'!EW19/('Service Days per Month'!EW$6+'Service Days per Month'!EW$7)</f>
        <v>398.2</v>
      </c>
      <c r="EX19" s="18">
        <f>'Total Sunday-Holiday Boardings'!EX19/('Service Days per Month'!EX$6+'Service Days per Month'!EX$7)</f>
        <v>568</v>
      </c>
      <c r="EY19" s="18">
        <f>'Total Sunday-Holiday Boardings'!EY19/('Service Days per Month'!EY$6+'Service Days per Month'!EY$7)</f>
        <v>416.8</v>
      </c>
      <c r="EZ19" s="18">
        <f>'Total Sunday-Holiday Boardings'!EZ19/('Service Days per Month'!EZ$6+'Service Days per Month'!EZ$7)</f>
        <v>476.2</v>
      </c>
      <c r="FA19" s="18">
        <f>'Total Sunday-Holiday Boardings'!FA19/('Service Days per Month'!FA$6+'Service Days per Month'!FA$7)</f>
        <v>471.6</v>
      </c>
      <c r="FB19" s="18">
        <f>'Total Sunday-Holiday Boardings'!FB19/('Service Days per Month'!FB$6+'Service Days per Month'!FB$7)</f>
        <v>562</v>
      </c>
      <c r="FC19" s="18">
        <f>'Total Sunday-Holiday Boardings'!FC19/('Service Days per Month'!FC$6+'Service Days per Month'!FC$7)</f>
        <v>443.2</v>
      </c>
      <c r="FD19" s="18">
        <f>'Total Sunday-Holiday Boardings'!FD19/('Service Days per Month'!FD$6+'Service Days per Month'!FD$7)</f>
        <v>539.25</v>
      </c>
      <c r="FE19" s="18">
        <f>'Total Sunday-Holiday Boardings'!FE19/('Service Days per Month'!FE$6+'Service Days per Month'!FE$7)</f>
        <v>571</v>
      </c>
      <c r="FF19" s="18">
        <f>'Total Sunday-Holiday Boardings'!FF19/('Service Days per Month'!FF$6+'Service Days per Month'!FF$7)</f>
        <v>582.75</v>
      </c>
      <c r="FG19" s="18">
        <f>'Total Sunday-Holiday Boardings'!FG19/('Service Days per Month'!FG$6+'Service Days per Month'!FG$7)</f>
        <v>526.83333333333337</v>
      </c>
      <c r="FH19" s="18">
        <f>'Total Sunday-Holiday Boardings'!FH19/('Service Days per Month'!FH$6+'Service Days per Month'!FH$7)</f>
        <v>498.75</v>
      </c>
      <c r="FI19" s="17">
        <v>457.33333333333331</v>
      </c>
      <c r="FJ19" s="18">
        <v>500.75</v>
      </c>
      <c r="FK19" s="18">
        <v>501.4</v>
      </c>
      <c r="FL19" s="18">
        <v>594.79999999999995</v>
      </c>
      <c r="FM19" s="18">
        <v>458.8</v>
      </c>
      <c r="FN19" s="18">
        <v>465.4</v>
      </c>
      <c r="FO19" s="18">
        <v>567.6</v>
      </c>
      <c r="FP19" s="18">
        <v>632.75</v>
      </c>
      <c r="FQ19" s="18">
        <v>601.75</v>
      </c>
      <c r="FR19" s="18">
        <f>'Total Sunday-Holiday Boardings'!FR19/5</f>
        <v>589.4</v>
      </c>
      <c r="FS19" s="18">
        <f>'Total Sunday-Holiday Boardings'!FS19/5</f>
        <v>589.6</v>
      </c>
      <c r="FT19" s="21">
        <f>'Total Sunday-Holiday Boardings'!FT19/4</f>
        <v>586.5</v>
      </c>
      <c r="FU19" s="18">
        <f>'Total Sunday-Holiday Boardings'!FU19/5</f>
        <v>718.2</v>
      </c>
      <c r="FV19" s="18">
        <f>'Total Sunday-Holiday Boardings'!FV19/4</f>
        <v>866.75</v>
      </c>
      <c r="FW19" s="18">
        <f>'Total Sunday-Holiday Boardings'!FW19/4</f>
        <v>702.75</v>
      </c>
      <c r="FX19" s="18">
        <f>'Total Sunday-Holiday Boardings'!FX19/5</f>
        <v>582.79999999999995</v>
      </c>
      <c r="FY19" s="18">
        <f>'Total Sunday-Holiday Boardings'!FY19/4</f>
        <v>661</v>
      </c>
      <c r="FZ19" s="18">
        <f>'Total Sunday-Holiday Boardings'!FZ19/5</f>
        <v>650.6</v>
      </c>
      <c r="GA19" s="18">
        <f>'Total Sunday-Holiday Boardings'!GA19/4</f>
        <v>823.75</v>
      </c>
      <c r="GB19" s="18">
        <f>'Total Sunday-Holiday Boardings'!GB19/4</f>
        <v>679</v>
      </c>
      <c r="GC19" s="18">
        <f>'Total Sunday-Holiday Boardings'!GC19/5</f>
        <v>642.79999999999995</v>
      </c>
      <c r="GD19" s="18">
        <f>'Total Sunday-Holiday Boardings'!GD19/4</f>
        <v>1011.5</v>
      </c>
      <c r="GE19" s="18">
        <f>'Total Sunday-Holiday Boardings'!GE19/4</f>
        <v>866.25</v>
      </c>
      <c r="GF19" s="18">
        <f>'Total Sunday-Holiday Boardings'!GF19/5</f>
        <v>805.2</v>
      </c>
      <c r="GG19" s="18">
        <f>'Total Sunday-Holiday Boardings'!GG19/4</f>
        <v>840</v>
      </c>
      <c r="GH19" s="18">
        <f>'Total Sunday-Holiday Boardings'!GH19/4</f>
        <v>753</v>
      </c>
      <c r="GI19" s="18">
        <f>'Total Sunday-Holiday Boardings'!GI19/5</f>
        <v>875.8</v>
      </c>
      <c r="GJ19" s="18">
        <f>'Total Sunday-Holiday Boardings'!GJ19/4</f>
        <v>711.5</v>
      </c>
      <c r="GK19" s="18">
        <f>'Total Sunday-Holiday Boardings'!GK19/4</f>
        <v>653.5</v>
      </c>
      <c r="GL19" s="18">
        <f>'Total Sunday-Holiday Boardings'!GL19/5</f>
        <v>607.20000000000005</v>
      </c>
    </row>
    <row r="20" spans="1:194" x14ac:dyDescent="0.3">
      <c r="A20" s="3" t="s">
        <v>13</v>
      </c>
      <c r="B20" s="17"/>
      <c r="C20" s="18">
        <f>'Total Sunday-Holiday Boardings'!C20/SUM('Service Days per Month'!C$6:C$7)</f>
        <v>473.8</v>
      </c>
      <c r="D20" s="18">
        <f>'Total Sunday-Holiday Boardings'!D20/SUM('Service Days per Month'!D$6:D$7)</f>
        <v>584.5</v>
      </c>
      <c r="E20" s="18">
        <f>'Total Sunday-Holiday Boardings'!E20/SUM('Service Days per Month'!E$6:E$7)</f>
        <v>491</v>
      </c>
      <c r="F20" s="18">
        <f>'Total Sunday-Holiday Boardings'!F20/SUM('Service Days per Month'!F$6:F$7)</f>
        <v>395</v>
      </c>
      <c r="G20" s="18">
        <f>'Total Sunday-Holiday Boardings'!G20/SUM('Service Days per Month'!G$6:G$7)</f>
        <v>427.33333333333331</v>
      </c>
      <c r="H20" s="19">
        <f>'Total Sunday-Holiday Boardings'!H20/SUM('Service Days per Month'!H$6:H$7)</f>
        <v>359.75</v>
      </c>
      <c r="I20" s="17">
        <f>'Total Sunday-Holiday Boardings'!I20/SUM('Service Days per Month'!I$6:I$7)</f>
        <v>473.8</v>
      </c>
      <c r="J20" s="18">
        <f>'Total Sunday-Holiday Boardings'!J20/SUM('Service Days per Month'!J$6:J$7)</f>
        <v>386.2</v>
      </c>
      <c r="K20" s="18">
        <f>'Total Sunday-Holiday Boardings'!K20/SUM('Service Days per Month'!K$6:K$7)</f>
        <v>418</v>
      </c>
      <c r="L20" s="18">
        <f>'Total Sunday-Holiday Boardings'!L20/SUM('Service Days per Month'!L$6:L$7)</f>
        <v>431.25</v>
      </c>
      <c r="M20" s="18">
        <f>'Total Sunday-Holiday Boardings'!M20/SUM('Service Days per Month'!M$6:M$7)</f>
        <v>645</v>
      </c>
      <c r="N20" s="18">
        <f>'Total Sunday-Holiday Boardings'!N20/SUM('Service Days per Month'!N$6:N$7)</f>
        <v>377.4</v>
      </c>
      <c r="O20" s="79">
        <f>'Total Sunday-Holiday Boardings'!O20/SUM('Service Days per Month'!O$6:O$7)</f>
        <v>631</v>
      </c>
      <c r="P20" s="79">
        <f>'Total Sunday-Holiday Boardings'!P20/SUM('Service Days per Month'!P$6:P$7)</f>
        <v>560.75</v>
      </c>
      <c r="Q20" s="79">
        <f>'Total Sunday-Holiday Boardings'!Q20/SUM('Service Days per Month'!Q$6:Q$7)</f>
        <v>559.25</v>
      </c>
      <c r="R20" s="79">
        <f>'Total Sunday-Holiday Boardings'!R20/SUM('Service Days per Month'!R$6:R$7)</f>
        <v>491.25</v>
      </c>
      <c r="S20" s="79">
        <f>'Total Sunday-Holiday Boardings'!S20/SUM('Service Days per Month'!S$6:S$7)</f>
        <v>502</v>
      </c>
      <c r="T20" s="80">
        <f>'Total Sunday-Holiday Boardings'!T20/SUM('Service Days per Month'!T$6:T$7)</f>
        <v>419.25</v>
      </c>
      <c r="U20" s="81">
        <f>'Total Sunday-Holiday Boardings'!U20/SUM('Service Days per Month'!U$6:U$7)</f>
        <v>351</v>
      </c>
      <c r="V20" s="79">
        <f>'Total Sunday-Holiday Boardings'!V20/SUM('Service Days per Month'!V$6:V$7)</f>
        <v>396.6</v>
      </c>
      <c r="W20" s="79">
        <f>'Total Sunday-Holiday Boardings'!W20/SUM('Service Days per Month'!W$6:W$7)</f>
        <v>439.6</v>
      </c>
      <c r="X20" s="79">
        <f>'Total Sunday-Holiday Boardings'!X20/SUM('Service Days per Month'!X$6:X$7)</f>
        <v>453.8</v>
      </c>
      <c r="Y20" s="79">
        <f>'Total Sunday-Holiday Boardings'!Y20/SUM('Service Days per Month'!Y$6:Y$7)</f>
        <v>533.42857142857144</v>
      </c>
      <c r="Z20" s="79">
        <f>'Total Sunday-Holiday Boardings'!Z20/SUM('Service Days per Month'!Z$6:Z$7)</f>
        <v>293.57142857142856</v>
      </c>
      <c r="AA20" s="18">
        <f>'Total Sunday-Holiday Boardings'!AA20/SUM('Service Days per Month'!AA$6:AA$7)</f>
        <v>455.83333333333331</v>
      </c>
      <c r="AB20" s="18">
        <f>'Total Sunday-Holiday Boardings'!AB20/SUM('Service Days per Month'!AB$6:AB$7)</f>
        <v>475.2</v>
      </c>
      <c r="AC20" s="18">
        <f>'Total Sunday-Holiday Boardings'!AC20/SUM('Service Days per Month'!AC$6:AC$7)</f>
        <v>540.5</v>
      </c>
      <c r="AD20" s="18">
        <f>'Total Sunday-Holiday Boardings'!AD20/SUM('Service Days per Month'!AD$6:AD$7)</f>
        <v>532.5</v>
      </c>
      <c r="AE20" s="18">
        <f>'Total Sunday-Holiday Boardings'!AE20/SUM('Service Days per Month'!AE$6:AE$7)</f>
        <v>470.83333333333331</v>
      </c>
      <c r="AF20" s="19">
        <f>'Total Sunday-Holiday Boardings'!AF20/SUM('Service Days per Month'!AF$6:AF$7)</f>
        <v>503.25</v>
      </c>
      <c r="AG20" s="17">
        <f>'Total Sunday-Holiday Boardings'!AG20/SUM('Service Days per Month'!AG$6:AG$7)</f>
        <v>510</v>
      </c>
      <c r="AH20" s="18">
        <f>'Total Sunday-Holiday Boardings'!AH20/SUM('Service Days per Month'!AH$6:AH$7)</f>
        <v>430.25</v>
      </c>
      <c r="AI20" s="18">
        <f>'Total Sunday-Holiday Boardings'!AI20/SUM('Service Days per Month'!AI$6:AI$7)</f>
        <v>447.2</v>
      </c>
      <c r="AJ20" s="18">
        <f>'Total Sunday-Holiday Boardings'!AJ20/SUM('Service Days per Month'!AJ$6:AJ$7)</f>
        <v>508.8</v>
      </c>
      <c r="AK20" s="18">
        <f>'Total Sunday-Holiday Boardings'!AK20/SUM('Service Days per Month'!AK$6:AK$7)</f>
        <v>448.42857142857144</v>
      </c>
      <c r="AL20" s="18">
        <f>'Total Sunday-Holiday Boardings'!AL20/SUM('Service Days per Month'!AL$6:AL$7)</f>
        <v>335</v>
      </c>
      <c r="AM20" s="18">
        <f>'Total Sunday-Holiday Boardings'!AM20/SUM('Service Days per Month'!AM$6:AM$7)</f>
        <v>491.85714285714283</v>
      </c>
      <c r="AN20" s="18">
        <f>'Total Sunday-Holiday Boardings'!AN20/SUM('Service Days per Month'!AN$6:AN$7)</f>
        <v>471.6</v>
      </c>
      <c r="AO20" s="18">
        <f>'Total Sunday-Holiday Boardings'!AO20/SUM('Service Days per Month'!AO$6:AO$7)</f>
        <v>544.25</v>
      </c>
      <c r="AP20" s="18">
        <f>'Total Sunday-Holiday Boardings'!AP20/SUM('Service Days per Month'!AP$6:AP$7)</f>
        <v>545.79999999999995</v>
      </c>
      <c r="AQ20" s="18">
        <f>'Total Sunday-Holiday Boardings'!AQ20/SUM('Service Days per Month'!AQ$6:AQ$7)</f>
        <v>466.2</v>
      </c>
      <c r="AR20" s="19">
        <f>'Total Sunday-Holiday Boardings'!AR20/SUM('Service Days per Month'!AR$6:AR$7)</f>
        <v>469.5</v>
      </c>
      <c r="AS20" s="17">
        <f>'Total Sunday-Holiday Boardings'!AS20/SUM('Service Days per Month'!AS$6:AS$7)</f>
        <v>473.33333333333331</v>
      </c>
      <c r="AT20" s="18">
        <f>'Total Sunday-Holiday Boardings'!AT20/SUM('Service Days per Month'!AT$6:AT$7)</f>
        <v>484.25</v>
      </c>
      <c r="AU20" s="18">
        <f>'Total Sunday-Holiday Boardings'!AU20/SUM('Service Days per Month'!AU$6:AU$7)</f>
        <v>489</v>
      </c>
      <c r="AV20" s="18">
        <f>'Total Sunday-Holiday Boardings'!AV20/SUM('Service Days per Month'!AV$6:AV$7)</f>
        <v>630</v>
      </c>
      <c r="AW20" s="18">
        <f>'Total Sunday-Holiday Boardings'!AW20/SUM('Service Days per Month'!AW$6:AW$7)</f>
        <v>463.42857142857144</v>
      </c>
      <c r="AX20" s="18">
        <f>'Total Sunday-Holiday Boardings'!AX20/SUM('Service Days per Month'!AX$6:AX$7)</f>
        <v>426.14285714285717</v>
      </c>
      <c r="AY20" s="18">
        <f>'Total Sunday-Holiday Boardings'!AY20/SUM('Service Days per Month'!AY$6:AY$7)</f>
        <v>560.33333333333337</v>
      </c>
      <c r="AZ20" s="18">
        <f>'Total Sunday-Holiday Boardings'!AZ20/SUM('Service Days per Month'!AZ$6:AZ$7)</f>
        <v>572.6</v>
      </c>
      <c r="BA20" s="18">
        <f>'Total Sunday-Holiday Boardings'!BA20/SUM('Service Days per Month'!BA$6:BA$7)</f>
        <v>662.2</v>
      </c>
      <c r="BB20" s="18">
        <f>'Total Sunday-Holiday Boardings'!BB20/SUM('Service Days per Month'!BB$6:BB$7)</f>
        <v>598</v>
      </c>
      <c r="BC20" s="18">
        <f>'Total Sunday-Holiday Boardings'!BC20/SUM('Service Days per Month'!BC$6:BC$7)</f>
        <v>596</v>
      </c>
      <c r="BD20" s="19">
        <f>'Total Sunday-Holiday Boardings'!BD20/SUM('Service Days per Month'!BD$6:BD$7)</f>
        <v>500.4</v>
      </c>
      <c r="BE20" s="17">
        <f>'Total Sunday-Holiday Boardings'!BE20/SUM('Service Days per Month'!BE$6:BE$7)</f>
        <v>490</v>
      </c>
      <c r="BF20" s="18">
        <f>'Total Sunday-Holiday Boardings'!BF20/SUM('Service Days per Month'!BF$6:BF$7)</f>
        <v>514.75</v>
      </c>
      <c r="BG20" s="18">
        <f>'Total Sunday-Holiday Boardings'!BG20/SUM('Service Days per Month'!BG$6:BG$7)</f>
        <v>533</v>
      </c>
      <c r="BH20" s="18">
        <f>'Total Sunday-Holiday Boardings'!BH20/SUM('Service Days per Month'!BH$6:BH$7)</f>
        <v>596.5</v>
      </c>
      <c r="BI20" s="18">
        <f>'Total Sunday-Holiday Boardings'!BI20/SUM('Service Days per Month'!BI$6:BI$7)</f>
        <v>488.43003909196898</v>
      </c>
      <c r="BJ20" s="18">
        <f>'Total Sunday-Holiday Boardings'!BJ20/SUM('Service Days per Month'!BJ$6:BJ$7)</f>
        <v>537.42857142857144</v>
      </c>
      <c r="BK20" s="18">
        <f>'Total Sunday-Holiday Boardings'!BK20/SUM('Service Days per Month'!BK$6:BK$7)</f>
        <v>706.66666666666663</v>
      </c>
      <c r="BL20" s="18">
        <f>'Total Sunday-Holiday Boardings'!BL20/SUM('Service Days per Month'!BL$6:BL$7)</f>
        <v>649.6</v>
      </c>
      <c r="BM20" s="18">
        <f>'Total Sunday-Holiday Boardings'!BM20/SUM('Service Days per Month'!BM$6:BM$7)</f>
        <v>725</v>
      </c>
      <c r="BN20" s="18">
        <f>'Total Sunday-Holiday Boardings'!BN20/SUM('Service Days per Month'!BN$6:BN$7)</f>
        <v>582.75</v>
      </c>
      <c r="BO20" s="18">
        <f>'Total Sunday-Holiday Boardings'!BO20/SUM('Service Days per Month'!BO$6:BO$7)</f>
        <v>586.20000000000005</v>
      </c>
      <c r="BP20" s="19">
        <f>'Total Sunday-Holiday Boardings'!BP20/SUM('Service Days per Month'!BP$6:BP$7)</f>
        <v>564.4</v>
      </c>
      <c r="BQ20" s="17">
        <f>'Total Sunday-Holiday Boardings'!BQ20/SUM('Service Days per Month'!BQ$6:BQ$7)</f>
        <v>639.6</v>
      </c>
      <c r="BR20" s="18">
        <f>'Total Sunday-Holiday Boardings'!BR20/SUM('Service Days per Month'!BR$6:BR$7)</f>
        <v>600.79999999999995</v>
      </c>
      <c r="BS20" s="18">
        <f>'Total Sunday-Holiday Boardings'!BS20/SUM('Service Days per Month'!BS$6:BS$7)</f>
        <v>590</v>
      </c>
      <c r="BT20" s="18">
        <f>'Total Sunday-Holiday Boardings'!BT20/SUM('Service Days per Month'!BT$6:BT$7)</f>
        <v>595.5</v>
      </c>
      <c r="BU20" s="18">
        <f>'Total Sunday-Holiday Boardings'!BU20/SUM('Service Days per Month'!BU$6:BU$7)</f>
        <v>601.75</v>
      </c>
      <c r="BV20" s="18">
        <f>'Total Sunday-Holiday Boardings'!BV20/SUM('Service Days per Month'!BV$6:BV$7)</f>
        <v>528.5</v>
      </c>
      <c r="BW20" s="18">
        <f>'Total Sunday-Holiday Boardings'!BW20/SUM('Service Days per Month'!BW$6:BW$7)</f>
        <v>722.66666666666663</v>
      </c>
      <c r="BX20" s="18">
        <f>'Total Sunday-Holiday Boardings'!BX20/SUM('Service Days per Month'!BX$6:BX$7)</f>
        <v>801.4</v>
      </c>
      <c r="BY20" s="18">
        <f>'Total Sunday-Holiday Boardings'!BY20/SUM('Service Days per Month'!BY$6:BY$7)</f>
        <v>718.6</v>
      </c>
      <c r="BZ20" s="18">
        <f>'Total Sunday-Holiday Boardings'!BZ20/SUM('Service Days per Month'!BZ$6:BZ$7)</f>
        <v>718</v>
      </c>
      <c r="CA20" s="18">
        <f>'Total Sunday-Holiday Boardings'!CA20/SUM('Service Days per Month'!CA$6:CA$7)</f>
        <v>661</v>
      </c>
      <c r="CB20" s="19">
        <f>'Total Sunday-Holiday Boardings'!CB20/SUM('Service Days per Month'!CB$6:CB$7)</f>
        <v>594.5</v>
      </c>
      <c r="CC20" s="20">
        <f>'Total Sunday-Holiday Boardings'!CC20/SUM('Service Days per Month'!CC$6:CC$7)</f>
        <v>737</v>
      </c>
      <c r="CD20" s="18">
        <f>'Total Sunday-Holiday Boardings'!CD20/SUM('Service Days per Month'!CD$6:CD$7)</f>
        <v>592</v>
      </c>
      <c r="CE20" s="18">
        <f>'Total Sunday-Holiday Boardings'!CE20/SUM('Service Days per Month'!CE$6:CE$7)</f>
        <v>672.4</v>
      </c>
      <c r="CF20" s="18">
        <f>'Total Sunday-Holiday Boardings'!CF20/SUM('Service Days per Month'!CF$6:CF$7)</f>
        <v>667.5</v>
      </c>
      <c r="CG20" s="18">
        <f>'Total Sunday-Holiday Boardings'!CG20/SUM('Service Days per Month'!CG$6:CG$7)</f>
        <v>679.375</v>
      </c>
      <c r="CH20" s="18">
        <f>'Total Sunday-Holiday Boardings'!CH20/SUM('Service Days per Month'!CH$6:CH$7)</f>
        <v>594.16666666666663</v>
      </c>
      <c r="CI20" s="18">
        <f>'Total Sunday-Holiday Boardings'!CI20/SUM('Service Days per Month'!CI$6:CI$7)</f>
        <v>773.14285714285711</v>
      </c>
      <c r="CJ20" s="18">
        <f>'Total Sunday-Holiday Boardings'!CJ20/SUM('Service Days per Month'!CJ$6:CJ$7)</f>
        <v>708</v>
      </c>
      <c r="CK20" s="18">
        <f>'Total Sunday-Holiday Boardings'!CK20/SUM('Service Days per Month'!CK$6:CK$7)</f>
        <v>786</v>
      </c>
      <c r="CL20" s="18">
        <f>'Total Sunday-Holiday Boardings'!CL20/SUM('Service Days per Month'!CL$6:CL$7)</f>
        <v>889.25</v>
      </c>
      <c r="CM20" s="18">
        <f>'Total Sunday-Holiday Boardings'!CM20/SUM('Service Days per Month'!CM$6:CM$7)</f>
        <v>634.16666666666663</v>
      </c>
      <c r="CN20" s="21">
        <f>'Total Sunday-Holiday Boardings'!CN20/SUM('Service Days per Month'!CN$6:CN$7)</f>
        <v>583</v>
      </c>
      <c r="CO20" s="17">
        <f>'Total Sunday-Holiday Boardings'!CO20/SUM('Service Days per Month'!CO$6:CO$7)</f>
        <v>622</v>
      </c>
      <c r="CP20" s="18">
        <f>'Total Sunday-Holiday Boardings'!CP20/SUM('Service Days per Month'!CP$6:CP$7)</f>
        <v>638.25</v>
      </c>
      <c r="CQ20" s="18">
        <f>'Total Sunday-Holiday Boardings'!CQ20/SUM('Service Days per Month'!CQ$6:CQ$7)</f>
        <v>587.6</v>
      </c>
      <c r="CR20" s="18">
        <f>'Total Sunday-Holiday Boardings'!CR20/SUM('Service Days per Month'!CR$6:CR$7)</f>
        <v>646.20000000000005</v>
      </c>
      <c r="CS20" s="18">
        <f>'Total Sunday-Holiday Boardings'!CS20/SUM('Service Days per Month'!CS$6:CS$7)</f>
        <v>770.71428571428567</v>
      </c>
      <c r="CT20" s="18">
        <f>'Total Sunday-Holiday Boardings'!CT20/SUM('Service Days per Month'!CT$6:CT$7)</f>
        <v>742.66666666666663</v>
      </c>
      <c r="CU20" s="18">
        <f>'Total Sunday-Holiday Boardings'!CU20/SUM('Service Days per Month'!CU$6:CU$7)</f>
        <v>716.85714285714289</v>
      </c>
      <c r="CV20" s="18">
        <f>'Total Sunday-Holiday Boardings'!CV20/SUM('Service Days per Month'!CV$6:CV$7)</f>
        <v>688.6</v>
      </c>
      <c r="CW20" s="18">
        <f>'Total Sunday-Holiday Boardings'!CW20/SUM('Service Days per Month'!CW$6:CW$7)</f>
        <v>739.25</v>
      </c>
      <c r="CX20" s="18">
        <f>'Total Sunday-Holiday Boardings'!CX20/SUM('Service Days per Month'!CX$6:CX$7)</f>
        <v>1893.4</v>
      </c>
      <c r="CY20" s="18">
        <f>'Total Sunday-Holiday Boardings'!CY20/SUM('Service Days per Month'!CY$6:CY$7)</f>
        <v>709.4</v>
      </c>
      <c r="CZ20" s="19">
        <f>'Total Sunday-Holiday Boardings'!CZ20/SUM('Service Days per Month'!CZ$6:CZ$7)</f>
        <v>606</v>
      </c>
      <c r="DA20" s="17">
        <f>'Total Sunday-Holiday Boardings'!DA20/SUM('Service Days per Month'!DA$6:DA$7)</f>
        <v>620.5</v>
      </c>
      <c r="DB20" s="18">
        <f>'Total Sunday-Holiday Boardings'!DB20/SUM('Service Days per Month'!DB$6:DB$7)</f>
        <v>665.75</v>
      </c>
      <c r="DC20" s="18">
        <f>'Total Sunday-Holiday Boardings'!DC20/SUM('Service Days per Month'!DC$6:DC$7)</f>
        <v>637.6</v>
      </c>
      <c r="DD20" s="18">
        <f>'Total Sunday-Holiday Boardings'!DD20/SUM('Service Days per Month'!DD$6:DD$7)</f>
        <v>705.6</v>
      </c>
      <c r="DE20" s="18">
        <f>'Total Sunday-Holiday Boardings'!DE20/SUM('Service Days per Month'!DE$6:DE$7)</f>
        <v>702.71428571428567</v>
      </c>
      <c r="DF20" s="18">
        <f>'Total Sunday-Holiday Boardings'!DF20/SUM('Service Days per Month'!DF$6:DF$7)</f>
        <v>603.66666666666663</v>
      </c>
      <c r="DG20" s="18">
        <f>'Total Sunday-Holiday Boardings'!DG20/SUM('Service Days per Month'!DG$6:DG$7)</f>
        <v>755</v>
      </c>
      <c r="DH20" s="18">
        <f>'Total Sunday-Holiday Boardings'!DH20/SUM('Service Days per Month'!DH$6:DH$7)</f>
        <v>679</v>
      </c>
      <c r="DI20" s="18">
        <f>'Total Sunday-Holiday Boardings'!DI20/SUM('Service Days per Month'!DI$6:DI$7)</f>
        <v>741.5</v>
      </c>
      <c r="DJ20" s="18">
        <f>'Total Sunday-Holiday Boardings'!DJ20/SUM('Service Days per Month'!DJ$6:DJ$7)</f>
        <v>666.6</v>
      </c>
      <c r="DK20" s="18">
        <f>'Total Sunday-Holiday Boardings'!DK20/SUM('Service Days per Month'!DK$6:DK$7)</f>
        <v>611.4</v>
      </c>
      <c r="DL20" s="19">
        <f>'Total Sunday-Holiday Boardings'!DL20/SUM('Service Days per Month'!DL$6:DL$7)</f>
        <v>609.5</v>
      </c>
      <c r="DM20" s="17">
        <f>'Total Sunday-Holiday Boardings'!DM20/('Service Days per Month'!DM$6+'Service Days per Month'!DM$7)</f>
        <v>622.5</v>
      </c>
      <c r="DN20" s="18">
        <f>'Total Sunday-Holiday Boardings'!DN20/('Service Days per Month'!DN$6+'Service Days per Month'!DN$7)</f>
        <v>617.75</v>
      </c>
      <c r="DO20" s="18">
        <f>'Total Sunday-Holiday Boardings'!DO20/('Service Days per Month'!DO$6+'Service Days per Month'!DO$7)</f>
        <v>582.16666666666663</v>
      </c>
      <c r="DP20" s="18">
        <f>'Total Sunday-Holiday Boardings'!DP20/('Service Days per Month'!DP$6+'Service Days per Month'!DP$7)</f>
        <v>630.25</v>
      </c>
      <c r="DQ20" s="18">
        <f>'Total Sunday-Holiday Boardings'!DQ20/('Service Days per Month'!DQ$6+'Service Days per Month'!DQ$7)</f>
        <v>596</v>
      </c>
      <c r="DR20" s="18">
        <f>'Total Sunday-Holiday Boardings'!DR20/('Service Days per Month'!DR$6+'Service Days per Month'!DR$7)</f>
        <v>540.5</v>
      </c>
      <c r="DS20" s="18">
        <f>'Total Sunday-Holiday Boardings'!DS20/('Service Days per Month'!DS$6+'Service Days per Month'!DS$7)</f>
        <v>623.20000000000005</v>
      </c>
      <c r="DT20" s="18">
        <f>'Total Sunday-Holiday Boardings'!DT20/('Service Days per Month'!DT$6+'Service Days per Month'!DT$7)</f>
        <v>652.75</v>
      </c>
      <c r="DU20" s="18">
        <f>'Total Sunday-Holiday Boardings'!DU20/('Service Days per Month'!DU$6+'Service Days per Month'!DU$7)</f>
        <v>721.2</v>
      </c>
      <c r="DV20" s="18">
        <f>'Total Sunday-Holiday Boardings'!DV20/('Service Days per Month'!DV$6+'Service Days per Month'!DV$7)</f>
        <v>635</v>
      </c>
      <c r="DW20" s="18">
        <f>'Total Sunday-Holiday Boardings'!DW20/('Service Days per Month'!DW$6+'Service Days per Month'!DW$7)</f>
        <v>598.20000000000005</v>
      </c>
      <c r="DX20" s="18">
        <f>'Total Sunday-Holiday Boardings'!DX20/('Service Days per Month'!DX$6+'Service Days per Month'!DX$7)</f>
        <v>558.20000000000005</v>
      </c>
      <c r="DY20" s="17">
        <f>'Total Sunday-Holiday Boardings'!DY20/('Service Days per Month'!DY$6+'Service Days per Month'!DY$7)</f>
        <v>532.6</v>
      </c>
      <c r="DZ20" s="18">
        <f>'Total Sunday-Holiday Boardings'!DZ20/('Service Days per Month'!DZ$6+'Service Days per Month'!DZ$7)</f>
        <v>538</v>
      </c>
      <c r="EA20" s="18">
        <f>'Total Sunday-Holiday Boardings'!EA20/('Service Days per Month'!EA$6+'Service Days per Month'!EA$7)</f>
        <v>554</v>
      </c>
      <c r="EB20" s="18">
        <f>'Total Sunday-Holiday Boardings'!EB20/('Service Days per Month'!EB$6+'Service Days per Month'!EB$7)</f>
        <v>610.75</v>
      </c>
      <c r="EC20" s="18">
        <f>'Total Sunday-Holiday Boardings'!EC20/('Service Days per Month'!EC$6+'Service Days per Month'!EC$7)</f>
        <v>585</v>
      </c>
      <c r="ED20" s="18">
        <f>'Total Sunday-Holiday Boardings'!ED20/('Service Days per Month'!ED$6+'Service Days per Month'!ED$7)</f>
        <v>511.16666666666669</v>
      </c>
      <c r="EE20" s="18">
        <f>'Total Sunday-Holiday Boardings'!EE20/('Service Days per Month'!EE$6+'Service Days per Month'!EE$7)</f>
        <v>805.5</v>
      </c>
      <c r="EF20" s="18">
        <f>'Total Sunday-Holiday Boardings'!EF20/('Service Days per Month'!EF$6+'Service Days per Month'!EF$7)</f>
        <v>661.75</v>
      </c>
      <c r="EG20" s="18">
        <f>'Total Sunday-Holiday Boardings'!EG20/('Service Days per Month'!EG$6+'Service Days per Month'!EG$7)</f>
        <v>601</v>
      </c>
      <c r="EH20" s="18">
        <f>'Total Sunday-Holiday Boardings'!EH20/('Service Days per Month'!EH$6+'Service Days per Month'!EH$7)</f>
        <v>286.75</v>
      </c>
      <c r="EI20" s="18">
        <f>'Total Sunday-Holiday Boardings'!EI20/('Service Days per Month'!EI$6+'Service Days per Month'!EI$7)</f>
        <v>254.16666666666666</v>
      </c>
      <c r="EJ20" s="18">
        <f>'Total Sunday-Holiday Boardings'!EJ20/('Service Days per Month'!EJ$6+'Service Days per Month'!EJ$7)</f>
        <v>265</v>
      </c>
      <c r="EK20" s="17">
        <f>'Total Sunday-Holiday Boardings'!EK20/('Service Days per Month'!EK$6+'Service Days per Month'!EK$7)</f>
        <v>240.4</v>
      </c>
      <c r="EL20" s="18">
        <f>'Total Sunday-Holiday Boardings'!EL20/('Service Days per Month'!EL$6+'Service Days per Month'!EL$7)</f>
        <v>266.8</v>
      </c>
      <c r="EM20" s="18">
        <f>'Total Sunday-Holiday Boardings'!EM20/('Service Days per Month'!EM$6+'Service Days per Month'!EM$7)</f>
        <v>286.39999999999998</v>
      </c>
      <c r="EN20" s="18">
        <f>'Total Sunday-Holiday Boardings'!EN20/('Service Days per Month'!EN$6+'Service Days per Month'!EN$7)</f>
        <v>290.75</v>
      </c>
      <c r="EO20" s="18">
        <f>'Total Sunday-Holiday Boardings'!EO20/('Service Days per Month'!EO$6+'Service Days per Month'!EO$7)</f>
        <v>214.16666666666666</v>
      </c>
      <c r="EP20" s="18">
        <f>'Total Sunday-Holiday Boardings'!EP20/('Service Days per Month'!EP$6+'Service Days per Month'!EP$7)</f>
        <v>198</v>
      </c>
      <c r="EQ20" s="18">
        <f>'Total Sunday-Holiday Boardings'!EQ20/('Service Days per Month'!EQ$6+'Service Days per Month'!EQ$7)</f>
        <v>128</v>
      </c>
      <c r="ER20" s="18">
        <f>'Total Sunday-Holiday Boardings'!ER20/('Service Days per Month'!ER$6+'Service Days per Month'!ER$7)</f>
        <v>282</v>
      </c>
      <c r="ES20" s="18">
        <f>'Total Sunday-Holiday Boardings'!ES20/('Service Days per Month'!ES$6+'Service Days per Month'!ES$7)</f>
        <v>399.25</v>
      </c>
      <c r="ET20" s="18">
        <f>'Total Sunday-Holiday Boardings'!ET20/('Service Days per Month'!ET$6+'Service Days per Month'!ET$7)</f>
        <v>325.75</v>
      </c>
      <c r="EU20" s="18">
        <f>'Total Sunday-Holiday Boardings'!EU20/('Service Days per Month'!EU$6+'Service Days per Month'!EU$7)</f>
        <v>287.5</v>
      </c>
      <c r="EV20" s="18">
        <f>'Total Sunday-Holiday Boardings'!EV20/('Service Days per Month'!EV$6+'Service Days per Month'!EV$7)</f>
        <v>324.25</v>
      </c>
      <c r="EW20" s="17">
        <f>'Total Sunday-Holiday Boardings'!EW20/('Service Days per Month'!EW$6+'Service Days per Month'!EW$7)</f>
        <v>329</v>
      </c>
      <c r="EX20" s="18">
        <f>'Total Sunday-Holiday Boardings'!EX20/('Service Days per Month'!EX$6+'Service Days per Month'!EX$7)</f>
        <v>402.4</v>
      </c>
      <c r="EY20" s="18">
        <f>'Total Sunday-Holiday Boardings'!EY20/('Service Days per Month'!EY$6+'Service Days per Month'!EY$7)</f>
        <v>343.4</v>
      </c>
      <c r="EZ20" s="18">
        <f>'Total Sunday-Holiday Boardings'!EZ20/('Service Days per Month'!EZ$6+'Service Days per Month'!EZ$7)</f>
        <v>345.4</v>
      </c>
      <c r="FA20" s="18">
        <f>'Total Sunday-Holiday Boardings'!FA20/('Service Days per Month'!FA$6+'Service Days per Month'!FA$7)</f>
        <v>346.4</v>
      </c>
      <c r="FB20" s="18">
        <f>'Total Sunday-Holiday Boardings'!FB20/('Service Days per Month'!FB$6+'Service Days per Month'!FB$7)</f>
        <v>420.6</v>
      </c>
      <c r="FC20" s="18">
        <f>'Total Sunday-Holiday Boardings'!FC20/('Service Days per Month'!FC$6+'Service Days per Month'!FC$7)</f>
        <v>334.2</v>
      </c>
      <c r="FD20" s="18">
        <f>'Total Sunday-Holiday Boardings'!FD20/('Service Days per Month'!FD$6+'Service Days per Month'!FD$7)</f>
        <v>434.5</v>
      </c>
      <c r="FE20" s="18">
        <f>'Total Sunday-Holiday Boardings'!FE20/('Service Days per Month'!FE$6+'Service Days per Month'!FE$7)</f>
        <v>498.25</v>
      </c>
      <c r="FF20" s="18">
        <f>'Total Sunday-Holiday Boardings'!FF20/('Service Days per Month'!FF$6+'Service Days per Month'!FF$7)</f>
        <v>588.5</v>
      </c>
      <c r="FG20" s="18">
        <f>'Total Sunday-Holiday Boardings'!FG20/('Service Days per Month'!FG$6+'Service Days per Month'!FG$7)</f>
        <v>570.16666666666663</v>
      </c>
      <c r="FH20" s="18">
        <f>'Total Sunday-Holiday Boardings'!FH20/('Service Days per Month'!FH$6+'Service Days per Month'!FH$7)</f>
        <v>399.25</v>
      </c>
      <c r="FI20" s="17">
        <v>356.33333333333331</v>
      </c>
      <c r="FJ20" s="18">
        <v>337.5</v>
      </c>
      <c r="FK20" s="18">
        <v>402.2</v>
      </c>
      <c r="FL20" s="18">
        <v>449.4</v>
      </c>
      <c r="FM20" s="18">
        <v>360.4</v>
      </c>
      <c r="FN20" s="18">
        <v>436.6</v>
      </c>
      <c r="FO20" s="18">
        <v>457</v>
      </c>
      <c r="FP20" s="18">
        <v>742.5</v>
      </c>
      <c r="FQ20" s="18">
        <v>509</v>
      </c>
      <c r="FR20" s="18">
        <f>'Total Sunday-Holiday Boardings'!FR20/5</f>
        <v>495</v>
      </c>
      <c r="FS20" s="18">
        <f>'Total Sunday-Holiday Boardings'!FS20/5</f>
        <v>497.4</v>
      </c>
      <c r="FT20" s="21">
        <f>'Total Sunday-Holiday Boardings'!FT20/4</f>
        <v>466</v>
      </c>
      <c r="FU20" s="18">
        <f>'Total Sunday-Holiday Boardings'!FU20/5</f>
        <v>516.20000000000005</v>
      </c>
      <c r="FV20" s="18">
        <f>'Total Sunday-Holiday Boardings'!FV20/4</f>
        <v>729.5</v>
      </c>
      <c r="FW20" s="18">
        <f>'Total Sunday-Holiday Boardings'!FW20/4</f>
        <v>560.5</v>
      </c>
      <c r="FX20" s="18">
        <f>'Total Sunday-Holiday Boardings'!FX20/5</f>
        <v>484</v>
      </c>
      <c r="FY20" s="18">
        <f>'Total Sunday-Holiday Boardings'!FY20/4</f>
        <v>585</v>
      </c>
      <c r="FZ20" s="18">
        <f>'Total Sunday-Holiday Boardings'!FZ20/5</f>
        <v>550.79999999999995</v>
      </c>
      <c r="GA20" s="18">
        <f>'Total Sunday-Holiday Boardings'!GA20/4</f>
        <v>677.75</v>
      </c>
      <c r="GB20" s="18">
        <f>'Total Sunday-Holiday Boardings'!GB20/4</f>
        <v>577.5</v>
      </c>
      <c r="GC20" s="18">
        <f>'Total Sunday-Holiday Boardings'!GC20/5</f>
        <v>565.20000000000005</v>
      </c>
      <c r="GD20" s="18">
        <f>'Total Sunday-Holiday Boardings'!GD20/4</f>
        <v>959.25</v>
      </c>
      <c r="GE20" s="18">
        <f>'Total Sunday-Holiday Boardings'!GE20/4</f>
        <v>657.5</v>
      </c>
      <c r="GF20" s="18">
        <f>'Total Sunday-Holiday Boardings'!GF20/5</f>
        <v>526.4</v>
      </c>
      <c r="GG20" s="18">
        <f>'Total Sunday-Holiday Boardings'!GG20/4</f>
        <v>556.75</v>
      </c>
      <c r="GH20" s="18">
        <f>'Total Sunday-Holiday Boardings'!GH20/4</f>
        <v>477.25</v>
      </c>
      <c r="GI20" s="18">
        <f>'Total Sunday-Holiday Boardings'!GI20/5</f>
        <v>635.79999999999995</v>
      </c>
      <c r="GJ20" s="18">
        <f>'Total Sunday-Holiday Boardings'!GJ20/4</f>
        <v>521.25</v>
      </c>
      <c r="GK20" s="18">
        <f>'Total Sunday-Holiday Boardings'!GK20/4</f>
        <v>590.75</v>
      </c>
      <c r="GL20" s="18">
        <f>'Total Sunday-Holiday Boardings'!GL20/5</f>
        <v>514.4</v>
      </c>
    </row>
    <row r="21" spans="1:194" x14ac:dyDescent="0.3">
      <c r="A21" s="3" t="s">
        <v>34</v>
      </c>
      <c r="B21" s="17"/>
      <c r="C21" s="18">
        <f>'Total Sunday-Holiday Boardings'!C21/SUM('Service Days per Month'!C$6:C$7)</f>
        <v>714.6</v>
      </c>
      <c r="D21" s="18">
        <f>'Total Sunday-Holiday Boardings'!D21/SUM('Service Days per Month'!D$6:D$7)</f>
        <v>942</v>
      </c>
      <c r="E21" s="18">
        <f>'Total Sunday-Holiday Boardings'!E21/SUM('Service Days per Month'!E$6:E$7)</f>
        <v>703.2</v>
      </c>
      <c r="F21" s="18">
        <f>'Total Sunday-Holiday Boardings'!F21/SUM('Service Days per Month'!F$6:F$7)</f>
        <v>608.4</v>
      </c>
      <c r="G21" s="18">
        <f>'Total Sunday-Holiday Boardings'!G21/SUM('Service Days per Month'!G$6:G$7)</f>
        <v>721.16666666666663</v>
      </c>
      <c r="H21" s="19">
        <f>'Total Sunday-Holiday Boardings'!H21/SUM('Service Days per Month'!H$6:H$7)</f>
        <v>613.75</v>
      </c>
      <c r="I21" s="17">
        <f>'Total Sunday-Holiday Boardings'!I21/SUM('Service Days per Month'!I$6:I$7)</f>
        <v>744.8</v>
      </c>
      <c r="J21" s="18">
        <f>'Total Sunday-Holiday Boardings'!J21/SUM('Service Days per Month'!J$6:J$7)</f>
        <v>620.79999999999995</v>
      </c>
      <c r="K21" s="18">
        <f>'Total Sunday-Holiday Boardings'!K21/SUM('Service Days per Month'!K$6:K$7)</f>
        <v>695.6</v>
      </c>
      <c r="L21" s="18">
        <f>'Total Sunday-Holiday Boardings'!L21/SUM('Service Days per Month'!L$6:L$7)</f>
        <v>716.25</v>
      </c>
      <c r="M21" s="18">
        <f>'Total Sunday-Holiday Boardings'!M21/SUM('Service Days per Month'!M$6:M$7)</f>
        <v>1155</v>
      </c>
      <c r="N21" s="18">
        <f>'Total Sunday-Holiday Boardings'!N21/SUM('Service Days per Month'!N$6:N$7)</f>
        <v>631</v>
      </c>
      <c r="O21" s="79">
        <f>'Total Sunday-Holiday Boardings'!O21/SUM('Service Days per Month'!O$6:O$7)</f>
        <v>857</v>
      </c>
      <c r="P21" s="79">
        <f>'Total Sunday-Holiday Boardings'!P21/SUM('Service Days per Month'!P$6:P$7)</f>
        <v>1036.75</v>
      </c>
      <c r="Q21" s="79">
        <f>'Total Sunday-Holiday Boardings'!Q21/SUM('Service Days per Month'!Q$6:Q$7)</f>
        <v>881.25</v>
      </c>
      <c r="R21" s="79">
        <f>'Total Sunday-Holiday Boardings'!R21/SUM('Service Days per Month'!R$6:R$7)</f>
        <v>688</v>
      </c>
      <c r="S21" s="79">
        <f>'Total Sunday-Holiday Boardings'!S21/SUM('Service Days per Month'!S$6:S$7)</f>
        <v>885.66666666666663</v>
      </c>
      <c r="T21" s="80">
        <f>'Total Sunday-Holiday Boardings'!T21/SUM('Service Days per Month'!T$6:T$7)</f>
        <v>583</v>
      </c>
      <c r="U21" s="81">
        <f>'Total Sunday-Holiday Boardings'!U21/SUM('Service Days per Month'!U$6:U$7)</f>
        <v>479</v>
      </c>
      <c r="V21" s="79">
        <f>'Total Sunday-Holiday Boardings'!V21/SUM('Service Days per Month'!V$6:V$7)</f>
        <v>571.20000000000005</v>
      </c>
      <c r="W21" s="79">
        <f>'Total Sunday-Holiday Boardings'!W21/SUM('Service Days per Month'!W$6:W$7)</f>
        <v>737.6</v>
      </c>
      <c r="X21" s="79">
        <f>'Total Sunday-Holiday Boardings'!X21/SUM('Service Days per Month'!X$6:X$7)</f>
        <v>758</v>
      </c>
      <c r="Y21" s="79">
        <f>'Total Sunday-Holiday Boardings'!Y21/SUM('Service Days per Month'!Y$6:Y$7)</f>
        <v>823.42857142857144</v>
      </c>
      <c r="Z21" s="79">
        <f>'Total Sunday-Holiday Boardings'!Z21/SUM('Service Days per Month'!Z$6:Z$7)</f>
        <v>377.57142857142856</v>
      </c>
      <c r="AA21" s="18">
        <f>'Total Sunday-Holiday Boardings'!AA21/SUM('Service Days per Month'!AA$6:AA$7)</f>
        <v>598.16666666666663</v>
      </c>
      <c r="AB21" s="18">
        <f>'Total Sunday-Holiday Boardings'!AB21/SUM('Service Days per Month'!AB$6:AB$7)</f>
        <v>747.2</v>
      </c>
      <c r="AC21" s="18">
        <f>'Total Sunday-Holiday Boardings'!AC21/SUM('Service Days per Month'!AC$6:AC$7)</f>
        <v>736.25</v>
      </c>
      <c r="AD21" s="18">
        <f>'Total Sunday-Holiday Boardings'!AD21/SUM('Service Days per Month'!AD$6:AD$7)</f>
        <v>681</v>
      </c>
      <c r="AE21" s="18">
        <f>'Total Sunday-Holiday Boardings'!AE21/SUM('Service Days per Month'!AE$6:AE$7)</f>
        <v>632.33333333333337</v>
      </c>
      <c r="AF21" s="19">
        <f>'Total Sunday-Holiday Boardings'!AF21/SUM('Service Days per Month'!AF$6:AF$7)</f>
        <v>535</v>
      </c>
      <c r="AG21" s="17">
        <f>'Total Sunday-Holiday Boardings'!AG21/SUM('Service Days per Month'!AG$6:AG$7)</f>
        <v>666.66666666666663</v>
      </c>
      <c r="AH21" s="18">
        <f>'Total Sunday-Holiday Boardings'!AH21/SUM('Service Days per Month'!AH$6:AH$7)</f>
        <v>634.75</v>
      </c>
      <c r="AI21" s="18">
        <f>'Total Sunday-Holiday Boardings'!AI21/SUM('Service Days per Month'!AI$6:AI$7)</f>
        <v>678</v>
      </c>
      <c r="AJ21" s="18">
        <f>'Total Sunday-Holiday Boardings'!AJ21/SUM('Service Days per Month'!AJ$6:AJ$7)</f>
        <v>850</v>
      </c>
      <c r="AK21" s="18">
        <f>'Total Sunday-Holiday Boardings'!AK21/SUM('Service Days per Month'!AK$6:AK$7)</f>
        <v>707.42857142857144</v>
      </c>
      <c r="AL21" s="18">
        <f>'Total Sunday-Holiday Boardings'!AL21/SUM('Service Days per Month'!AL$6:AL$7)</f>
        <v>530.83333333333337</v>
      </c>
      <c r="AM21" s="18">
        <f>'Total Sunday-Holiday Boardings'!AM21/SUM('Service Days per Month'!AM$6:AM$7)</f>
        <v>772.57142857142856</v>
      </c>
      <c r="AN21" s="18">
        <f>'Total Sunday-Holiday Boardings'!AN21/SUM('Service Days per Month'!AN$6:AN$7)</f>
        <v>873.2</v>
      </c>
      <c r="AO21" s="18">
        <f>'Total Sunday-Holiday Boardings'!AO21/SUM('Service Days per Month'!AO$6:AO$7)</f>
        <v>802.75</v>
      </c>
      <c r="AP21" s="18">
        <f>'Total Sunday-Holiday Boardings'!AP21/SUM('Service Days per Month'!AP$6:AP$7)</f>
        <v>752.2</v>
      </c>
      <c r="AQ21" s="18">
        <f>'Total Sunday-Holiday Boardings'!AQ21/SUM('Service Days per Month'!AQ$6:AQ$7)</f>
        <v>783.4</v>
      </c>
      <c r="AR21" s="19">
        <f>'Total Sunday-Holiday Boardings'!AR21/SUM('Service Days per Month'!AR$6:AR$7)</f>
        <v>735.75</v>
      </c>
      <c r="AS21" s="17">
        <f>'Total Sunday-Holiday Boardings'!AS21/SUM('Service Days per Month'!AS$6:AS$7)</f>
        <v>775</v>
      </c>
      <c r="AT21" s="18">
        <f>'Total Sunday-Holiday Boardings'!AT21/SUM('Service Days per Month'!AT$6:AT$7)</f>
        <v>711.75</v>
      </c>
      <c r="AU21" s="18">
        <f>'Total Sunday-Holiday Boardings'!AU21/SUM('Service Days per Month'!AU$6:AU$7)</f>
        <v>777.33333333333337</v>
      </c>
      <c r="AV21" s="18">
        <f>'Total Sunday-Holiday Boardings'!AV21/SUM('Service Days per Month'!AV$6:AV$7)</f>
        <v>906.5</v>
      </c>
      <c r="AW21" s="18">
        <f>'Total Sunday-Holiday Boardings'!AW21/SUM('Service Days per Month'!AW$6:AW$7)</f>
        <v>717.85714285714289</v>
      </c>
      <c r="AX21" s="18">
        <f>'Total Sunday-Holiday Boardings'!AX21/SUM('Service Days per Month'!AX$6:AX$7)</f>
        <v>619.57142857142856</v>
      </c>
      <c r="AY21" s="18">
        <f>'Total Sunday-Holiday Boardings'!AY21/SUM('Service Days per Month'!AY$6:AY$7)</f>
        <v>802.33333333333337</v>
      </c>
      <c r="AZ21" s="18">
        <f>'Total Sunday-Holiday Boardings'!AZ21/SUM('Service Days per Month'!AZ$6:AZ$7)</f>
        <v>890.2</v>
      </c>
      <c r="BA21" s="18">
        <f>'Total Sunday-Holiday Boardings'!BA21/SUM('Service Days per Month'!BA$6:BA$7)</f>
        <v>834.8</v>
      </c>
      <c r="BB21" s="18">
        <f>'Total Sunday-Holiday Boardings'!BB21/SUM('Service Days per Month'!BB$6:BB$7)</f>
        <v>832</v>
      </c>
      <c r="BC21" s="18">
        <f>'Total Sunday-Holiday Boardings'!BC21/SUM('Service Days per Month'!BC$6:BC$7)</f>
        <v>844</v>
      </c>
      <c r="BD21" s="19">
        <f>'Total Sunday-Holiday Boardings'!BD21/SUM('Service Days per Month'!BD$6:BD$7)</f>
        <v>764</v>
      </c>
      <c r="BE21" s="17">
        <f>'Total Sunday-Holiday Boardings'!BE21/SUM('Service Days per Month'!BE$6:BE$7)</f>
        <v>712.8</v>
      </c>
      <c r="BF21" s="18">
        <f>'Total Sunday-Holiday Boardings'!BF21/SUM('Service Days per Month'!BF$6:BF$7)</f>
        <v>760.5</v>
      </c>
      <c r="BG21" s="18">
        <f>'Total Sunday-Holiday Boardings'!BG21/SUM('Service Days per Month'!BG$6:BG$7)</f>
        <v>770.83333333333337</v>
      </c>
      <c r="BH21" s="18">
        <f>'Total Sunday-Holiday Boardings'!BH21/SUM('Service Days per Month'!BH$6:BH$7)</f>
        <v>851.25</v>
      </c>
      <c r="BI21" s="18">
        <f>'Total Sunday-Holiday Boardings'!BI21/SUM('Service Days per Month'!BI$6:BI$7)</f>
        <v>720.6921061655579</v>
      </c>
      <c r="BJ21" s="18">
        <f>'Total Sunday-Holiday Boardings'!BJ21/SUM('Service Days per Month'!BJ$6:BJ$7)</f>
        <v>803.42857142857144</v>
      </c>
      <c r="BK21" s="18">
        <f>'Total Sunday-Holiday Boardings'!BK21/SUM('Service Days per Month'!BK$6:BK$7)</f>
        <v>875.5</v>
      </c>
      <c r="BL21" s="18">
        <f>'Total Sunday-Holiday Boardings'!BL21/SUM('Service Days per Month'!BL$6:BL$7)</f>
        <v>967</v>
      </c>
      <c r="BM21" s="18">
        <f>'Total Sunday-Holiday Boardings'!BM21/SUM('Service Days per Month'!BM$6:BM$7)</f>
        <v>940.8</v>
      </c>
      <c r="BN21" s="18">
        <f>'Total Sunday-Holiday Boardings'!BN21/SUM('Service Days per Month'!BN$6:BN$7)</f>
        <v>860.5</v>
      </c>
      <c r="BO21" s="18">
        <f>'Total Sunday-Holiday Boardings'!BO21/SUM('Service Days per Month'!BO$6:BO$7)</f>
        <v>823.6</v>
      </c>
      <c r="BP21" s="19">
        <f>'Total Sunday-Holiday Boardings'!BP21/SUM('Service Days per Month'!BP$6:BP$7)</f>
        <v>804</v>
      </c>
      <c r="BQ21" s="17">
        <f>'Total Sunday-Holiday Boardings'!BQ21/SUM('Service Days per Month'!BQ$6:BQ$7)</f>
        <v>812</v>
      </c>
      <c r="BR21" s="18">
        <f>'Total Sunday-Holiday Boardings'!BR21/SUM('Service Days per Month'!BR$6:BR$7)</f>
        <v>842.4</v>
      </c>
      <c r="BS21" s="18">
        <f>'Total Sunday-Holiday Boardings'!BS21/SUM('Service Days per Month'!BS$6:BS$7)</f>
        <v>856.4</v>
      </c>
      <c r="BT21" s="18">
        <f>'Total Sunday-Holiday Boardings'!BT21/SUM('Service Days per Month'!BT$6:BT$7)</f>
        <v>895.75</v>
      </c>
      <c r="BU21" s="18">
        <f>'Total Sunday-Holiday Boardings'!BU21/SUM('Service Days per Month'!BU$6:BU$7)</f>
        <v>932.125</v>
      </c>
      <c r="BV21" s="18">
        <f>'Total Sunday-Holiday Boardings'!BV21/SUM('Service Days per Month'!BV$6:BV$7)</f>
        <v>800.66666666666663</v>
      </c>
      <c r="BW21" s="18">
        <f>'Total Sunday-Holiday Boardings'!BW21/SUM('Service Days per Month'!BW$6:BW$7)</f>
        <v>963.16666666666663</v>
      </c>
      <c r="BX21" s="18">
        <f>'Total Sunday-Holiday Boardings'!BX21/SUM('Service Days per Month'!BX$6:BX$7)</f>
        <v>1148</v>
      </c>
      <c r="BY21" s="18">
        <f>'Total Sunday-Holiday Boardings'!BY21/SUM('Service Days per Month'!BY$6:BY$7)</f>
        <v>957.6</v>
      </c>
      <c r="BZ21" s="18">
        <f>'Total Sunday-Holiday Boardings'!BZ21/SUM('Service Days per Month'!BZ$6:BZ$7)</f>
        <v>808.75</v>
      </c>
      <c r="CA21" s="18">
        <f>'Total Sunday-Holiday Boardings'!CA21/SUM('Service Days per Month'!CA$6:CA$7)</f>
        <v>837.33333333333337</v>
      </c>
      <c r="CB21" s="19">
        <f>'Total Sunday-Holiday Boardings'!CB21/SUM('Service Days per Month'!CB$6:CB$7)</f>
        <v>766.25</v>
      </c>
      <c r="CC21" s="20">
        <f>'Total Sunday-Holiday Boardings'!CC21/SUM('Service Days per Month'!CC$6:CC$7)</f>
        <v>858.6</v>
      </c>
      <c r="CD21" s="18">
        <f>'Total Sunday-Holiday Boardings'!CD21/SUM('Service Days per Month'!CD$6:CD$7)</f>
        <v>780.6</v>
      </c>
      <c r="CE21" s="18">
        <f>'Total Sunday-Holiday Boardings'!CE21/SUM('Service Days per Month'!CE$6:CE$7)</f>
        <v>916.4</v>
      </c>
      <c r="CF21" s="18">
        <f>'Total Sunday-Holiday Boardings'!CF21/SUM('Service Days per Month'!CF$6:CF$7)</f>
        <v>944</v>
      </c>
      <c r="CG21" s="18">
        <f>'Total Sunday-Holiday Boardings'!CG21/SUM('Service Days per Month'!CG$6:CG$7)</f>
        <v>957.625</v>
      </c>
      <c r="CH21" s="18">
        <f>'Total Sunday-Holiday Boardings'!CH21/SUM('Service Days per Month'!CH$6:CH$7)</f>
        <v>865.5</v>
      </c>
      <c r="CI21" s="18">
        <f>'Total Sunday-Holiday Boardings'!CI21/SUM('Service Days per Month'!CI$6:CI$7)</f>
        <v>1009.1428571428571</v>
      </c>
      <c r="CJ21" s="18">
        <f>'Total Sunday-Holiday Boardings'!CJ21/SUM('Service Days per Month'!CJ$6:CJ$7)</f>
        <v>1041.4000000000001</v>
      </c>
      <c r="CK21" s="18">
        <f>'Total Sunday-Holiday Boardings'!CK21/SUM('Service Days per Month'!CK$6:CK$7)</f>
        <v>965.5</v>
      </c>
      <c r="CL21" s="18">
        <f>'Total Sunday-Holiday Boardings'!CL21/SUM('Service Days per Month'!CL$6:CL$7)</f>
        <v>1059.5</v>
      </c>
      <c r="CM21" s="18">
        <f>'Total Sunday-Holiday Boardings'!CM21/SUM('Service Days per Month'!CM$6:CM$7)</f>
        <v>943.66666666666663</v>
      </c>
      <c r="CN21" s="21">
        <f>'Total Sunday-Holiday Boardings'!CN21/SUM('Service Days per Month'!CN$6:CN$7)</f>
        <v>920</v>
      </c>
      <c r="CO21" s="17">
        <f>'Total Sunday-Holiday Boardings'!CO21/SUM('Service Days per Month'!CO$6:CO$7)</f>
        <v>922.83333333333337</v>
      </c>
      <c r="CP21" s="18">
        <f>'Total Sunday-Holiday Boardings'!CP21/SUM('Service Days per Month'!CP$6:CP$7)</f>
        <v>961.75</v>
      </c>
      <c r="CQ21" s="18">
        <f>'Total Sunday-Holiday Boardings'!CQ21/SUM('Service Days per Month'!CQ$6:CQ$7)</f>
        <v>972.2</v>
      </c>
      <c r="CR21" s="18">
        <f>'Total Sunday-Holiday Boardings'!CR21/SUM('Service Days per Month'!CR$6:CR$7)</f>
        <v>968.2</v>
      </c>
      <c r="CS21" s="18">
        <f>'Total Sunday-Holiday Boardings'!CS21/SUM('Service Days per Month'!CS$6:CS$7)</f>
        <v>792.71428571428567</v>
      </c>
      <c r="CT21" s="18">
        <f>'Total Sunday-Holiday Boardings'!CT21/SUM('Service Days per Month'!CT$6:CT$7)</f>
        <v>684.66666666666663</v>
      </c>
      <c r="CU21" s="18">
        <f>'Total Sunday-Holiday Boardings'!CU21/SUM('Service Days per Month'!CU$6:CU$7)</f>
        <v>644.85714285714289</v>
      </c>
      <c r="CV21" s="18">
        <f>'Total Sunday-Holiday Boardings'!CV21/SUM('Service Days per Month'!CV$6:CV$7)</f>
        <v>720</v>
      </c>
      <c r="CW21" s="18">
        <f>'Total Sunday-Holiday Boardings'!CW21/SUM('Service Days per Month'!CW$6:CW$7)</f>
        <v>1022</v>
      </c>
      <c r="CX21" s="18">
        <f>'Total Sunday-Holiday Boardings'!CX21/SUM('Service Days per Month'!CX$6:CX$7)</f>
        <v>1201.4000000000001</v>
      </c>
      <c r="CY21" s="18">
        <f>'Total Sunday-Holiday Boardings'!CY21/SUM('Service Days per Month'!CY$6:CY$7)</f>
        <v>963.4</v>
      </c>
      <c r="CZ21" s="19">
        <f>'Total Sunday-Holiday Boardings'!CZ21/SUM('Service Days per Month'!CZ$6:CZ$7)</f>
        <v>894.25</v>
      </c>
      <c r="DA21" s="17">
        <f>'Total Sunday-Holiday Boardings'!DA21/SUM('Service Days per Month'!DA$6:DA$7)</f>
        <v>895</v>
      </c>
      <c r="DB21" s="18">
        <f>'Total Sunday-Holiday Boardings'!DB21/SUM('Service Days per Month'!DB$6:DB$7)</f>
        <v>895.25</v>
      </c>
      <c r="DC21" s="18">
        <f>'Total Sunday-Holiday Boardings'!DC21/SUM('Service Days per Month'!DC$6:DC$7)</f>
        <v>925.6</v>
      </c>
      <c r="DD21" s="18">
        <f>'Total Sunday-Holiday Boardings'!DD21/SUM('Service Days per Month'!DD$6:DD$7)</f>
        <v>949.2</v>
      </c>
      <c r="DE21" s="18">
        <f>'Total Sunday-Holiday Boardings'!DE21/SUM('Service Days per Month'!DE$6:DE$7)</f>
        <v>1013.4285714285714</v>
      </c>
      <c r="DF21" s="18">
        <f>'Total Sunday-Holiday Boardings'!DF21/SUM('Service Days per Month'!DF$6:DF$7)</f>
        <v>868.5</v>
      </c>
      <c r="DG21" s="18">
        <f>'Total Sunday-Holiday Boardings'!DG21/SUM('Service Days per Month'!DG$6:DG$7)</f>
        <v>1038.8333333333333</v>
      </c>
      <c r="DH21" s="18">
        <f>'Total Sunday-Holiday Boardings'!DH21/SUM('Service Days per Month'!DH$6:DH$7)</f>
        <v>1041.2</v>
      </c>
      <c r="DI21" s="18">
        <f>'Total Sunday-Holiday Boardings'!DI21/SUM('Service Days per Month'!DI$6:DI$7)</f>
        <v>954.25</v>
      </c>
      <c r="DJ21" s="18">
        <f>'Total Sunday-Holiday Boardings'!DJ21/SUM('Service Days per Month'!DJ$6:DJ$7)</f>
        <v>921.8</v>
      </c>
      <c r="DK21" s="18">
        <f>'Total Sunday-Holiday Boardings'!DK21/SUM('Service Days per Month'!DK$6:DK$7)</f>
        <v>926.4</v>
      </c>
      <c r="DL21" s="19">
        <f>'Total Sunday-Holiday Boardings'!DL21/SUM('Service Days per Month'!DL$6:DL$7)</f>
        <v>802.25</v>
      </c>
      <c r="DM21" s="17">
        <f>'Total Sunday-Holiday Boardings'!DM21/('Service Days per Month'!DM$6+'Service Days per Month'!DM$7)</f>
        <v>865.16666666666663</v>
      </c>
      <c r="DN21" s="18">
        <f>'Total Sunday-Holiday Boardings'!DN21/('Service Days per Month'!DN$6+'Service Days per Month'!DN$7)</f>
        <v>886.75</v>
      </c>
      <c r="DO21" s="18">
        <f>'Total Sunday-Holiday Boardings'!DO21/('Service Days per Month'!DO$6+'Service Days per Month'!DO$7)</f>
        <v>874.33333333333337</v>
      </c>
      <c r="DP21" s="18">
        <f>'Total Sunday-Holiday Boardings'!DP21/('Service Days per Month'!DP$6+'Service Days per Month'!DP$7)</f>
        <v>855.25</v>
      </c>
      <c r="DQ21" s="18">
        <f>'Total Sunday-Holiday Boardings'!DQ21/('Service Days per Month'!DQ$6+'Service Days per Month'!DQ$7)</f>
        <v>840.6</v>
      </c>
      <c r="DR21" s="18">
        <f>'Total Sunday-Holiday Boardings'!DR21/('Service Days per Month'!DR$6+'Service Days per Month'!DR$7)</f>
        <v>786</v>
      </c>
      <c r="DS21" s="18">
        <f>'Total Sunday-Holiday Boardings'!DS21/('Service Days per Month'!DS$6+'Service Days per Month'!DS$7)</f>
        <v>858.4</v>
      </c>
      <c r="DT21" s="18">
        <f>'Total Sunday-Holiday Boardings'!DT21/('Service Days per Month'!DT$6+'Service Days per Month'!DT$7)</f>
        <v>863.5</v>
      </c>
      <c r="DU21" s="18">
        <f>'Total Sunday-Holiday Boardings'!DU21/('Service Days per Month'!DU$6+'Service Days per Month'!DU$7)</f>
        <v>905.2</v>
      </c>
      <c r="DV21" s="18">
        <f>'Total Sunday-Holiday Boardings'!DV21/('Service Days per Month'!DV$6+'Service Days per Month'!DV$7)</f>
        <v>594.75</v>
      </c>
      <c r="DW21" s="18">
        <f>'Total Sunday-Holiday Boardings'!DW21/('Service Days per Month'!DW$6+'Service Days per Month'!DW$7)</f>
        <v>804.4</v>
      </c>
      <c r="DX21" s="18">
        <f>'Total Sunday-Holiday Boardings'!DX21/('Service Days per Month'!DX$6+'Service Days per Month'!DX$7)</f>
        <v>755</v>
      </c>
      <c r="DY21" s="17">
        <f>'Total Sunday-Holiday Boardings'!DY21/('Service Days per Month'!DY$6+'Service Days per Month'!DY$7)</f>
        <v>748</v>
      </c>
      <c r="DZ21" s="18">
        <f>'Total Sunday-Holiday Boardings'!DZ21/('Service Days per Month'!DZ$6+'Service Days per Month'!DZ$7)</f>
        <v>740.5</v>
      </c>
      <c r="EA21" s="18">
        <f>'Total Sunday-Holiday Boardings'!EA21/('Service Days per Month'!EA$6+'Service Days per Month'!EA$7)</f>
        <v>803.5</v>
      </c>
      <c r="EB21" s="18">
        <f>'Total Sunday-Holiday Boardings'!EB21/('Service Days per Month'!EB$6+'Service Days per Month'!EB$7)</f>
        <v>771</v>
      </c>
      <c r="EC21" s="18">
        <f>'Total Sunday-Holiday Boardings'!EC21/('Service Days per Month'!EC$6+'Service Days per Month'!EC$7)</f>
        <v>736.6</v>
      </c>
      <c r="ED21" s="18">
        <f>'Total Sunday-Holiday Boardings'!ED21/('Service Days per Month'!ED$6+'Service Days per Month'!ED$7)</f>
        <v>666.83333333333337</v>
      </c>
      <c r="EE21" s="18">
        <f>'Total Sunday-Holiday Boardings'!EE21/('Service Days per Month'!EE$6+'Service Days per Month'!EE$7)</f>
        <v>974.75</v>
      </c>
      <c r="EF21" s="18">
        <f>'Total Sunday-Holiday Boardings'!EF21/('Service Days per Month'!EF$6+'Service Days per Month'!EF$7)</f>
        <v>748</v>
      </c>
      <c r="EG21" s="18">
        <f>'Total Sunday-Holiday Boardings'!EG21/('Service Days per Month'!EG$6+'Service Days per Month'!EG$7)</f>
        <v>620.20000000000005</v>
      </c>
      <c r="EH21" s="18">
        <f>'Total Sunday-Holiday Boardings'!EH21/('Service Days per Month'!EH$6+'Service Days per Month'!EH$7)</f>
        <v>380.25</v>
      </c>
      <c r="EI21" s="18">
        <f>'Total Sunday-Holiday Boardings'!EI21/('Service Days per Month'!EI$6+'Service Days per Month'!EI$7)</f>
        <v>405</v>
      </c>
      <c r="EJ21" s="18">
        <f>'Total Sunday-Holiday Boardings'!EJ21/('Service Days per Month'!EJ$6+'Service Days per Month'!EJ$7)</f>
        <v>344</v>
      </c>
      <c r="EK21" s="17">
        <f>'Total Sunday-Holiday Boardings'!EK21/('Service Days per Month'!EK$6+'Service Days per Month'!EK$7)</f>
        <v>365.8</v>
      </c>
      <c r="EL21" s="18">
        <f>'Total Sunday-Holiday Boardings'!EL21/('Service Days per Month'!EL$6+'Service Days per Month'!EL$7)</f>
        <v>358.6</v>
      </c>
      <c r="EM21" s="18">
        <f>'Total Sunday-Holiday Boardings'!EM21/('Service Days per Month'!EM$6+'Service Days per Month'!EM$7)</f>
        <v>386.4</v>
      </c>
      <c r="EN21" s="18">
        <f>'Total Sunday-Holiday Boardings'!EN21/('Service Days per Month'!EN$6+'Service Days per Month'!EN$7)</f>
        <v>383</v>
      </c>
      <c r="EO21" s="18">
        <f>'Total Sunday-Holiday Boardings'!EO21/('Service Days per Month'!EO$6+'Service Days per Month'!EO$7)</f>
        <v>255.5</v>
      </c>
      <c r="EP21" s="18">
        <f>'Total Sunday-Holiday Boardings'!EP21/('Service Days per Month'!EP$6+'Service Days per Month'!EP$7)</f>
        <v>217.2</v>
      </c>
      <c r="EQ21" s="18">
        <f>'Total Sunday-Holiday Boardings'!EQ21/('Service Days per Month'!EQ$6+'Service Days per Month'!EQ$7)</f>
        <v>166.8</v>
      </c>
      <c r="ER21" s="18">
        <f>'Total Sunday-Holiday Boardings'!ER21/('Service Days per Month'!ER$6+'Service Days per Month'!ER$7)</f>
        <v>159.75</v>
      </c>
      <c r="ES21" s="18">
        <f>'Total Sunday-Holiday Boardings'!ES21/('Service Days per Month'!ES$6+'Service Days per Month'!ES$7)</f>
        <v>376</v>
      </c>
      <c r="ET21" s="18">
        <f>'Total Sunday-Holiday Boardings'!ET21/('Service Days per Month'!ET$6+'Service Days per Month'!ET$7)</f>
        <v>351.75</v>
      </c>
      <c r="EU21" s="18">
        <f>'Total Sunday-Holiday Boardings'!EU21/('Service Days per Month'!EU$6+'Service Days per Month'!EU$7)</f>
        <v>319.5</v>
      </c>
      <c r="EV21" s="18">
        <f>'Total Sunday-Holiday Boardings'!EV21/('Service Days per Month'!EV$6+'Service Days per Month'!EV$7)</f>
        <v>384.25</v>
      </c>
      <c r="EW21" s="17">
        <f>'Total Sunday-Holiday Boardings'!EW21/('Service Days per Month'!EW$6+'Service Days per Month'!EW$7)</f>
        <v>384</v>
      </c>
      <c r="EX21" s="18">
        <f>'Total Sunday-Holiday Boardings'!EX21/('Service Days per Month'!EX$6+'Service Days per Month'!EX$7)</f>
        <v>550</v>
      </c>
      <c r="EY21" s="18">
        <f>'Total Sunday-Holiday Boardings'!EY21/('Service Days per Month'!EY$6+'Service Days per Month'!EY$7)</f>
        <v>400.6</v>
      </c>
      <c r="EZ21" s="18">
        <f>'Total Sunday-Holiday Boardings'!EZ21/('Service Days per Month'!EZ$6+'Service Days per Month'!EZ$7)</f>
        <v>400.8</v>
      </c>
      <c r="FA21" s="18">
        <f>'Total Sunday-Holiday Boardings'!FA21/('Service Days per Month'!FA$6+'Service Days per Month'!FA$7)</f>
        <v>376.4</v>
      </c>
      <c r="FB21" s="18">
        <f>'Total Sunday-Holiday Boardings'!FB21/('Service Days per Month'!FB$6+'Service Days per Month'!FB$7)</f>
        <v>484.6</v>
      </c>
      <c r="FC21" s="18">
        <f>'Total Sunday-Holiday Boardings'!FC21/('Service Days per Month'!FC$6+'Service Days per Month'!FC$7)</f>
        <v>385.8</v>
      </c>
      <c r="FD21" s="18">
        <f>'Total Sunday-Holiday Boardings'!FD21/('Service Days per Month'!FD$6+'Service Days per Month'!FD$7)</f>
        <v>441</v>
      </c>
      <c r="FE21" s="18">
        <f>'Total Sunday-Holiday Boardings'!FE21/('Service Days per Month'!FE$6+'Service Days per Month'!FE$7)</f>
        <v>526.25</v>
      </c>
      <c r="FF21" s="18">
        <f>'Total Sunday-Holiday Boardings'!FF21/('Service Days per Month'!FF$6+'Service Days per Month'!FF$7)</f>
        <v>274.75</v>
      </c>
      <c r="FG21" s="18">
        <f>'Total Sunday-Holiday Boardings'!FG21/('Service Days per Month'!FG$6+'Service Days per Month'!FG$7)</f>
        <v>501.66666666666669</v>
      </c>
      <c r="FH21" s="18">
        <f>'Total Sunday-Holiday Boardings'!FH21/('Service Days per Month'!FH$6+'Service Days per Month'!FH$7)</f>
        <v>644</v>
      </c>
      <c r="FI21" s="17">
        <v>379</v>
      </c>
      <c r="FJ21" s="18">
        <v>300.5</v>
      </c>
      <c r="FK21" s="18">
        <v>367.6</v>
      </c>
      <c r="FL21" s="18">
        <v>340</v>
      </c>
      <c r="FM21" s="18">
        <v>335.8</v>
      </c>
      <c r="FN21" s="18">
        <v>285.2</v>
      </c>
      <c r="FO21" s="18">
        <v>403</v>
      </c>
      <c r="FP21" s="18">
        <v>353</v>
      </c>
      <c r="FQ21" s="18">
        <v>370.75</v>
      </c>
      <c r="FR21" s="18">
        <f>'Total Sunday-Holiday Boardings'!FR21/5</f>
        <v>341.8</v>
      </c>
      <c r="FS21" s="18">
        <f>'Total Sunday-Holiday Boardings'!FS21/5</f>
        <v>342.6</v>
      </c>
      <c r="FT21" s="21">
        <f>'Total Sunday-Holiday Boardings'!FT21/4</f>
        <v>308.25</v>
      </c>
      <c r="FU21" s="18">
        <f>'Total Sunday-Holiday Boardings'!FU21/5</f>
        <v>399.6</v>
      </c>
      <c r="FV21" s="18">
        <f>'Total Sunday-Holiday Boardings'!FV21/4</f>
        <v>460.75</v>
      </c>
      <c r="FW21" s="18">
        <f>'Total Sunday-Holiday Boardings'!FW21/4</f>
        <v>440.75</v>
      </c>
      <c r="FX21" s="18">
        <f>'Total Sunday-Holiday Boardings'!FX21/5</f>
        <v>372.8</v>
      </c>
      <c r="FY21" s="18">
        <f>'Total Sunday-Holiday Boardings'!FY21/4</f>
        <v>401</v>
      </c>
      <c r="FZ21" s="18">
        <f>'Total Sunday-Holiday Boardings'!FZ21/5</f>
        <v>332.4</v>
      </c>
      <c r="GA21" s="18">
        <f>'Total Sunday-Holiday Boardings'!GA21/4</f>
        <v>450.5</v>
      </c>
      <c r="GB21" s="18">
        <f>'Total Sunday-Holiday Boardings'!GB21/4</f>
        <v>403.75</v>
      </c>
      <c r="GC21" s="18">
        <f>'Total Sunday-Holiday Boardings'!GC21/5</f>
        <v>340.6</v>
      </c>
      <c r="GD21" s="18">
        <f>'Total Sunday-Holiday Boardings'!GD21/4</f>
        <v>361.75</v>
      </c>
      <c r="GE21" s="18">
        <f>'Total Sunday-Holiday Boardings'!GE21/4</f>
        <v>405.5</v>
      </c>
      <c r="GF21" s="18">
        <f>'Total Sunday-Holiday Boardings'!GF21/5</f>
        <v>335.2</v>
      </c>
      <c r="GG21" s="18">
        <f>'Total Sunday-Holiday Boardings'!GG21/4</f>
        <v>394</v>
      </c>
      <c r="GH21" s="18">
        <f>'Total Sunday-Holiday Boardings'!GH21/4</f>
        <v>337</v>
      </c>
      <c r="GI21" s="18">
        <f>'Total Sunday-Holiday Boardings'!GI21/5</f>
        <v>419.4</v>
      </c>
      <c r="GJ21" s="18">
        <f>'Total Sunday-Holiday Boardings'!GJ21/4</f>
        <v>449.25</v>
      </c>
      <c r="GK21" s="18">
        <f>'Total Sunday-Holiday Boardings'!GK21/4</f>
        <v>403.5</v>
      </c>
      <c r="GL21" s="18">
        <f>'Total Sunday-Holiday Boardings'!GL21/5</f>
        <v>341.2</v>
      </c>
    </row>
    <row r="22" spans="1:194" x14ac:dyDescent="0.3">
      <c r="A22" s="3" t="s">
        <v>35</v>
      </c>
      <c r="B22" s="17"/>
      <c r="C22" s="18">
        <f>'Total Sunday-Holiday Boardings'!C22/SUM('Service Days per Month'!C$6:C$7)</f>
        <v>616.79999999999995</v>
      </c>
      <c r="D22" s="18">
        <f>'Total Sunday-Holiday Boardings'!D22/SUM('Service Days per Month'!D$6:D$7)</f>
        <v>759.25</v>
      </c>
      <c r="E22" s="18">
        <f>'Total Sunday-Holiday Boardings'!E22/SUM('Service Days per Month'!E$6:E$7)</f>
        <v>494</v>
      </c>
      <c r="F22" s="18">
        <f>'Total Sunday-Holiday Boardings'!F22/SUM('Service Days per Month'!F$6:F$7)</f>
        <v>422</v>
      </c>
      <c r="G22" s="18">
        <f>'Total Sunday-Holiday Boardings'!G22/SUM('Service Days per Month'!G$6:G$7)</f>
        <v>445.33333333333331</v>
      </c>
      <c r="H22" s="19">
        <f>'Total Sunday-Holiday Boardings'!H22/SUM('Service Days per Month'!H$6:H$7)</f>
        <v>372.75</v>
      </c>
      <c r="I22" s="17">
        <f>'Total Sunday-Holiday Boardings'!I22/SUM('Service Days per Month'!I$6:I$7)</f>
        <v>451.6</v>
      </c>
      <c r="J22" s="18">
        <f>'Total Sunday-Holiday Boardings'!J22/SUM('Service Days per Month'!J$6:J$7)</f>
        <v>418.8</v>
      </c>
      <c r="K22" s="18">
        <f>'Total Sunday-Holiday Boardings'!K22/SUM('Service Days per Month'!K$6:K$7)</f>
        <v>489.6</v>
      </c>
      <c r="L22" s="18">
        <f>'Total Sunday-Holiday Boardings'!L22/SUM('Service Days per Month'!L$6:L$7)</f>
        <v>505.75</v>
      </c>
      <c r="M22" s="18">
        <f>'Total Sunday-Holiday Boardings'!M22/SUM('Service Days per Month'!M$6:M$7)</f>
        <v>805.83333333333337</v>
      </c>
      <c r="N22" s="18">
        <f>'Total Sunday-Holiday Boardings'!N22/SUM('Service Days per Month'!N$6:N$7)</f>
        <v>405.6</v>
      </c>
      <c r="O22" s="79">
        <f>'Total Sunday-Holiday Boardings'!O22/SUM('Service Days per Month'!O$6:O$7)</f>
        <v>577</v>
      </c>
      <c r="P22" s="79">
        <f>'Total Sunday-Holiday Boardings'!P22/SUM('Service Days per Month'!P$6:P$7)</f>
        <v>888</v>
      </c>
      <c r="Q22" s="79">
        <f>'Total Sunday-Holiday Boardings'!Q22/SUM('Service Days per Month'!Q$6:Q$7)</f>
        <v>597.25</v>
      </c>
      <c r="R22" s="79">
        <f>'Total Sunday-Holiday Boardings'!R22/SUM('Service Days per Month'!R$6:R$7)</f>
        <v>614</v>
      </c>
      <c r="S22" s="79">
        <f>'Total Sunday-Holiday Boardings'!S22/SUM('Service Days per Month'!S$6:S$7)</f>
        <v>540.33333333333337</v>
      </c>
      <c r="T22" s="80">
        <f>'Total Sunday-Holiday Boardings'!T22/SUM('Service Days per Month'!T$6:T$7)</f>
        <v>475.25</v>
      </c>
      <c r="U22" s="81">
        <f>'Total Sunday-Holiday Boardings'!U22/SUM('Service Days per Month'!U$6:U$7)</f>
        <v>368</v>
      </c>
      <c r="V22" s="79">
        <f>'Total Sunday-Holiday Boardings'!V22/SUM('Service Days per Month'!V$6:V$7)</f>
        <v>453.4</v>
      </c>
      <c r="W22" s="79">
        <f>'Total Sunday-Holiday Boardings'!W22/SUM('Service Days per Month'!W$6:W$7)</f>
        <v>603.79999999999995</v>
      </c>
      <c r="X22" s="79">
        <f>'Total Sunday-Holiday Boardings'!X22/SUM('Service Days per Month'!X$6:X$7)</f>
        <v>599.6</v>
      </c>
      <c r="Y22" s="79">
        <f>'Total Sunday-Holiday Boardings'!Y22/SUM('Service Days per Month'!Y$6:Y$7)</f>
        <v>612.28571428571433</v>
      </c>
      <c r="Z22" s="79">
        <f>'Total Sunday-Holiday Boardings'!Z22/SUM('Service Days per Month'!Z$6:Z$7)</f>
        <v>248.28571428571428</v>
      </c>
      <c r="AA22" s="18">
        <f>'Total Sunday-Holiday Boardings'!AA22/SUM('Service Days per Month'!AA$6:AA$7)</f>
        <v>439.5</v>
      </c>
      <c r="AB22" s="18">
        <f>'Total Sunday-Holiday Boardings'!AB22/SUM('Service Days per Month'!AB$6:AB$7)</f>
        <v>660</v>
      </c>
      <c r="AC22" s="18">
        <f>'Total Sunday-Holiday Boardings'!AC22/SUM('Service Days per Month'!AC$6:AC$7)</f>
        <v>567.25</v>
      </c>
      <c r="AD22" s="18">
        <f>'Total Sunday-Holiday Boardings'!AD22/SUM('Service Days per Month'!AD$6:AD$7)</f>
        <v>513.75</v>
      </c>
      <c r="AE22" s="18">
        <f>'Total Sunday-Holiday Boardings'!AE22/SUM('Service Days per Month'!AE$6:AE$7)</f>
        <v>421.83333333333331</v>
      </c>
      <c r="AF22" s="19">
        <f>'Total Sunday-Holiday Boardings'!AF22/SUM('Service Days per Month'!AF$6:AF$7)</f>
        <v>399</v>
      </c>
      <c r="AG22" s="17">
        <f>'Total Sunday-Holiday Boardings'!AG22/SUM('Service Days per Month'!AG$6:AG$7)</f>
        <v>521.66666666666663</v>
      </c>
      <c r="AH22" s="18">
        <f>'Total Sunday-Holiday Boardings'!AH22/SUM('Service Days per Month'!AH$6:AH$7)</f>
        <v>552</v>
      </c>
      <c r="AI22" s="18">
        <f>'Total Sunday-Holiday Boardings'!AI22/SUM('Service Days per Month'!AI$6:AI$7)</f>
        <v>552.79999999999995</v>
      </c>
      <c r="AJ22" s="18">
        <f>'Total Sunday-Holiday Boardings'!AJ22/SUM('Service Days per Month'!AJ$6:AJ$7)</f>
        <v>656</v>
      </c>
      <c r="AK22" s="18">
        <f>'Total Sunday-Holiday Boardings'!AK22/SUM('Service Days per Month'!AK$6:AK$7)</f>
        <v>546.57142857142856</v>
      </c>
      <c r="AL22" s="18">
        <f>'Total Sunday-Holiday Boardings'!AL22/SUM('Service Days per Month'!AL$6:AL$7)</f>
        <v>380.16666666666669</v>
      </c>
      <c r="AM22" s="18">
        <f>'Total Sunday-Holiday Boardings'!AM22/SUM('Service Days per Month'!AM$6:AM$7)</f>
        <v>594.57142857142856</v>
      </c>
      <c r="AN22" s="18">
        <f>'Total Sunday-Holiday Boardings'!AN22/SUM('Service Days per Month'!AN$6:AN$7)</f>
        <v>768</v>
      </c>
      <c r="AO22" s="18">
        <f>'Total Sunday-Holiday Boardings'!AO22/SUM('Service Days per Month'!AO$6:AO$7)</f>
        <v>597.5</v>
      </c>
      <c r="AP22" s="18">
        <f>'Total Sunday-Holiday Boardings'!AP22/SUM('Service Days per Month'!AP$6:AP$7)</f>
        <v>583.4</v>
      </c>
      <c r="AQ22" s="18">
        <f>'Total Sunday-Holiday Boardings'!AQ22/SUM('Service Days per Month'!AQ$6:AQ$7)</f>
        <v>585</v>
      </c>
      <c r="AR22" s="19">
        <f>'Total Sunday-Holiday Boardings'!AR22/SUM('Service Days per Month'!AR$6:AR$7)</f>
        <v>537.5</v>
      </c>
      <c r="AS22" s="17">
        <f>'Total Sunday-Holiday Boardings'!AS22/SUM('Service Days per Month'!AS$6:AS$7)</f>
        <v>531.33333333333337</v>
      </c>
      <c r="AT22" s="18">
        <f>'Total Sunday-Holiday Boardings'!AT22/SUM('Service Days per Month'!AT$6:AT$7)</f>
        <v>591</v>
      </c>
      <c r="AU22" s="18">
        <f>'Total Sunday-Holiday Boardings'!AU22/SUM('Service Days per Month'!AU$6:AU$7)</f>
        <v>652.16666666666663</v>
      </c>
      <c r="AV22" s="18">
        <f>'Total Sunday-Holiday Boardings'!AV22/SUM('Service Days per Month'!AV$6:AV$7)</f>
        <v>697.75</v>
      </c>
      <c r="AW22" s="18">
        <f>'Total Sunday-Holiday Boardings'!AW22/SUM('Service Days per Month'!AW$6:AW$7)</f>
        <v>568.14285714285711</v>
      </c>
      <c r="AX22" s="18">
        <f>'Total Sunday-Holiday Boardings'!AX22/SUM('Service Days per Month'!AX$6:AX$7)</f>
        <v>444.42857142857144</v>
      </c>
      <c r="AY22" s="18">
        <f>'Total Sunday-Holiday Boardings'!AY22/SUM('Service Days per Month'!AY$6:AY$7)</f>
        <v>605.83333333333337</v>
      </c>
      <c r="AZ22" s="18">
        <f>'Total Sunday-Holiday Boardings'!AZ22/SUM('Service Days per Month'!AZ$6:AZ$7)</f>
        <v>791.2</v>
      </c>
      <c r="BA22" s="18">
        <f>'Total Sunday-Holiday Boardings'!BA22/SUM('Service Days per Month'!BA$6:BA$7)</f>
        <v>655.6</v>
      </c>
      <c r="BB22" s="18">
        <f>'Total Sunday-Holiday Boardings'!BB22/SUM('Service Days per Month'!BB$6:BB$7)</f>
        <v>690.25</v>
      </c>
      <c r="BC22" s="18">
        <f>'Total Sunday-Holiday Boardings'!BC22/SUM('Service Days per Month'!BC$6:BC$7)</f>
        <v>636.4</v>
      </c>
      <c r="BD22" s="19">
        <f>'Total Sunday-Holiday Boardings'!BD22/SUM('Service Days per Month'!BD$6:BD$7)</f>
        <v>552</v>
      </c>
      <c r="BE22" s="17">
        <f>'Total Sunday-Holiday Boardings'!BE22/SUM('Service Days per Month'!BE$6:BE$7)</f>
        <v>547.4</v>
      </c>
      <c r="BF22" s="18">
        <f>'Total Sunday-Holiday Boardings'!BF22/SUM('Service Days per Month'!BF$6:BF$7)</f>
        <v>589.5</v>
      </c>
      <c r="BG22" s="18">
        <f>'Total Sunday-Holiday Boardings'!BG22/SUM('Service Days per Month'!BG$6:BG$7)</f>
        <v>665.33333333333337</v>
      </c>
      <c r="BH22" s="18">
        <f>'Total Sunday-Holiday Boardings'!BH22/SUM('Service Days per Month'!BH$6:BH$7)</f>
        <v>643.75</v>
      </c>
      <c r="BI22" s="18">
        <f>'Total Sunday-Holiday Boardings'!BI22/SUM('Service Days per Month'!BI$6:BI$7)</f>
        <v>584.39574789109122</v>
      </c>
      <c r="BJ22" s="18">
        <f>'Total Sunday-Holiday Boardings'!BJ22/SUM('Service Days per Month'!BJ$6:BJ$7)</f>
        <v>559</v>
      </c>
      <c r="BK22" s="18">
        <f>'Total Sunday-Holiday Boardings'!BK22/SUM('Service Days per Month'!BK$6:BK$7)</f>
        <v>720.66666666666663</v>
      </c>
      <c r="BL22" s="18">
        <f>'Total Sunday-Holiday Boardings'!BL22/SUM('Service Days per Month'!BL$6:BL$7)</f>
        <v>815.6</v>
      </c>
      <c r="BM22" s="18">
        <f>'Total Sunday-Holiday Boardings'!BM22/SUM('Service Days per Month'!BM$6:BM$7)</f>
        <v>711.2</v>
      </c>
      <c r="BN22" s="18">
        <f>'Total Sunday-Holiday Boardings'!BN22/SUM('Service Days per Month'!BN$6:BN$7)</f>
        <v>646.25</v>
      </c>
      <c r="BO22" s="18">
        <f>'Total Sunday-Holiday Boardings'!BO22/SUM('Service Days per Month'!BO$6:BO$7)</f>
        <v>567.6</v>
      </c>
      <c r="BP22" s="19">
        <f>'Total Sunday-Holiday Boardings'!BP22/SUM('Service Days per Month'!BP$6:BP$7)</f>
        <v>547.4</v>
      </c>
      <c r="BQ22" s="17">
        <f>'Total Sunday-Holiday Boardings'!BQ22/SUM('Service Days per Month'!BQ$6:BQ$7)</f>
        <v>556.4</v>
      </c>
      <c r="BR22" s="18">
        <f>'Total Sunday-Holiday Boardings'!BR22/SUM('Service Days per Month'!BR$6:BR$7)</f>
        <v>639.20000000000005</v>
      </c>
      <c r="BS22" s="18">
        <f>'Total Sunday-Holiday Boardings'!BS22/SUM('Service Days per Month'!BS$6:BS$7)</f>
        <v>682.2</v>
      </c>
      <c r="BT22" s="18">
        <f>'Total Sunday-Holiday Boardings'!BT22/SUM('Service Days per Month'!BT$6:BT$7)</f>
        <v>627.75</v>
      </c>
      <c r="BU22" s="18">
        <f>'Total Sunday-Holiday Boardings'!BU22/SUM('Service Days per Month'!BU$6:BU$7)</f>
        <v>647.375</v>
      </c>
      <c r="BV22" s="18">
        <f>'Total Sunday-Holiday Boardings'!BV22/SUM('Service Days per Month'!BV$6:BV$7)</f>
        <v>555.33333333333337</v>
      </c>
      <c r="BW22" s="18">
        <f>'Total Sunday-Holiday Boardings'!BW22/SUM('Service Days per Month'!BW$6:BW$7)</f>
        <v>688.33333333333337</v>
      </c>
      <c r="BX22" s="18">
        <f>'Total Sunday-Holiday Boardings'!BX22/SUM('Service Days per Month'!BX$6:BX$7)</f>
        <v>880.6</v>
      </c>
      <c r="BY22" s="18">
        <f>'Total Sunday-Holiday Boardings'!BY22/SUM('Service Days per Month'!BY$6:BY$7)</f>
        <v>739.4</v>
      </c>
      <c r="BZ22" s="18">
        <f>'Total Sunday-Holiday Boardings'!BZ22/SUM('Service Days per Month'!BZ$6:BZ$7)</f>
        <v>625.25</v>
      </c>
      <c r="CA22" s="18">
        <f>'Total Sunday-Holiday Boardings'!CA22/SUM('Service Days per Month'!CA$6:CA$7)</f>
        <v>555.66666666666663</v>
      </c>
      <c r="CB22" s="19">
        <f>'Total Sunday-Holiday Boardings'!CB22/SUM('Service Days per Month'!CB$6:CB$7)</f>
        <v>621</v>
      </c>
      <c r="CC22" s="20">
        <f>'Total Sunday-Holiday Boardings'!CC22/SUM('Service Days per Month'!CC$6:CC$7)</f>
        <v>579.6</v>
      </c>
      <c r="CD22" s="18">
        <f>'Total Sunday-Holiday Boardings'!CD22/SUM('Service Days per Month'!CD$6:CD$7)</f>
        <v>636</v>
      </c>
      <c r="CE22" s="18">
        <f>'Total Sunday-Holiday Boardings'!CE22/SUM('Service Days per Month'!CE$6:CE$7)</f>
        <v>736.2</v>
      </c>
      <c r="CF22" s="18">
        <f>'Total Sunday-Holiday Boardings'!CF22/SUM('Service Days per Month'!CF$6:CF$7)</f>
        <v>636</v>
      </c>
      <c r="CG22" s="18">
        <f>'Total Sunday-Holiday Boardings'!CG22/SUM('Service Days per Month'!CG$6:CG$7)</f>
        <v>641.5</v>
      </c>
      <c r="CH22" s="18">
        <f>'Total Sunday-Holiday Boardings'!CH22/SUM('Service Days per Month'!CH$6:CH$7)</f>
        <v>497.66666666666669</v>
      </c>
      <c r="CI22" s="18">
        <f>'Total Sunday-Holiday Boardings'!CI22/SUM('Service Days per Month'!CI$6:CI$7)</f>
        <v>769.28571428571433</v>
      </c>
      <c r="CJ22" s="18">
        <f>'Total Sunday-Holiday Boardings'!CJ22/SUM('Service Days per Month'!CJ$6:CJ$7)</f>
        <v>717</v>
      </c>
      <c r="CK22" s="18">
        <f>'Total Sunday-Holiday Boardings'!CK22/SUM('Service Days per Month'!CK$6:CK$7)</f>
        <v>660.5</v>
      </c>
      <c r="CL22" s="18">
        <f>'Total Sunday-Holiday Boardings'!CL22/SUM('Service Days per Month'!CL$6:CL$7)</f>
        <v>679.5</v>
      </c>
      <c r="CM22" s="18">
        <f>'Total Sunday-Holiday Boardings'!CM22/SUM('Service Days per Month'!CM$6:CM$7)</f>
        <v>545.33333333333337</v>
      </c>
      <c r="CN22" s="21">
        <f>'Total Sunday-Holiday Boardings'!CN22/SUM('Service Days per Month'!CN$6:CN$7)</f>
        <v>553.75</v>
      </c>
      <c r="CO22" s="17">
        <f>'Total Sunday-Holiday Boardings'!CO22/SUM('Service Days per Month'!CO$6:CO$7)</f>
        <v>547.5</v>
      </c>
      <c r="CP22" s="18">
        <f>'Total Sunday-Holiday Boardings'!CP22/SUM('Service Days per Month'!CP$6:CP$7)</f>
        <v>637.25</v>
      </c>
      <c r="CQ22" s="18">
        <f>'Total Sunday-Holiday Boardings'!CQ22/SUM('Service Days per Month'!CQ$6:CQ$7)</f>
        <v>632.79999999999995</v>
      </c>
      <c r="CR22" s="18">
        <f>'Total Sunday-Holiday Boardings'!CR22/SUM('Service Days per Month'!CR$6:CR$7)</f>
        <v>619.6</v>
      </c>
      <c r="CS22" s="18">
        <f>'Total Sunday-Holiday Boardings'!CS22/SUM('Service Days per Month'!CS$6:CS$7)</f>
        <v>1273.5714285714287</v>
      </c>
      <c r="CT22" s="18">
        <f>'Total Sunday-Holiday Boardings'!CT22/SUM('Service Days per Month'!CT$6:CT$7)</f>
        <v>1184</v>
      </c>
      <c r="CU22" s="18">
        <f>'Total Sunday-Holiday Boardings'!CU22/SUM('Service Days per Month'!CU$6:CU$7)</f>
        <v>1082.7142857142858</v>
      </c>
      <c r="CV22" s="18">
        <f>'Total Sunday-Holiday Boardings'!CV22/SUM('Service Days per Month'!CV$6:CV$7)</f>
        <v>1080</v>
      </c>
      <c r="CW22" s="18">
        <f>'Total Sunday-Holiday Boardings'!CW22/SUM('Service Days per Month'!CW$6:CW$7)</f>
        <v>658.75</v>
      </c>
      <c r="CX22" s="18">
        <f>'Total Sunday-Holiday Boardings'!CX22/SUM('Service Days per Month'!CX$6:CX$7)</f>
        <v>710</v>
      </c>
      <c r="CY22" s="18">
        <f>'Total Sunday-Holiday Boardings'!CY22/SUM('Service Days per Month'!CY$6:CY$7)</f>
        <v>603.6</v>
      </c>
      <c r="CZ22" s="19">
        <f>'Total Sunday-Holiday Boardings'!CZ22/SUM('Service Days per Month'!CZ$6:CZ$7)</f>
        <v>586</v>
      </c>
      <c r="DA22" s="17">
        <f>'Total Sunday-Holiday Boardings'!DA22/SUM('Service Days per Month'!DA$6:DA$7)</f>
        <v>641.83333333333337</v>
      </c>
      <c r="DB22" s="18">
        <f>'Total Sunday-Holiday Boardings'!DB22/SUM('Service Days per Month'!DB$6:DB$7)</f>
        <v>708.25</v>
      </c>
      <c r="DC22" s="18">
        <f>'Total Sunday-Holiday Boardings'!DC22/SUM('Service Days per Month'!DC$6:DC$7)</f>
        <v>656.6</v>
      </c>
      <c r="DD22" s="18">
        <f>'Total Sunday-Holiday Boardings'!DD22/SUM('Service Days per Month'!DD$6:DD$7)</f>
        <v>709.2</v>
      </c>
      <c r="DE22" s="18">
        <f>'Total Sunday-Holiday Boardings'!DE22/SUM('Service Days per Month'!DE$6:DE$7)</f>
        <v>672.14285714285711</v>
      </c>
      <c r="DF22" s="18">
        <f>'Total Sunday-Holiday Boardings'!DF22/SUM('Service Days per Month'!DF$6:DF$7)</f>
        <v>634.66666666666663</v>
      </c>
      <c r="DG22" s="18">
        <f>'Total Sunday-Holiday Boardings'!DG22/SUM('Service Days per Month'!DG$6:DG$7)</f>
        <v>802.83333333333337</v>
      </c>
      <c r="DH22" s="18">
        <f>'Total Sunday-Holiday Boardings'!DH22/SUM('Service Days per Month'!DH$6:DH$7)</f>
        <v>729.8</v>
      </c>
      <c r="DI22" s="18">
        <f>'Total Sunday-Holiday Boardings'!DI22/SUM('Service Days per Month'!DI$6:DI$7)</f>
        <v>627.5</v>
      </c>
      <c r="DJ22" s="18">
        <f>'Total Sunday-Holiday Boardings'!DJ22/SUM('Service Days per Month'!DJ$6:DJ$7)</f>
        <v>671.8</v>
      </c>
      <c r="DK22" s="18">
        <f>'Total Sunday-Holiday Boardings'!DK22/SUM('Service Days per Month'!DK$6:DK$7)</f>
        <v>614</v>
      </c>
      <c r="DL22" s="19">
        <f>'Total Sunday-Holiday Boardings'!DL22/SUM('Service Days per Month'!DL$6:DL$7)</f>
        <v>585</v>
      </c>
      <c r="DM22" s="17">
        <f>'Total Sunday-Holiday Boardings'!DM22/('Service Days per Month'!DM$6+'Service Days per Month'!DM$7)</f>
        <v>620.5</v>
      </c>
      <c r="DN22" s="18">
        <f>'Total Sunday-Holiday Boardings'!DN22/('Service Days per Month'!DN$6+'Service Days per Month'!DN$7)</f>
        <v>627.5</v>
      </c>
      <c r="DO22" s="18">
        <f>'Total Sunday-Holiday Boardings'!DO22/('Service Days per Month'!DO$6+'Service Days per Month'!DO$7)</f>
        <v>644.5</v>
      </c>
      <c r="DP22" s="18">
        <f>'Total Sunday-Holiday Boardings'!DP22/('Service Days per Month'!DP$6+'Service Days per Month'!DP$7)</f>
        <v>622.75</v>
      </c>
      <c r="DQ22" s="18">
        <f>'Total Sunday-Holiday Boardings'!DQ22/('Service Days per Month'!DQ$6+'Service Days per Month'!DQ$7)</f>
        <v>638</v>
      </c>
      <c r="DR22" s="18">
        <f>'Total Sunday-Holiday Boardings'!DR22/('Service Days per Month'!DR$6+'Service Days per Month'!DR$7)</f>
        <v>537.33333333333337</v>
      </c>
      <c r="DS22" s="18">
        <f>'Total Sunday-Holiday Boardings'!DS22/('Service Days per Month'!DS$6+'Service Days per Month'!DS$7)</f>
        <v>650.4</v>
      </c>
      <c r="DT22" s="18">
        <f>'Total Sunday-Holiday Boardings'!DT22/('Service Days per Month'!DT$6+'Service Days per Month'!DT$7)</f>
        <v>601.5</v>
      </c>
      <c r="DU22" s="18">
        <f>'Total Sunday-Holiday Boardings'!DU22/('Service Days per Month'!DU$6+'Service Days per Month'!DU$7)</f>
        <v>671</v>
      </c>
      <c r="DV22" s="18">
        <f>'Total Sunday-Holiday Boardings'!DV22/('Service Days per Month'!DV$6+'Service Days per Month'!DV$7)</f>
        <v>812.75</v>
      </c>
      <c r="DW22" s="18">
        <f>'Total Sunday-Holiday Boardings'!DW22/('Service Days per Month'!DW$6+'Service Days per Month'!DW$7)</f>
        <v>573.20000000000005</v>
      </c>
      <c r="DX22" s="18">
        <f>'Total Sunday-Holiday Boardings'!DX22/('Service Days per Month'!DX$6+'Service Days per Month'!DX$7)</f>
        <v>510.4</v>
      </c>
      <c r="DY22" s="17">
        <f>'Total Sunday-Holiday Boardings'!DY22/('Service Days per Month'!DY$6+'Service Days per Month'!DY$7)</f>
        <v>607.79999999999995</v>
      </c>
      <c r="DZ22" s="18">
        <f>'Total Sunday-Holiday Boardings'!DZ22/('Service Days per Month'!DZ$6+'Service Days per Month'!DZ$7)</f>
        <v>655.75</v>
      </c>
      <c r="EA22" s="18">
        <f>'Total Sunday-Holiday Boardings'!EA22/('Service Days per Month'!EA$6+'Service Days per Month'!EA$7)</f>
        <v>633.33333333333337</v>
      </c>
      <c r="EB22" s="18">
        <f>'Total Sunday-Holiday Boardings'!EB22/('Service Days per Month'!EB$6+'Service Days per Month'!EB$7)</f>
        <v>662</v>
      </c>
      <c r="EC22" s="18">
        <f>'Total Sunday-Holiday Boardings'!EC22/('Service Days per Month'!EC$6+'Service Days per Month'!EC$7)</f>
        <v>660.4</v>
      </c>
      <c r="ED22" s="18">
        <f>'Total Sunday-Holiday Boardings'!ED22/('Service Days per Month'!ED$6+'Service Days per Month'!ED$7)</f>
        <v>482.5</v>
      </c>
      <c r="EE22" s="18">
        <f>'Total Sunday-Holiday Boardings'!EE22/('Service Days per Month'!EE$6+'Service Days per Month'!EE$7)</f>
        <v>856</v>
      </c>
      <c r="EF22" s="18">
        <f>'Total Sunday-Holiday Boardings'!EF22/('Service Days per Month'!EF$6+'Service Days per Month'!EF$7)</f>
        <v>653.25</v>
      </c>
      <c r="EG22" s="18">
        <f>'Total Sunday-Holiday Boardings'!EG22/('Service Days per Month'!EG$6+'Service Days per Month'!EG$7)</f>
        <v>520.6</v>
      </c>
      <c r="EH22" s="18">
        <f>'Total Sunday-Holiday Boardings'!EH22/('Service Days per Month'!EH$6+'Service Days per Month'!EH$7)</f>
        <v>356.75</v>
      </c>
      <c r="EI22" s="18">
        <f>'Total Sunday-Holiday Boardings'!EI22/('Service Days per Month'!EI$6+'Service Days per Month'!EI$7)</f>
        <v>345</v>
      </c>
      <c r="EJ22" s="18">
        <f>'Total Sunday-Holiday Boardings'!EJ22/('Service Days per Month'!EJ$6+'Service Days per Month'!EJ$7)</f>
        <v>356.25</v>
      </c>
      <c r="EK22" s="17">
        <f>'Total Sunday-Holiday Boardings'!EK22/('Service Days per Month'!EK$6+'Service Days per Month'!EK$7)</f>
        <v>317.39999999999998</v>
      </c>
      <c r="EL22" s="18">
        <f>'Total Sunday-Holiday Boardings'!EL22/('Service Days per Month'!EL$6+'Service Days per Month'!EL$7)</f>
        <v>356.4</v>
      </c>
      <c r="EM22" s="18">
        <f>'Total Sunday-Holiday Boardings'!EM22/('Service Days per Month'!EM$6+'Service Days per Month'!EM$7)</f>
        <v>337.2</v>
      </c>
      <c r="EN22" s="18">
        <f>'Total Sunday-Holiday Boardings'!EN22/('Service Days per Month'!EN$6+'Service Days per Month'!EN$7)</f>
        <v>304.75</v>
      </c>
      <c r="EO22" s="18">
        <f>'Total Sunday-Holiday Boardings'!EO22/('Service Days per Month'!EO$6+'Service Days per Month'!EO$7)</f>
        <v>232.33333333333334</v>
      </c>
      <c r="EP22" s="18">
        <f>'Total Sunday-Holiday Boardings'!EP22/('Service Days per Month'!EP$6+'Service Days per Month'!EP$7)</f>
        <v>179.2</v>
      </c>
      <c r="EQ22" s="18">
        <f>'Total Sunday-Holiday Boardings'!EQ22/('Service Days per Month'!EQ$6+'Service Days per Month'!EQ$7)</f>
        <v>94.8</v>
      </c>
      <c r="ER22" s="18">
        <f>'Total Sunday-Holiday Boardings'!ER22/('Service Days per Month'!ER$6+'Service Days per Month'!ER$7)</f>
        <v>375.75</v>
      </c>
      <c r="ES22" s="18">
        <f>'Total Sunday-Holiday Boardings'!ES22/('Service Days per Month'!ES$6+'Service Days per Month'!ES$7)</f>
        <v>176.5</v>
      </c>
      <c r="ET22" s="18">
        <f>'Total Sunday-Holiday Boardings'!ET22/('Service Days per Month'!ET$6+'Service Days per Month'!ET$7)</f>
        <v>286.5</v>
      </c>
      <c r="EU22" s="18">
        <f>'Total Sunday-Holiday Boardings'!EU22/('Service Days per Month'!EU$6+'Service Days per Month'!EU$7)</f>
        <v>213.66666666666666</v>
      </c>
      <c r="EV22" s="18">
        <f>'Total Sunday-Holiday Boardings'!EV22/('Service Days per Month'!EV$6+'Service Days per Month'!EV$7)</f>
        <v>290.25</v>
      </c>
      <c r="EW22" s="17">
        <f>'Total Sunday-Holiday Boardings'!EW22/('Service Days per Month'!EW$6+'Service Days per Month'!EW$7)</f>
        <v>338.2</v>
      </c>
      <c r="EX22" s="18">
        <f>'Total Sunday-Holiday Boardings'!EX22/('Service Days per Month'!EX$6+'Service Days per Month'!EX$7)</f>
        <v>417.2</v>
      </c>
      <c r="EY22" s="18">
        <f>'Total Sunday-Holiday Boardings'!EY22/('Service Days per Month'!EY$6+'Service Days per Month'!EY$7)</f>
        <v>331.4</v>
      </c>
      <c r="EZ22" s="18">
        <f>'Total Sunday-Holiday Boardings'!EZ22/('Service Days per Month'!EZ$6+'Service Days per Month'!EZ$7)</f>
        <v>328.2</v>
      </c>
      <c r="FA22" s="18">
        <f>'Total Sunday-Holiday Boardings'!FA22/('Service Days per Month'!FA$6+'Service Days per Month'!FA$7)</f>
        <v>311</v>
      </c>
      <c r="FB22" s="18">
        <f>'Total Sunday-Holiday Boardings'!FB22/('Service Days per Month'!FB$6+'Service Days per Month'!FB$7)</f>
        <v>410.6</v>
      </c>
      <c r="FC22" s="18">
        <f>'Total Sunday-Holiday Boardings'!FC22/('Service Days per Month'!FC$6+'Service Days per Month'!FC$7)</f>
        <v>292.2</v>
      </c>
      <c r="FD22" s="18">
        <f>'Total Sunday-Holiday Boardings'!FD22/('Service Days per Month'!FD$6+'Service Days per Month'!FD$7)</f>
        <v>383.75</v>
      </c>
      <c r="FE22" s="18">
        <f>'Total Sunday-Holiday Boardings'!FE22/('Service Days per Month'!FE$6+'Service Days per Month'!FE$7)</f>
        <v>433.75</v>
      </c>
      <c r="FF22" s="18">
        <f>'Total Sunday-Holiday Boardings'!FF22/('Service Days per Month'!FF$6+'Service Days per Month'!FF$7)</f>
        <v>579</v>
      </c>
      <c r="FG22" s="18">
        <f>'Total Sunday-Holiday Boardings'!FG22/('Service Days per Month'!FG$6+'Service Days per Month'!FG$7)</f>
        <v>243.66666666666666</v>
      </c>
      <c r="FH22" s="18">
        <f>'Total Sunday-Holiday Boardings'!FH22/('Service Days per Month'!FH$6+'Service Days per Month'!FH$7)</f>
        <v>0</v>
      </c>
      <c r="FI22" s="17">
        <v>278</v>
      </c>
      <c r="FJ22" s="18">
        <v>363.25</v>
      </c>
      <c r="FK22" s="18">
        <v>434.6</v>
      </c>
      <c r="FL22" s="18">
        <v>428.2</v>
      </c>
      <c r="FM22" s="18">
        <v>379.2</v>
      </c>
      <c r="FN22" s="18">
        <v>399.6</v>
      </c>
      <c r="FO22" s="18">
        <v>475.8</v>
      </c>
      <c r="FP22" s="18">
        <v>491.5</v>
      </c>
      <c r="FQ22" s="18">
        <v>449.5</v>
      </c>
      <c r="FR22" s="18">
        <f>'Total Sunday-Holiday Boardings'!FR22/5</f>
        <v>459.8</v>
      </c>
      <c r="FS22" s="18">
        <f>'Total Sunday-Holiday Boardings'!FS22/5</f>
        <v>453.8</v>
      </c>
      <c r="FT22" s="21">
        <f>'Total Sunday-Holiday Boardings'!FT22/4</f>
        <v>463.5</v>
      </c>
      <c r="FU22" s="18">
        <f>'Total Sunday-Holiday Boardings'!FU22/5</f>
        <v>507.6</v>
      </c>
      <c r="FV22" s="18">
        <f>'Total Sunday-Holiday Boardings'!FV22/4</f>
        <v>657.75</v>
      </c>
      <c r="FW22" s="18">
        <f>'Total Sunday-Holiday Boardings'!FW22/4</f>
        <v>587.5</v>
      </c>
      <c r="FX22" s="18">
        <f>'Total Sunday-Holiday Boardings'!FX22/5</f>
        <v>439</v>
      </c>
      <c r="FY22" s="18">
        <f>'Total Sunday-Holiday Boardings'!FY22/4</f>
        <v>546.25</v>
      </c>
      <c r="FZ22" s="18">
        <f>'Total Sunday-Holiday Boardings'!FZ22/5</f>
        <v>522.79999999999995</v>
      </c>
      <c r="GA22" s="18">
        <f>'Total Sunday-Holiday Boardings'!GA22/4</f>
        <v>602.25</v>
      </c>
      <c r="GB22" s="18">
        <f>'Total Sunday-Holiday Boardings'!GB22/4</f>
        <v>490.75</v>
      </c>
      <c r="GC22" s="18">
        <f>'Total Sunday-Holiday Boardings'!GC22/5</f>
        <v>490.8</v>
      </c>
      <c r="GD22" s="18">
        <f>'Total Sunday-Holiday Boardings'!GD22/4</f>
        <v>507.5</v>
      </c>
      <c r="GE22" s="18">
        <f>'Total Sunday-Holiday Boardings'!GE22/4</f>
        <v>620</v>
      </c>
      <c r="GF22" s="18">
        <f>'Total Sunday-Holiday Boardings'!GF22/5</f>
        <v>480.8</v>
      </c>
      <c r="GG22" s="18">
        <f>'Total Sunday-Holiday Boardings'!GG22/4</f>
        <v>586.5</v>
      </c>
      <c r="GH22" s="18">
        <f>'Total Sunday-Holiday Boardings'!GH22/4</f>
        <v>484</v>
      </c>
      <c r="GI22" s="18">
        <f>'Total Sunday-Holiday Boardings'!GI22/5</f>
        <v>572.79999999999995</v>
      </c>
      <c r="GJ22" s="18">
        <f>'Total Sunday-Holiday Boardings'!GJ22/4</f>
        <v>485.5</v>
      </c>
      <c r="GK22" s="18">
        <f>'Total Sunday-Holiday Boardings'!GK22/4</f>
        <v>487</v>
      </c>
      <c r="GL22" s="18">
        <f>'Total Sunday-Holiday Boardings'!GL22/5</f>
        <v>459</v>
      </c>
    </row>
    <row r="23" spans="1:194" x14ac:dyDescent="0.3">
      <c r="A23" s="3" t="s">
        <v>36</v>
      </c>
      <c r="B23" s="17"/>
      <c r="C23" s="18">
        <f>'Total Sunday-Holiday Boardings'!C23/SUM('Service Days per Month'!C$6:C$7)</f>
        <v>263.60000000000002</v>
      </c>
      <c r="D23" s="18">
        <f>'Total Sunday-Holiday Boardings'!D23/SUM('Service Days per Month'!D$6:D$7)</f>
        <v>278.25</v>
      </c>
      <c r="E23" s="18">
        <f>'Total Sunday-Holiday Boardings'!E23/SUM('Service Days per Month'!E$6:E$7)</f>
        <v>221.8</v>
      </c>
      <c r="F23" s="18">
        <f>'Total Sunday-Holiday Boardings'!F23/SUM('Service Days per Month'!F$6:F$7)</f>
        <v>226.6</v>
      </c>
      <c r="G23" s="18">
        <f>'Total Sunday-Holiday Boardings'!G23/SUM('Service Days per Month'!G$6:G$7)</f>
        <v>194.83333333333334</v>
      </c>
      <c r="H23" s="19">
        <f>'Total Sunday-Holiday Boardings'!H23/SUM('Service Days per Month'!H$6:H$7)</f>
        <v>129</v>
      </c>
      <c r="I23" s="17">
        <f>'Total Sunday-Holiday Boardings'!I23/SUM('Service Days per Month'!I$6:I$7)</f>
        <v>214.2</v>
      </c>
      <c r="J23" s="18">
        <f>'Total Sunday-Holiday Boardings'!J23/SUM('Service Days per Month'!J$6:J$7)</f>
        <v>145.6</v>
      </c>
      <c r="K23" s="18">
        <f>'Total Sunday-Holiday Boardings'!K23/SUM('Service Days per Month'!K$6:K$7)</f>
        <v>172</v>
      </c>
      <c r="L23" s="18">
        <f>'Total Sunday-Holiday Boardings'!L23/SUM('Service Days per Month'!L$6:L$7)</f>
        <v>360</v>
      </c>
      <c r="M23" s="18">
        <f>'Total Sunday-Holiday Boardings'!M23/SUM('Service Days per Month'!M$6:M$7)</f>
        <v>320.83333333333331</v>
      </c>
      <c r="N23" s="18">
        <f>'Total Sunday-Holiday Boardings'!N23/SUM('Service Days per Month'!N$6:N$7)</f>
        <v>176.6</v>
      </c>
      <c r="O23" s="79">
        <f>'Total Sunday-Holiday Boardings'!O23/SUM('Service Days per Month'!O$6:O$7)</f>
        <v>250.16666666666666</v>
      </c>
      <c r="P23" s="79">
        <f>'Total Sunday-Holiday Boardings'!P23/SUM('Service Days per Month'!P$6:P$7)</f>
        <v>293.75</v>
      </c>
      <c r="Q23" s="79">
        <f>'Total Sunday-Holiday Boardings'!Q23/SUM('Service Days per Month'!Q$6:Q$7)</f>
        <v>264.25</v>
      </c>
      <c r="R23" s="79">
        <f>'Total Sunday-Holiday Boardings'!R23/SUM('Service Days per Month'!R$6:R$7)</f>
        <v>247.75</v>
      </c>
      <c r="S23" s="79">
        <f>'Total Sunday-Holiday Boardings'!S23/SUM('Service Days per Month'!S$6:S$7)</f>
        <v>299</v>
      </c>
      <c r="T23" s="80">
        <f>'Total Sunday-Holiday Boardings'!T23/SUM('Service Days per Month'!T$6:T$7)</f>
        <v>214.75</v>
      </c>
      <c r="U23" s="81">
        <f>'Total Sunday-Holiday Boardings'!U23/SUM('Service Days per Month'!U$6:U$7)</f>
        <v>143.19999999999999</v>
      </c>
      <c r="V23" s="79">
        <f>'Total Sunday-Holiday Boardings'!V23/SUM('Service Days per Month'!V$6:V$7)</f>
        <v>174.8</v>
      </c>
      <c r="W23" s="79">
        <f>'Total Sunday-Holiday Boardings'!W23/SUM('Service Days per Month'!W$6:W$7)</f>
        <v>293.60000000000002</v>
      </c>
      <c r="X23" s="79">
        <f>'Total Sunday-Holiday Boardings'!X23/SUM('Service Days per Month'!X$6:X$7)</f>
        <v>441.2</v>
      </c>
      <c r="Y23" s="79">
        <f>'Total Sunday-Holiday Boardings'!Y23/SUM('Service Days per Month'!Y$6:Y$7)</f>
        <v>304.14285714285717</v>
      </c>
      <c r="Z23" s="79">
        <f>'Total Sunday-Holiday Boardings'!Z23/SUM('Service Days per Month'!Z$6:Z$7)</f>
        <v>204.42857142857142</v>
      </c>
      <c r="AA23" s="18">
        <f>'Total Sunday-Holiday Boardings'!AA23/SUM('Service Days per Month'!AA$6:AA$7)</f>
        <v>303</v>
      </c>
      <c r="AB23" s="18">
        <f>'Total Sunday-Holiday Boardings'!AB23/SUM('Service Days per Month'!AB$6:AB$7)</f>
        <v>329.6</v>
      </c>
      <c r="AC23" s="18">
        <f>'Total Sunday-Holiday Boardings'!AC23/SUM('Service Days per Month'!AC$6:AC$7)</f>
        <v>304</v>
      </c>
      <c r="AD23" s="18">
        <f>'Total Sunday-Holiday Boardings'!AD23/SUM('Service Days per Month'!AD$6:AD$7)</f>
        <v>313.75</v>
      </c>
      <c r="AE23" s="18">
        <f>'Total Sunday-Holiday Boardings'!AE23/SUM('Service Days per Month'!AE$6:AE$7)</f>
        <v>274.83333333333331</v>
      </c>
      <c r="AF23" s="19">
        <f>'Total Sunday-Holiday Boardings'!AF23/SUM('Service Days per Month'!AF$6:AF$7)</f>
        <v>270.75</v>
      </c>
      <c r="AG23" s="17">
        <f>'Total Sunday-Holiday Boardings'!AG23/SUM('Service Days per Month'!AG$6:AG$7)</f>
        <v>311</v>
      </c>
      <c r="AH23" s="18">
        <f>'Total Sunday-Holiday Boardings'!AH23/SUM('Service Days per Month'!AH$6:AH$7)</f>
        <v>279</v>
      </c>
      <c r="AI23" s="18">
        <f>'Total Sunday-Holiday Boardings'!AI23/SUM('Service Days per Month'!AI$6:AI$7)</f>
        <v>250.4</v>
      </c>
      <c r="AJ23" s="18">
        <f>'Total Sunday-Holiday Boardings'!AJ23/SUM('Service Days per Month'!AJ$6:AJ$7)</f>
        <v>416.6</v>
      </c>
      <c r="AK23" s="18">
        <f>'Total Sunday-Holiday Boardings'!AK23/SUM('Service Days per Month'!AK$6:AK$7)</f>
        <v>315.57142857142856</v>
      </c>
      <c r="AL23" s="18">
        <f>'Total Sunday-Holiday Boardings'!AL23/SUM('Service Days per Month'!AL$6:AL$7)</f>
        <v>228.33333333333334</v>
      </c>
      <c r="AM23" s="18">
        <f>'Total Sunday-Holiday Boardings'!AM23/SUM('Service Days per Month'!AM$6:AM$7)</f>
        <v>326.42857142857144</v>
      </c>
      <c r="AN23" s="18">
        <f>'Total Sunday-Holiday Boardings'!AN23/SUM('Service Days per Month'!AN$6:AN$7)</f>
        <v>447.8</v>
      </c>
      <c r="AO23" s="18">
        <f>'Total Sunday-Holiday Boardings'!AO23/SUM('Service Days per Month'!AO$6:AO$7)</f>
        <v>318.25</v>
      </c>
      <c r="AP23" s="18">
        <f>'Total Sunday-Holiday Boardings'!AP23/SUM('Service Days per Month'!AP$6:AP$7)</f>
        <v>307.2</v>
      </c>
      <c r="AQ23" s="18">
        <f>'Total Sunday-Holiday Boardings'!AQ23/SUM('Service Days per Month'!AQ$6:AQ$7)</f>
        <v>327.2</v>
      </c>
      <c r="AR23" s="19">
        <f>'Total Sunday-Holiday Boardings'!AR23/SUM('Service Days per Month'!AR$6:AR$7)</f>
        <v>351.25</v>
      </c>
      <c r="AS23" s="17">
        <f>'Total Sunday-Holiday Boardings'!AS23/SUM('Service Days per Month'!AS$6:AS$7)</f>
        <v>331.5</v>
      </c>
      <c r="AT23" s="18">
        <f>'Total Sunday-Holiday Boardings'!AT23/SUM('Service Days per Month'!AT$6:AT$7)</f>
        <v>282.5</v>
      </c>
      <c r="AU23" s="18">
        <f>'Total Sunday-Holiday Boardings'!AU23/SUM('Service Days per Month'!AU$6:AU$7)</f>
        <v>307.16666666666669</v>
      </c>
      <c r="AV23" s="18">
        <f>'Total Sunday-Holiday Boardings'!AV23/SUM('Service Days per Month'!AV$6:AV$7)</f>
        <v>468.75</v>
      </c>
      <c r="AW23" s="18">
        <f>'Total Sunday-Holiday Boardings'!AW23/SUM('Service Days per Month'!AW$6:AW$7)</f>
        <v>314.85714285714283</v>
      </c>
      <c r="AX23" s="18">
        <f>'Total Sunday-Holiday Boardings'!AX23/SUM('Service Days per Month'!AX$6:AX$7)</f>
        <v>284</v>
      </c>
      <c r="AY23" s="18">
        <f>'Total Sunday-Holiday Boardings'!AY23/SUM('Service Days per Month'!AY$6:AY$7)</f>
        <v>330.83333333333331</v>
      </c>
      <c r="AZ23" s="18">
        <f>'Total Sunday-Holiday Boardings'!AZ23/SUM('Service Days per Month'!AZ$6:AZ$7)</f>
        <v>403.4</v>
      </c>
      <c r="BA23" s="18">
        <f>'Total Sunday-Holiday Boardings'!BA23/SUM('Service Days per Month'!BA$6:BA$7)</f>
        <v>369.8</v>
      </c>
      <c r="BB23" s="18">
        <f>'Total Sunday-Holiday Boardings'!BB23/SUM('Service Days per Month'!BB$6:BB$7)</f>
        <v>352.75</v>
      </c>
      <c r="BC23" s="18">
        <f>'Total Sunday-Holiday Boardings'!BC23/SUM('Service Days per Month'!BC$6:BC$7)</f>
        <v>411.6</v>
      </c>
      <c r="BD23" s="19">
        <f>'Total Sunday-Holiday Boardings'!BD23/SUM('Service Days per Month'!BD$6:BD$7)</f>
        <v>297.2</v>
      </c>
      <c r="BE23" s="17">
        <f>'Total Sunday-Holiday Boardings'!BE23/SUM('Service Days per Month'!BE$6:BE$7)</f>
        <v>297.2</v>
      </c>
      <c r="BF23" s="18">
        <f>'Total Sunday-Holiday Boardings'!BF23/SUM('Service Days per Month'!BF$6:BF$7)</f>
        <v>273.25</v>
      </c>
      <c r="BG23" s="18">
        <f>'Total Sunday-Holiday Boardings'!BG23/SUM('Service Days per Month'!BG$6:BG$7)</f>
        <v>370.66666666666669</v>
      </c>
      <c r="BH23" s="18">
        <f>'Total Sunday-Holiday Boardings'!BH23/SUM('Service Days per Month'!BH$6:BH$7)</f>
        <v>374.75</v>
      </c>
      <c r="BI23" s="18">
        <f>'Total Sunday-Holiday Boardings'!BI23/SUM('Service Days per Month'!BI$6:BI$7)</f>
        <v>303.37389753789182</v>
      </c>
      <c r="BJ23" s="18">
        <f>'Total Sunday-Holiday Boardings'!BJ23/SUM('Service Days per Month'!BJ$6:BJ$7)</f>
        <v>354.85714285714283</v>
      </c>
      <c r="BK23" s="18">
        <f>'Total Sunday-Holiday Boardings'!BK23/SUM('Service Days per Month'!BK$6:BK$7)</f>
        <v>406.66666666666669</v>
      </c>
      <c r="BL23" s="18">
        <f>'Total Sunday-Holiday Boardings'!BL23/SUM('Service Days per Month'!BL$6:BL$7)</f>
        <v>440.8</v>
      </c>
      <c r="BM23" s="18">
        <f>'Total Sunday-Holiday Boardings'!BM23/SUM('Service Days per Month'!BM$6:BM$7)</f>
        <v>412.6</v>
      </c>
      <c r="BN23" s="18">
        <f>'Total Sunday-Holiday Boardings'!BN23/SUM('Service Days per Month'!BN$6:BN$7)</f>
        <v>358.25</v>
      </c>
      <c r="BO23" s="18">
        <f>'Total Sunday-Holiday Boardings'!BO23/SUM('Service Days per Month'!BO$6:BO$7)</f>
        <v>363.2</v>
      </c>
      <c r="BP23" s="19">
        <f>'Total Sunday-Holiday Boardings'!BP23/SUM('Service Days per Month'!BP$6:BP$7)</f>
        <v>344.4</v>
      </c>
      <c r="BQ23" s="17">
        <f>'Total Sunday-Holiday Boardings'!BQ23/SUM('Service Days per Month'!BQ$6:BQ$7)</f>
        <v>335.8</v>
      </c>
      <c r="BR23" s="18">
        <f>'Total Sunday-Holiday Boardings'!BR23/SUM('Service Days per Month'!BR$6:BR$7)</f>
        <v>334.6</v>
      </c>
      <c r="BS23" s="18">
        <f>'Total Sunday-Holiday Boardings'!BS23/SUM('Service Days per Month'!BS$6:BS$7)</f>
        <v>331.2</v>
      </c>
      <c r="BT23" s="18">
        <f>'Total Sunday-Holiday Boardings'!BT23/SUM('Service Days per Month'!BT$6:BT$7)</f>
        <v>488.75</v>
      </c>
      <c r="BU23" s="18">
        <f>'Total Sunday-Holiday Boardings'!BU23/SUM('Service Days per Month'!BU$6:BU$7)</f>
        <v>366.625</v>
      </c>
      <c r="BV23" s="18">
        <f>'Total Sunday-Holiday Boardings'!BV23/SUM('Service Days per Month'!BV$6:BV$7)</f>
        <v>400.66666666666669</v>
      </c>
      <c r="BW23" s="18">
        <f>'Total Sunday-Holiday Boardings'!BW23/SUM('Service Days per Month'!BW$6:BW$7)</f>
        <v>395.5</v>
      </c>
      <c r="BX23" s="18">
        <f>'Total Sunday-Holiday Boardings'!BX23/SUM('Service Days per Month'!BX$6:BX$7)</f>
        <v>503</v>
      </c>
      <c r="BY23" s="18">
        <f>'Total Sunday-Holiday Boardings'!BY23/SUM('Service Days per Month'!BY$6:BY$7)</f>
        <v>398.2</v>
      </c>
      <c r="BZ23" s="18">
        <f>'Total Sunday-Holiday Boardings'!BZ23/SUM('Service Days per Month'!BZ$6:BZ$7)</f>
        <v>340.5</v>
      </c>
      <c r="CA23" s="18">
        <f>'Total Sunday-Holiday Boardings'!CA23/SUM('Service Days per Month'!CA$6:CA$7)</f>
        <v>361.83333333333331</v>
      </c>
      <c r="CB23" s="19">
        <f>'Total Sunday-Holiday Boardings'!CB23/SUM('Service Days per Month'!CB$6:CB$7)</f>
        <v>350.5</v>
      </c>
      <c r="CC23" s="20">
        <f>'Total Sunday-Holiday Boardings'!CC23/SUM('Service Days per Month'!CC$6:CC$7)</f>
        <v>415</v>
      </c>
      <c r="CD23" s="18">
        <f>'Total Sunday-Holiday Boardings'!CD23/SUM('Service Days per Month'!CD$6:CD$7)</f>
        <v>305.39999999999998</v>
      </c>
      <c r="CE23" s="18">
        <f>'Total Sunday-Holiday Boardings'!CE23/SUM('Service Days per Month'!CE$6:CE$7)</f>
        <v>372.8</v>
      </c>
      <c r="CF23" s="18">
        <f>'Total Sunday-Holiday Boardings'!CF23/SUM('Service Days per Month'!CF$6:CF$7)</f>
        <v>502.25</v>
      </c>
      <c r="CG23" s="18">
        <f>'Total Sunday-Holiday Boardings'!CG23/SUM('Service Days per Month'!CG$6:CG$7)</f>
        <v>407.625</v>
      </c>
      <c r="CH23" s="18">
        <f>'Total Sunday-Holiday Boardings'!CH23/SUM('Service Days per Month'!CH$6:CH$7)</f>
        <v>445.66666666666669</v>
      </c>
      <c r="CI23" s="18">
        <f>'Total Sunday-Holiday Boardings'!CI23/SUM('Service Days per Month'!CI$6:CI$7)</f>
        <v>576.85714285714289</v>
      </c>
      <c r="CJ23" s="18">
        <f>'Total Sunday-Holiday Boardings'!CJ23/SUM('Service Days per Month'!CJ$6:CJ$7)</f>
        <v>446.8</v>
      </c>
      <c r="CK23" s="18">
        <f>'Total Sunday-Holiday Boardings'!CK23/SUM('Service Days per Month'!CK$6:CK$7)</f>
        <v>561.75</v>
      </c>
      <c r="CL23" s="18">
        <f>'Total Sunday-Holiday Boardings'!CL23/SUM('Service Days per Month'!CL$6:CL$7)</f>
        <v>651.25</v>
      </c>
      <c r="CM23" s="18">
        <f>'Total Sunday-Holiday Boardings'!CM23/SUM('Service Days per Month'!CM$6:CM$7)</f>
        <v>561.66666666666663</v>
      </c>
      <c r="CN23" s="21">
        <f>'Total Sunday-Holiday Boardings'!CN23/SUM('Service Days per Month'!CN$6:CN$7)</f>
        <v>517</v>
      </c>
      <c r="CO23" s="17">
        <f>'Total Sunday-Holiday Boardings'!CO23/SUM('Service Days per Month'!CO$6:CO$7)</f>
        <v>373.5</v>
      </c>
      <c r="CP23" s="18">
        <f>'Total Sunday-Holiday Boardings'!CP23/SUM('Service Days per Month'!CP$6:CP$7)</f>
        <v>344.25</v>
      </c>
      <c r="CQ23" s="18">
        <f>'Total Sunday-Holiday Boardings'!CQ23/SUM('Service Days per Month'!CQ$6:CQ$7)</f>
        <v>324.39999999999998</v>
      </c>
      <c r="CR23" s="18">
        <f>'Total Sunday-Holiday Boardings'!CR23/SUM('Service Days per Month'!CR$6:CR$7)</f>
        <v>391.2</v>
      </c>
      <c r="CS23" s="18">
        <f>'Total Sunday-Holiday Boardings'!CS23/SUM('Service Days per Month'!CS$6:CS$7)</f>
        <v>454.71428571428572</v>
      </c>
      <c r="CT23" s="18">
        <f>'Total Sunday-Holiday Boardings'!CT23/SUM('Service Days per Month'!CT$6:CT$7)</f>
        <v>504.33333333333331</v>
      </c>
      <c r="CU23" s="18">
        <f>'Total Sunday-Holiday Boardings'!CU23/SUM('Service Days per Month'!CU$6:CU$7)</f>
        <v>374.85714285714283</v>
      </c>
      <c r="CV23" s="18">
        <f>'Total Sunday-Holiday Boardings'!CV23/SUM('Service Days per Month'!CV$6:CV$7)</f>
        <v>378.6</v>
      </c>
      <c r="CW23" s="18">
        <f>'Total Sunday-Holiday Boardings'!CW23/SUM('Service Days per Month'!CW$6:CW$7)</f>
        <v>441.5</v>
      </c>
      <c r="CX23" s="18">
        <f>'Total Sunday-Holiday Boardings'!CX23/SUM('Service Days per Month'!CX$6:CX$7)</f>
        <v>520.79999999999995</v>
      </c>
      <c r="CY23" s="18">
        <f>'Total Sunday-Holiday Boardings'!CY23/SUM('Service Days per Month'!CY$6:CY$7)</f>
        <v>432</v>
      </c>
      <c r="CZ23" s="19">
        <f>'Total Sunday-Holiday Boardings'!CZ23/SUM('Service Days per Month'!CZ$6:CZ$7)</f>
        <v>313.5</v>
      </c>
      <c r="DA23" s="17">
        <f>'Total Sunday-Holiday Boardings'!DA23/SUM('Service Days per Month'!DA$6:DA$7)</f>
        <v>324</v>
      </c>
      <c r="DB23" s="18">
        <f>'Total Sunday-Holiday Boardings'!DB23/SUM('Service Days per Month'!DB$6:DB$7)</f>
        <v>375.75</v>
      </c>
      <c r="DC23" s="18">
        <f>'Total Sunday-Holiday Boardings'!DC23/SUM('Service Days per Month'!DC$6:DC$7)</f>
        <v>376.6</v>
      </c>
      <c r="DD23" s="18">
        <f>'Total Sunday-Holiday Boardings'!DD23/SUM('Service Days per Month'!DD$6:DD$7)</f>
        <v>327.2</v>
      </c>
      <c r="DE23" s="18">
        <f>'Total Sunday-Holiday Boardings'!DE23/SUM('Service Days per Month'!DE$6:DE$7)</f>
        <v>385.85714285714283</v>
      </c>
      <c r="DF23" s="18">
        <f>'Total Sunday-Holiday Boardings'!DF23/SUM('Service Days per Month'!DF$6:DF$7)</f>
        <v>364.33333333333331</v>
      </c>
      <c r="DG23" s="18">
        <f>'Total Sunday-Holiday Boardings'!DG23/SUM('Service Days per Month'!DG$6:DG$7)</f>
        <v>606.16666666666663</v>
      </c>
      <c r="DH23" s="18">
        <f>'Total Sunday-Holiday Boardings'!DH23/SUM('Service Days per Month'!DH$6:DH$7)</f>
        <v>493.8</v>
      </c>
      <c r="DI23" s="18">
        <f>'Total Sunday-Holiday Boardings'!DI23/SUM('Service Days per Month'!DI$6:DI$7)</f>
        <v>536.75</v>
      </c>
      <c r="DJ23" s="18">
        <f>'Total Sunday-Holiday Boardings'!DJ23/SUM('Service Days per Month'!DJ$6:DJ$7)</f>
        <v>481.4</v>
      </c>
      <c r="DK23" s="18">
        <f>'Total Sunday-Holiday Boardings'!DK23/SUM('Service Days per Month'!DK$6:DK$7)</f>
        <v>536.79999999999995</v>
      </c>
      <c r="DL23" s="19">
        <f>'Total Sunday-Holiday Boardings'!DL23/SUM('Service Days per Month'!DL$6:DL$7)</f>
        <v>443.5</v>
      </c>
      <c r="DM23" s="17">
        <f>'Total Sunday-Holiday Boardings'!DM23/('Service Days per Month'!DM$6+'Service Days per Month'!DM$7)</f>
        <v>451.83333333333331</v>
      </c>
      <c r="DN23" s="18">
        <f>'Total Sunday-Holiday Boardings'!DN23/('Service Days per Month'!DN$6+'Service Days per Month'!DN$7)</f>
        <v>458.75</v>
      </c>
      <c r="DO23" s="18">
        <f>'Total Sunday-Holiday Boardings'!DO23/('Service Days per Month'!DO$6+'Service Days per Month'!DO$7)</f>
        <v>463</v>
      </c>
      <c r="DP23" s="18">
        <f>'Total Sunday-Holiday Boardings'!DP23/('Service Days per Month'!DP$6+'Service Days per Month'!DP$7)</f>
        <v>532.75</v>
      </c>
      <c r="DQ23" s="18">
        <f>'Total Sunday-Holiday Boardings'!DQ23/('Service Days per Month'!DQ$6+'Service Days per Month'!DQ$7)</f>
        <v>514.6</v>
      </c>
      <c r="DR23" s="18">
        <f>'Total Sunday-Holiday Boardings'!DR23/('Service Days per Month'!DR$6+'Service Days per Month'!DR$7)</f>
        <v>446.33333333333331</v>
      </c>
      <c r="DS23" s="18">
        <f>'Total Sunday-Holiday Boardings'!DS23/('Service Days per Month'!DS$6+'Service Days per Month'!DS$7)</f>
        <v>475.6</v>
      </c>
      <c r="DT23" s="18">
        <f>'Total Sunday-Holiday Boardings'!DT23/('Service Days per Month'!DT$6+'Service Days per Month'!DT$7)</f>
        <v>450.5</v>
      </c>
      <c r="DU23" s="18">
        <f>'Total Sunday-Holiday Boardings'!DU23/('Service Days per Month'!DU$6+'Service Days per Month'!DU$7)</f>
        <v>463</v>
      </c>
      <c r="DV23" s="18">
        <f>'Total Sunday-Holiday Boardings'!DV23/('Service Days per Month'!DV$6+'Service Days per Month'!DV$7)</f>
        <v>358.25</v>
      </c>
      <c r="DW23" s="18">
        <f>'Total Sunday-Holiday Boardings'!DW23/('Service Days per Month'!DW$6+'Service Days per Month'!DW$7)</f>
        <v>548.4</v>
      </c>
      <c r="DX23" s="18">
        <f>'Total Sunday-Holiday Boardings'!DX23/('Service Days per Month'!DX$6+'Service Days per Month'!DX$7)</f>
        <v>447.6</v>
      </c>
      <c r="DY23" s="17">
        <f>'Total Sunday-Holiday Boardings'!DY23/('Service Days per Month'!DY$6+'Service Days per Month'!DY$7)</f>
        <v>481.6</v>
      </c>
      <c r="DZ23" s="18">
        <f>'Total Sunday-Holiday Boardings'!DZ23/('Service Days per Month'!DZ$6+'Service Days per Month'!DZ$7)</f>
        <v>450</v>
      </c>
      <c r="EA23" s="18">
        <f>'Total Sunday-Holiday Boardings'!EA23/('Service Days per Month'!EA$6+'Service Days per Month'!EA$7)</f>
        <v>434.83333333333331</v>
      </c>
      <c r="EB23" s="18">
        <f>'Total Sunday-Holiday Boardings'!EB23/('Service Days per Month'!EB$6+'Service Days per Month'!EB$7)</f>
        <v>451.5</v>
      </c>
      <c r="EC23" s="18">
        <f>'Total Sunday-Holiday Boardings'!EC23/('Service Days per Month'!EC$6+'Service Days per Month'!EC$7)</f>
        <v>534.20000000000005</v>
      </c>
      <c r="ED23" s="18">
        <f>'Total Sunday-Holiday Boardings'!ED23/('Service Days per Month'!ED$6+'Service Days per Month'!ED$7)</f>
        <v>488.5</v>
      </c>
      <c r="EE23" s="18">
        <f>'Total Sunday-Holiday Boardings'!EE23/('Service Days per Month'!EE$6+'Service Days per Month'!EE$7)</f>
        <v>701.75</v>
      </c>
      <c r="EF23" s="18">
        <f>'Total Sunday-Holiday Boardings'!EF23/('Service Days per Month'!EF$6+'Service Days per Month'!EF$7)</f>
        <v>504.25</v>
      </c>
      <c r="EG23" s="18">
        <f>'Total Sunday-Holiday Boardings'!EG23/('Service Days per Month'!EG$6+'Service Days per Month'!EG$7)</f>
        <v>449.2</v>
      </c>
      <c r="EH23" s="18">
        <f>'Total Sunday-Holiday Boardings'!EH23/('Service Days per Month'!EH$6+'Service Days per Month'!EH$7)</f>
        <v>226.75</v>
      </c>
      <c r="EI23" s="18">
        <f>'Total Sunday-Holiday Boardings'!EI23/('Service Days per Month'!EI$6+'Service Days per Month'!EI$7)</f>
        <v>227.83333333333334</v>
      </c>
      <c r="EJ23" s="18">
        <f>'Total Sunday-Holiday Boardings'!EJ23/('Service Days per Month'!EJ$6+'Service Days per Month'!EJ$7)</f>
        <v>220</v>
      </c>
      <c r="EK23" s="17">
        <f>'Total Sunday-Holiday Boardings'!EK23/('Service Days per Month'!EK$6+'Service Days per Month'!EK$7)</f>
        <v>225</v>
      </c>
      <c r="EL23" s="18">
        <f>'Total Sunday-Holiday Boardings'!EL23/('Service Days per Month'!EL$6+'Service Days per Month'!EL$7)</f>
        <v>243.2</v>
      </c>
      <c r="EM23" s="18">
        <f>'Total Sunday-Holiday Boardings'!EM23/('Service Days per Month'!EM$6+'Service Days per Month'!EM$7)</f>
        <v>251.2</v>
      </c>
      <c r="EN23" s="18">
        <f>'Total Sunday-Holiday Boardings'!EN23/('Service Days per Month'!EN$6+'Service Days per Month'!EN$7)</f>
        <v>272.25</v>
      </c>
      <c r="EO23" s="18">
        <f>'Total Sunday-Holiday Boardings'!EO23/('Service Days per Month'!EO$6+'Service Days per Month'!EO$7)</f>
        <v>210.5</v>
      </c>
      <c r="EP23" s="18">
        <f>'Total Sunday-Holiday Boardings'!EP23/('Service Days per Month'!EP$6+'Service Days per Month'!EP$7)</f>
        <v>96.4</v>
      </c>
      <c r="EQ23" s="18">
        <f>'Total Sunday-Holiday Boardings'!EQ23/('Service Days per Month'!EQ$6+'Service Days per Month'!EQ$7)</f>
        <v>95.8</v>
      </c>
      <c r="ER23" s="18">
        <f>'Total Sunday-Holiday Boardings'!ER23/('Service Days per Month'!ER$6+'Service Days per Month'!ER$7)</f>
        <v>105.5</v>
      </c>
      <c r="ES23" s="18">
        <f>'Total Sunday-Holiday Boardings'!ES23/('Service Days per Month'!ES$6+'Service Days per Month'!ES$7)</f>
        <v>71</v>
      </c>
      <c r="ET23" s="18">
        <f>'Total Sunday-Holiday Boardings'!ET23/('Service Days per Month'!ET$6+'Service Days per Month'!ET$7)</f>
        <v>263</v>
      </c>
      <c r="EU23" s="18">
        <f>'Total Sunday-Holiday Boardings'!EU23/('Service Days per Month'!EU$6+'Service Days per Month'!EU$7)</f>
        <v>216.83333333333334</v>
      </c>
      <c r="EV23" s="18">
        <f>'Total Sunday-Holiday Boardings'!EV23/('Service Days per Month'!EV$6+'Service Days per Month'!EV$7)</f>
        <v>298</v>
      </c>
      <c r="EW23" s="17">
        <f>'Total Sunday-Holiday Boardings'!EW23/('Service Days per Month'!EW$6+'Service Days per Month'!EW$7)</f>
        <v>315</v>
      </c>
      <c r="EX23" s="18">
        <f>'Total Sunday-Holiday Boardings'!EX23/('Service Days per Month'!EX$6+'Service Days per Month'!EX$7)</f>
        <v>337.4</v>
      </c>
      <c r="EY23" s="18">
        <f>'Total Sunday-Holiday Boardings'!EY23/('Service Days per Month'!EY$6+'Service Days per Month'!EY$7)</f>
        <v>273</v>
      </c>
      <c r="EZ23" s="18">
        <f>'Total Sunday-Holiday Boardings'!EZ23/('Service Days per Month'!EZ$6+'Service Days per Month'!EZ$7)</f>
        <v>256</v>
      </c>
      <c r="FA23" s="18">
        <f>'Total Sunday-Holiday Boardings'!FA23/('Service Days per Month'!FA$6+'Service Days per Month'!FA$7)</f>
        <v>253.2</v>
      </c>
      <c r="FB23" s="18">
        <f>'Total Sunday-Holiday Boardings'!FB23/('Service Days per Month'!FB$6+'Service Days per Month'!FB$7)</f>
        <v>362.2</v>
      </c>
      <c r="FC23" s="18">
        <f>'Total Sunday-Holiday Boardings'!FC23/('Service Days per Month'!FC$6+'Service Days per Month'!FC$7)</f>
        <v>264.39999999999998</v>
      </c>
      <c r="FD23" s="18">
        <f>'Total Sunday-Holiday Boardings'!FD23/('Service Days per Month'!FD$6+'Service Days per Month'!FD$7)</f>
        <v>344</v>
      </c>
      <c r="FE23" s="18">
        <f>'Total Sunday-Holiday Boardings'!FE23/('Service Days per Month'!FE$6+'Service Days per Month'!FE$7)</f>
        <v>426</v>
      </c>
      <c r="FF23" s="18">
        <f>'Total Sunday-Holiday Boardings'!FF23/('Service Days per Month'!FF$6+'Service Days per Month'!FF$7)</f>
        <v>200.25</v>
      </c>
      <c r="FG23" s="18">
        <f>'Total Sunday-Holiday Boardings'!FG23/('Service Days per Month'!FG$6+'Service Days per Month'!FG$7)</f>
        <v>364.16666666666669</v>
      </c>
      <c r="FH23" s="18">
        <f>'Total Sunday-Holiday Boardings'!FH23/('Service Days per Month'!FH$6+'Service Days per Month'!FH$7)</f>
        <v>442.25</v>
      </c>
      <c r="FI23" s="17">
        <v>298.66666666666669</v>
      </c>
      <c r="FJ23" s="18">
        <v>146.25</v>
      </c>
      <c r="FK23" s="18">
        <v>177</v>
      </c>
      <c r="FL23" s="18">
        <v>167.4</v>
      </c>
      <c r="FM23" s="18">
        <v>181.8</v>
      </c>
      <c r="FN23" s="18">
        <v>176.2</v>
      </c>
      <c r="FO23" s="18">
        <v>193</v>
      </c>
      <c r="FP23" s="18">
        <v>194.75</v>
      </c>
      <c r="FQ23" s="18">
        <v>255.75</v>
      </c>
      <c r="FR23" s="18">
        <f>'Total Sunday-Holiday Boardings'!FR23/5</f>
        <v>230.8</v>
      </c>
      <c r="FS23" s="18">
        <f>'Total Sunday-Holiday Boardings'!FS23/5</f>
        <v>235.4</v>
      </c>
      <c r="FT23" s="21">
        <f>'Total Sunday-Holiday Boardings'!FT23/4</f>
        <v>211</v>
      </c>
      <c r="FU23" s="18">
        <f>'Total Sunday-Holiday Boardings'!FU23/5</f>
        <v>248</v>
      </c>
      <c r="FV23" s="18">
        <f>'Total Sunday-Holiday Boardings'!FV23/4</f>
        <v>295</v>
      </c>
      <c r="FW23" s="18">
        <f>'Total Sunday-Holiday Boardings'!FW23/4</f>
        <v>251</v>
      </c>
      <c r="FX23" s="18">
        <f>'Total Sunday-Holiday Boardings'!FX23/5</f>
        <v>216.4</v>
      </c>
      <c r="FY23" s="18">
        <f>'Total Sunday-Holiday Boardings'!FY23/4</f>
        <v>230.25</v>
      </c>
      <c r="FZ23" s="18">
        <f>'Total Sunday-Holiday Boardings'!FZ23/5</f>
        <v>235.4</v>
      </c>
      <c r="GA23" s="18">
        <f>'Total Sunday-Holiday Boardings'!GA23/4</f>
        <v>274</v>
      </c>
      <c r="GB23" s="18">
        <f>'Total Sunday-Holiday Boardings'!GB23/4</f>
        <v>219.75</v>
      </c>
      <c r="GC23" s="18">
        <f>'Total Sunday-Holiday Boardings'!GC23/5</f>
        <v>201.2</v>
      </c>
      <c r="GD23" s="18">
        <f>'Total Sunday-Holiday Boardings'!GD23/4</f>
        <v>265.25</v>
      </c>
      <c r="GE23" s="18">
        <f>'Total Sunday-Holiday Boardings'!GE23/4</f>
        <v>283.25</v>
      </c>
      <c r="GF23" s="18">
        <f>'Total Sunday-Holiday Boardings'!GF23/5</f>
        <v>197.6</v>
      </c>
      <c r="GG23" s="18">
        <f>'Total Sunday-Holiday Boardings'!GG23/4</f>
        <v>222.25</v>
      </c>
      <c r="GH23" s="18">
        <f>'Total Sunday-Holiday Boardings'!GH23/4</f>
        <v>189.5</v>
      </c>
      <c r="GI23" s="18">
        <f>'Total Sunday-Holiday Boardings'!GI23/5</f>
        <v>273.60000000000002</v>
      </c>
      <c r="GJ23" s="18">
        <f>'Total Sunday-Holiday Boardings'!GJ23/4</f>
        <v>199.75</v>
      </c>
      <c r="GK23" s="18">
        <f>'Total Sunday-Holiday Boardings'!GK23/4</f>
        <v>247</v>
      </c>
      <c r="GL23" s="18">
        <f>'Total Sunday-Holiday Boardings'!GL23/5</f>
        <v>207.6</v>
      </c>
    </row>
    <row r="24" spans="1:194" x14ac:dyDescent="0.3">
      <c r="A24" s="3" t="s">
        <v>37</v>
      </c>
      <c r="B24" s="17"/>
      <c r="C24" s="18">
        <f>'Total Sunday-Holiday Boardings'!C24/SUM('Service Days per Month'!C$6:C$7)</f>
        <v>233.8</v>
      </c>
      <c r="D24" s="18">
        <f>'Total Sunday-Holiday Boardings'!D24/SUM('Service Days per Month'!D$6:D$7)</f>
        <v>321.75</v>
      </c>
      <c r="E24" s="18">
        <f>'Total Sunday-Holiday Boardings'!E24/SUM('Service Days per Month'!E$6:E$7)</f>
        <v>259.39999999999998</v>
      </c>
      <c r="F24" s="18">
        <f>'Total Sunday-Holiday Boardings'!F24/SUM('Service Days per Month'!F$6:F$7)</f>
        <v>184.6</v>
      </c>
      <c r="G24" s="18">
        <f>'Total Sunday-Holiday Boardings'!G24/SUM('Service Days per Month'!G$6:G$7)</f>
        <v>194.5</v>
      </c>
      <c r="H24" s="19">
        <f>'Total Sunday-Holiday Boardings'!H24/SUM('Service Days per Month'!H$6:H$7)</f>
        <v>144</v>
      </c>
      <c r="I24" s="17">
        <f>'Total Sunday-Holiday Boardings'!I24/SUM('Service Days per Month'!I$6:I$7)</f>
        <v>239.4</v>
      </c>
      <c r="J24" s="18">
        <f>'Total Sunday-Holiday Boardings'!J24/SUM('Service Days per Month'!J$6:J$7)</f>
        <v>190.8</v>
      </c>
      <c r="K24" s="18">
        <f>'Total Sunday-Holiday Boardings'!K24/SUM('Service Days per Month'!K$6:K$7)</f>
        <v>237.6</v>
      </c>
      <c r="L24" s="18">
        <f>'Total Sunday-Holiday Boardings'!L24/SUM('Service Days per Month'!L$6:L$7)</f>
        <v>375.5</v>
      </c>
      <c r="M24" s="18">
        <f>'Total Sunday-Holiday Boardings'!M24/SUM('Service Days per Month'!M$6:M$7)</f>
        <v>311.16666666666669</v>
      </c>
      <c r="N24" s="18">
        <f>'Total Sunday-Holiday Boardings'!N24/SUM('Service Days per Month'!N$6:N$7)</f>
        <v>213.4</v>
      </c>
      <c r="O24" s="79">
        <f>'Total Sunday-Holiday Boardings'!O24/SUM('Service Days per Month'!O$6:O$7)</f>
        <v>245.83333333333334</v>
      </c>
      <c r="P24" s="79">
        <f>'Total Sunday-Holiday Boardings'!P24/SUM('Service Days per Month'!P$6:P$7)</f>
        <v>295.25</v>
      </c>
      <c r="Q24" s="79">
        <f>'Total Sunday-Holiday Boardings'!Q24/SUM('Service Days per Month'!Q$6:Q$7)</f>
        <v>276.25</v>
      </c>
      <c r="R24" s="79">
        <f>'Total Sunday-Holiday Boardings'!R24/SUM('Service Days per Month'!R$6:R$7)</f>
        <v>264.25</v>
      </c>
      <c r="S24" s="79">
        <f>'Total Sunday-Holiday Boardings'!S24/SUM('Service Days per Month'!S$6:S$7)</f>
        <v>396.16666666666669</v>
      </c>
      <c r="T24" s="80">
        <f>'Total Sunday-Holiday Boardings'!T24/SUM('Service Days per Month'!T$6:T$7)</f>
        <v>240.25</v>
      </c>
      <c r="U24" s="81">
        <f>'Total Sunday-Holiday Boardings'!U24/SUM('Service Days per Month'!U$6:U$7)</f>
        <v>168.2</v>
      </c>
      <c r="V24" s="79">
        <f>'Total Sunday-Holiday Boardings'!V24/SUM('Service Days per Month'!V$6:V$7)</f>
        <v>247.8</v>
      </c>
      <c r="W24" s="79">
        <f>'Total Sunday-Holiday Boardings'!W24/SUM('Service Days per Month'!W$6:W$7)</f>
        <v>302.39999999999998</v>
      </c>
      <c r="X24" s="79">
        <f>'Total Sunday-Holiday Boardings'!X24/SUM('Service Days per Month'!X$6:X$7)</f>
        <v>441.2</v>
      </c>
      <c r="Y24" s="79">
        <f>'Total Sunday-Holiday Boardings'!Y24/SUM('Service Days per Month'!Y$6:Y$7)</f>
        <v>365.71428571428572</v>
      </c>
      <c r="Z24" s="79">
        <f>'Total Sunday-Holiday Boardings'!Z24/SUM('Service Days per Month'!Z$6:Z$7)</f>
        <v>218</v>
      </c>
      <c r="AA24" s="18">
        <f>'Total Sunday-Holiday Boardings'!AA24/SUM('Service Days per Month'!AA$6:AA$7)</f>
        <v>365</v>
      </c>
      <c r="AB24" s="18">
        <f>'Total Sunday-Holiday Boardings'!AB24/SUM('Service Days per Month'!AB$6:AB$7)</f>
        <v>395.8</v>
      </c>
      <c r="AC24" s="18">
        <f>'Total Sunday-Holiday Boardings'!AC24/SUM('Service Days per Month'!AC$6:AC$7)</f>
        <v>508</v>
      </c>
      <c r="AD24" s="18">
        <f>'Total Sunday-Holiday Boardings'!AD24/SUM('Service Days per Month'!AD$6:AD$7)</f>
        <v>385.25</v>
      </c>
      <c r="AE24" s="18">
        <f>'Total Sunday-Holiday Boardings'!AE24/SUM('Service Days per Month'!AE$6:AE$7)</f>
        <v>390.33333333333331</v>
      </c>
      <c r="AF24" s="19">
        <f>'Total Sunday-Holiday Boardings'!AF24/SUM('Service Days per Month'!AF$6:AF$7)</f>
        <v>419.25</v>
      </c>
      <c r="AG24" s="17">
        <f>'Total Sunday-Holiday Boardings'!AG24/SUM('Service Days per Month'!AG$6:AG$7)</f>
        <v>397.33333333333331</v>
      </c>
      <c r="AH24" s="18">
        <f>'Total Sunday-Holiday Boardings'!AH24/SUM('Service Days per Month'!AH$6:AH$7)</f>
        <v>336.5</v>
      </c>
      <c r="AI24" s="18">
        <f>'Total Sunday-Holiday Boardings'!AI24/SUM('Service Days per Month'!AI$6:AI$7)</f>
        <v>383.4</v>
      </c>
      <c r="AJ24" s="18">
        <f>'Total Sunday-Holiday Boardings'!AJ24/SUM('Service Days per Month'!AJ$6:AJ$7)</f>
        <v>586.6</v>
      </c>
      <c r="AK24" s="18">
        <f>'Total Sunday-Holiday Boardings'!AK24/SUM('Service Days per Month'!AK$6:AK$7)</f>
        <v>417.14285714285717</v>
      </c>
      <c r="AL24" s="18">
        <f>'Total Sunday-Holiday Boardings'!AL24/SUM('Service Days per Month'!AL$6:AL$7)</f>
        <v>327.33333333333331</v>
      </c>
      <c r="AM24" s="18">
        <f>'Total Sunday-Holiday Boardings'!AM24/SUM('Service Days per Month'!AM$6:AM$7)</f>
        <v>454</v>
      </c>
      <c r="AN24" s="18">
        <f>'Total Sunday-Holiday Boardings'!AN24/SUM('Service Days per Month'!AN$6:AN$7)</f>
        <v>471.8</v>
      </c>
      <c r="AO24" s="18">
        <f>'Total Sunday-Holiday Boardings'!AO24/SUM('Service Days per Month'!AO$6:AO$7)</f>
        <v>458.25</v>
      </c>
      <c r="AP24" s="18">
        <f>'Total Sunday-Holiday Boardings'!AP24/SUM('Service Days per Month'!AP$6:AP$7)</f>
        <v>395.8</v>
      </c>
      <c r="AQ24" s="18">
        <f>'Total Sunday-Holiday Boardings'!AQ24/SUM('Service Days per Month'!AQ$6:AQ$7)</f>
        <v>453.8</v>
      </c>
      <c r="AR24" s="19">
        <f>'Total Sunday-Holiday Boardings'!AR24/SUM('Service Days per Month'!AR$6:AR$7)</f>
        <v>405.25</v>
      </c>
      <c r="AS24" s="17">
        <f>'Total Sunday-Holiday Boardings'!AS24/SUM('Service Days per Month'!AS$6:AS$7)</f>
        <v>430</v>
      </c>
      <c r="AT24" s="18">
        <f>'Total Sunday-Holiday Boardings'!AT24/SUM('Service Days per Month'!AT$6:AT$7)</f>
        <v>368</v>
      </c>
      <c r="AU24" s="18">
        <f>'Total Sunday-Holiday Boardings'!AU24/SUM('Service Days per Month'!AU$6:AU$7)</f>
        <v>395.83333333333331</v>
      </c>
      <c r="AV24" s="18">
        <f>'Total Sunday-Holiday Boardings'!AV24/SUM('Service Days per Month'!AV$6:AV$7)</f>
        <v>534.5</v>
      </c>
      <c r="AW24" s="18">
        <f>'Total Sunday-Holiday Boardings'!AW24/SUM('Service Days per Month'!AW$6:AW$7)</f>
        <v>398.57142857142856</v>
      </c>
      <c r="AX24" s="18">
        <f>'Total Sunday-Holiday Boardings'!AX24/SUM('Service Days per Month'!AX$6:AX$7)</f>
        <v>345.71428571428572</v>
      </c>
      <c r="AY24" s="18">
        <f>'Total Sunday-Holiday Boardings'!AY24/SUM('Service Days per Month'!AY$6:AY$7)</f>
        <v>417</v>
      </c>
      <c r="AZ24" s="18">
        <f>'Total Sunday-Holiday Boardings'!AZ24/SUM('Service Days per Month'!AZ$6:AZ$7)</f>
        <v>444.4</v>
      </c>
      <c r="BA24" s="18">
        <f>'Total Sunday-Holiday Boardings'!BA24/SUM('Service Days per Month'!BA$6:BA$7)</f>
        <v>490.2</v>
      </c>
      <c r="BB24" s="18">
        <f>'Total Sunday-Holiday Boardings'!BB24/SUM('Service Days per Month'!BB$6:BB$7)</f>
        <v>491.25</v>
      </c>
      <c r="BC24" s="18">
        <f>'Total Sunday-Holiday Boardings'!BC24/SUM('Service Days per Month'!BC$6:BC$7)</f>
        <v>503.4</v>
      </c>
      <c r="BD24" s="19">
        <f>'Total Sunday-Holiday Boardings'!BD24/SUM('Service Days per Month'!BD$6:BD$7)</f>
        <v>412.6</v>
      </c>
      <c r="BE24" s="17">
        <f>'Total Sunday-Holiday Boardings'!BE24/SUM('Service Days per Month'!BE$6:BE$7)</f>
        <v>374.6</v>
      </c>
      <c r="BF24" s="18">
        <f>'Total Sunday-Holiday Boardings'!BF24/SUM('Service Days per Month'!BF$6:BF$7)</f>
        <v>389.75</v>
      </c>
      <c r="BG24" s="18">
        <f>'Total Sunday-Holiday Boardings'!BG24/SUM('Service Days per Month'!BG$6:BG$7)</f>
        <v>439.83333333333331</v>
      </c>
      <c r="BH24" s="18">
        <f>'Total Sunday-Holiday Boardings'!BH24/SUM('Service Days per Month'!BH$6:BH$7)</f>
        <v>578.25</v>
      </c>
      <c r="BI24" s="18">
        <f>'Total Sunday-Holiday Boardings'!BI24/SUM('Service Days per Month'!BI$6:BI$7)</f>
        <v>418.5900144023044</v>
      </c>
      <c r="BJ24" s="18">
        <f>'Total Sunday-Holiday Boardings'!BJ24/SUM('Service Days per Month'!BJ$6:BJ$7)</f>
        <v>513.14285714285711</v>
      </c>
      <c r="BK24" s="18">
        <f>'Total Sunday-Holiday Boardings'!BK24/SUM('Service Days per Month'!BK$6:BK$7)</f>
        <v>554.16666666666663</v>
      </c>
      <c r="BL24" s="18">
        <f>'Total Sunday-Holiday Boardings'!BL24/SUM('Service Days per Month'!BL$6:BL$7)</f>
        <v>588.6</v>
      </c>
      <c r="BM24" s="18">
        <f>'Total Sunday-Holiday Boardings'!BM24/SUM('Service Days per Month'!BM$6:BM$7)</f>
        <v>636.79999999999995</v>
      </c>
      <c r="BN24" s="18">
        <f>'Total Sunday-Holiday Boardings'!BN24/SUM('Service Days per Month'!BN$6:BN$7)</f>
        <v>479</v>
      </c>
      <c r="BO24" s="18">
        <f>'Total Sunday-Holiday Boardings'!BO24/SUM('Service Days per Month'!BO$6:BO$7)</f>
        <v>515.79999999999995</v>
      </c>
      <c r="BP24" s="19">
        <f>'Total Sunday-Holiday Boardings'!BP24/SUM('Service Days per Month'!BP$6:BP$7)</f>
        <v>539</v>
      </c>
      <c r="BQ24" s="17">
        <f>'Total Sunday-Holiday Boardings'!BQ24/SUM('Service Days per Month'!BQ$6:BQ$7)</f>
        <v>475.6</v>
      </c>
      <c r="BR24" s="18">
        <f>'Total Sunday-Holiday Boardings'!BR24/SUM('Service Days per Month'!BR$6:BR$7)</f>
        <v>501.4</v>
      </c>
      <c r="BS24" s="18">
        <f>'Total Sunday-Holiday Boardings'!BS24/SUM('Service Days per Month'!BS$6:BS$7)</f>
        <v>492.4</v>
      </c>
      <c r="BT24" s="18">
        <f>'Total Sunday-Holiday Boardings'!BT24/SUM('Service Days per Month'!BT$6:BT$7)</f>
        <v>675.25</v>
      </c>
      <c r="BU24" s="18">
        <f>'Total Sunday-Holiday Boardings'!BU24/SUM('Service Days per Month'!BU$6:BU$7)</f>
        <v>541.125</v>
      </c>
      <c r="BV24" s="18">
        <f>'Total Sunday-Holiday Boardings'!BV24/SUM('Service Days per Month'!BV$6:BV$7)</f>
        <v>526.66666666666663</v>
      </c>
      <c r="BW24" s="18">
        <f>'Total Sunday-Holiday Boardings'!BW24/SUM('Service Days per Month'!BW$6:BW$7)</f>
        <v>728.33333333333337</v>
      </c>
      <c r="BX24" s="18">
        <f>'Total Sunday-Holiday Boardings'!BX24/SUM('Service Days per Month'!BX$6:BX$7)</f>
        <v>1259.8</v>
      </c>
      <c r="BY24" s="18">
        <f>'Total Sunday-Holiday Boardings'!BY24/SUM('Service Days per Month'!BY$6:BY$7)</f>
        <v>625.4</v>
      </c>
      <c r="BZ24" s="18">
        <f>'Total Sunday-Holiday Boardings'!BZ24/SUM('Service Days per Month'!BZ$6:BZ$7)</f>
        <v>503.5</v>
      </c>
      <c r="CA24" s="18">
        <f>'Total Sunday-Holiday Boardings'!CA24/SUM('Service Days per Month'!CA$6:CA$7)</f>
        <v>538</v>
      </c>
      <c r="CB24" s="19">
        <f>'Total Sunday-Holiday Boardings'!CB24/SUM('Service Days per Month'!CB$6:CB$7)</f>
        <v>519</v>
      </c>
      <c r="CC24" s="20">
        <f>'Total Sunday-Holiday Boardings'!CC24/SUM('Service Days per Month'!CC$6:CC$7)</f>
        <v>543.4</v>
      </c>
      <c r="CD24" s="18">
        <f>'Total Sunday-Holiday Boardings'!CD24/SUM('Service Days per Month'!CD$6:CD$7)</f>
        <v>481.4</v>
      </c>
      <c r="CE24" s="18">
        <f>'Total Sunday-Holiday Boardings'!CE24/SUM('Service Days per Month'!CE$6:CE$7)</f>
        <v>452.8</v>
      </c>
      <c r="CF24" s="18">
        <f>'Total Sunday-Holiday Boardings'!CF24/SUM('Service Days per Month'!CF$6:CF$7)</f>
        <v>710</v>
      </c>
      <c r="CG24" s="18">
        <f>'Total Sunday-Holiday Boardings'!CG24/SUM('Service Days per Month'!CG$6:CG$7)</f>
        <v>532.5</v>
      </c>
      <c r="CH24" s="18">
        <f>'Total Sunday-Holiday Boardings'!CH24/SUM('Service Days per Month'!CH$6:CH$7)</f>
        <v>542</v>
      </c>
      <c r="CI24" s="18">
        <f>'Total Sunday-Holiday Boardings'!CI24/SUM('Service Days per Month'!CI$6:CI$7)</f>
        <v>688.85714285714289</v>
      </c>
      <c r="CJ24" s="18">
        <f>'Total Sunday-Holiday Boardings'!CJ24/SUM('Service Days per Month'!CJ$6:CJ$7)</f>
        <v>558</v>
      </c>
      <c r="CK24" s="18">
        <f>'Total Sunday-Holiday Boardings'!CK24/SUM('Service Days per Month'!CK$6:CK$7)</f>
        <v>432.5</v>
      </c>
      <c r="CL24" s="18">
        <f>'Total Sunday-Holiday Boardings'!CL24/SUM('Service Days per Month'!CL$6:CL$7)</f>
        <v>414.5</v>
      </c>
      <c r="CM24" s="18">
        <f>'Total Sunday-Holiday Boardings'!CM24/SUM('Service Days per Month'!CM$6:CM$7)</f>
        <v>420.66666666666669</v>
      </c>
      <c r="CN24" s="21">
        <f>'Total Sunday-Holiday Boardings'!CN24/SUM('Service Days per Month'!CN$6:CN$7)</f>
        <v>397.5</v>
      </c>
      <c r="CO24" s="17">
        <f>'Total Sunday-Holiday Boardings'!CO24/SUM('Service Days per Month'!CO$6:CO$7)</f>
        <v>493.16666666666669</v>
      </c>
      <c r="CP24" s="18">
        <f>'Total Sunday-Holiday Boardings'!CP24/SUM('Service Days per Month'!CP$6:CP$7)</f>
        <v>494.25</v>
      </c>
      <c r="CQ24" s="18">
        <f>'Total Sunday-Holiday Boardings'!CQ24/SUM('Service Days per Month'!CQ$6:CQ$7)</f>
        <v>465.6</v>
      </c>
      <c r="CR24" s="18">
        <f>'Total Sunday-Holiday Boardings'!CR24/SUM('Service Days per Month'!CR$6:CR$7)</f>
        <v>557.6</v>
      </c>
      <c r="CS24" s="18">
        <f>'Total Sunday-Holiday Boardings'!CS24/SUM('Service Days per Month'!CS$6:CS$7)</f>
        <v>683.28571428571433</v>
      </c>
      <c r="CT24" s="18">
        <f>'Total Sunday-Holiday Boardings'!CT24/SUM('Service Days per Month'!CT$6:CT$7)</f>
        <v>660.83333333333337</v>
      </c>
      <c r="CU24" s="18">
        <f>'Total Sunday-Holiday Boardings'!CU24/SUM('Service Days per Month'!CU$6:CU$7)</f>
        <v>556.57142857142856</v>
      </c>
      <c r="CV24" s="18">
        <f>'Total Sunday-Holiday Boardings'!CV24/SUM('Service Days per Month'!CV$6:CV$7)</f>
        <v>509.8</v>
      </c>
      <c r="CW24" s="18">
        <f>'Total Sunday-Holiday Boardings'!CW24/SUM('Service Days per Month'!CW$6:CW$7)</f>
        <v>586.25</v>
      </c>
      <c r="CX24" s="18">
        <f>'Total Sunday-Holiday Boardings'!CX24/SUM('Service Days per Month'!CX$6:CX$7)</f>
        <v>701.4</v>
      </c>
      <c r="CY24" s="18">
        <f>'Total Sunday-Holiday Boardings'!CY24/SUM('Service Days per Month'!CY$6:CY$7)</f>
        <v>660</v>
      </c>
      <c r="CZ24" s="19">
        <f>'Total Sunday-Holiday Boardings'!CZ24/SUM('Service Days per Month'!CZ$6:CZ$7)</f>
        <v>480.25</v>
      </c>
      <c r="DA24" s="17">
        <f>'Total Sunday-Holiday Boardings'!DA24/SUM('Service Days per Month'!DA$6:DA$7)</f>
        <v>488.33333333333331</v>
      </c>
      <c r="DB24" s="18">
        <f>'Total Sunday-Holiday Boardings'!DB24/SUM('Service Days per Month'!DB$6:DB$7)</f>
        <v>536.25</v>
      </c>
      <c r="DC24" s="18">
        <f>'Total Sunday-Holiday Boardings'!DC24/SUM('Service Days per Month'!DC$6:DC$7)</f>
        <v>450.6</v>
      </c>
      <c r="DD24" s="18">
        <f>'Total Sunday-Holiday Boardings'!DD24/SUM('Service Days per Month'!DD$6:DD$7)</f>
        <v>508.8</v>
      </c>
      <c r="DE24" s="18">
        <f>'Total Sunday-Holiday Boardings'!DE24/SUM('Service Days per Month'!DE$6:DE$7)</f>
        <v>549.28571428571433</v>
      </c>
      <c r="DF24" s="18">
        <f>'Total Sunday-Holiday Boardings'!DF24/SUM('Service Days per Month'!DF$6:DF$7)</f>
        <v>463.33333333333331</v>
      </c>
      <c r="DG24" s="18">
        <f>'Total Sunday-Holiday Boardings'!DG24/SUM('Service Days per Month'!DG$6:DG$7)</f>
        <v>494.66666666666669</v>
      </c>
      <c r="DH24" s="18">
        <f>'Total Sunday-Holiday Boardings'!DH24/SUM('Service Days per Month'!DH$6:DH$7)</f>
        <v>382</v>
      </c>
      <c r="DI24" s="18">
        <f>'Total Sunday-Holiday Boardings'!DI24/SUM('Service Days per Month'!DI$6:DI$7)</f>
        <v>433.5</v>
      </c>
      <c r="DJ24" s="18">
        <f>'Total Sunday-Holiday Boardings'!DJ24/SUM('Service Days per Month'!DJ$6:DJ$7)</f>
        <v>350.2</v>
      </c>
      <c r="DK24" s="18">
        <f>'Total Sunday-Holiday Boardings'!DK24/SUM('Service Days per Month'!DK$6:DK$7)</f>
        <v>419.8</v>
      </c>
      <c r="DL24" s="19">
        <f>'Total Sunday-Holiday Boardings'!DL24/SUM('Service Days per Month'!DL$6:DL$7)</f>
        <v>284.25</v>
      </c>
      <c r="DM24" s="17">
        <f>'Total Sunday-Holiday Boardings'!DM24/('Service Days per Month'!DM$6+'Service Days per Month'!DM$7)</f>
        <v>332.16666666666669</v>
      </c>
      <c r="DN24" s="18">
        <f>'Total Sunday-Holiday Boardings'!DN24/('Service Days per Month'!DN$6+'Service Days per Month'!DN$7)</f>
        <v>342.25</v>
      </c>
      <c r="DO24" s="18">
        <f>'Total Sunday-Holiday Boardings'!DO24/('Service Days per Month'!DO$6+'Service Days per Month'!DO$7)</f>
        <v>328.83333333333331</v>
      </c>
      <c r="DP24" s="18">
        <f>'Total Sunday-Holiday Boardings'!DP24/('Service Days per Month'!DP$6+'Service Days per Month'!DP$7)</f>
        <v>316.75</v>
      </c>
      <c r="DQ24" s="18">
        <f>'Total Sunday-Holiday Boardings'!DQ24/('Service Days per Month'!DQ$6+'Service Days per Month'!DQ$7)</f>
        <v>374.6</v>
      </c>
      <c r="DR24" s="18">
        <f>'Total Sunday-Holiday Boardings'!DR24/('Service Days per Month'!DR$6+'Service Days per Month'!DR$7)</f>
        <v>335.5</v>
      </c>
      <c r="DS24" s="18">
        <f>'Total Sunday-Holiday Boardings'!DS24/('Service Days per Month'!DS$6+'Service Days per Month'!DS$7)</f>
        <v>360.8</v>
      </c>
      <c r="DT24" s="18">
        <f>'Total Sunday-Holiday Boardings'!DT24/('Service Days per Month'!DT$6+'Service Days per Month'!DT$7)</f>
        <v>302.25</v>
      </c>
      <c r="DU24" s="18">
        <f>'Total Sunday-Holiday Boardings'!DU24/('Service Days per Month'!DU$6+'Service Days per Month'!DU$7)</f>
        <v>372.2</v>
      </c>
      <c r="DV24" s="18">
        <f>'Total Sunday-Holiday Boardings'!DV24/('Service Days per Month'!DV$6+'Service Days per Month'!DV$7)</f>
        <v>426.5</v>
      </c>
      <c r="DW24" s="18">
        <f>'Total Sunday-Holiday Boardings'!DW24/('Service Days per Month'!DW$6+'Service Days per Month'!DW$7)</f>
        <v>361</v>
      </c>
      <c r="DX24" s="18">
        <f>'Total Sunday-Holiday Boardings'!DX24/('Service Days per Month'!DX$6+'Service Days per Month'!DX$7)</f>
        <v>309</v>
      </c>
      <c r="DY24" s="17">
        <f>'Total Sunday-Holiday Boardings'!DY24/('Service Days per Month'!DY$6+'Service Days per Month'!DY$7)</f>
        <v>315.60000000000002</v>
      </c>
      <c r="DZ24" s="18">
        <f>'Total Sunday-Holiday Boardings'!DZ24/('Service Days per Month'!DZ$6+'Service Days per Month'!DZ$7)</f>
        <v>342.25</v>
      </c>
      <c r="EA24" s="18">
        <f>'Total Sunday-Holiday Boardings'!EA24/('Service Days per Month'!EA$6+'Service Days per Month'!EA$7)</f>
        <v>293.66666666666669</v>
      </c>
      <c r="EB24" s="18">
        <f>'Total Sunday-Holiday Boardings'!EB24/('Service Days per Month'!EB$6+'Service Days per Month'!EB$7)</f>
        <v>308.75</v>
      </c>
      <c r="EC24" s="18">
        <f>'Total Sunday-Holiday Boardings'!EC24/('Service Days per Month'!EC$6+'Service Days per Month'!EC$7)</f>
        <v>321</v>
      </c>
      <c r="ED24" s="18">
        <f>'Total Sunday-Holiday Boardings'!ED24/('Service Days per Month'!ED$6+'Service Days per Month'!ED$7)</f>
        <v>267.83333333333331</v>
      </c>
      <c r="EE24" s="18">
        <f>'Total Sunday-Holiday Boardings'!EE24/('Service Days per Month'!EE$6+'Service Days per Month'!EE$7)</f>
        <v>372.25</v>
      </c>
      <c r="EF24" s="18">
        <f>'Total Sunday-Holiday Boardings'!EF24/('Service Days per Month'!EF$6+'Service Days per Month'!EF$7)</f>
        <v>313.5</v>
      </c>
      <c r="EG24" s="18">
        <f>'Total Sunday-Holiday Boardings'!EG24/('Service Days per Month'!EG$6+'Service Days per Month'!EG$7)</f>
        <v>263.39999999999998</v>
      </c>
      <c r="EH24" s="18">
        <f>'Total Sunday-Holiday Boardings'!EH24/('Service Days per Month'!EH$6+'Service Days per Month'!EH$7)</f>
        <v>168.25</v>
      </c>
      <c r="EI24" s="18">
        <f>'Total Sunday-Holiday Boardings'!EI24/('Service Days per Month'!EI$6+'Service Days per Month'!EI$7)</f>
        <v>143.16666666666666</v>
      </c>
      <c r="EJ24" s="18">
        <f>'Total Sunday-Holiday Boardings'!EJ24/('Service Days per Month'!EJ$6+'Service Days per Month'!EJ$7)</f>
        <v>140</v>
      </c>
      <c r="EK24" s="17">
        <f>'Total Sunday-Holiday Boardings'!EK24/('Service Days per Month'!EK$6+'Service Days per Month'!EK$7)</f>
        <v>138.80000000000001</v>
      </c>
      <c r="EL24" s="18">
        <f>'Total Sunday-Holiday Boardings'!EL24/('Service Days per Month'!EL$6+'Service Days per Month'!EL$7)</f>
        <v>135</v>
      </c>
      <c r="EM24" s="18">
        <f>'Total Sunday-Holiday Boardings'!EM24/('Service Days per Month'!EM$6+'Service Days per Month'!EM$7)</f>
        <v>154.4</v>
      </c>
      <c r="EN24" s="18">
        <f>'Total Sunday-Holiday Boardings'!EN24/('Service Days per Month'!EN$6+'Service Days per Month'!EN$7)</f>
        <v>136.5</v>
      </c>
      <c r="EO24" s="18">
        <f>'Total Sunday-Holiday Boardings'!EO24/('Service Days per Month'!EO$6+'Service Days per Month'!EO$7)</f>
        <v>109.33333333333333</v>
      </c>
      <c r="EP24" s="18">
        <f>'Total Sunday-Holiday Boardings'!EP24/('Service Days per Month'!EP$6+'Service Days per Month'!EP$7)</f>
        <v>194.4</v>
      </c>
      <c r="EQ24" s="18">
        <f>'Total Sunday-Holiday Boardings'!EQ24/('Service Days per Month'!EQ$6+'Service Days per Month'!EQ$7)</f>
        <v>59.8</v>
      </c>
      <c r="ER24" s="18">
        <f>'Total Sunday-Holiday Boardings'!ER24/('Service Days per Month'!ER$6+'Service Days per Month'!ER$7)</f>
        <v>199.5</v>
      </c>
      <c r="ES24" s="18">
        <f>'Total Sunday-Holiday Boardings'!ES24/('Service Days per Month'!ES$6+'Service Days per Month'!ES$7)</f>
        <v>281</v>
      </c>
      <c r="ET24" s="18">
        <f>'Total Sunday-Holiday Boardings'!ET24/('Service Days per Month'!ET$6+'Service Days per Month'!ET$7)</f>
        <v>128.75</v>
      </c>
      <c r="EU24" s="18">
        <f>'Total Sunday-Holiday Boardings'!EU24/('Service Days per Month'!EU$6+'Service Days per Month'!EU$7)</f>
        <v>115.33333333333333</v>
      </c>
      <c r="EV24" s="18">
        <f>'Total Sunday-Holiday Boardings'!EV24/('Service Days per Month'!EV$6+'Service Days per Month'!EV$7)</f>
        <v>155</v>
      </c>
      <c r="EW24" s="17">
        <f>'Total Sunday-Holiday Boardings'!EW24/('Service Days per Month'!EW$6+'Service Days per Month'!EW$7)</f>
        <v>159.19999999999999</v>
      </c>
      <c r="EX24" s="18">
        <f>'Total Sunday-Holiday Boardings'!EX24/('Service Days per Month'!EX$6+'Service Days per Month'!EX$7)</f>
        <v>181.8</v>
      </c>
      <c r="EY24" s="18">
        <f>'Total Sunday-Holiday Boardings'!EY24/('Service Days per Month'!EY$6+'Service Days per Month'!EY$7)</f>
        <v>175.2</v>
      </c>
      <c r="EZ24" s="18">
        <f>'Total Sunday-Holiday Boardings'!EZ24/('Service Days per Month'!EZ$6+'Service Days per Month'!EZ$7)</f>
        <v>139.6</v>
      </c>
      <c r="FA24" s="18">
        <f>'Total Sunday-Holiday Boardings'!FA24/('Service Days per Month'!FA$6+'Service Days per Month'!FA$7)</f>
        <v>158.19999999999999</v>
      </c>
      <c r="FB24" s="18">
        <f>'Total Sunday-Holiday Boardings'!FB24/('Service Days per Month'!FB$6+'Service Days per Month'!FB$7)</f>
        <v>221.2</v>
      </c>
      <c r="FC24" s="18">
        <f>'Total Sunday-Holiday Boardings'!FC24/('Service Days per Month'!FC$6+'Service Days per Month'!FC$7)</f>
        <v>160.19999999999999</v>
      </c>
      <c r="FD24" s="18">
        <f>'Total Sunday-Holiday Boardings'!FD24/('Service Days per Month'!FD$6+'Service Days per Month'!FD$7)</f>
        <v>208</v>
      </c>
      <c r="FE24" s="18">
        <f>'Total Sunday-Holiday Boardings'!FE24/('Service Days per Month'!FE$6+'Service Days per Month'!FE$7)</f>
        <v>235.75</v>
      </c>
      <c r="FF24" s="18">
        <f>'Total Sunday-Holiday Boardings'!FF24/('Service Days per Month'!FF$6+'Service Days per Month'!FF$7)</f>
        <v>376</v>
      </c>
      <c r="FG24" s="18">
        <f>'Total Sunday-Holiday Boardings'!FG24/('Service Days per Month'!FG$6+'Service Days per Month'!FG$7)</f>
        <v>162.83333333333334</v>
      </c>
      <c r="FH24" s="18">
        <f>'Total Sunday-Holiday Boardings'!FH24/('Service Days per Month'!FH$6+'Service Days per Month'!FH$7)</f>
        <v>0</v>
      </c>
      <c r="FI24" s="17">
        <v>144.83333333333334</v>
      </c>
      <c r="FJ24" s="18">
        <v>255</v>
      </c>
      <c r="FK24" s="18">
        <v>313</v>
      </c>
      <c r="FL24" s="18">
        <v>305</v>
      </c>
      <c r="FM24" s="18">
        <v>315.60000000000002</v>
      </c>
      <c r="FN24" s="18">
        <v>298.39999999999998</v>
      </c>
      <c r="FO24" s="18">
        <v>384</v>
      </c>
      <c r="FP24" s="18">
        <v>335.75</v>
      </c>
      <c r="FQ24" s="18">
        <v>357.75</v>
      </c>
      <c r="FR24" s="18">
        <f>'Total Sunday-Holiday Boardings'!FR24/5</f>
        <v>382.4</v>
      </c>
      <c r="FS24" s="18">
        <f>'Total Sunday-Holiday Boardings'!FS24/5</f>
        <v>424.8</v>
      </c>
      <c r="FT24" s="21">
        <f>'Total Sunday-Holiday Boardings'!FT24/4</f>
        <v>372.25</v>
      </c>
      <c r="FU24" s="18">
        <f>'Total Sunday-Holiday Boardings'!FU24/5</f>
        <v>439.2</v>
      </c>
      <c r="FV24" s="18">
        <f>'Total Sunday-Holiday Boardings'!FV24/4</f>
        <v>552.5</v>
      </c>
      <c r="FW24" s="18">
        <f>'Total Sunday-Holiday Boardings'!FW24/4</f>
        <v>491</v>
      </c>
      <c r="FX24" s="18">
        <f>'Total Sunday-Holiday Boardings'!FX24/5</f>
        <v>405.6</v>
      </c>
      <c r="FY24" s="18">
        <f>'Total Sunday-Holiday Boardings'!FY24/4</f>
        <v>405</v>
      </c>
      <c r="FZ24" s="18">
        <f>'Total Sunday-Holiday Boardings'!FZ24/5</f>
        <v>438.8</v>
      </c>
      <c r="GA24" s="18">
        <f>'Total Sunday-Holiday Boardings'!GA24/4</f>
        <v>508.75</v>
      </c>
      <c r="GB24" s="18">
        <f>'Total Sunday-Holiday Boardings'!GB24/4</f>
        <v>423.75</v>
      </c>
      <c r="GC24" s="18">
        <f>'Total Sunday-Holiday Boardings'!GC24/5</f>
        <v>401.4</v>
      </c>
      <c r="GD24" s="18">
        <f>'Total Sunday-Holiday Boardings'!GD24/4</f>
        <v>541.25</v>
      </c>
      <c r="GE24" s="18">
        <f>'Total Sunday-Holiday Boardings'!GE24/4</f>
        <v>675.75</v>
      </c>
      <c r="GF24" s="18">
        <f>'Total Sunday-Holiday Boardings'!GF24/5</f>
        <v>412.6</v>
      </c>
      <c r="GG24" s="18">
        <f>'Total Sunday-Holiday Boardings'!GG24/4</f>
        <v>446.25</v>
      </c>
      <c r="GH24" s="18">
        <f>'Total Sunday-Holiday Boardings'!GH24/4</f>
        <v>365.25</v>
      </c>
      <c r="GI24" s="18">
        <f>'Total Sunday-Holiday Boardings'!GI24/5</f>
        <v>472.2</v>
      </c>
      <c r="GJ24" s="18">
        <f>'Total Sunday-Holiday Boardings'!GJ24/4</f>
        <v>423.25</v>
      </c>
      <c r="GK24" s="18">
        <f>'Total Sunday-Holiday Boardings'!GK24/4</f>
        <v>436.75</v>
      </c>
      <c r="GL24" s="18">
        <f>'Total Sunday-Holiday Boardings'!GL24/5</f>
        <v>414.4</v>
      </c>
    </row>
    <row r="25" spans="1:194" x14ac:dyDescent="0.3">
      <c r="A25" s="3" t="s">
        <v>38</v>
      </c>
      <c r="B25" s="17"/>
      <c r="C25" s="18">
        <f>'Total Sunday-Holiday Boardings'!C25/SUM('Service Days per Month'!C$6:C$7)</f>
        <v>1011.6</v>
      </c>
      <c r="D25" s="18">
        <f>'Total Sunday-Holiday Boardings'!D25/SUM('Service Days per Month'!D$6:D$7)</f>
        <v>1899.75</v>
      </c>
      <c r="E25" s="18">
        <f>'Total Sunday-Holiday Boardings'!E25/SUM('Service Days per Month'!E$6:E$7)</f>
        <v>804.2</v>
      </c>
      <c r="F25" s="18">
        <f>'Total Sunday-Holiday Boardings'!F25/SUM('Service Days per Month'!F$6:F$7)</f>
        <v>1326.6</v>
      </c>
      <c r="G25" s="18">
        <f>'Total Sunday-Holiday Boardings'!G25/SUM('Service Days per Month'!G$6:G$7)</f>
        <v>1319.8333333333333</v>
      </c>
      <c r="H25" s="19">
        <f>'Total Sunday-Holiday Boardings'!H25/SUM('Service Days per Month'!H$6:H$7)</f>
        <v>1189.5</v>
      </c>
      <c r="I25" s="17">
        <f>'Total Sunday-Holiday Boardings'!I25/SUM('Service Days per Month'!I$6:I$7)</f>
        <v>802.6</v>
      </c>
      <c r="J25" s="18">
        <f>'Total Sunday-Holiday Boardings'!J25/SUM('Service Days per Month'!J$6:J$7)</f>
        <v>787</v>
      </c>
      <c r="K25" s="18">
        <f>'Total Sunday-Holiday Boardings'!K25/SUM('Service Days per Month'!K$6:K$7)</f>
        <v>1211.8</v>
      </c>
      <c r="L25" s="18">
        <f>'Total Sunday-Holiday Boardings'!L25/SUM('Service Days per Month'!L$6:L$7)</f>
        <v>590.5</v>
      </c>
      <c r="M25" s="18">
        <f>'Total Sunday-Holiday Boardings'!M25/SUM('Service Days per Month'!M$6:M$7)</f>
        <v>1536.6666666666667</v>
      </c>
      <c r="N25" s="18">
        <f>'Total Sunday-Holiday Boardings'!N25/SUM('Service Days per Month'!N$6:N$7)</f>
        <v>455.8</v>
      </c>
      <c r="O25" s="79">
        <f>'Total Sunday-Holiday Boardings'!O25/SUM('Service Days per Month'!O$6:O$7)</f>
        <v>555.16666666666663</v>
      </c>
      <c r="P25" s="79">
        <f>'Total Sunday-Holiday Boardings'!P25/SUM('Service Days per Month'!P$6:P$7)</f>
        <v>746.5</v>
      </c>
      <c r="Q25" s="79">
        <f>'Total Sunday-Holiday Boardings'!Q25/SUM('Service Days per Month'!Q$6:Q$7)</f>
        <v>978.25</v>
      </c>
      <c r="R25" s="79">
        <f>'Total Sunday-Holiday Boardings'!R25/SUM('Service Days per Month'!R$6:R$7)</f>
        <v>1550.25</v>
      </c>
      <c r="S25" s="79">
        <f>'Total Sunday-Holiday Boardings'!S25/SUM('Service Days per Month'!S$6:S$7)</f>
        <v>1086</v>
      </c>
      <c r="T25" s="80">
        <f>'Total Sunday-Holiday Boardings'!T25/SUM('Service Days per Month'!T$6:T$7)</f>
        <v>1027.5</v>
      </c>
      <c r="U25" s="81">
        <f>'Total Sunday-Holiday Boardings'!U25/SUM('Service Days per Month'!U$6:U$7)</f>
        <v>808.4</v>
      </c>
      <c r="V25" s="79">
        <f>'Total Sunday-Holiday Boardings'!V25/SUM('Service Days per Month'!V$6:V$7)</f>
        <v>648.6</v>
      </c>
      <c r="W25" s="79">
        <f>'Total Sunday-Holiday Boardings'!W25/SUM('Service Days per Month'!W$6:W$7)</f>
        <v>977</v>
      </c>
      <c r="X25" s="79">
        <f>'Total Sunday-Holiday Boardings'!X25/SUM('Service Days per Month'!X$6:X$7)</f>
        <v>426.6</v>
      </c>
      <c r="Y25" s="79">
        <f>'Total Sunday-Holiday Boardings'!Y25/SUM('Service Days per Month'!Y$6:Y$7)</f>
        <v>803.42857142857144</v>
      </c>
      <c r="Z25" s="79">
        <f>'Total Sunday-Holiday Boardings'!Z25/SUM('Service Days per Month'!Z$6:Z$7)</f>
        <v>338.71428571428572</v>
      </c>
      <c r="AA25" s="18">
        <f>'Total Sunday-Holiday Boardings'!AA25/SUM('Service Days per Month'!AA$6:AA$7)</f>
        <v>686.66666666666663</v>
      </c>
      <c r="AB25" s="18">
        <f>'Total Sunday-Holiday Boardings'!AB25/SUM('Service Days per Month'!AB$6:AB$7)</f>
        <v>683.6</v>
      </c>
      <c r="AC25" s="18">
        <f>'Total Sunday-Holiday Boardings'!AC25/SUM('Service Days per Month'!AC$6:AC$7)</f>
        <v>846.75</v>
      </c>
      <c r="AD25" s="18">
        <f>'Total Sunday-Holiday Boardings'!AD25/SUM('Service Days per Month'!AD$6:AD$7)</f>
        <v>939.25</v>
      </c>
      <c r="AE25" s="18">
        <f>'Total Sunday-Holiday Boardings'!AE25/SUM('Service Days per Month'!AE$6:AE$7)</f>
        <v>1262.8333333333333</v>
      </c>
      <c r="AF25" s="19">
        <f>'Total Sunday-Holiday Boardings'!AF25/SUM('Service Days per Month'!AF$6:AF$7)</f>
        <v>1227.75</v>
      </c>
      <c r="AG25" s="17">
        <f>'Total Sunday-Holiday Boardings'!AG25/SUM('Service Days per Month'!AG$6:AG$7)</f>
        <v>1283.3333333333333</v>
      </c>
      <c r="AH25" s="18">
        <f>'Total Sunday-Holiday Boardings'!AH25/SUM('Service Days per Month'!AH$6:AH$7)</f>
        <v>1101.75</v>
      </c>
      <c r="AI25" s="18">
        <f>'Total Sunday-Holiday Boardings'!AI25/SUM('Service Days per Month'!AI$6:AI$7)</f>
        <v>936.4</v>
      </c>
      <c r="AJ25" s="18">
        <f>'Total Sunday-Holiday Boardings'!AJ25/SUM('Service Days per Month'!AJ$6:AJ$7)</f>
        <v>675.4</v>
      </c>
      <c r="AK25" s="18">
        <f>'Total Sunday-Holiday Boardings'!AK25/SUM('Service Days per Month'!AK$6:AK$7)</f>
        <v>493.28571428571428</v>
      </c>
      <c r="AL25" s="18">
        <f>'Total Sunday-Holiday Boardings'!AL25/SUM('Service Days per Month'!AL$6:AL$7)</f>
        <v>335.83333333333331</v>
      </c>
      <c r="AM25" s="18">
        <f>'Total Sunday-Holiday Boardings'!AM25/SUM('Service Days per Month'!AM$6:AM$7)</f>
        <v>611.71428571428567</v>
      </c>
      <c r="AN25" s="18">
        <f>'Total Sunday-Holiday Boardings'!AN25/SUM('Service Days per Month'!AN$6:AN$7)</f>
        <v>774.2</v>
      </c>
      <c r="AO25" s="18">
        <f>'Total Sunday-Holiday Boardings'!AO25/SUM('Service Days per Month'!AO$6:AO$7)</f>
        <v>667</v>
      </c>
      <c r="AP25" s="18">
        <f>'Total Sunday-Holiday Boardings'!AP25/SUM('Service Days per Month'!AP$6:AP$7)</f>
        <v>1096</v>
      </c>
      <c r="AQ25" s="18">
        <f>'Total Sunday-Holiday Boardings'!AQ25/SUM('Service Days per Month'!AQ$6:AQ$7)</f>
        <v>1206</v>
      </c>
      <c r="AR25" s="19">
        <f>'Total Sunday-Holiday Boardings'!AR25/SUM('Service Days per Month'!AR$6:AR$7)</f>
        <v>1095</v>
      </c>
      <c r="AS25" s="17">
        <f>'Total Sunday-Holiday Boardings'!AS25/SUM('Service Days per Month'!AS$6:AS$7)</f>
        <v>1355</v>
      </c>
      <c r="AT25" s="18">
        <f>'Total Sunday-Holiday Boardings'!AT25/SUM('Service Days per Month'!AT$6:AT$7)</f>
        <v>857.25</v>
      </c>
      <c r="AU25" s="18">
        <f>'Total Sunday-Holiday Boardings'!AU25/SUM('Service Days per Month'!AU$6:AU$7)</f>
        <v>701</v>
      </c>
      <c r="AV25" s="18">
        <f>'Total Sunday-Holiday Boardings'!AV25/SUM('Service Days per Month'!AV$6:AV$7)</f>
        <v>729.75</v>
      </c>
      <c r="AW25" s="18">
        <f>'Total Sunday-Holiday Boardings'!AW25/SUM('Service Days per Month'!AW$6:AW$7)</f>
        <v>480.14285714285717</v>
      </c>
      <c r="AX25" s="18">
        <f>'Total Sunday-Holiday Boardings'!AX25/SUM('Service Days per Month'!AX$6:AX$7)</f>
        <v>458.85714285714283</v>
      </c>
      <c r="AY25" s="18">
        <f>'Total Sunday-Holiday Boardings'!AY25/SUM('Service Days per Month'!AY$6:AY$7)</f>
        <v>648.66666666666663</v>
      </c>
      <c r="AZ25" s="18">
        <f>'Total Sunday-Holiday Boardings'!AZ25/SUM('Service Days per Month'!AZ$6:AZ$7)</f>
        <v>653</v>
      </c>
      <c r="BA25" s="18">
        <f>'Total Sunday-Holiday Boardings'!BA25/SUM('Service Days per Month'!BA$6:BA$7)</f>
        <v>767.2</v>
      </c>
      <c r="BB25" s="18">
        <f>'Total Sunday-Holiday Boardings'!BB25/SUM('Service Days per Month'!BB$6:BB$7)</f>
        <v>1315.5</v>
      </c>
      <c r="BC25" s="18">
        <f>'Total Sunday-Holiday Boardings'!BC25/SUM('Service Days per Month'!BC$6:BC$7)</f>
        <v>1786.8</v>
      </c>
      <c r="BD25" s="19">
        <f>'Total Sunday-Holiday Boardings'!BD25/SUM('Service Days per Month'!BD$6:BD$7)</f>
        <v>874.6</v>
      </c>
      <c r="BE25" s="17">
        <f>'Total Sunday-Holiday Boardings'!BE25/SUM('Service Days per Month'!BE$6:BE$7)</f>
        <v>895.6</v>
      </c>
      <c r="BF25" s="18">
        <f>'Total Sunday-Holiday Boardings'!BF25/SUM('Service Days per Month'!BF$6:BF$7)</f>
        <v>556.75</v>
      </c>
      <c r="BG25" s="18">
        <f>'Total Sunday-Holiday Boardings'!BG25/SUM('Service Days per Month'!BG$6:BG$7)</f>
        <v>884.33333333333337</v>
      </c>
      <c r="BH25" s="18">
        <f>'Total Sunday-Holiday Boardings'!BH25/SUM('Service Days per Month'!BH$6:BH$7)</f>
        <v>506.75</v>
      </c>
      <c r="BI25" s="18">
        <f>'Total Sunday-Holiday Boardings'!BI25/SUM('Service Days per Month'!BI$6:BI$7)</f>
        <v>419.66017419930046</v>
      </c>
      <c r="BJ25" s="18">
        <f>'Total Sunday-Holiday Boardings'!BJ25/SUM('Service Days per Month'!BJ$6:BJ$7)</f>
        <v>428.85714285714283</v>
      </c>
      <c r="BK25" s="18">
        <f>'Total Sunday-Holiday Boardings'!BK25/SUM('Service Days per Month'!BK$6:BK$7)</f>
        <v>682.33333333333337</v>
      </c>
      <c r="BL25" s="18">
        <f>'Total Sunday-Holiday Boardings'!BL25/SUM('Service Days per Month'!BL$6:BL$7)</f>
        <v>1020.6</v>
      </c>
      <c r="BM25" s="18">
        <f>'Total Sunday-Holiday Boardings'!BM25/SUM('Service Days per Month'!BM$6:BM$7)</f>
        <v>923.8</v>
      </c>
      <c r="BN25" s="18">
        <f>'Total Sunday-Holiday Boardings'!BN25/SUM('Service Days per Month'!BN$6:BN$7)</f>
        <v>1204</v>
      </c>
      <c r="BO25" s="18">
        <f>'Total Sunday-Holiday Boardings'!BO25/SUM('Service Days per Month'!BO$6:BO$7)</f>
        <v>1026.5999999999999</v>
      </c>
      <c r="BP25" s="19">
        <f>'Total Sunday-Holiday Boardings'!BP25/SUM('Service Days per Month'!BP$6:BP$7)</f>
        <v>1474.2</v>
      </c>
      <c r="BQ25" s="17">
        <f>'Total Sunday-Holiday Boardings'!BQ25/SUM('Service Days per Month'!BQ$6:BQ$7)</f>
        <v>633.6</v>
      </c>
      <c r="BR25" s="18">
        <f>'Total Sunday-Holiday Boardings'!BR25/SUM('Service Days per Month'!BR$6:BR$7)</f>
        <v>956</v>
      </c>
      <c r="BS25" s="18">
        <f>'Total Sunday-Holiday Boardings'!BS25/SUM('Service Days per Month'!BS$6:BS$7)</f>
        <v>730.2</v>
      </c>
      <c r="BT25" s="18">
        <f>'Total Sunday-Holiday Boardings'!BT25/SUM('Service Days per Month'!BT$6:BT$7)</f>
        <v>493.5</v>
      </c>
      <c r="BU25" s="18">
        <f>'Total Sunday-Holiday Boardings'!BU25/SUM('Service Days per Month'!BU$6:BU$7)</f>
        <v>565.375</v>
      </c>
      <c r="BV25" s="18">
        <f>'Total Sunday-Holiday Boardings'!BV25/SUM('Service Days per Month'!BV$6:BV$7)</f>
        <v>432.33333333333331</v>
      </c>
      <c r="BW25" s="18">
        <f>'Total Sunday-Holiday Boardings'!BW25/SUM('Service Days per Month'!BW$6:BW$7)</f>
        <v>1172.3333333333333</v>
      </c>
      <c r="BX25" s="18">
        <f>'Total Sunday-Holiday Boardings'!BX25/SUM('Service Days per Month'!BX$6:BX$7)</f>
        <v>1758.6</v>
      </c>
      <c r="BY25" s="18">
        <f>'Total Sunday-Holiday Boardings'!BY25/SUM('Service Days per Month'!BY$6:BY$7)</f>
        <v>790.4</v>
      </c>
      <c r="BZ25" s="18">
        <f>'Total Sunday-Holiday Boardings'!BZ25/SUM('Service Days per Month'!BZ$6:BZ$7)</f>
        <v>1012.75</v>
      </c>
      <c r="CA25" s="18">
        <f>'Total Sunday-Holiday Boardings'!CA25/SUM('Service Days per Month'!CA$6:CA$7)</f>
        <v>1234.1666666666667</v>
      </c>
      <c r="CB25" s="19">
        <f>'Total Sunday-Holiday Boardings'!CB25/SUM('Service Days per Month'!CB$6:CB$7)</f>
        <v>946.25</v>
      </c>
      <c r="CC25" s="20">
        <f>'Total Sunday-Holiday Boardings'!CC25/SUM('Service Days per Month'!CC$6:CC$7)</f>
        <v>1038.4000000000001</v>
      </c>
      <c r="CD25" s="18">
        <f>'Total Sunday-Holiday Boardings'!CD25/SUM('Service Days per Month'!CD$6:CD$7)</f>
        <v>678</v>
      </c>
      <c r="CE25" s="18">
        <f>'Total Sunday-Holiday Boardings'!CE25/SUM('Service Days per Month'!CE$6:CE$7)</f>
        <v>781.2</v>
      </c>
      <c r="CF25" s="18">
        <f>'Total Sunday-Holiday Boardings'!CF25/SUM('Service Days per Month'!CF$6:CF$7)</f>
        <v>972</v>
      </c>
      <c r="CG25" s="18">
        <f>'Total Sunday-Holiday Boardings'!CG25/SUM('Service Days per Month'!CG$6:CG$7)</f>
        <v>561.5</v>
      </c>
      <c r="CH25" s="18">
        <f>'Total Sunday-Holiday Boardings'!CH25/SUM('Service Days per Month'!CH$6:CH$7)</f>
        <v>582</v>
      </c>
      <c r="CI25" s="18">
        <f>'Total Sunday-Holiday Boardings'!CI25/SUM('Service Days per Month'!CI$6:CI$7)</f>
        <v>1014.2857142857143</v>
      </c>
      <c r="CJ25" s="18">
        <f>'Total Sunday-Holiday Boardings'!CJ25/SUM('Service Days per Month'!CJ$6:CJ$7)</f>
        <v>665.6</v>
      </c>
      <c r="CK25" s="18">
        <f>'Total Sunday-Holiday Boardings'!CK25/SUM('Service Days per Month'!CK$6:CK$7)</f>
        <v>582.5</v>
      </c>
      <c r="CL25" s="18">
        <f>'Total Sunday-Holiday Boardings'!CL25/SUM('Service Days per Month'!CL$6:CL$7)</f>
        <v>1361.75</v>
      </c>
      <c r="CM25" s="18">
        <f>'Total Sunday-Holiday Boardings'!CM25/SUM('Service Days per Month'!CM$6:CM$7)</f>
        <v>1084.8333333333333</v>
      </c>
      <c r="CN25" s="21">
        <f>'Total Sunday-Holiday Boardings'!CN25/SUM('Service Days per Month'!CN$6:CN$7)</f>
        <v>1290.5</v>
      </c>
      <c r="CO25" s="17">
        <f>'Total Sunday-Holiday Boardings'!CO25/SUM('Service Days per Month'!CO$6:CO$7)</f>
        <v>840.16666666666663</v>
      </c>
      <c r="CP25" s="18">
        <f>'Total Sunday-Holiday Boardings'!CP25/SUM('Service Days per Month'!CP$6:CP$7)</f>
        <v>700.75</v>
      </c>
      <c r="CQ25" s="18">
        <f>'Total Sunday-Holiday Boardings'!CQ25/SUM('Service Days per Month'!CQ$6:CQ$7)</f>
        <v>579.6</v>
      </c>
      <c r="CR25" s="18">
        <f>'Total Sunday-Holiday Boardings'!CR25/SUM('Service Days per Month'!CR$6:CR$7)</f>
        <v>691.8</v>
      </c>
      <c r="CS25" s="18">
        <f>'Total Sunday-Holiday Boardings'!CS25/SUM('Service Days per Month'!CS$6:CS$7)</f>
        <v>640.42857142857144</v>
      </c>
      <c r="CT25" s="18">
        <f>'Total Sunday-Holiday Boardings'!CT25/SUM('Service Days per Month'!CT$6:CT$7)</f>
        <v>514.5</v>
      </c>
      <c r="CU25" s="18">
        <f>'Total Sunday-Holiday Boardings'!CU25/SUM('Service Days per Month'!CU$6:CU$7)</f>
        <v>594.85714285714289</v>
      </c>
      <c r="CV25" s="18">
        <f>'Total Sunday-Holiday Boardings'!CV25/SUM('Service Days per Month'!CV$6:CV$7)</f>
        <v>630.6</v>
      </c>
      <c r="CW25" s="18">
        <f>'Total Sunday-Holiday Boardings'!CW25/SUM('Service Days per Month'!CW$6:CW$7)</f>
        <v>678.5</v>
      </c>
      <c r="CX25" s="18">
        <f>'Total Sunday-Holiday Boardings'!CX25/SUM('Service Days per Month'!CX$6:CX$7)</f>
        <v>2235.1999999999998</v>
      </c>
      <c r="CY25" s="18">
        <f>'Total Sunday-Holiday Boardings'!CY25/SUM('Service Days per Month'!CY$6:CY$7)</f>
        <v>1129.4000000000001</v>
      </c>
      <c r="CZ25" s="19">
        <f>'Total Sunday-Holiday Boardings'!CZ25/SUM('Service Days per Month'!CZ$6:CZ$7)</f>
        <v>760</v>
      </c>
      <c r="DA25" s="17">
        <f>'Total Sunday-Holiday Boardings'!DA25/SUM('Service Days per Month'!DA$6:DA$7)</f>
        <v>802.16666666666663</v>
      </c>
      <c r="DB25" s="18">
        <f>'Total Sunday-Holiday Boardings'!DB25/SUM('Service Days per Month'!DB$6:DB$7)</f>
        <v>791</v>
      </c>
      <c r="DC25" s="18">
        <f>'Total Sunday-Holiday Boardings'!DC25/SUM('Service Days per Month'!DC$6:DC$7)</f>
        <v>668.6</v>
      </c>
      <c r="DD25" s="18">
        <f>'Total Sunday-Holiday Boardings'!DD25/SUM('Service Days per Month'!DD$6:DD$7)</f>
        <v>399.4</v>
      </c>
      <c r="DE25" s="18">
        <f>'Total Sunday-Holiday Boardings'!DE25/SUM('Service Days per Month'!DE$6:DE$7)</f>
        <v>687.85714285714289</v>
      </c>
      <c r="DF25" s="18">
        <f>'Total Sunday-Holiday Boardings'!DF25/SUM('Service Days per Month'!DF$6:DF$7)</f>
        <v>455</v>
      </c>
      <c r="DG25" s="18">
        <f>'Total Sunday-Holiday Boardings'!DG25/SUM('Service Days per Month'!DG$6:DG$7)</f>
        <v>366</v>
      </c>
      <c r="DH25" s="18">
        <f>'Total Sunday-Holiday Boardings'!DH25/SUM('Service Days per Month'!DH$6:DH$7)</f>
        <v>385.8</v>
      </c>
      <c r="DI25" s="18">
        <f>'Total Sunday-Holiday Boardings'!DI25/SUM('Service Days per Month'!DI$6:DI$7)</f>
        <v>366.25</v>
      </c>
      <c r="DJ25" s="18">
        <f>'Total Sunday-Holiday Boardings'!DJ25/SUM('Service Days per Month'!DJ$6:DJ$7)</f>
        <v>450</v>
      </c>
      <c r="DK25" s="18">
        <f>'Total Sunday-Holiday Boardings'!DK25/SUM('Service Days per Month'!DK$6:DK$7)</f>
        <v>846.8</v>
      </c>
      <c r="DL25" s="19">
        <f>'Total Sunday-Holiday Boardings'!DL25/SUM('Service Days per Month'!DL$6:DL$7)</f>
        <v>688.75</v>
      </c>
      <c r="DM25" s="17">
        <f>'Total Sunday-Holiday Boardings'!DM25/('Service Days per Month'!DM$6+'Service Days per Month'!DM$7)</f>
        <v>667.33333333333337</v>
      </c>
      <c r="DN25" s="18">
        <f>'Total Sunday-Holiday Boardings'!DN25/('Service Days per Month'!DN$6+'Service Days per Month'!DN$7)</f>
        <v>570</v>
      </c>
      <c r="DO25" s="18">
        <f>'Total Sunday-Holiday Boardings'!DO25/('Service Days per Month'!DO$6+'Service Days per Month'!DO$7)</f>
        <v>473.5</v>
      </c>
      <c r="DP25" s="18">
        <f>'Total Sunday-Holiday Boardings'!DP25/('Service Days per Month'!DP$6+'Service Days per Month'!DP$7)</f>
        <v>341.25</v>
      </c>
      <c r="DQ25" s="18">
        <f>'Total Sunday-Holiday Boardings'!DQ25/('Service Days per Month'!DQ$6+'Service Days per Month'!DQ$7)</f>
        <v>370.2</v>
      </c>
      <c r="DR25" s="18">
        <f>'Total Sunday-Holiday Boardings'!DR25/('Service Days per Month'!DR$6+'Service Days per Month'!DR$7)</f>
        <v>295.5</v>
      </c>
      <c r="DS25" s="18">
        <f>'Total Sunday-Holiday Boardings'!DS25/('Service Days per Month'!DS$6+'Service Days per Month'!DS$7)</f>
        <v>510.4</v>
      </c>
      <c r="DT25" s="18">
        <f>'Total Sunday-Holiday Boardings'!DT25/('Service Days per Month'!DT$6+'Service Days per Month'!DT$7)</f>
        <v>361</v>
      </c>
      <c r="DU25" s="18">
        <f>'Total Sunday-Holiday Boardings'!DU25/('Service Days per Month'!DU$6+'Service Days per Month'!DU$7)</f>
        <v>404.6</v>
      </c>
      <c r="DV25" s="18">
        <f>'Total Sunday-Holiday Boardings'!DV25/('Service Days per Month'!DV$6+'Service Days per Month'!DV$7)</f>
        <v>852.75</v>
      </c>
      <c r="DW25" s="18">
        <f>'Total Sunday-Holiday Boardings'!DW25/('Service Days per Month'!DW$6+'Service Days per Month'!DW$7)</f>
        <v>941.6</v>
      </c>
      <c r="DX25" s="18">
        <f>'Total Sunday-Holiday Boardings'!DX25/('Service Days per Month'!DX$6+'Service Days per Month'!DX$7)</f>
        <v>669.4</v>
      </c>
      <c r="DY25" s="17">
        <f>'Total Sunday-Holiday Boardings'!DY25/('Service Days per Month'!DY$6+'Service Days per Month'!DY$7)</f>
        <v>550.6</v>
      </c>
      <c r="DZ25" s="18">
        <f>'Total Sunday-Holiday Boardings'!DZ25/('Service Days per Month'!DZ$6+'Service Days per Month'!DZ$7)</f>
        <v>995</v>
      </c>
      <c r="EA25" s="18">
        <f>'Total Sunday-Holiday Boardings'!EA25/('Service Days per Month'!EA$6+'Service Days per Month'!EA$7)</f>
        <v>718.5</v>
      </c>
      <c r="EB25" s="18">
        <f>'Total Sunday-Holiday Boardings'!EB25/('Service Days per Month'!EB$6+'Service Days per Month'!EB$7)</f>
        <v>373.5</v>
      </c>
      <c r="EC25" s="18">
        <f>'Total Sunday-Holiday Boardings'!EC25/('Service Days per Month'!EC$6+'Service Days per Month'!EC$7)</f>
        <v>516</v>
      </c>
      <c r="ED25" s="18">
        <f>'Total Sunday-Holiday Boardings'!ED25/('Service Days per Month'!ED$6+'Service Days per Month'!ED$7)</f>
        <v>430.66666666666669</v>
      </c>
      <c r="EE25" s="18">
        <f>'Total Sunday-Holiday Boardings'!EE25/('Service Days per Month'!EE$6+'Service Days per Month'!EE$7)</f>
        <v>646</v>
      </c>
      <c r="EF25" s="18">
        <f>'Total Sunday-Holiday Boardings'!EF25/('Service Days per Month'!EF$6+'Service Days per Month'!EF$7)</f>
        <v>501.5</v>
      </c>
      <c r="EG25" s="18">
        <f>'Total Sunday-Holiday Boardings'!EG25/('Service Days per Month'!EG$6+'Service Days per Month'!EG$7)</f>
        <v>220.8</v>
      </c>
      <c r="EH25" s="18">
        <f>'Total Sunday-Holiday Boardings'!EH25/('Service Days per Month'!EH$6+'Service Days per Month'!EH$7)</f>
        <v>99.75</v>
      </c>
      <c r="EI25" s="18">
        <f>'Total Sunday-Holiday Boardings'!EI25/('Service Days per Month'!EI$6+'Service Days per Month'!EI$7)</f>
        <v>114.5</v>
      </c>
      <c r="EJ25" s="18">
        <f>'Total Sunday-Holiday Boardings'!EJ25/('Service Days per Month'!EJ$6+'Service Days per Month'!EJ$7)</f>
        <v>130</v>
      </c>
      <c r="EK25" s="17">
        <f>'Total Sunday-Holiday Boardings'!EK25/('Service Days per Month'!EK$6+'Service Days per Month'!EK$7)</f>
        <v>146</v>
      </c>
      <c r="EL25" s="18">
        <f>'Total Sunday-Holiday Boardings'!EL25/('Service Days per Month'!EL$6+'Service Days per Month'!EL$7)</f>
        <v>177.4</v>
      </c>
      <c r="EM25" s="18">
        <f>'Total Sunday-Holiday Boardings'!EM25/('Service Days per Month'!EM$6+'Service Days per Month'!EM$7)</f>
        <v>146.80000000000001</v>
      </c>
      <c r="EN25" s="18">
        <f>'Total Sunday-Holiday Boardings'!EN25/('Service Days per Month'!EN$6+'Service Days per Month'!EN$7)</f>
        <v>79.25</v>
      </c>
      <c r="EO25" s="18">
        <f>'Total Sunday-Holiday Boardings'!EO25/('Service Days per Month'!EO$6+'Service Days per Month'!EO$7)</f>
        <v>392.83333333333331</v>
      </c>
      <c r="EP25" s="18">
        <f>'Total Sunday-Holiday Boardings'!EP25/('Service Days per Month'!EP$6+'Service Days per Month'!EP$7)</f>
        <v>99.6</v>
      </c>
      <c r="EQ25" s="18">
        <f>'Total Sunday-Holiday Boardings'!EQ25/('Service Days per Month'!EQ$6+'Service Days per Month'!EQ$7)</f>
        <v>42</v>
      </c>
      <c r="ER25" s="18">
        <f>'Total Sunday-Holiday Boardings'!ER25/('Service Days per Month'!ER$6+'Service Days per Month'!ER$7)</f>
        <v>61.5</v>
      </c>
      <c r="ES25" s="18">
        <f>'Total Sunday-Holiday Boardings'!ES25/('Service Days per Month'!ES$6+'Service Days per Month'!ES$7)</f>
        <v>80.5</v>
      </c>
      <c r="ET25" s="18">
        <f>'Total Sunday-Holiday Boardings'!ET25/('Service Days per Month'!ET$6+'Service Days per Month'!ET$7)</f>
        <v>231.75</v>
      </c>
      <c r="EU25" s="18">
        <f>'Total Sunday-Holiday Boardings'!EU25/('Service Days per Month'!EU$6+'Service Days per Month'!EU$7)</f>
        <v>310.83333333333331</v>
      </c>
      <c r="EV25" s="18">
        <f>'Total Sunday-Holiday Boardings'!EV25/('Service Days per Month'!EV$6+'Service Days per Month'!EV$7)</f>
        <v>543.25</v>
      </c>
      <c r="EW25" s="17">
        <f>'Total Sunday-Holiday Boardings'!EW25/('Service Days per Month'!EW$6+'Service Days per Month'!EW$7)</f>
        <v>502.6</v>
      </c>
      <c r="EX25" s="18">
        <f>'Total Sunday-Holiday Boardings'!EX25/('Service Days per Month'!EX$6+'Service Days per Month'!EX$7)</f>
        <v>407</v>
      </c>
      <c r="EY25" s="18">
        <f>'Total Sunday-Holiday Boardings'!EY25/('Service Days per Month'!EY$6+'Service Days per Month'!EY$7)</f>
        <v>354.8</v>
      </c>
      <c r="EZ25" s="18">
        <f>'Total Sunday-Holiday Boardings'!EZ25/('Service Days per Month'!EZ$6+'Service Days per Month'!EZ$7)</f>
        <v>330.6</v>
      </c>
      <c r="FA25" s="18">
        <f>'Total Sunday-Holiday Boardings'!FA25/('Service Days per Month'!FA$6+'Service Days per Month'!FA$7)</f>
        <v>245.2</v>
      </c>
      <c r="FB25" s="18">
        <f>'Total Sunday-Holiday Boardings'!FB25/('Service Days per Month'!FB$6+'Service Days per Month'!FB$7)</f>
        <v>382.4</v>
      </c>
      <c r="FC25" s="18">
        <f>'Total Sunday-Holiday Boardings'!FC25/('Service Days per Month'!FC$6+'Service Days per Month'!FC$7)</f>
        <v>259.60000000000002</v>
      </c>
      <c r="FD25" s="18">
        <f>'Total Sunday-Holiday Boardings'!FD25/('Service Days per Month'!FD$6+'Service Days per Month'!FD$7)</f>
        <v>406.25</v>
      </c>
      <c r="FE25" s="18">
        <f>'Total Sunday-Holiday Boardings'!FE25/('Service Days per Month'!FE$6+'Service Days per Month'!FE$7)</f>
        <v>524.25</v>
      </c>
      <c r="FF25" s="18">
        <f>'Total Sunday-Holiday Boardings'!FF25/('Service Days per Month'!FF$6+'Service Days per Month'!FF$7)</f>
        <v>963</v>
      </c>
      <c r="FG25" s="18">
        <f>'Total Sunday-Holiday Boardings'!FG25/('Service Days per Month'!FG$6+'Service Days per Month'!FG$7)</f>
        <v>226.66666666666666</v>
      </c>
      <c r="FH25" s="18">
        <f>'Total Sunday-Holiday Boardings'!FH25/('Service Days per Month'!FH$6+'Service Days per Month'!FH$7)</f>
        <v>0</v>
      </c>
      <c r="FI25" s="17">
        <v>375.5</v>
      </c>
      <c r="FJ25" s="18">
        <v>402.75</v>
      </c>
      <c r="FK25" s="18">
        <v>419.8</v>
      </c>
      <c r="FL25" s="18">
        <v>350.6</v>
      </c>
      <c r="FM25" s="18">
        <v>329.4</v>
      </c>
      <c r="FN25" s="18">
        <v>352.6</v>
      </c>
      <c r="FO25" s="18">
        <v>366.8</v>
      </c>
      <c r="FP25" s="18">
        <v>696</v>
      </c>
      <c r="FQ25" s="18">
        <v>632.75</v>
      </c>
      <c r="FR25" s="18">
        <f>'Total Sunday-Holiday Boardings'!FR25/5</f>
        <v>640.6</v>
      </c>
      <c r="FS25" s="18">
        <f>'Total Sunday-Holiday Boardings'!FS25/5</f>
        <v>714.6</v>
      </c>
      <c r="FT25" s="21">
        <f>'Total Sunday-Holiday Boardings'!FT25/4</f>
        <v>854.25</v>
      </c>
      <c r="FU25" s="18">
        <f>'Total Sunday-Holiday Boardings'!FU25/5</f>
        <v>720.8</v>
      </c>
      <c r="FV25" s="18">
        <f>'Total Sunday-Holiday Boardings'!FV25/4</f>
        <v>665</v>
      </c>
      <c r="FW25" s="18">
        <f>'Total Sunday-Holiday Boardings'!FW25/4</f>
        <v>724.5</v>
      </c>
      <c r="FX25" s="18">
        <f>'Total Sunday-Holiday Boardings'!FX25/5</f>
        <v>452.6</v>
      </c>
      <c r="FY25" s="18">
        <f>'Total Sunday-Holiday Boardings'!FY25/4</f>
        <v>406.5</v>
      </c>
      <c r="FZ25" s="18">
        <f>'Total Sunday-Holiday Boardings'!FZ25/5</f>
        <v>549.4</v>
      </c>
      <c r="GA25" s="18">
        <f>'Total Sunday-Holiday Boardings'!GA25/4</f>
        <v>542.25</v>
      </c>
      <c r="GB25" s="18">
        <f>'Total Sunday-Holiday Boardings'!GB25/4</f>
        <v>275.25</v>
      </c>
      <c r="GC25" s="18">
        <f>'Total Sunday-Holiday Boardings'!GC25/5</f>
        <v>559.4</v>
      </c>
      <c r="GD25" s="18">
        <f>'Total Sunday-Holiday Boardings'!GD25/4</f>
        <v>864.75</v>
      </c>
      <c r="GE25" s="18">
        <f>'Total Sunday-Holiday Boardings'!GE25/4</f>
        <v>996</v>
      </c>
      <c r="GF25" s="18">
        <f>'Total Sunday-Holiday Boardings'!GF25/5</f>
        <v>723.4</v>
      </c>
      <c r="GG25" s="18">
        <f>'Total Sunday-Holiday Boardings'!GG25/4</f>
        <v>461.5</v>
      </c>
      <c r="GH25" s="18">
        <f>'Total Sunday-Holiday Boardings'!GH25/4</f>
        <v>373.25</v>
      </c>
      <c r="GI25" s="18">
        <f>'Total Sunday-Holiday Boardings'!GI25/5</f>
        <v>950.4</v>
      </c>
      <c r="GJ25" s="18">
        <f>'Total Sunday-Holiday Boardings'!GJ25/4</f>
        <v>486.75</v>
      </c>
      <c r="GK25" s="18">
        <f>'Total Sunday-Holiday Boardings'!GK25/4</f>
        <v>460</v>
      </c>
      <c r="GL25" s="18">
        <f>'Total Sunday-Holiday Boardings'!GL25/5</f>
        <v>567.6</v>
      </c>
    </row>
    <row r="26" spans="1:194" x14ac:dyDescent="0.3">
      <c r="A26" s="3" t="s">
        <v>39</v>
      </c>
      <c r="B26" s="17"/>
      <c r="C26" s="18">
        <f>'Total Sunday-Holiday Boardings'!C26/SUM('Service Days per Month'!C$6:C$7)</f>
        <v>698.4</v>
      </c>
      <c r="D26" s="18">
        <f>'Total Sunday-Holiday Boardings'!D26/SUM('Service Days per Month'!D$6:D$7)</f>
        <v>1179.75</v>
      </c>
      <c r="E26" s="18">
        <f>'Total Sunday-Holiday Boardings'!E26/SUM('Service Days per Month'!E$6:E$7)</f>
        <v>455.2</v>
      </c>
      <c r="F26" s="18">
        <f>'Total Sunday-Holiday Boardings'!F26/SUM('Service Days per Month'!F$6:F$7)</f>
        <v>777.8</v>
      </c>
      <c r="G26" s="18">
        <f>'Total Sunday-Holiday Boardings'!G26/SUM('Service Days per Month'!G$6:G$7)</f>
        <v>951</v>
      </c>
      <c r="H26" s="19">
        <f>'Total Sunday-Holiday Boardings'!H26/SUM('Service Days per Month'!H$6:H$7)</f>
        <v>795.75</v>
      </c>
      <c r="I26" s="17">
        <f>'Total Sunday-Holiday Boardings'!I26/SUM('Service Days per Month'!I$6:I$7)</f>
        <v>499</v>
      </c>
      <c r="J26" s="18">
        <f>'Total Sunday-Holiday Boardings'!J26/SUM('Service Days per Month'!J$6:J$7)</f>
        <v>583</v>
      </c>
      <c r="K26" s="18">
        <f>'Total Sunday-Holiday Boardings'!K26/SUM('Service Days per Month'!K$6:K$7)</f>
        <v>888.6</v>
      </c>
      <c r="L26" s="18">
        <f>'Total Sunday-Holiday Boardings'!L26/SUM('Service Days per Month'!L$6:L$7)</f>
        <v>436.5</v>
      </c>
      <c r="M26" s="18">
        <f>'Total Sunday-Holiday Boardings'!M26/SUM('Service Days per Month'!M$6:M$7)</f>
        <v>962.66666666666663</v>
      </c>
      <c r="N26" s="18">
        <f>'Total Sunday-Holiday Boardings'!N26/SUM('Service Days per Month'!N$6:N$7)</f>
        <v>339.8</v>
      </c>
      <c r="O26" s="79">
        <f>'Total Sunday-Holiday Boardings'!O26/SUM('Service Days per Month'!O$6:O$7)</f>
        <v>361.16666666666669</v>
      </c>
      <c r="P26" s="79">
        <f>'Total Sunday-Holiday Boardings'!P26/SUM('Service Days per Month'!P$6:P$7)</f>
        <v>454.5</v>
      </c>
      <c r="Q26" s="79">
        <f>'Total Sunday-Holiday Boardings'!Q26/SUM('Service Days per Month'!Q$6:Q$7)</f>
        <v>623.75</v>
      </c>
      <c r="R26" s="79">
        <f>'Total Sunday-Holiday Boardings'!R26/SUM('Service Days per Month'!R$6:R$7)</f>
        <v>977.5</v>
      </c>
      <c r="S26" s="79">
        <f>'Total Sunday-Holiday Boardings'!S26/SUM('Service Days per Month'!S$6:S$7)</f>
        <v>787</v>
      </c>
      <c r="T26" s="80">
        <f>'Total Sunday-Holiday Boardings'!T26/SUM('Service Days per Month'!T$6:T$7)</f>
        <v>744.75</v>
      </c>
      <c r="U26" s="81">
        <f>'Total Sunday-Holiday Boardings'!U26/SUM('Service Days per Month'!U$6:U$7)</f>
        <v>529.20000000000005</v>
      </c>
      <c r="V26" s="79">
        <f>'Total Sunday-Holiday Boardings'!V26/SUM('Service Days per Month'!V$6:V$7)</f>
        <v>513.20000000000005</v>
      </c>
      <c r="W26" s="79">
        <f>'Total Sunday-Holiday Boardings'!W26/SUM('Service Days per Month'!W$6:W$7)</f>
        <v>795.6</v>
      </c>
      <c r="X26" s="79">
        <f>'Total Sunday-Holiday Boardings'!X26/SUM('Service Days per Month'!X$6:X$7)</f>
        <v>312.8</v>
      </c>
      <c r="Y26" s="79">
        <f>'Total Sunday-Holiday Boardings'!Y26/SUM('Service Days per Month'!Y$6:Y$7)</f>
        <v>505.85714285714283</v>
      </c>
      <c r="Z26" s="79">
        <f>'Total Sunday-Holiday Boardings'!Z26/SUM('Service Days per Month'!Z$6:Z$7)</f>
        <v>235</v>
      </c>
      <c r="AA26" s="18">
        <f>'Total Sunday-Holiday Boardings'!AA26/SUM('Service Days per Month'!AA$6:AA$7)</f>
        <v>377.66666666666669</v>
      </c>
      <c r="AB26" s="18">
        <f>'Total Sunday-Holiday Boardings'!AB26/SUM('Service Days per Month'!AB$6:AB$7)</f>
        <v>353.4</v>
      </c>
      <c r="AC26" s="18">
        <f>'Total Sunday-Holiday Boardings'!AC26/SUM('Service Days per Month'!AC$6:AC$7)</f>
        <v>452.25</v>
      </c>
      <c r="AD26" s="18">
        <f>'Total Sunday-Holiday Boardings'!AD26/SUM('Service Days per Month'!AD$6:AD$7)</f>
        <v>562</v>
      </c>
      <c r="AE26" s="18">
        <f>'Total Sunday-Holiday Boardings'!AE26/SUM('Service Days per Month'!AE$6:AE$7)</f>
        <v>698.5</v>
      </c>
      <c r="AF26" s="19">
        <f>'Total Sunday-Holiday Boardings'!AF26/SUM('Service Days per Month'!AF$6:AF$7)</f>
        <v>845.5</v>
      </c>
      <c r="AG26" s="17">
        <f>'Total Sunday-Holiday Boardings'!AG26/SUM('Service Days per Month'!AG$6:AG$7)</f>
        <v>828.5</v>
      </c>
      <c r="AH26" s="18">
        <f>'Total Sunday-Holiday Boardings'!AH26/SUM('Service Days per Month'!AH$6:AH$7)</f>
        <v>751.75</v>
      </c>
      <c r="AI26" s="18">
        <f>'Total Sunday-Holiday Boardings'!AI26/SUM('Service Days per Month'!AI$6:AI$7)</f>
        <v>676.2</v>
      </c>
      <c r="AJ26" s="18">
        <f>'Total Sunday-Holiday Boardings'!AJ26/SUM('Service Days per Month'!AJ$6:AJ$7)</f>
        <v>462.6</v>
      </c>
      <c r="AK26" s="18">
        <f>'Total Sunday-Holiday Boardings'!AK26/SUM('Service Days per Month'!AK$6:AK$7)</f>
        <v>276.28571428571428</v>
      </c>
      <c r="AL26" s="18">
        <f>'Total Sunday-Holiday Boardings'!AL26/SUM('Service Days per Month'!AL$6:AL$7)</f>
        <v>233.16666666666666</v>
      </c>
      <c r="AM26" s="18">
        <f>'Total Sunday-Holiday Boardings'!AM26/SUM('Service Days per Month'!AM$6:AM$7)</f>
        <v>464.85714285714283</v>
      </c>
      <c r="AN26" s="18">
        <f>'Total Sunday-Holiday Boardings'!AN26/SUM('Service Days per Month'!AN$6:AN$7)</f>
        <v>542.6</v>
      </c>
      <c r="AO26" s="18">
        <f>'Total Sunday-Holiday Boardings'!AO26/SUM('Service Days per Month'!AO$6:AO$7)</f>
        <v>414</v>
      </c>
      <c r="AP26" s="18">
        <f>'Total Sunday-Holiday Boardings'!AP26/SUM('Service Days per Month'!AP$6:AP$7)</f>
        <v>714.8</v>
      </c>
      <c r="AQ26" s="18">
        <f>'Total Sunday-Holiday Boardings'!AQ26/SUM('Service Days per Month'!AQ$6:AQ$7)</f>
        <v>750.2</v>
      </c>
      <c r="AR26" s="19">
        <f>'Total Sunday-Holiday Boardings'!AR26/SUM('Service Days per Month'!AR$6:AR$7)</f>
        <v>659.5</v>
      </c>
      <c r="AS26" s="17">
        <f>'Total Sunday-Holiday Boardings'!AS26/SUM('Service Days per Month'!AS$6:AS$7)</f>
        <v>829.33333333333337</v>
      </c>
      <c r="AT26" s="18">
        <f>'Total Sunday-Holiday Boardings'!AT26/SUM('Service Days per Month'!AT$6:AT$7)</f>
        <v>511.75</v>
      </c>
      <c r="AU26" s="18">
        <f>'Total Sunday-Holiday Boardings'!AU26/SUM('Service Days per Month'!AU$6:AU$7)</f>
        <v>537</v>
      </c>
      <c r="AV26" s="18">
        <f>'Total Sunday-Holiday Boardings'!AV26/SUM('Service Days per Month'!AV$6:AV$7)</f>
        <v>439</v>
      </c>
      <c r="AW26" s="18">
        <f>'Total Sunday-Holiday Boardings'!AW26/SUM('Service Days per Month'!AW$6:AW$7)</f>
        <v>272.85714285714283</v>
      </c>
      <c r="AX26" s="18">
        <f>'Total Sunday-Holiday Boardings'!AX26/SUM('Service Days per Month'!AX$6:AX$7)</f>
        <v>237.14285714285714</v>
      </c>
      <c r="AY26" s="18">
        <f>'Total Sunday-Holiday Boardings'!AY26/SUM('Service Days per Month'!AY$6:AY$7)</f>
        <v>359.83333333333331</v>
      </c>
      <c r="AZ26" s="18">
        <f>'Total Sunday-Holiday Boardings'!AZ26/SUM('Service Days per Month'!AZ$6:AZ$7)</f>
        <v>313.39999999999998</v>
      </c>
      <c r="BA26" s="18">
        <f>'Total Sunday-Holiday Boardings'!BA26/SUM('Service Days per Month'!BA$6:BA$7)</f>
        <v>348.6</v>
      </c>
      <c r="BB26" s="18">
        <f>'Total Sunday-Holiday Boardings'!BB26/SUM('Service Days per Month'!BB$6:BB$7)</f>
        <v>744</v>
      </c>
      <c r="BC26" s="18">
        <f>'Total Sunday-Holiday Boardings'!BC26/SUM('Service Days per Month'!BC$6:BC$7)</f>
        <v>1133.5999999999999</v>
      </c>
      <c r="BD26" s="19">
        <f>'Total Sunday-Holiday Boardings'!BD26/SUM('Service Days per Month'!BD$6:BD$7)</f>
        <v>565.79999999999995</v>
      </c>
      <c r="BE26" s="17">
        <f>'Total Sunday-Holiday Boardings'!BE26/SUM('Service Days per Month'!BE$6:BE$7)</f>
        <v>556</v>
      </c>
      <c r="BF26" s="18">
        <f>'Total Sunday-Holiday Boardings'!BF26/SUM('Service Days per Month'!BF$6:BF$7)</f>
        <v>349.5</v>
      </c>
      <c r="BG26" s="18">
        <f>'Total Sunday-Holiday Boardings'!BG26/SUM('Service Days per Month'!BG$6:BG$7)</f>
        <v>533.33333333333337</v>
      </c>
      <c r="BH26" s="18">
        <f>'Total Sunday-Holiday Boardings'!BH26/SUM('Service Days per Month'!BH$6:BH$7)</f>
        <v>315.5</v>
      </c>
      <c r="BI26" s="18">
        <f>'Total Sunday-Holiday Boardings'!BI26/SUM('Service Days per Month'!BI$6:BI$7)</f>
        <v>227.22467594815171</v>
      </c>
      <c r="BJ26" s="18">
        <f>'Total Sunday-Holiday Boardings'!BJ26/SUM('Service Days per Month'!BJ$6:BJ$7)</f>
        <v>264.57142857142856</v>
      </c>
      <c r="BK26" s="18">
        <f>'Total Sunday-Holiday Boardings'!BK26/SUM('Service Days per Month'!BK$6:BK$7)</f>
        <v>373</v>
      </c>
      <c r="BL26" s="18">
        <f>'Total Sunday-Holiday Boardings'!BL26/SUM('Service Days per Month'!BL$6:BL$7)</f>
        <v>541.4</v>
      </c>
      <c r="BM26" s="18">
        <f>'Total Sunday-Holiday Boardings'!BM26/SUM('Service Days per Month'!BM$6:BM$7)</f>
        <v>541</v>
      </c>
      <c r="BN26" s="18">
        <f>'Total Sunday-Holiday Boardings'!BN26/SUM('Service Days per Month'!BN$6:BN$7)</f>
        <v>623</v>
      </c>
      <c r="BO26" s="18">
        <f>'Total Sunday-Holiday Boardings'!BO26/SUM('Service Days per Month'!BO$6:BO$7)</f>
        <v>548.79999999999995</v>
      </c>
      <c r="BP26" s="19">
        <f>'Total Sunday-Holiday Boardings'!BP26/SUM('Service Days per Month'!BP$6:BP$7)</f>
        <v>990.2</v>
      </c>
      <c r="BQ26" s="17">
        <f>'Total Sunday-Holiday Boardings'!BQ26/SUM('Service Days per Month'!BQ$6:BQ$7)</f>
        <v>378.6</v>
      </c>
      <c r="BR26" s="18">
        <f>'Total Sunday-Holiday Boardings'!BR26/SUM('Service Days per Month'!BR$6:BR$7)</f>
        <v>587.4</v>
      </c>
      <c r="BS26" s="18">
        <f>'Total Sunday-Holiday Boardings'!BS26/SUM('Service Days per Month'!BS$6:BS$7)</f>
        <v>471</v>
      </c>
      <c r="BT26" s="18">
        <f>'Total Sunday-Holiday Boardings'!BT26/SUM('Service Days per Month'!BT$6:BT$7)</f>
        <v>302.75</v>
      </c>
      <c r="BU26" s="18">
        <f>'Total Sunday-Holiday Boardings'!BU26/SUM('Service Days per Month'!BU$6:BU$7)</f>
        <v>309.75</v>
      </c>
      <c r="BV26" s="18">
        <f>'Total Sunday-Holiday Boardings'!BV26/SUM('Service Days per Month'!BV$6:BV$7)</f>
        <v>263.5</v>
      </c>
      <c r="BW26" s="18">
        <f>'Total Sunday-Holiday Boardings'!BW26/SUM('Service Days per Month'!BW$6:BW$7)</f>
        <v>725.66666666666663</v>
      </c>
      <c r="BX26" s="18">
        <f>'Total Sunday-Holiday Boardings'!BX26/SUM('Service Days per Month'!BX$6:BX$7)</f>
        <v>599.79999999999995</v>
      </c>
      <c r="BY26" s="18">
        <f>'Total Sunday-Holiday Boardings'!BY26/SUM('Service Days per Month'!BY$6:BY$7)</f>
        <v>373.2</v>
      </c>
      <c r="BZ26" s="18">
        <f>'Total Sunday-Holiday Boardings'!BZ26/SUM('Service Days per Month'!BZ$6:BZ$7)</f>
        <v>635.5</v>
      </c>
      <c r="CA26" s="18">
        <f>'Total Sunday-Holiday Boardings'!CA26/SUM('Service Days per Month'!CA$6:CA$7)</f>
        <v>828</v>
      </c>
      <c r="CB26" s="19">
        <f>'Total Sunday-Holiday Boardings'!CB26/SUM('Service Days per Month'!CB$6:CB$7)</f>
        <v>678.75</v>
      </c>
      <c r="CC26" s="20">
        <f>'Total Sunday-Holiday Boardings'!CC26/SUM('Service Days per Month'!CC$6:CC$7)</f>
        <v>596.79999999999995</v>
      </c>
      <c r="CD26" s="18">
        <f>'Total Sunday-Holiday Boardings'!CD26/SUM('Service Days per Month'!CD$6:CD$7)</f>
        <v>467.2</v>
      </c>
      <c r="CE26" s="18">
        <f>'Total Sunday-Holiday Boardings'!CE26/SUM('Service Days per Month'!CE$6:CE$7)</f>
        <v>479.6</v>
      </c>
      <c r="CF26" s="18">
        <f>'Total Sunday-Holiday Boardings'!CF26/SUM('Service Days per Month'!CF$6:CF$7)</f>
        <v>648.5</v>
      </c>
      <c r="CG26" s="18">
        <f>'Total Sunday-Holiday Boardings'!CG26/SUM('Service Days per Month'!CG$6:CG$7)</f>
        <v>313</v>
      </c>
      <c r="CH26" s="18">
        <f>'Total Sunday-Holiday Boardings'!CH26/SUM('Service Days per Month'!CH$6:CH$7)</f>
        <v>304.66666666666669</v>
      </c>
      <c r="CI26" s="18">
        <f>'Total Sunday-Holiday Boardings'!CI26/SUM('Service Days per Month'!CI$6:CI$7)</f>
        <v>517.14285714285711</v>
      </c>
      <c r="CJ26" s="18">
        <f>'Total Sunday-Holiday Boardings'!CJ26/SUM('Service Days per Month'!CJ$6:CJ$7)</f>
        <v>362</v>
      </c>
      <c r="CK26" s="18">
        <f>'Total Sunday-Holiday Boardings'!CK26/SUM('Service Days per Month'!CK$6:CK$7)</f>
        <v>234</v>
      </c>
      <c r="CL26" s="18">
        <f>'Total Sunday-Holiday Boardings'!CL26/SUM('Service Days per Month'!CL$6:CL$7)</f>
        <v>814.25</v>
      </c>
      <c r="CM26" s="18">
        <f>'Total Sunday-Holiday Boardings'!CM26/SUM('Service Days per Month'!CM$6:CM$7)</f>
        <v>681.33333333333337</v>
      </c>
      <c r="CN26" s="21">
        <f>'Total Sunday-Holiday Boardings'!CN26/SUM('Service Days per Month'!CN$6:CN$7)</f>
        <v>870</v>
      </c>
      <c r="CO26" s="17">
        <f>'Total Sunday-Holiday Boardings'!CO26/SUM('Service Days per Month'!CO$6:CO$7)</f>
        <v>542.33333333333337</v>
      </c>
      <c r="CP26" s="18">
        <f>'Total Sunday-Holiday Boardings'!CP26/SUM('Service Days per Month'!CP$6:CP$7)</f>
        <v>457.5</v>
      </c>
      <c r="CQ26" s="18">
        <f>'Total Sunday-Holiday Boardings'!CQ26/SUM('Service Days per Month'!CQ$6:CQ$7)</f>
        <v>463.4</v>
      </c>
      <c r="CR26" s="18">
        <f>'Total Sunday-Holiday Boardings'!CR26/SUM('Service Days per Month'!CR$6:CR$7)</f>
        <v>480.8</v>
      </c>
      <c r="CS26" s="18">
        <f>'Total Sunday-Holiday Boardings'!CS26/SUM('Service Days per Month'!CS$6:CS$7)</f>
        <v>455.42857142857144</v>
      </c>
      <c r="CT26" s="18">
        <f>'Total Sunday-Holiday Boardings'!CT26/SUM('Service Days per Month'!CT$6:CT$7)</f>
        <v>344.83333333333331</v>
      </c>
      <c r="CU26" s="18">
        <f>'Total Sunday-Holiday Boardings'!CU26/SUM('Service Days per Month'!CU$6:CU$7)</f>
        <v>333.28571428571428</v>
      </c>
      <c r="CV26" s="18">
        <f>'Total Sunday-Holiday Boardings'!CV26/SUM('Service Days per Month'!CV$6:CV$7)</f>
        <v>375</v>
      </c>
      <c r="CW26" s="18">
        <f>'Total Sunday-Holiday Boardings'!CW26/SUM('Service Days per Month'!CW$6:CW$7)</f>
        <v>383.25</v>
      </c>
      <c r="CX26" s="18">
        <f>'Total Sunday-Holiday Boardings'!CX26/SUM('Service Days per Month'!CX$6:CX$7)</f>
        <v>1412.2</v>
      </c>
      <c r="CY26" s="18">
        <f>'Total Sunday-Holiday Boardings'!CY26/SUM('Service Days per Month'!CY$6:CY$7)</f>
        <v>810.2</v>
      </c>
      <c r="CZ26" s="19">
        <f>'Total Sunday-Holiday Boardings'!CZ26/SUM('Service Days per Month'!CZ$6:CZ$7)</f>
        <v>619.75</v>
      </c>
      <c r="DA26" s="17">
        <f>'Total Sunday-Holiday Boardings'!DA26/SUM('Service Days per Month'!DA$6:DA$7)</f>
        <v>567.66666666666663</v>
      </c>
      <c r="DB26" s="18">
        <f>'Total Sunday-Holiday Boardings'!DB26/SUM('Service Days per Month'!DB$6:DB$7)</f>
        <v>532</v>
      </c>
      <c r="DC26" s="18">
        <f>'Total Sunday-Holiday Boardings'!DC26/SUM('Service Days per Month'!DC$6:DC$7)</f>
        <v>495.6</v>
      </c>
      <c r="DD26" s="18">
        <f>'Total Sunday-Holiday Boardings'!DD26/SUM('Service Days per Month'!DD$6:DD$7)</f>
        <v>348.6</v>
      </c>
      <c r="DE26" s="18">
        <f>'Total Sunday-Holiday Boardings'!DE26/SUM('Service Days per Month'!DE$6:DE$7)</f>
        <v>437.28571428571428</v>
      </c>
      <c r="DF26" s="18">
        <f>'Total Sunday-Holiday Boardings'!DF26/SUM('Service Days per Month'!DF$6:DF$7)</f>
        <v>371</v>
      </c>
      <c r="DG26" s="18">
        <f>'Total Sunday-Holiday Boardings'!DG26/SUM('Service Days per Month'!DG$6:DG$7)</f>
        <v>543.5</v>
      </c>
      <c r="DH26" s="18">
        <f>'Total Sunday-Holiday Boardings'!DH26/SUM('Service Days per Month'!DH$6:DH$7)</f>
        <v>589.6</v>
      </c>
      <c r="DI26" s="18">
        <f>'Total Sunday-Holiday Boardings'!DI26/SUM('Service Days per Month'!DI$6:DI$7)</f>
        <v>576.5</v>
      </c>
      <c r="DJ26" s="18">
        <f>'Total Sunday-Holiday Boardings'!DJ26/SUM('Service Days per Month'!DJ$6:DJ$7)</f>
        <v>613.6</v>
      </c>
      <c r="DK26" s="18">
        <f>'Total Sunday-Holiday Boardings'!DK26/SUM('Service Days per Month'!DK$6:DK$7)</f>
        <v>1254.2</v>
      </c>
      <c r="DL26" s="19">
        <f>'Total Sunday-Holiday Boardings'!DL26/SUM('Service Days per Month'!DL$6:DL$7)</f>
        <v>824</v>
      </c>
      <c r="DM26" s="17">
        <f>'Total Sunday-Holiday Boardings'!DM26/('Service Days per Month'!DM$6+'Service Days per Month'!DM$7)</f>
        <v>967.5</v>
      </c>
      <c r="DN26" s="18">
        <f>'Total Sunday-Holiday Boardings'!DN26/('Service Days per Month'!DN$6+'Service Days per Month'!DN$7)</f>
        <v>777.75</v>
      </c>
      <c r="DO26" s="18">
        <f>'Total Sunday-Holiday Boardings'!DO26/('Service Days per Month'!DO$6+'Service Days per Month'!DO$7)</f>
        <v>635.5</v>
      </c>
      <c r="DP26" s="18">
        <f>'Total Sunday-Holiday Boardings'!DP26/('Service Days per Month'!DP$6+'Service Days per Month'!DP$7)</f>
        <v>401.75</v>
      </c>
      <c r="DQ26" s="18">
        <f>'Total Sunday-Holiday Boardings'!DQ26/('Service Days per Month'!DQ$6+'Service Days per Month'!DQ$7)</f>
        <v>442.4</v>
      </c>
      <c r="DR26" s="18">
        <f>'Total Sunday-Holiday Boardings'!DR26/('Service Days per Month'!DR$6+'Service Days per Month'!DR$7)</f>
        <v>363.33333333333331</v>
      </c>
      <c r="DS26" s="18">
        <f>'Total Sunday-Holiday Boardings'!DS26/('Service Days per Month'!DS$6+'Service Days per Month'!DS$7)</f>
        <v>726.2</v>
      </c>
      <c r="DT26" s="18">
        <f>'Total Sunday-Holiday Boardings'!DT26/('Service Days per Month'!DT$6+'Service Days per Month'!DT$7)</f>
        <v>502.75</v>
      </c>
      <c r="DU26" s="18">
        <f>'Total Sunday-Holiday Boardings'!DU26/('Service Days per Month'!DU$6+'Service Days per Month'!DU$7)</f>
        <v>521.20000000000005</v>
      </c>
      <c r="DV26" s="18">
        <f>'Total Sunday-Holiday Boardings'!DV26/('Service Days per Month'!DV$6+'Service Days per Month'!DV$7)</f>
        <v>1162.25</v>
      </c>
      <c r="DW26" s="18">
        <f>'Total Sunday-Holiday Boardings'!DW26/('Service Days per Month'!DW$6+'Service Days per Month'!DW$7)</f>
        <v>735</v>
      </c>
      <c r="DX26" s="18">
        <f>'Total Sunday-Holiday Boardings'!DX26/('Service Days per Month'!DX$6+'Service Days per Month'!DX$7)</f>
        <v>496.4</v>
      </c>
      <c r="DY26" s="17">
        <f>'Total Sunday-Holiday Boardings'!DY26/('Service Days per Month'!DY$6+'Service Days per Month'!DY$7)</f>
        <v>466.8</v>
      </c>
      <c r="DZ26" s="18">
        <f>'Total Sunday-Holiday Boardings'!DZ26/('Service Days per Month'!DZ$6+'Service Days per Month'!DZ$7)</f>
        <v>1157.75</v>
      </c>
      <c r="EA26" s="18">
        <f>'Total Sunday-Holiday Boardings'!EA26/('Service Days per Month'!EA$6+'Service Days per Month'!EA$7)</f>
        <v>546.5</v>
      </c>
      <c r="EB26" s="18">
        <f>'Total Sunday-Holiday Boardings'!EB26/('Service Days per Month'!EB$6+'Service Days per Month'!EB$7)</f>
        <v>262.75</v>
      </c>
      <c r="EC26" s="18">
        <f>'Total Sunday-Holiday Boardings'!EC26/('Service Days per Month'!EC$6+'Service Days per Month'!EC$7)</f>
        <v>398</v>
      </c>
      <c r="ED26" s="18">
        <f>'Total Sunday-Holiday Boardings'!ED26/('Service Days per Month'!ED$6+'Service Days per Month'!ED$7)</f>
        <v>342.33333333333331</v>
      </c>
      <c r="EE26" s="18">
        <f>'Total Sunday-Holiday Boardings'!EE26/('Service Days per Month'!EE$6+'Service Days per Month'!EE$7)</f>
        <v>465</v>
      </c>
      <c r="EF26" s="18">
        <f>'Total Sunday-Holiday Boardings'!EF26/('Service Days per Month'!EF$6+'Service Days per Month'!EF$7)</f>
        <v>354.5</v>
      </c>
      <c r="EG26" s="18">
        <f>'Total Sunday-Holiday Boardings'!EG26/('Service Days per Month'!EG$6+'Service Days per Month'!EG$7)</f>
        <v>313.60000000000002</v>
      </c>
      <c r="EH26" s="18">
        <f>'Total Sunday-Holiday Boardings'!EH26/('Service Days per Month'!EH$6+'Service Days per Month'!EH$7)</f>
        <v>134.25</v>
      </c>
      <c r="EI26" s="18">
        <f>'Total Sunday-Holiday Boardings'!EI26/('Service Days per Month'!EI$6+'Service Days per Month'!EI$7)</f>
        <v>149.5</v>
      </c>
      <c r="EJ26" s="18">
        <f>'Total Sunday-Holiday Boardings'!EJ26/('Service Days per Month'!EJ$6+'Service Days per Month'!EJ$7)</f>
        <v>169</v>
      </c>
      <c r="EK26" s="17">
        <f>'Total Sunday-Holiday Boardings'!EK26/('Service Days per Month'!EK$6+'Service Days per Month'!EK$7)</f>
        <v>156.19999999999999</v>
      </c>
      <c r="EL26" s="18">
        <f>'Total Sunday-Holiday Boardings'!EL26/('Service Days per Month'!EL$6+'Service Days per Month'!EL$7)</f>
        <v>155.4</v>
      </c>
      <c r="EM26" s="18">
        <f>'Total Sunday-Holiday Boardings'!EM26/('Service Days per Month'!EM$6+'Service Days per Month'!EM$7)</f>
        <v>167</v>
      </c>
      <c r="EN26" s="18">
        <f>'Total Sunday-Holiday Boardings'!EN26/('Service Days per Month'!EN$6+'Service Days per Month'!EN$7)</f>
        <v>148.5</v>
      </c>
      <c r="EO26" s="18">
        <f>'Total Sunday-Holiday Boardings'!EO26/('Service Days per Month'!EO$6+'Service Days per Month'!EO$7)</f>
        <v>255.5</v>
      </c>
      <c r="EP26" s="18">
        <f>'Total Sunday-Holiday Boardings'!EP26/('Service Days per Month'!EP$6+'Service Days per Month'!EP$7)</f>
        <v>73.8</v>
      </c>
      <c r="EQ26" s="18">
        <f>'Total Sunday-Holiday Boardings'!EQ26/('Service Days per Month'!EQ$6+'Service Days per Month'!EQ$7)</f>
        <v>61.8</v>
      </c>
      <c r="ER26" s="18">
        <f>'Total Sunday-Holiday Boardings'!ER26/('Service Days per Month'!ER$6+'Service Days per Month'!ER$7)</f>
        <v>210.25</v>
      </c>
      <c r="ES26" s="18">
        <f>'Total Sunday-Holiday Boardings'!ES26/('Service Days per Month'!ES$6+'Service Days per Month'!ES$7)</f>
        <v>189.5</v>
      </c>
      <c r="ET26" s="18">
        <f>'Total Sunday-Holiday Boardings'!ET26/('Service Days per Month'!ET$6+'Service Days per Month'!ET$7)</f>
        <v>137.5</v>
      </c>
      <c r="EU26" s="18">
        <f>'Total Sunday-Holiday Boardings'!EU26/('Service Days per Month'!EU$6+'Service Days per Month'!EU$7)</f>
        <v>180.5</v>
      </c>
      <c r="EV26" s="18">
        <f>'Total Sunday-Holiday Boardings'!EV26/('Service Days per Month'!EV$6+'Service Days per Month'!EV$7)</f>
        <v>338</v>
      </c>
      <c r="EW26" s="17">
        <f>'Total Sunday-Holiday Boardings'!EW26/('Service Days per Month'!EW$6+'Service Days per Month'!EW$7)</f>
        <v>333.8</v>
      </c>
      <c r="EX26" s="18">
        <f>'Total Sunday-Holiday Boardings'!EX26/('Service Days per Month'!EX$6+'Service Days per Month'!EX$7)</f>
        <v>277.60000000000002</v>
      </c>
      <c r="EY26" s="18">
        <f>'Total Sunday-Holiday Boardings'!EY26/('Service Days per Month'!EY$6+'Service Days per Month'!EY$7)</f>
        <v>253.8</v>
      </c>
      <c r="EZ26" s="18">
        <f>'Total Sunday-Holiday Boardings'!EZ26/('Service Days per Month'!EZ$6+'Service Days per Month'!EZ$7)</f>
        <v>209.4</v>
      </c>
      <c r="FA26" s="18">
        <f>'Total Sunday-Holiday Boardings'!FA26/('Service Days per Month'!FA$6+'Service Days per Month'!FA$7)</f>
        <v>208.6</v>
      </c>
      <c r="FB26" s="18">
        <f>'Total Sunday-Holiday Boardings'!FB26/('Service Days per Month'!FB$6+'Service Days per Month'!FB$7)</f>
        <v>239.8</v>
      </c>
      <c r="FC26" s="18">
        <f>'Total Sunday-Holiday Boardings'!FC26/('Service Days per Month'!FC$6+'Service Days per Month'!FC$7)</f>
        <v>180.6</v>
      </c>
      <c r="FD26" s="18">
        <f>'Total Sunday-Holiday Boardings'!FD26/('Service Days per Month'!FD$6+'Service Days per Month'!FD$7)</f>
        <v>241.25</v>
      </c>
      <c r="FE26" s="18">
        <f>'Total Sunday-Holiday Boardings'!FE26/('Service Days per Month'!FE$6+'Service Days per Month'!FE$7)</f>
        <v>376.25</v>
      </c>
      <c r="FF26" s="18">
        <f>'Total Sunday-Holiday Boardings'!FF26/('Service Days per Month'!FF$6+'Service Days per Month'!FF$7)</f>
        <v>183.5</v>
      </c>
      <c r="FG26" s="18">
        <f>'Total Sunday-Holiday Boardings'!FG26/('Service Days per Month'!FG$6+'Service Days per Month'!FG$7)</f>
        <v>889.16666666666663</v>
      </c>
      <c r="FH26" s="18">
        <f>'Total Sunday-Holiday Boardings'!FH26/('Service Days per Month'!FH$6+'Service Days per Month'!FH$7)</f>
        <v>658.5</v>
      </c>
      <c r="FI26" s="17">
        <v>252.66666666666666</v>
      </c>
      <c r="FJ26" s="18">
        <v>255.75</v>
      </c>
      <c r="FK26" s="18">
        <v>284.8</v>
      </c>
      <c r="FL26" s="18">
        <v>245</v>
      </c>
      <c r="FM26" s="18">
        <v>236.8</v>
      </c>
      <c r="FN26" s="18">
        <v>251.8</v>
      </c>
      <c r="FO26" s="18">
        <v>248.4</v>
      </c>
      <c r="FP26" s="18">
        <v>499.75</v>
      </c>
      <c r="FQ26" s="18">
        <v>375.25</v>
      </c>
      <c r="FR26" s="18">
        <f>'Total Sunday-Holiday Boardings'!FR26/5</f>
        <v>416.2</v>
      </c>
      <c r="FS26" s="18">
        <f>'Total Sunday-Holiday Boardings'!FS26/5</f>
        <v>527</v>
      </c>
      <c r="FT26" s="21">
        <f>'Total Sunday-Holiday Boardings'!FT26/4</f>
        <v>612.5</v>
      </c>
      <c r="FU26" s="18">
        <f>'Total Sunday-Holiday Boardings'!FU26/5</f>
        <v>434.2</v>
      </c>
      <c r="FV26" s="18">
        <f>'Total Sunday-Holiday Boardings'!FV26/4</f>
        <v>443.5</v>
      </c>
      <c r="FW26" s="18">
        <f>'Total Sunday-Holiday Boardings'!FW26/4</f>
        <v>444</v>
      </c>
      <c r="FX26" s="18">
        <f>'Total Sunday-Holiday Boardings'!FX26/5</f>
        <v>317.2</v>
      </c>
      <c r="FY26" s="18">
        <f>'Total Sunday-Holiday Boardings'!FY26/4</f>
        <v>290</v>
      </c>
      <c r="FZ26" s="18">
        <f>'Total Sunday-Holiday Boardings'!FZ26/5</f>
        <v>560.6</v>
      </c>
      <c r="GA26" s="18">
        <f>'Total Sunday-Holiday Boardings'!GA26/4</f>
        <v>347</v>
      </c>
      <c r="GB26" s="18">
        <f>'Total Sunday-Holiday Boardings'!GB26/4</f>
        <v>407</v>
      </c>
      <c r="GC26" s="18">
        <f>'Total Sunday-Holiday Boardings'!GC26/5</f>
        <v>335.6</v>
      </c>
      <c r="GD26" s="18">
        <f>'Total Sunday-Holiday Boardings'!GD26/4</f>
        <v>628</v>
      </c>
      <c r="GE26" s="18">
        <f>'Total Sunday-Holiday Boardings'!GE26/4</f>
        <v>604</v>
      </c>
      <c r="GF26" s="18">
        <f>'Total Sunday-Holiday Boardings'!GF26/5</f>
        <v>523</v>
      </c>
      <c r="GG26" s="18">
        <f>'Total Sunday-Holiday Boardings'!GG26/4</f>
        <v>339.5</v>
      </c>
      <c r="GH26" s="18">
        <f>'Total Sunday-Holiday Boardings'!GH26/4</f>
        <v>334.5</v>
      </c>
      <c r="GI26" s="18">
        <f>'Total Sunday-Holiday Boardings'!GI26/5</f>
        <v>711.8</v>
      </c>
      <c r="GJ26" s="18">
        <f>'Total Sunday-Holiday Boardings'!GJ26/4</f>
        <v>267.75</v>
      </c>
      <c r="GK26" s="18">
        <f>'Total Sunday-Holiday Boardings'!GK26/4</f>
        <v>354.5</v>
      </c>
      <c r="GL26" s="18">
        <f>'Total Sunday-Holiday Boardings'!GL26/5</f>
        <v>344.4</v>
      </c>
    </row>
    <row r="27" spans="1:194" x14ac:dyDescent="0.3">
      <c r="A27" s="3" t="s">
        <v>40</v>
      </c>
      <c r="B27" s="17"/>
      <c r="C27" s="18">
        <f>'Total Sunday-Holiday Boardings'!C27/SUM('Service Days per Month'!C$6:C$7)</f>
        <v>525.20000000000005</v>
      </c>
      <c r="D27" s="18">
        <f>'Total Sunday-Holiday Boardings'!D27/SUM('Service Days per Month'!D$6:D$7)</f>
        <v>175.75</v>
      </c>
      <c r="E27" s="18">
        <f>'Total Sunday-Holiday Boardings'!E27/SUM('Service Days per Month'!E$6:E$7)</f>
        <v>143.4</v>
      </c>
      <c r="F27" s="18">
        <f>'Total Sunday-Holiday Boardings'!F27/SUM('Service Days per Month'!F$6:F$7)</f>
        <v>133.19999999999999</v>
      </c>
      <c r="G27" s="18">
        <f>'Total Sunday-Holiday Boardings'!G27/SUM('Service Days per Month'!G$6:G$7)</f>
        <v>129.83333333333334</v>
      </c>
      <c r="H27" s="19">
        <f>'Total Sunday-Holiday Boardings'!H27/SUM('Service Days per Month'!H$6:H$7)</f>
        <v>143.5</v>
      </c>
      <c r="I27" s="17">
        <f>'Total Sunday-Holiday Boardings'!I27/SUM('Service Days per Month'!I$6:I$7)</f>
        <v>159</v>
      </c>
      <c r="J27" s="18">
        <f>'Total Sunday-Holiday Boardings'!J27/SUM('Service Days per Month'!J$6:J$7)</f>
        <v>145.80000000000001</v>
      </c>
      <c r="K27" s="18">
        <f>'Total Sunday-Holiday Boardings'!K27/SUM('Service Days per Month'!K$6:K$7)</f>
        <v>150.19999999999999</v>
      </c>
      <c r="L27" s="18">
        <f>'Total Sunday-Holiday Boardings'!L27/SUM('Service Days per Month'!L$6:L$7)</f>
        <v>170.75</v>
      </c>
      <c r="M27" s="18">
        <f>'Total Sunday-Holiday Boardings'!M27/SUM('Service Days per Month'!M$6:M$7)</f>
        <v>223</v>
      </c>
      <c r="N27" s="18">
        <f>'Total Sunday-Holiday Boardings'!N27/SUM('Service Days per Month'!N$6:N$7)</f>
        <v>143.4</v>
      </c>
      <c r="O27" s="79">
        <f>'Total Sunday-Holiday Boardings'!O27/SUM('Service Days per Month'!O$6:O$7)</f>
        <v>220.5</v>
      </c>
      <c r="P27" s="79">
        <f>'Total Sunday-Holiday Boardings'!P27/SUM('Service Days per Month'!P$6:P$7)</f>
        <v>221</v>
      </c>
      <c r="Q27" s="79">
        <f>'Total Sunday-Holiday Boardings'!Q27/SUM('Service Days per Month'!Q$6:Q$7)</f>
        <v>167.5</v>
      </c>
      <c r="R27" s="79">
        <f>'Total Sunday-Holiday Boardings'!R27/SUM('Service Days per Month'!R$6:R$7)</f>
        <v>177</v>
      </c>
      <c r="S27" s="79">
        <f>'Total Sunday-Holiday Boardings'!S27/SUM('Service Days per Month'!S$6:S$7)</f>
        <v>175.16666666666666</v>
      </c>
      <c r="T27" s="80">
        <f>'Total Sunday-Holiday Boardings'!T27/SUM('Service Days per Month'!T$6:T$7)</f>
        <v>166.5</v>
      </c>
      <c r="U27" s="81">
        <f>'Total Sunday-Holiday Boardings'!U27/SUM('Service Days per Month'!U$6:U$7)</f>
        <v>129.4</v>
      </c>
      <c r="V27" s="79">
        <f>'Total Sunday-Holiday Boardings'!V27/SUM('Service Days per Month'!V$6:V$7)</f>
        <v>150.19999999999999</v>
      </c>
      <c r="W27" s="79">
        <f>'Total Sunday-Holiday Boardings'!W27/SUM('Service Days per Month'!W$6:W$7)</f>
        <v>184.8</v>
      </c>
      <c r="X27" s="79">
        <f>'Total Sunday-Holiday Boardings'!X27/SUM('Service Days per Month'!X$6:X$7)</f>
        <v>158.6</v>
      </c>
      <c r="Y27" s="79">
        <f>'Total Sunday-Holiday Boardings'!Y27/SUM('Service Days per Month'!Y$6:Y$7)</f>
        <v>201.42857142857142</v>
      </c>
      <c r="Z27" s="79">
        <f>'Total Sunday-Holiday Boardings'!Z27/SUM('Service Days per Month'!Z$6:Z$7)</f>
        <v>112.14285714285714</v>
      </c>
      <c r="AA27" s="18">
        <f>'Total Sunday-Holiday Boardings'!AA27/SUM('Service Days per Month'!AA$6:AA$7)</f>
        <v>183.83333333333334</v>
      </c>
      <c r="AB27" s="18">
        <f>'Total Sunday-Holiday Boardings'!AB27/SUM('Service Days per Month'!AB$6:AB$7)</f>
        <v>212.6</v>
      </c>
      <c r="AC27" s="18">
        <f>'Total Sunday-Holiday Boardings'!AC27/SUM('Service Days per Month'!AC$6:AC$7)</f>
        <v>180.75</v>
      </c>
      <c r="AD27" s="18">
        <f>'Total Sunday-Holiday Boardings'!AD27/SUM('Service Days per Month'!AD$6:AD$7)</f>
        <v>188.25</v>
      </c>
      <c r="AE27" s="18">
        <f>'Total Sunday-Holiday Boardings'!AE27/SUM('Service Days per Month'!AE$6:AE$7)</f>
        <v>176.16666666666666</v>
      </c>
      <c r="AF27" s="19">
        <f>'Total Sunday-Holiday Boardings'!AF27/SUM('Service Days per Month'!AF$6:AF$7)</f>
        <v>159.75</v>
      </c>
      <c r="AG27" s="17">
        <f>'Total Sunday-Holiday Boardings'!AG27/SUM('Service Days per Month'!AG$6:AG$7)</f>
        <v>189.83333333333334</v>
      </c>
      <c r="AH27" s="18">
        <f>'Total Sunday-Holiday Boardings'!AH27/SUM('Service Days per Month'!AH$6:AH$7)</f>
        <v>177.75</v>
      </c>
      <c r="AI27" s="18">
        <f>'Total Sunday-Holiday Boardings'!AI27/SUM('Service Days per Month'!AI$6:AI$7)</f>
        <v>176.6</v>
      </c>
      <c r="AJ27" s="18">
        <f>'Total Sunday-Holiday Boardings'!AJ27/SUM('Service Days per Month'!AJ$6:AJ$7)</f>
        <v>190</v>
      </c>
      <c r="AK27" s="18">
        <f>'Total Sunday-Holiday Boardings'!AK27/SUM('Service Days per Month'!AK$6:AK$7)</f>
        <v>165</v>
      </c>
      <c r="AL27" s="18">
        <f>'Total Sunday-Holiday Boardings'!AL27/SUM('Service Days per Month'!AL$6:AL$7)</f>
        <v>154</v>
      </c>
      <c r="AM27" s="18">
        <f>'Total Sunday-Holiday Boardings'!AM27/SUM('Service Days per Month'!AM$6:AM$7)</f>
        <v>178.57142857142858</v>
      </c>
      <c r="AN27" s="18">
        <f>'Total Sunday-Holiday Boardings'!AN27/SUM('Service Days per Month'!AN$6:AN$7)</f>
        <v>193.2</v>
      </c>
      <c r="AO27" s="18">
        <f>'Total Sunday-Holiday Boardings'!AO27/SUM('Service Days per Month'!AO$6:AO$7)</f>
        <v>173.5</v>
      </c>
      <c r="AP27" s="18">
        <f>'Total Sunday-Holiday Boardings'!AP27/SUM('Service Days per Month'!AP$6:AP$7)</f>
        <v>204.6</v>
      </c>
      <c r="AQ27" s="18">
        <f>'Total Sunday-Holiday Boardings'!AQ27/SUM('Service Days per Month'!AQ$6:AQ$7)</f>
        <v>206.4</v>
      </c>
      <c r="AR27" s="19">
        <f>'Total Sunday-Holiday Boardings'!AR27/SUM('Service Days per Month'!AR$6:AR$7)</f>
        <v>206</v>
      </c>
      <c r="AS27" s="17">
        <f>'Total Sunday-Holiday Boardings'!AS27/SUM('Service Days per Month'!AS$6:AS$7)</f>
        <v>205.5</v>
      </c>
      <c r="AT27" s="18">
        <f>'Total Sunday-Holiday Boardings'!AT27/SUM('Service Days per Month'!AT$6:AT$7)</f>
        <v>209.5</v>
      </c>
      <c r="AU27" s="18">
        <f>'Total Sunday-Holiday Boardings'!AU27/SUM('Service Days per Month'!AU$6:AU$7)</f>
        <v>193</v>
      </c>
      <c r="AV27" s="18">
        <f>'Total Sunday-Holiday Boardings'!AV27/SUM('Service Days per Month'!AV$6:AV$7)</f>
        <v>217.75</v>
      </c>
      <c r="AW27" s="18">
        <f>'Total Sunday-Holiday Boardings'!AW27/SUM('Service Days per Month'!AW$6:AW$7)</f>
        <v>184.85714285714286</v>
      </c>
      <c r="AX27" s="18">
        <f>'Total Sunday-Holiday Boardings'!AX27/SUM('Service Days per Month'!AX$6:AX$7)</f>
        <v>171.28571428571428</v>
      </c>
      <c r="AY27" s="18">
        <f>'Total Sunday-Holiday Boardings'!AY27/SUM('Service Days per Month'!AY$6:AY$7)</f>
        <v>202.16666666666666</v>
      </c>
      <c r="AZ27" s="18">
        <f>'Total Sunday-Holiday Boardings'!AZ27/SUM('Service Days per Month'!AZ$6:AZ$7)</f>
        <v>245.4</v>
      </c>
      <c r="BA27" s="18">
        <f>'Total Sunday-Holiday Boardings'!BA27/SUM('Service Days per Month'!BA$6:BA$7)</f>
        <v>246.2</v>
      </c>
      <c r="BB27" s="18">
        <f>'Total Sunday-Holiday Boardings'!BB27/SUM('Service Days per Month'!BB$6:BB$7)</f>
        <v>244</v>
      </c>
      <c r="BC27" s="18">
        <f>'Total Sunday-Holiday Boardings'!BC27/SUM('Service Days per Month'!BC$6:BC$7)</f>
        <v>223.4</v>
      </c>
      <c r="BD27" s="19">
        <f>'Total Sunday-Holiday Boardings'!BD27/SUM('Service Days per Month'!BD$6:BD$7)</f>
        <v>197.4</v>
      </c>
      <c r="BE27" s="17">
        <f>'Total Sunday-Holiday Boardings'!BE27/SUM('Service Days per Month'!BE$6:BE$7)</f>
        <v>196.6</v>
      </c>
      <c r="BF27" s="18">
        <f>'Total Sunday-Holiday Boardings'!BF27/SUM('Service Days per Month'!BF$6:BF$7)</f>
        <v>207.5</v>
      </c>
      <c r="BG27" s="18">
        <f>'Total Sunday-Holiday Boardings'!BG27/SUM('Service Days per Month'!BG$6:BG$7)</f>
        <v>223.83333333333334</v>
      </c>
      <c r="BH27" s="18">
        <f>'Total Sunday-Holiday Boardings'!BH27/SUM('Service Days per Month'!BH$6:BH$7)</f>
        <v>224.5</v>
      </c>
      <c r="BI27" s="18">
        <f>'Total Sunday-Holiday Boardings'!BI27/SUM('Service Days per Month'!BI$6:BI$7)</f>
        <v>199.31561621287977</v>
      </c>
      <c r="BJ27" s="18">
        <f>'Total Sunday-Holiday Boardings'!BJ27/SUM('Service Days per Month'!BJ$6:BJ$7)</f>
        <v>221.71428571428572</v>
      </c>
      <c r="BK27" s="18">
        <f>'Total Sunday-Holiday Boardings'!BK27/SUM('Service Days per Month'!BK$6:BK$7)</f>
        <v>282.16666666666669</v>
      </c>
      <c r="BL27" s="18">
        <f>'Total Sunday-Holiday Boardings'!BL27/SUM('Service Days per Month'!BL$6:BL$7)</f>
        <v>272.60000000000002</v>
      </c>
      <c r="BM27" s="18">
        <f>'Total Sunday-Holiday Boardings'!BM27/SUM('Service Days per Month'!BM$6:BM$7)</f>
        <v>237.4</v>
      </c>
      <c r="BN27" s="18">
        <f>'Total Sunday-Holiday Boardings'!BN27/SUM('Service Days per Month'!BN$6:BN$7)</f>
        <v>221.25</v>
      </c>
      <c r="BO27" s="18">
        <f>'Total Sunday-Holiday Boardings'!BO27/SUM('Service Days per Month'!BO$6:BO$7)</f>
        <v>214.2</v>
      </c>
      <c r="BP27" s="19">
        <f>'Total Sunday-Holiday Boardings'!BP27/SUM('Service Days per Month'!BP$6:BP$7)</f>
        <v>201.8</v>
      </c>
      <c r="BQ27" s="17">
        <f>'Total Sunday-Holiday Boardings'!BQ27/SUM('Service Days per Month'!BQ$6:BQ$7)</f>
        <v>235.8</v>
      </c>
      <c r="BR27" s="18">
        <f>'Total Sunday-Holiday Boardings'!BR27/SUM('Service Days per Month'!BR$6:BR$7)</f>
        <v>237.8</v>
      </c>
      <c r="BS27" s="18">
        <f>'Total Sunday-Holiday Boardings'!BS27/SUM('Service Days per Month'!BS$6:BS$7)</f>
        <v>239.4</v>
      </c>
      <c r="BT27" s="18">
        <f>'Total Sunday-Holiday Boardings'!BT27/SUM('Service Days per Month'!BT$6:BT$7)</f>
        <v>232.25</v>
      </c>
      <c r="BU27" s="18">
        <f>'Total Sunday-Holiday Boardings'!BU27/SUM('Service Days per Month'!BU$6:BU$7)</f>
        <v>244.75</v>
      </c>
      <c r="BV27" s="18">
        <f>'Total Sunday-Holiday Boardings'!BV27/SUM('Service Days per Month'!BV$6:BV$7)</f>
        <v>220.16666666666666</v>
      </c>
      <c r="BW27" s="18">
        <f>'Total Sunday-Holiday Boardings'!BW27/SUM('Service Days per Month'!BW$6:BW$7)</f>
        <v>261.16666666666669</v>
      </c>
      <c r="BX27" s="18">
        <f>'Total Sunday-Holiday Boardings'!BX27/SUM('Service Days per Month'!BX$6:BX$7)</f>
        <v>267.39999999999998</v>
      </c>
      <c r="BY27" s="18">
        <f>'Total Sunday-Holiday Boardings'!BY27/SUM('Service Days per Month'!BY$6:BY$7)</f>
        <v>233.2</v>
      </c>
      <c r="BZ27" s="18">
        <f>'Total Sunday-Holiday Boardings'!BZ27/SUM('Service Days per Month'!BZ$6:BZ$7)</f>
        <v>246</v>
      </c>
      <c r="CA27" s="18">
        <f>'Total Sunday-Holiday Boardings'!CA27/SUM('Service Days per Month'!CA$6:CA$7)</f>
        <v>223</v>
      </c>
      <c r="CB27" s="19">
        <f>'Total Sunday-Holiday Boardings'!CB27/SUM('Service Days per Month'!CB$6:CB$7)</f>
        <v>207</v>
      </c>
      <c r="CC27" s="20">
        <f>'Total Sunday-Holiday Boardings'!CC27/SUM('Service Days per Month'!CC$6:CC$7)</f>
        <v>242</v>
      </c>
      <c r="CD27" s="18">
        <f>'Total Sunday-Holiday Boardings'!CD27/SUM('Service Days per Month'!CD$6:CD$7)</f>
        <v>212.6</v>
      </c>
      <c r="CE27" s="18">
        <f>'Total Sunday-Holiday Boardings'!CE27/SUM('Service Days per Month'!CE$6:CE$7)</f>
        <v>237.4</v>
      </c>
      <c r="CF27" s="18">
        <f>'Total Sunday-Holiday Boardings'!CF27/SUM('Service Days per Month'!CF$6:CF$7)</f>
        <v>256.5</v>
      </c>
      <c r="CG27" s="18">
        <f>'Total Sunday-Holiday Boardings'!CG27/SUM('Service Days per Month'!CG$6:CG$7)</f>
        <v>266.125</v>
      </c>
      <c r="CH27" s="18">
        <f>'Total Sunday-Holiday Boardings'!CH27/SUM('Service Days per Month'!CH$6:CH$7)</f>
        <v>250.83333333333334</v>
      </c>
      <c r="CI27" s="18">
        <f>'Total Sunday-Holiday Boardings'!CI27/SUM('Service Days per Month'!CI$6:CI$7)</f>
        <v>333.85714285714283</v>
      </c>
      <c r="CJ27" s="18">
        <f>'Total Sunday-Holiday Boardings'!CJ27/SUM('Service Days per Month'!CJ$6:CJ$7)</f>
        <v>265.2</v>
      </c>
      <c r="CK27" s="18">
        <f>'Total Sunday-Holiday Boardings'!CK27/SUM('Service Days per Month'!CK$6:CK$7)</f>
        <v>273.75</v>
      </c>
      <c r="CL27" s="18">
        <f>'Total Sunday-Holiday Boardings'!CL27/SUM('Service Days per Month'!CL$6:CL$7)</f>
        <v>297.5</v>
      </c>
      <c r="CM27" s="18">
        <f>'Total Sunday-Holiday Boardings'!CM27/SUM('Service Days per Month'!CM$6:CM$7)</f>
        <v>279.5</v>
      </c>
      <c r="CN27" s="21">
        <f>'Total Sunday-Holiday Boardings'!CN27/SUM('Service Days per Month'!CN$6:CN$7)</f>
        <v>279.5</v>
      </c>
      <c r="CO27" s="17">
        <f>'Total Sunday-Holiday Boardings'!CO27/SUM('Service Days per Month'!CO$6:CO$7)</f>
        <v>240.33333333333334</v>
      </c>
      <c r="CP27" s="18">
        <f>'Total Sunday-Holiday Boardings'!CP27/SUM('Service Days per Month'!CP$6:CP$7)</f>
        <v>248.25</v>
      </c>
      <c r="CQ27" s="18">
        <f>'Total Sunday-Holiday Boardings'!CQ27/SUM('Service Days per Month'!CQ$6:CQ$7)</f>
        <v>238.4</v>
      </c>
      <c r="CR27" s="18">
        <f>'Total Sunday-Holiday Boardings'!CR27/SUM('Service Days per Month'!CR$6:CR$7)</f>
        <v>261.39999999999998</v>
      </c>
      <c r="CS27" s="18">
        <f>'Total Sunday-Holiday Boardings'!CS27/SUM('Service Days per Month'!CS$6:CS$7)</f>
        <v>263.57142857142856</v>
      </c>
      <c r="CT27" s="18">
        <f>'Total Sunday-Holiday Boardings'!CT27/SUM('Service Days per Month'!CT$6:CT$7)</f>
        <v>272.16666666666669</v>
      </c>
      <c r="CU27" s="18">
        <f>'Total Sunday-Holiday Boardings'!CU27/SUM('Service Days per Month'!CU$6:CU$7)</f>
        <v>222.14285714285714</v>
      </c>
      <c r="CV27" s="18">
        <f>'Total Sunday-Holiday Boardings'!CV27/SUM('Service Days per Month'!CV$6:CV$7)</f>
        <v>210</v>
      </c>
      <c r="CW27" s="18">
        <f>'Total Sunday-Holiday Boardings'!CW27/SUM('Service Days per Month'!CW$6:CW$7)</f>
        <v>255.25</v>
      </c>
      <c r="CX27" s="18">
        <f>'Total Sunday-Holiday Boardings'!CX27/SUM('Service Days per Month'!CX$6:CX$7)</f>
        <v>385.6</v>
      </c>
      <c r="CY27" s="18">
        <f>'Total Sunday-Holiday Boardings'!CY27/SUM('Service Days per Month'!CY$6:CY$7)</f>
        <v>248.4</v>
      </c>
      <c r="CZ27" s="19">
        <f>'Total Sunday-Holiday Boardings'!CZ27/SUM('Service Days per Month'!CZ$6:CZ$7)</f>
        <v>228.5</v>
      </c>
      <c r="DA27" s="17">
        <f>'Total Sunday-Holiday Boardings'!DA27/SUM('Service Days per Month'!DA$6:DA$7)</f>
        <v>259.33333333333331</v>
      </c>
      <c r="DB27" s="18">
        <f>'Total Sunday-Holiday Boardings'!DB27/SUM('Service Days per Month'!DB$6:DB$7)</f>
        <v>232.25</v>
      </c>
      <c r="DC27" s="18">
        <f>'Total Sunday-Holiday Boardings'!DC27/SUM('Service Days per Month'!DC$6:DC$7)</f>
        <v>229</v>
      </c>
      <c r="DD27" s="18">
        <f>'Total Sunday-Holiday Boardings'!DD27/SUM('Service Days per Month'!DD$6:DD$7)</f>
        <v>250</v>
      </c>
      <c r="DE27" s="18">
        <f>'Total Sunday-Holiday Boardings'!DE27/SUM('Service Days per Month'!DE$6:DE$7)</f>
        <v>258.85714285714283</v>
      </c>
      <c r="DF27" s="18">
        <f>'Total Sunday-Holiday Boardings'!DF27/SUM('Service Days per Month'!DF$6:DF$7)</f>
        <v>229.16666666666666</v>
      </c>
      <c r="DG27" s="18">
        <f>'Total Sunday-Holiday Boardings'!DG27/SUM('Service Days per Month'!DG$6:DG$7)</f>
        <v>215.33333333333334</v>
      </c>
      <c r="DH27" s="18">
        <f>'Total Sunday-Holiday Boardings'!DH27/SUM('Service Days per Month'!DH$6:DH$7)</f>
        <v>221.4</v>
      </c>
      <c r="DI27" s="18">
        <f>'Total Sunday-Holiday Boardings'!DI27/SUM('Service Days per Month'!DI$6:DI$7)</f>
        <v>203.5</v>
      </c>
      <c r="DJ27" s="18">
        <f>'Total Sunday-Holiday Boardings'!DJ27/SUM('Service Days per Month'!DJ$6:DJ$7)</f>
        <v>196.6</v>
      </c>
      <c r="DK27" s="18">
        <f>'Total Sunday-Holiday Boardings'!DK27/SUM('Service Days per Month'!DK$6:DK$7)</f>
        <v>196.2</v>
      </c>
      <c r="DL27" s="19">
        <f>'Total Sunday-Holiday Boardings'!DL27/SUM('Service Days per Month'!DL$6:DL$7)</f>
        <v>178</v>
      </c>
      <c r="DM27" s="17">
        <f>'Total Sunday-Holiday Boardings'!DM27/('Service Days per Month'!DM$6+'Service Days per Month'!DM$7)</f>
        <v>186.83333333333334</v>
      </c>
      <c r="DN27" s="18">
        <f>'Total Sunday-Holiday Boardings'!DN27/('Service Days per Month'!DN$6+'Service Days per Month'!DN$7)</f>
        <v>195.5</v>
      </c>
      <c r="DO27" s="18">
        <f>'Total Sunday-Holiday Boardings'!DO27/('Service Days per Month'!DO$6+'Service Days per Month'!DO$7)</f>
        <v>186.33333333333334</v>
      </c>
      <c r="DP27" s="18">
        <f>'Total Sunday-Holiday Boardings'!DP27/('Service Days per Month'!DP$6+'Service Days per Month'!DP$7)</f>
        <v>197.5</v>
      </c>
      <c r="DQ27" s="18">
        <f>'Total Sunday-Holiday Boardings'!DQ27/('Service Days per Month'!DQ$6+'Service Days per Month'!DQ$7)</f>
        <v>188.8</v>
      </c>
      <c r="DR27" s="18">
        <f>'Total Sunday-Holiday Boardings'!DR27/('Service Days per Month'!DR$6+'Service Days per Month'!DR$7)</f>
        <v>193.33333333333334</v>
      </c>
      <c r="DS27" s="18">
        <f>'Total Sunday-Holiday Boardings'!DS27/('Service Days per Month'!DS$6+'Service Days per Month'!DS$7)</f>
        <v>193</v>
      </c>
      <c r="DT27" s="18">
        <f>'Total Sunday-Holiday Boardings'!DT27/('Service Days per Month'!DT$6+'Service Days per Month'!DT$7)</f>
        <v>191.25</v>
      </c>
      <c r="DU27" s="18">
        <f>'Total Sunday-Holiday Boardings'!DU27/('Service Days per Month'!DU$6+'Service Days per Month'!DU$7)</f>
        <v>209.8</v>
      </c>
      <c r="DV27" s="18">
        <f>'Total Sunday-Holiday Boardings'!DV27/('Service Days per Month'!DV$6+'Service Days per Month'!DV$7)</f>
        <v>54.75</v>
      </c>
      <c r="DW27" s="18">
        <f>'Total Sunday-Holiday Boardings'!DW27/('Service Days per Month'!DW$6+'Service Days per Month'!DW$7)</f>
        <v>207.6</v>
      </c>
      <c r="DX27" s="18">
        <f>'Total Sunday-Holiday Boardings'!DX27/('Service Days per Month'!DX$6+'Service Days per Month'!DX$7)</f>
        <v>209.4</v>
      </c>
      <c r="DY27" s="17">
        <f>'Total Sunday-Holiday Boardings'!DY27/('Service Days per Month'!DY$6+'Service Days per Month'!DY$7)</f>
        <v>176.8</v>
      </c>
      <c r="DZ27" s="18">
        <f>'Total Sunday-Holiday Boardings'!DZ27/('Service Days per Month'!DZ$6+'Service Days per Month'!DZ$7)</f>
        <v>214</v>
      </c>
      <c r="EA27" s="18">
        <f>'Total Sunday-Holiday Boardings'!EA27/('Service Days per Month'!EA$6+'Service Days per Month'!EA$7)</f>
        <v>223.16666666666666</v>
      </c>
      <c r="EB27" s="18">
        <f>'Total Sunday-Holiday Boardings'!EB27/('Service Days per Month'!EB$6+'Service Days per Month'!EB$7)</f>
        <v>228.75</v>
      </c>
      <c r="EC27" s="18">
        <f>'Total Sunday-Holiday Boardings'!EC27/('Service Days per Month'!EC$6+'Service Days per Month'!EC$7)</f>
        <v>218</v>
      </c>
      <c r="ED27" s="18">
        <f>'Total Sunday-Holiday Boardings'!ED27/('Service Days per Month'!ED$6+'Service Days per Month'!ED$7)</f>
        <v>212.16666666666666</v>
      </c>
      <c r="EE27" s="18">
        <f>'Total Sunday-Holiday Boardings'!EE27/('Service Days per Month'!EE$6+'Service Days per Month'!EE$7)</f>
        <v>224.75</v>
      </c>
      <c r="EF27" s="18">
        <f>'Total Sunday-Holiday Boardings'!EF27/('Service Days per Month'!EF$6+'Service Days per Month'!EF$7)</f>
        <v>200.25</v>
      </c>
      <c r="EG27" s="18">
        <f>'Total Sunday-Holiday Boardings'!EG27/('Service Days per Month'!EG$6+'Service Days per Month'!EG$7)</f>
        <v>168.6</v>
      </c>
      <c r="EH27" s="18">
        <f>'Total Sunday-Holiday Boardings'!EH27/('Service Days per Month'!EH$6+'Service Days per Month'!EH$7)</f>
        <v>109.75</v>
      </c>
      <c r="EI27" s="18">
        <f>'Total Sunday-Holiday Boardings'!EI27/('Service Days per Month'!EI$6+'Service Days per Month'!EI$7)</f>
        <v>94.333333333333329</v>
      </c>
      <c r="EJ27" s="18">
        <f>'Total Sunday-Holiday Boardings'!EJ27/('Service Days per Month'!EJ$6+'Service Days per Month'!EJ$7)</f>
        <v>94.25</v>
      </c>
      <c r="EK27" s="17">
        <f>'Total Sunday-Holiday Boardings'!EK27/('Service Days per Month'!EK$6+'Service Days per Month'!EK$7)</f>
        <v>94.8</v>
      </c>
      <c r="EL27" s="18">
        <f>'Total Sunday-Holiday Boardings'!EL27/('Service Days per Month'!EL$6+'Service Days per Month'!EL$7)</f>
        <v>90</v>
      </c>
      <c r="EM27" s="18">
        <f>'Total Sunday-Holiday Boardings'!EM27/('Service Days per Month'!EM$6+'Service Days per Month'!EM$7)</f>
        <v>100.8</v>
      </c>
      <c r="EN27" s="18">
        <f>'Total Sunday-Holiday Boardings'!EN27/('Service Days per Month'!EN$6+'Service Days per Month'!EN$7)</f>
        <v>88.25</v>
      </c>
      <c r="EO27" s="18">
        <f>'Total Sunday-Holiday Boardings'!EO27/('Service Days per Month'!EO$6+'Service Days per Month'!EO$7)</f>
        <v>69.166666666666671</v>
      </c>
      <c r="EP27" s="18">
        <f>'Total Sunday-Holiday Boardings'!EP27/('Service Days per Month'!EP$6+'Service Days per Month'!EP$7)</f>
        <v>64.2</v>
      </c>
      <c r="EQ27" s="18">
        <f>'Total Sunday-Holiday Boardings'!EQ27/('Service Days per Month'!EQ$6+'Service Days per Month'!EQ$7)</f>
        <v>40.6</v>
      </c>
      <c r="ER27" s="18">
        <f>'Total Sunday-Holiday Boardings'!ER27/('Service Days per Month'!ER$6+'Service Days per Month'!ER$7)</f>
        <v>102</v>
      </c>
      <c r="ES27" s="18">
        <f>'Total Sunday-Holiday Boardings'!ES27/('Service Days per Month'!ES$6+'Service Days per Month'!ES$7)</f>
        <v>90.5</v>
      </c>
      <c r="ET27" s="18">
        <f>'Total Sunday-Holiday Boardings'!ET27/('Service Days per Month'!ET$6+'Service Days per Month'!ET$7)</f>
        <v>96</v>
      </c>
      <c r="EU27" s="18">
        <f>'Total Sunday-Holiday Boardings'!EU27/('Service Days per Month'!EU$6+'Service Days per Month'!EU$7)</f>
        <v>73.666666666666671</v>
      </c>
      <c r="EV27" s="18">
        <f>'Total Sunday-Holiday Boardings'!EV27/('Service Days per Month'!EV$6+'Service Days per Month'!EV$7)</f>
        <v>92.75</v>
      </c>
      <c r="EW27" s="17">
        <f>'Total Sunday-Holiday Boardings'!EW27/('Service Days per Month'!EW$6+'Service Days per Month'!EW$7)</f>
        <v>102.2</v>
      </c>
      <c r="EX27" s="18">
        <f>'Total Sunday-Holiday Boardings'!EX27/('Service Days per Month'!EX$6+'Service Days per Month'!EX$7)</f>
        <v>106.4</v>
      </c>
      <c r="EY27" s="18">
        <f>'Total Sunday-Holiday Boardings'!EY27/('Service Days per Month'!EY$6+'Service Days per Month'!EY$7)</f>
        <v>80.8</v>
      </c>
      <c r="EZ27" s="18">
        <f>'Total Sunday-Holiday Boardings'!EZ27/('Service Days per Month'!EZ$6+'Service Days per Month'!EZ$7)</f>
        <v>98.8</v>
      </c>
      <c r="FA27" s="18">
        <f>'Total Sunday-Holiday Boardings'!FA27/('Service Days per Month'!FA$6+'Service Days per Month'!FA$7)</f>
        <v>100.2</v>
      </c>
      <c r="FB27" s="18">
        <f>'Total Sunday-Holiday Boardings'!FB27/('Service Days per Month'!FB$6+'Service Days per Month'!FB$7)</f>
        <v>128.80000000000001</v>
      </c>
      <c r="FC27" s="18">
        <f>'Total Sunday-Holiday Boardings'!FC27/('Service Days per Month'!FC$6+'Service Days per Month'!FC$7)</f>
        <v>98</v>
      </c>
      <c r="FD27" s="18">
        <f>'Total Sunday-Holiday Boardings'!FD27/('Service Days per Month'!FD$6+'Service Days per Month'!FD$7)</f>
        <v>110.75</v>
      </c>
      <c r="FE27" s="18">
        <f>'Total Sunday-Holiday Boardings'!FE27/('Service Days per Month'!FE$6+'Service Days per Month'!FE$7)</f>
        <v>140.25</v>
      </c>
      <c r="FF27" s="18">
        <f>'Total Sunday-Holiday Boardings'!FF27/('Service Days per Month'!FF$6+'Service Days per Month'!FF$7)</f>
        <v>131</v>
      </c>
      <c r="FG27" s="18">
        <f>'Total Sunday-Holiday Boardings'!FG27/('Service Days per Month'!FG$6+'Service Days per Month'!FG$7)</f>
        <v>150</v>
      </c>
      <c r="FH27" s="18">
        <f>'Total Sunday-Holiday Boardings'!FH27/('Service Days per Month'!FH$6+'Service Days per Month'!FH$7)</f>
        <v>105.75</v>
      </c>
      <c r="FI27" s="17">
        <v>106.16666666666667</v>
      </c>
      <c r="FJ27" s="18">
        <v>102</v>
      </c>
      <c r="FK27" s="18">
        <v>102.4</v>
      </c>
      <c r="FL27" s="18">
        <v>101.8</v>
      </c>
      <c r="FM27" s="18">
        <v>82.8</v>
      </c>
      <c r="FN27" s="18">
        <v>111</v>
      </c>
      <c r="FO27" s="18">
        <v>117.4</v>
      </c>
      <c r="FP27" s="18">
        <v>124.75</v>
      </c>
      <c r="FQ27" s="18">
        <v>155.75</v>
      </c>
      <c r="FR27" s="18">
        <f>'Total Sunday-Holiday Boardings'!FR27/5</f>
        <v>147.4</v>
      </c>
      <c r="FS27" s="18">
        <f>'Total Sunday-Holiday Boardings'!FS27/5</f>
        <v>143.4</v>
      </c>
      <c r="FT27" s="21">
        <f>'Total Sunday-Holiday Boardings'!FT27/4</f>
        <v>122.25</v>
      </c>
      <c r="FU27" s="18">
        <f>'Total Sunday-Holiday Boardings'!FU27/5</f>
        <v>138.19999999999999</v>
      </c>
      <c r="FV27" s="18">
        <f>'Total Sunday-Holiday Boardings'!FV27/4</f>
        <v>175</v>
      </c>
      <c r="FW27" s="18">
        <f>'Total Sunday-Holiday Boardings'!FW27/4</f>
        <v>159.75</v>
      </c>
      <c r="FX27" s="18">
        <f>'Total Sunday-Holiday Boardings'!FX27/5</f>
        <v>129.4</v>
      </c>
      <c r="FY27" s="18">
        <f>'Total Sunday-Holiday Boardings'!FY27/4</f>
        <v>160</v>
      </c>
      <c r="FZ27" s="18">
        <f>'Total Sunday-Holiday Boardings'!FZ27/5</f>
        <v>127.6</v>
      </c>
      <c r="GA27" s="18">
        <f>'Total Sunday-Holiday Boardings'!GA27/4</f>
        <v>190.75</v>
      </c>
      <c r="GB27" s="18">
        <f>'Total Sunday-Holiday Boardings'!GB27/4</f>
        <v>166.75</v>
      </c>
      <c r="GC27" s="18">
        <f>'Total Sunday-Holiday Boardings'!GC27/5</f>
        <v>137.4</v>
      </c>
      <c r="GD27" s="18">
        <f>'Total Sunday-Holiday Boardings'!GD27/4</f>
        <v>140.75</v>
      </c>
      <c r="GE27" s="18">
        <f>'Total Sunday-Holiday Boardings'!GE27/4</f>
        <v>152.75</v>
      </c>
      <c r="GF27" s="18">
        <f>'Total Sunday-Holiday Boardings'!GF27/5</f>
        <v>123.6</v>
      </c>
      <c r="GG27" s="18">
        <f>'Total Sunday-Holiday Boardings'!GG27/4</f>
        <v>122</v>
      </c>
      <c r="GH27" s="18">
        <f>'Total Sunday-Holiday Boardings'!GH27/4</f>
        <v>121.75</v>
      </c>
      <c r="GI27" s="18">
        <f>'Total Sunday-Holiday Boardings'!GI27/5</f>
        <v>140</v>
      </c>
      <c r="GJ27" s="18">
        <f>'Total Sunday-Holiday Boardings'!GJ27/4</f>
        <v>114.75</v>
      </c>
      <c r="GK27" s="18">
        <f>'Total Sunday-Holiday Boardings'!GK27/4</f>
        <v>136</v>
      </c>
      <c r="GL27" s="18">
        <f>'Total Sunday-Holiday Boardings'!GL27/5</f>
        <v>130.80000000000001</v>
      </c>
    </row>
    <row r="28" spans="1:194" x14ac:dyDescent="0.3">
      <c r="A28" s="3" t="s">
        <v>41</v>
      </c>
      <c r="B28" s="17"/>
      <c r="C28" s="18">
        <f>'Total Sunday-Holiday Boardings'!C28/SUM('Service Days per Month'!C$6:C$7)</f>
        <v>117</v>
      </c>
      <c r="D28" s="18">
        <f>'Total Sunday-Holiday Boardings'!D28/SUM('Service Days per Month'!D$6:D$7)</f>
        <v>173.5</v>
      </c>
      <c r="E28" s="18">
        <f>'Total Sunday-Holiday Boardings'!E28/SUM('Service Days per Month'!E$6:E$7)</f>
        <v>158</v>
      </c>
      <c r="F28" s="18">
        <f>'Total Sunday-Holiday Boardings'!F28/SUM('Service Days per Month'!F$6:F$7)</f>
        <v>138.80000000000001</v>
      </c>
      <c r="G28" s="18">
        <f>'Total Sunday-Holiday Boardings'!G28/SUM('Service Days per Month'!G$6:G$7)</f>
        <v>118.66666666666667</v>
      </c>
      <c r="H28" s="19">
        <f>'Total Sunday-Holiday Boardings'!H28/SUM('Service Days per Month'!H$6:H$7)</f>
        <v>111.5</v>
      </c>
      <c r="I28" s="17">
        <f>'Total Sunday-Holiday Boardings'!I28/SUM('Service Days per Month'!I$6:I$7)</f>
        <v>134.6</v>
      </c>
      <c r="J28" s="18">
        <f>'Total Sunday-Holiday Boardings'!J28/SUM('Service Days per Month'!J$6:J$7)</f>
        <v>101.4</v>
      </c>
      <c r="K28" s="18">
        <f>'Total Sunday-Holiday Boardings'!K28/SUM('Service Days per Month'!K$6:K$7)</f>
        <v>122.8</v>
      </c>
      <c r="L28" s="18">
        <f>'Total Sunday-Holiday Boardings'!L28/SUM('Service Days per Month'!L$6:L$7)</f>
        <v>131</v>
      </c>
      <c r="M28" s="18">
        <f>'Total Sunday-Holiday Boardings'!M28/SUM('Service Days per Month'!M$6:M$7)</f>
        <v>191.16666666666666</v>
      </c>
      <c r="N28" s="18">
        <f>'Total Sunday-Holiday Boardings'!N28/SUM('Service Days per Month'!N$6:N$7)</f>
        <v>101</v>
      </c>
      <c r="O28" s="79">
        <f>'Total Sunday-Holiday Boardings'!O28/SUM('Service Days per Month'!O$6:O$7)</f>
        <v>153.83333333333334</v>
      </c>
      <c r="P28" s="79">
        <f>'Total Sunday-Holiday Boardings'!P28/SUM('Service Days per Month'!P$6:P$7)</f>
        <v>159.25</v>
      </c>
      <c r="Q28" s="79">
        <f>'Total Sunday-Holiday Boardings'!Q28/SUM('Service Days per Month'!Q$6:Q$7)</f>
        <v>186.25</v>
      </c>
      <c r="R28" s="79">
        <f>'Total Sunday-Holiday Boardings'!R28/SUM('Service Days per Month'!R$6:R$7)</f>
        <v>150</v>
      </c>
      <c r="S28" s="79">
        <f>'Total Sunday-Holiday Boardings'!S28/SUM('Service Days per Month'!S$6:S$7)</f>
        <v>144.83333333333334</v>
      </c>
      <c r="T28" s="80">
        <f>'Total Sunday-Holiday Boardings'!T28/SUM('Service Days per Month'!T$6:T$7)</f>
        <v>106.75</v>
      </c>
      <c r="U28" s="81">
        <f>'Total Sunday-Holiday Boardings'!U28/SUM('Service Days per Month'!U$6:U$7)</f>
        <v>87.4</v>
      </c>
      <c r="V28" s="79">
        <f>'Total Sunday-Holiday Boardings'!V28/SUM('Service Days per Month'!V$6:V$7)</f>
        <v>106.4</v>
      </c>
      <c r="W28" s="79">
        <f>'Total Sunday-Holiday Boardings'!W28/SUM('Service Days per Month'!W$6:W$7)</f>
        <v>122.8</v>
      </c>
      <c r="X28" s="79">
        <f>'Total Sunday-Holiday Boardings'!X28/SUM('Service Days per Month'!X$6:X$7)</f>
        <v>124.6</v>
      </c>
      <c r="Y28" s="79">
        <f>'Total Sunday-Holiday Boardings'!Y28/SUM('Service Days per Month'!Y$6:Y$7)</f>
        <v>151.71428571428572</v>
      </c>
      <c r="Z28" s="79">
        <f>'Total Sunday-Holiday Boardings'!Z28/SUM('Service Days per Month'!Z$6:Z$7)</f>
        <v>82.142857142857139</v>
      </c>
      <c r="AA28" s="18">
        <f>'Total Sunday-Holiday Boardings'!AA28/SUM('Service Days per Month'!AA$6:AA$7)</f>
        <v>134.66666666666666</v>
      </c>
      <c r="AB28" s="18">
        <f>'Total Sunday-Holiday Boardings'!AB28/SUM('Service Days per Month'!AB$6:AB$7)</f>
        <v>149.6</v>
      </c>
      <c r="AC28" s="18">
        <f>'Total Sunday-Holiday Boardings'!AC28/SUM('Service Days per Month'!AC$6:AC$7)</f>
        <v>160</v>
      </c>
      <c r="AD28" s="18">
        <f>'Total Sunday-Holiday Boardings'!AD28/SUM('Service Days per Month'!AD$6:AD$7)</f>
        <v>158.5</v>
      </c>
      <c r="AE28" s="18">
        <f>'Total Sunday-Holiday Boardings'!AE28/SUM('Service Days per Month'!AE$6:AE$7)</f>
        <v>139.16666666666666</v>
      </c>
      <c r="AF28" s="19">
        <f>'Total Sunday-Holiday Boardings'!AF28/SUM('Service Days per Month'!AF$6:AF$7)</f>
        <v>129</v>
      </c>
      <c r="AG28" s="17">
        <f>'Total Sunday-Holiday Boardings'!AG28/SUM('Service Days per Month'!AG$6:AG$7)</f>
        <v>147.83333333333334</v>
      </c>
      <c r="AH28" s="18">
        <f>'Total Sunday-Holiday Boardings'!AH28/SUM('Service Days per Month'!AH$6:AH$7)</f>
        <v>133.5</v>
      </c>
      <c r="AI28" s="18">
        <f>'Total Sunday-Holiday Boardings'!AI28/SUM('Service Days per Month'!AI$6:AI$7)</f>
        <v>127.4</v>
      </c>
      <c r="AJ28" s="18">
        <f>'Total Sunday-Holiday Boardings'!AJ28/SUM('Service Days per Month'!AJ$6:AJ$7)</f>
        <v>153.4</v>
      </c>
      <c r="AK28" s="18">
        <f>'Total Sunday-Holiday Boardings'!AK28/SUM('Service Days per Month'!AK$6:AK$7)</f>
        <v>141.57142857142858</v>
      </c>
      <c r="AL28" s="18">
        <f>'Total Sunday-Holiday Boardings'!AL28/SUM('Service Days per Month'!AL$6:AL$7)</f>
        <v>123.33333333333333</v>
      </c>
      <c r="AM28" s="18">
        <f>'Total Sunday-Holiday Boardings'!AM28/SUM('Service Days per Month'!AM$6:AM$7)</f>
        <v>153.57142857142858</v>
      </c>
      <c r="AN28" s="18">
        <f>'Total Sunday-Holiday Boardings'!AN28/SUM('Service Days per Month'!AN$6:AN$7)</f>
        <v>169.2</v>
      </c>
      <c r="AO28" s="18">
        <f>'Total Sunday-Holiday Boardings'!AO28/SUM('Service Days per Month'!AO$6:AO$7)</f>
        <v>159.25</v>
      </c>
      <c r="AP28" s="18">
        <f>'Total Sunday-Holiday Boardings'!AP28/SUM('Service Days per Month'!AP$6:AP$7)</f>
        <v>168.2</v>
      </c>
      <c r="AQ28" s="18">
        <f>'Total Sunday-Holiday Boardings'!AQ28/SUM('Service Days per Month'!AQ$6:AQ$7)</f>
        <v>167.4</v>
      </c>
      <c r="AR28" s="19">
        <f>'Total Sunday-Holiday Boardings'!AR28/SUM('Service Days per Month'!AR$6:AR$7)</f>
        <v>159.5</v>
      </c>
      <c r="AS28" s="17">
        <f>'Total Sunday-Holiday Boardings'!AS28/SUM('Service Days per Month'!AS$6:AS$7)</f>
        <v>160.83333333333334</v>
      </c>
      <c r="AT28" s="18">
        <f>'Total Sunday-Holiday Boardings'!AT28/SUM('Service Days per Month'!AT$6:AT$7)</f>
        <v>123.5</v>
      </c>
      <c r="AU28" s="18">
        <f>'Total Sunday-Holiday Boardings'!AU28/SUM('Service Days per Month'!AU$6:AU$7)</f>
        <v>142.83333333333334</v>
      </c>
      <c r="AV28" s="18">
        <f>'Total Sunday-Holiday Boardings'!AV28/SUM('Service Days per Month'!AV$6:AV$7)</f>
        <v>162</v>
      </c>
      <c r="AW28" s="18">
        <f>'Total Sunday-Holiday Boardings'!AW28/SUM('Service Days per Month'!AW$6:AW$7)</f>
        <v>134.85714285714286</v>
      </c>
      <c r="AX28" s="18">
        <f>'Total Sunday-Holiday Boardings'!AX28/SUM('Service Days per Month'!AX$6:AX$7)</f>
        <v>125.42857142857143</v>
      </c>
      <c r="AY28" s="18">
        <f>'Total Sunday-Holiday Boardings'!AY28/SUM('Service Days per Month'!AY$6:AY$7)</f>
        <v>174.16666666666666</v>
      </c>
      <c r="AZ28" s="18">
        <f>'Total Sunday-Holiday Boardings'!AZ28/SUM('Service Days per Month'!AZ$6:AZ$7)</f>
        <v>187.2</v>
      </c>
      <c r="BA28" s="18">
        <f>'Total Sunday-Holiday Boardings'!BA28/SUM('Service Days per Month'!BA$6:BA$7)</f>
        <v>183.4</v>
      </c>
      <c r="BB28" s="18">
        <f>'Total Sunday-Holiday Boardings'!BB28/SUM('Service Days per Month'!BB$6:BB$7)</f>
        <v>179.5</v>
      </c>
      <c r="BC28" s="18">
        <f>'Total Sunday-Holiday Boardings'!BC28/SUM('Service Days per Month'!BC$6:BC$7)</f>
        <v>164.2</v>
      </c>
      <c r="BD28" s="19">
        <f>'Total Sunday-Holiday Boardings'!BD28/SUM('Service Days per Month'!BD$6:BD$7)</f>
        <v>140.4</v>
      </c>
      <c r="BE28" s="17">
        <f>'Total Sunday-Holiday Boardings'!BE28/SUM('Service Days per Month'!BE$6:BE$7)</f>
        <v>166.8</v>
      </c>
      <c r="BF28" s="18">
        <f>'Total Sunday-Holiday Boardings'!BF28/SUM('Service Days per Month'!BF$6:BF$7)</f>
        <v>144.75</v>
      </c>
      <c r="BG28" s="18">
        <f>'Total Sunday-Holiday Boardings'!BG28/SUM('Service Days per Month'!BG$6:BG$7)</f>
        <v>151.66666666666666</v>
      </c>
      <c r="BH28" s="18">
        <f>'Total Sunday-Holiday Boardings'!BH28/SUM('Service Days per Month'!BH$6:BH$7)</f>
        <v>170.75</v>
      </c>
      <c r="BI28" s="18">
        <f>'Total Sunday-Holiday Boardings'!BI28/SUM('Service Days per Month'!BI$6:BI$7)</f>
        <v>135.06363075234896</v>
      </c>
      <c r="BJ28" s="18">
        <f>'Total Sunday-Holiday Boardings'!BJ28/SUM('Service Days per Month'!BJ$6:BJ$7)</f>
        <v>163.71428571428572</v>
      </c>
      <c r="BK28" s="18">
        <f>'Total Sunday-Holiday Boardings'!BK28/SUM('Service Days per Month'!BK$6:BK$7)</f>
        <v>180.83333333333334</v>
      </c>
      <c r="BL28" s="18">
        <f>'Total Sunday-Holiday Boardings'!BL28/SUM('Service Days per Month'!BL$6:BL$7)</f>
        <v>212</v>
      </c>
      <c r="BM28" s="18">
        <f>'Total Sunday-Holiday Boardings'!BM28/SUM('Service Days per Month'!BM$6:BM$7)</f>
        <v>207.2</v>
      </c>
      <c r="BN28" s="18">
        <f>'Total Sunday-Holiday Boardings'!BN28/SUM('Service Days per Month'!BN$6:BN$7)</f>
        <v>198</v>
      </c>
      <c r="BO28" s="18">
        <f>'Total Sunday-Holiday Boardings'!BO28/SUM('Service Days per Month'!BO$6:BO$7)</f>
        <v>190</v>
      </c>
      <c r="BP28" s="19">
        <f>'Total Sunday-Holiday Boardings'!BP28/SUM('Service Days per Month'!BP$6:BP$7)</f>
        <v>198.8</v>
      </c>
      <c r="BQ28" s="17">
        <f>'Total Sunday-Holiday Boardings'!BQ28/SUM('Service Days per Month'!BQ$6:BQ$7)</f>
        <v>179</v>
      </c>
      <c r="BR28" s="18">
        <f>'Total Sunday-Holiday Boardings'!BR28/SUM('Service Days per Month'!BR$6:BR$7)</f>
        <v>181</v>
      </c>
      <c r="BS28" s="18">
        <f>'Total Sunday-Holiday Boardings'!BS28/SUM('Service Days per Month'!BS$6:BS$7)</f>
        <v>186.8</v>
      </c>
      <c r="BT28" s="18">
        <f>'Total Sunday-Holiday Boardings'!BT28/SUM('Service Days per Month'!BT$6:BT$7)</f>
        <v>180.5</v>
      </c>
      <c r="BU28" s="18">
        <f>'Total Sunday-Holiday Boardings'!BU28/SUM('Service Days per Month'!BU$6:BU$7)</f>
        <v>177.25</v>
      </c>
      <c r="BV28" s="18">
        <f>'Total Sunday-Holiday Boardings'!BV28/SUM('Service Days per Month'!BV$6:BV$7)</f>
        <v>168.5</v>
      </c>
      <c r="BW28" s="18">
        <f>'Total Sunday-Holiday Boardings'!BW28/SUM('Service Days per Month'!BW$6:BW$7)</f>
        <v>189.33333333333334</v>
      </c>
      <c r="BX28" s="18">
        <f>'Total Sunday-Holiday Boardings'!BX28/SUM('Service Days per Month'!BX$6:BX$7)</f>
        <v>202</v>
      </c>
      <c r="BY28" s="18">
        <f>'Total Sunday-Holiday Boardings'!BY28/SUM('Service Days per Month'!BY$6:BY$7)</f>
        <v>193</v>
      </c>
      <c r="BZ28" s="18">
        <f>'Total Sunday-Holiday Boardings'!BZ28/SUM('Service Days per Month'!BZ$6:BZ$7)</f>
        <v>187.25</v>
      </c>
      <c r="CA28" s="18">
        <f>'Total Sunday-Holiday Boardings'!CA28/SUM('Service Days per Month'!CA$6:CA$7)</f>
        <v>177.83333333333334</v>
      </c>
      <c r="CB28" s="19">
        <f>'Total Sunday-Holiday Boardings'!CB28/SUM('Service Days per Month'!CB$6:CB$7)</f>
        <v>167.5</v>
      </c>
      <c r="CC28" s="20">
        <f>'Total Sunday-Holiday Boardings'!CC28/SUM('Service Days per Month'!CC$6:CC$7)</f>
        <v>189.6</v>
      </c>
      <c r="CD28" s="18">
        <f>'Total Sunday-Holiday Boardings'!CD28/SUM('Service Days per Month'!CD$6:CD$7)</f>
        <v>169.8</v>
      </c>
      <c r="CE28" s="18">
        <f>'Total Sunday-Holiday Boardings'!CE28/SUM('Service Days per Month'!CE$6:CE$7)</f>
        <v>195.6</v>
      </c>
      <c r="CF28" s="18">
        <f>'Total Sunday-Holiday Boardings'!CF28/SUM('Service Days per Month'!CF$6:CF$7)</f>
        <v>219.75</v>
      </c>
      <c r="CG28" s="18">
        <f>'Total Sunday-Holiday Boardings'!CG28/SUM('Service Days per Month'!CG$6:CG$7)</f>
        <v>206.125</v>
      </c>
      <c r="CH28" s="18">
        <f>'Total Sunday-Holiday Boardings'!CH28/SUM('Service Days per Month'!CH$6:CH$7)</f>
        <v>190</v>
      </c>
      <c r="CI28" s="18">
        <f>'Total Sunday-Holiday Boardings'!CI28/SUM('Service Days per Month'!CI$6:CI$7)</f>
        <v>224.42857142857142</v>
      </c>
      <c r="CJ28" s="18">
        <f>'Total Sunday-Holiday Boardings'!CJ28/SUM('Service Days per Month'!CJ$6:CJ$7)</f>
        <v>218.4</v>
      </c>
      <c r="CK28" s="18">
        <f>'Total Sunday-Holiday Boardings'!CK28/SUM('Service Days per Month'!CK$6:CK$7)</f>
        <v>222</v>
      </c>
      <c r="CL28" s="18">
        <f>'Total Sunday-Holiday Boardings'!CL28/SUM('Service Days per Month'!CL$6:CL$7)</f>
        <v>220.5</v>
      </c>
      <c r="CM28" s="18">
        <f>'Total Sunday-Holiday Boardings'!CM28/SUM('Service Days per Month'!CM$6:CM$7)</f>
        <v>199</v>
      </c>
      <c r="CN28" s="21">
        <f>'Total Sunday-Holiday Boardings'!CN28/SUM('Service Days per Month'!CN$6:CN$7)</f>
        <v>191.5</v>
      </c>
      <c r="CO28" s="17">
        <f>'Total Sunday-Holiday Boardings'!CO28/SUM('Service Days per Month'!CO$6:CO$7)</f>
        <v>199.66666666666666</v>
      </c>
      <c r="CP28" s="18">
        <f>'Total Sunday-Holiday Boardings'!CP28/SUM('Service Days per Month'!CP$6:CP$7)</f>
        <v>206.5</v>
      </c>
      <c r="CQ28" s="18">
        <f>'Total Sunday-Holiday Boardings'!CQ28/SUM('Service Days per Month'!CQ$6:CQ$7)</f>
        <v>215</v>
      </c>
      <c r="CR28" s="18">
        <f>'Total Sunday-Holiday Boardings'!CR28/SUM('Service Days per Month'!CR$6:CR$7)</f>
        <v>234.8</v>
      </c>
      <c r="CS28" s="18">
        <f>'Total Sunday-Holiday Boardings'!CS28/SUM('Service Days per Month'!CS$6:CS$7)</f>
        <v>308.57142857142856</v>
      </c>
      <c r="CT28" s="18">
        <f>'Total Sunday-Holiday Boardings'!CT28/SUM('Service Days per Month'!CT$6:CT$7)</f>
        <v>314.33333333333331</v>
      </c>
      <c r="CU28" s="18">
        <f>'Total Sunday-Holiday Boardings'!CU28/SUM('Service Days per Month'!CU$6:CU$7)</f>
        <v>259.42857142857144</v>
      </c>
      <c r="CV28" s="18">
        <f>'Total Sunday-Holiday Boardings'!CV28/SUM('Service Days per Month'!CV$6:CV$7)</f>
        <v>266.8</v>
      </c>
      <c r="CW28" s="18">
        <f>'Total Sunday-Holiday Boardings'!CW28/SUM('Service Days per Month'!CW$6:CW$7)</f>
        <v>217.75</v>
      </c>
      <c r="CX28" s="18">
        <f>'Total Sunday-Holiday Boardings'!CX28/SUM('Service Days per Month'!CX$6:CX$7)</f>
        <v>284.8</v>
      </c>
      <c r="CY28" s="18">
        <f>'Total Sunday-Holiday Boardings'!CY28/SUM('Service Days per Month'!CY$6:CY$7)</f>
        <v>181.8</v>
      </c>
      <c r="CZ28" s="19">
        <f>'Total Sunday-Holiday Boardings'!CZ28/SUM('Service Days per Month'!CZ$6:CZ$7)</f>
        <v>189</v>
      </c>
      <c r="DA28" s="17">
        <f>'Total Sunday-Holiday Boardings'!DA28/SUM('Service Days per Month'!DA$6:DA$7)</f>
        <v>191.83333333333334</v>
      </c>
      <c r="DB28" s="18">
        <f>'Total Sunday-Holiday Boardings'!DB28/SUM('Service Days per Month'!DB$6:DB$7)</f>
        <v>191.25</v>
      </c>
      <c r="DC28" s="18">
        <f>'Total Sunday-Holiday Boardings'!DC28/SUM('Service Days per Month'!DC$6:DC$7)</f>
        <v>189.8</v>
      </c>
      <c r="DD28" s="18">
        <f>'Total Sunday-Holiday Boardings'!DD28/SUM('Service Days per Month'!DD$6:DD$7)</f>
        <v>208.4</v>
      </c>
      <c r="DE28" s="18">
        <f>'Total Sunday-Holiday Boardings'!DE28/SUM('Service Days per Month'!DE$6:DE$7)</f>
        <v>217.28571428571428</v>
      </c>
      <c r="DF28" s="18">
        <f>'Total Sunday-Holiday Boardings'!DF28/SUM('Service Days per Month'!DF$6:DF$7)</f>
        <v>202.66666666666666</v>
      </c>
      <c r="DG28" s="18">
        <f>'Total Sunday-Holiday Boardings'!DG28/SUM('Service Days per Month'!DG$6:DG$7)</f>
        <v>250.83333333333334</v>
      </c>
      <c r="DH28" s="18">
        <f>'Total Sunday-Holiday Boardings'!DH28/SUM('Service Days per Month'!DH$6:DH$7)</f>
        <v>263.2</v>
      </c>
      <c r="DI28" s="18">
        <f>'Total Sunday-Holiday Boardings'!DI28/SUM('Service Days per Month'!DI$6:DI$7)</f>
        <v>234.75</v>
      </c>
      <c r="DJ28" s="18">
        <f>'Total Sunday-Holiday Boardings'!DJ28/SUM('Service Days per Month'!DJ$6:DJ$7)</f>
        <v>221.8</v>
      </c>
      <c r="DK28" s="18">
        <f>'Total Sunday-Holiday Boardings'!DK28/SUM('Service Days per Month'!DK$6:DK$7)</f>
        <v>232.2</v>
      </c>
      <c r="DL28" s="19">
        <f>'Total Sunday-Holiday Boardings'!DL28/SUM('Service Days per Month'!DL$6:DL$7)</f>
        <v>208.25</v>
      </c>
      <c r="DM28" s="17">
        <f>'Total Sunday-Holiday Boardings'!DM28/('Service Days per Month'!DM$6+'Service Days per Month'!DM$7)</f>
        <v>236.83333333333334</v>
      </c>
      <c r="DN28" s="18">
        <f>'Total Sunday-Holiday Boardings'!DN28/('Service Days per Month'!DN$6+'Service Days per Month'!DN$7)</f>
        <v>214</v>
      </c>
      <c r="DO28" s="18">
        <f>'Total Sunday-Holiday Boardings'!DO28/('Service Days per Month'!DO$6+'Service Days per Month'!DO$7)</f>
        <v>214.16666666666666</v>
      </c>
      <c r="DP28" s="18">
        <f>'Total Sunday-Holiday Boardings'!DP28/('Service Days per Month'!DP$6+'Service Days per Month'!DP$7)</f>
        <v>211</v>
      </c>
      <c r="DQ28" s="18">
        <f>'Total Sunday-Holiday Boardings'!DQ28/('Service Days per Month'!DQ$6+'Service Days per Month'!DQ$7)</f>
        <v>213.8</v>
      </c>
      <c r="DR28" s="18">
        <f>'Total Sunday-Holiday Boardings'!DR28/('Service Days per Month'!DR$6+'Service Days per Month'!DR$7)</f>
        <v>201.66666666666666</v>
      </c>
      <c r="DS28" s="18">
        <f>'Total Sunday-Holiday Boardings'!DS28/('Service Days per Month'!DS$6+'Service Days per Month'!DS$7)</f>
        <v>224</v>
      </c>
      <c r="DT28" s="18">
        <f>'Total Sunday-Holiday Boardings'!DT28/('Service Days per Month'!DT$6+'Service Days per Month'!DT$7)</f>
        <v>211.5</v>
      </c>
      <c r="DU28" s="18">
        <f>'Total Sunday-Holiday Boardings'!DU28/('Service Days per Month'!DU$6+'Service Days per Month'!DU$7)</f>
        <v>217.6</v>
      </c>
      <c r="DV28" s="18">
        <f>'Total Sunday-Holiday Boardings'!DV28/('Service Days per Month'!DV$6+'Service Days per Month'!DV$7)</f>
        <v>192.25</v>
      </c>
      <c r="DW28" s="18">
        <f>'Total Sunday-Holiday Boardings'!DW28/('Service Days per Month'!DW$6+'Service Days per Month'!DW$7)</f>
        <v>180.8</v>
      </c>
      <c r="DX28" s="18">
        <f>'Total Sunday-Holiday Boardings'!DX28/('Service Days per Month'!DX$6+'Service Days per Month'!DX$7)</f>
        <v>174.4</v>
      </c>
      <c r="DY28" s="17">
        <f>'Total Sunday-Holiday Boardings'!DY28/('Service Days per Month'!DY$6+'Service Days per Month'!DY$7)</f>
        <v>165.6</v>
      </c>
      <c r="DZ28" s="18">
        <f>'Total Sunday-Holiday Boardings'!DZ28/('Service Days per Month'!DZ$6+'Service Days per Month'!DZ$7)</f>
        <v>154.25</v>
      </c>
      <c r="EA28" s="18">
        <f>'Total Sunday-Holiday Boardings'!EA28/('Service Days per Month'!EA$6+'Service Days per Month'!EA$7)</f>
        <v>180.33333333333334</v>
      </c>
      <c r="EB28" s="18">
        <f>'Total Sunday-Holiday Boardings'!EB28/('Service Days per Month'!EB$6+'Service Days per Month'!EB$7)</f>
        <v>207.25</v>
      </c>
      <c r="EC28" s="18">
        <f>'Total Sunday-Holiday Boardings'!EC28/('Service Days per Month'!EC$6+'Service Days per Month'!EC$7)</f>
        <v>190.2</v>
      </c>
      <c r="ED28" s="18">
        <f>'Total Sunday-Holiday Boardings'!ED28/('Service Days per Month'!ED$6+'Service Days per Month'!ED$7)</f>
        <v>166.5</v>
      </c>
      <c r="EE28" s="18">
        <f>'Total Sunday-Holiday Boardings'!EE28/('Service Days per Month'!EE$6+'Service Days per Month'!EE$7)</f>
        <v>233.25</v>
      </c>
      <c r="EF28" s="18">
        <f>'Total Sunday-Holiday Boardings'!EF28/('Service Days per Month'!EF$6+'Service Days per Month'!EF$7)</f>
        <v>198.75</v>
      </c>
      <c r="EG28" s="18">
        <f>'Total Sunday-Holiday Boardings'!EG28/('Service Days per Month'!EG$6+'Service Days per Month'!EG$7)</f>
        <v>187.4</v>
      </c>
      <c r="EH28" s="18">
        <f>'Total Sunday-Holiday Boardings'!EH28/('Service Days per Month'!EH$6+'Service Days per Month'!EH$7)</f>
        <v>133.25</v>
      </c>
      <c r="EI28" s="18">
        <f>'Total Sunday-Holiday Boardings'!EI28/('Service Days per Month'!EI$6+'Service Days per Month'!EI$7)</f>
        <v>119.5</v>
      </c>
      <c r="EJ28" s="18">
        <f>'Total Sunday-Holiday Boardings'!EJ28/('Service Days per Month'!EJ$6+'Service Days per Month'!EJ$7)</f>
        <v>100.75</v>
      </c>
      <c r="EK28" s="17">
        <f>'Total Sunday-Holiday Boardings'!EK28/('Service Days per Month'!EK$6+'Service Days per Month'!EK$7)</f>
        <v>99</v>
      </c>
      <c r="EL28" s="18">
        <f>'Total Sunday-Holiday Boardings'!EL28/('Service Days per Month'!EL$6+'Service Days per Month'!EL$7)</f>
        <v>93.2</v>
      </c>
      <c r="EM28" s="18">
        <f>'Total Sunday-Holiday Boardings'!EM28/('Service Days per Month'!EM$6+'Service Days per Month'!EM$7)</f>
        <v>87.8</v>
      </c>
      <c r="EN28" s="18">
        <f>'Total Sunday-Holiday Boardings'!EN28/('Service Days per Month'!EN$6+'Service Days per Month'!EN$7)</f>
        <v>89.75</v>
      </c>
      <c r="EO28" s="18">
        <f>'Total Sunday-Holiday Boardings'!EO28/('Service Days per Month'!EO$6+'Service Days per Month'!EO$7)</f>
        <v>83.666666666666671</v>
      </c>
      <c r="EP28" s="18">
        <f>'Total Sunday-Holiday Boardings'!EP28/('Service Days per Month'!EP$6+'Service Days per Month'!EP$7)</f>
        <v>57</v>
      </c>
      <c r="EQ28" s="18">
        <f>'Total Sunday-Holiday Boardings'!EQ28/('Service Days per Month'!EQ$6+'Service Days per Month'!EQ$7)</f>
        <v>41.2</v>
      </c>
      <c r="ER28" s="18">
        <f>'Total Sunday-Holiday Boardings'!ER28/('Service Days per Month'!ER$6+'Service Days per Month'!ER$7)</f>
        <v>98.75</v>
      </c>
      <c r="ES28" s="18">
        <f>'Total Sunday-Holiday Boardings'!ES28/('Service Days per Month'!ES$6+'Service Days per Month'!ES$7)</f>
        <v>99</v>
      </c>
      <c r="ET28" s="18">
        <f>'Total Sunday-Holiday Boardings'!ET28/('Service Days per Month'!ET$6+'Service Days per Month'!ET$7)</f>
        <v>111.25</v>
      </c>
      <c r="EU28" s="18">
        <f>'Total Sunday-Holiday Boardings'!EU28/('Service Days per Month'!EU$6+'Service Days per Month'!EU$7)</f>
        <v>87.666666666666671</v>
      </c>
      <c r="EV28" s="18">
        <f>'Total Sunday-Holiday Boardings'!EV28/('Service Days per Month'!EV$6+'Service Days per Month'!EV$7)</f>
        <v>115.5</v>
      </c>
      <c r="EW28" s="17">
        <f>'Total Sunday-Holiday Boardings'!EW28/('Service Days per Month'!EW$6+'Service Days per Month'!EW$7)</f>
        <v>119.8</v>
      </c>
      <c r="EX28" s="18">
        <f>'Total Sunday-Holiday Boardings'!EX28/('Service Days per Month'!EX$6+'Service Days per Month'!EX$7)</f>
        <v>130.19999999999999</v>
      </c>
      <c r="EY28" s="18">
        <f>'Total Sunday-Holiday Boardings'!EY28/('Service Days per Month'!EY$6+'Service Days per Month'!EY$7)</f>
        <v>99.4</v>
      </c>
      <c r="EZ28" s="18">
        <f>'Total Sunday-Holiday Boardings'!EZ28/('Service Days per Month'!EZ$6+'Service Days per Month'!EZ$7)</f>
        <v>120</v>
      </c>
      <c r="FA28" s="18">
        <f>'Total Sunday-Holiday Boardings'!FA28/('Service Days per Month'!FA$6+'Service Days per Month'!FA$7)</f>
        <v>104.6</v>
      </c>
      <c r="FB28" s="18">
        <f>'Total Sunday-Holiday Boardings'!FB28/('Service Days per Month'!FB$6+'Service Days per Month'!FB$7)</f>
        <v>138.6</v>
      </c>
      <c r="FC28" s="18">
        <f>'Total Sunday-Holiday Boardings'!FC28/('Service Days per Month'!FC$6+'Service Days per Month'!FC$7)</f>
        <v>107.6</v>
      </c>
      <c r="FD28" s="18">
        <f>'Total Sunday-Holiday Boardings'!FD28/('Service Days per Month'!FD$6+'Service Days per Month'!FD$7)</f>
        <v>131.5</v>
      </c>
      <c r="FE28" s="18">
        <f>'Total Sunday-Holiday Boardings'!FE28/('Service Days per Month'!FE$6+'Service Days per Month'!FE$7)</f>
        <v>152.25</v>
      </c>
      <c r="FF28" s="18">
        <f>'Total Sunday-Holiday Boardings'!FF28/('Service Days per Month'!FF$6+'Service Days per Month'!FF$7)</f>
        <v>218.5</v>
      </c>
      <c r="FG28" s="18">
        <f>'Total Sunday-Holiday Boardings'!FG28/('Service Days per Month'!FG$6+'Service Days per Month'!FG$7)</f>
        <v>206.66666666666666</v>
      </c>
      <c r="FH28" s="18">
        <f>'Total Sunday-Holiday Boardings'!FH28/('Service Days per Month'!FH$6+'Service Days per Month'!FH$7)</f>
        <v>163</v>
      </c>
      <c r="FI28" s="17">
        <v>108.16666666666667</v>
      </c>
      <c r="FJ28" s="18">
        <v>136.5</v>
      </c>
      <c r="FK28" s="18">
        <v>113.6</v>
      </c>
      <c r="FL28" s="18">
        <v>124.4</v>
      </c>
      <c r="FM28" s="18">
        <v>111.8</v>
      </c>
      <c r="FN28" s="18">
        <v>126</v>
      </c>
      <c r="FO28" s="18">
        <v>135.80000000000001</v>
      </c>
      <c r="FP28" s="18">
        <v>128.75</v>
      </c>
      <c r="FQ28" s="18">
        <v>159.25</v>
      </c>
      <c r="FR28" s="18">
        <f>'Total Sunday-Holiday Boardings'!FR28/5</f>
        <v>148.19999999999999</v>
      </c>
      <c r="FS28" s="18">
        <f>'Total Sunday-Holiday Boardings'!FS28/5</f>
        <v>144</v>
      </c>
      <c r="FT28" s="21">
        <f>'Total Sunday-Holiday Boardings'!FT28/4</f>
        <v>148.25</v>
      </c>
      <c r="FU28" s="18">
        <f>'Total Sunday-Holiday Boardings'!FU28/5</f>
        <v>173.4</v>
      </c>
      <c r="FV28" s="18">
        <f>'Total Sunday-Holiday Boardings'!FV28/4</f>
        <v>204.25</v>
      </c>
      <c r="FW28" s="18">
        <f>'Total Sunday-Holiday Boardings'!FW28/4</f>
        <v>184</v>
      </c>
      <c r="FX28" s="18">
        <f>'Total Sunday-Holiday Boardings'!FX28/5</f>
        <v>146</v>
      </c>
      <c r="FY28" s="18">
        <f>'Total Sunday-Holiday Boardings'!FY28/4</f>
        <v>187.75</v>
      </c>
      <c r="FZ28" s="18">
        <f>'Total Sunday-Holiday Boardings'!FZ28/5</f>
        <v>148.19999999999999</v>
      </c>
      <c r="GA28" s="18">
        <f>'Total Sunday-Holiday Boardings'!GA28/4</f>
        <v>203</v>
      </c>
      <c r="GB28" s="18">
        <f>'Total Sunday-Holiday Boardings'!GB28/4</f>
        <v>167.25</v>
      </c>
      <c r="GC28" s="18">
        <f>'Total Sunday-Holiday Boardings'!GC28/5</f>
        <v>158.4</v>
      </c>
      <c r="GD28" s="18">
        <f>'Total Sunday-Holiday Boardings'!GD28/4</f>
        <v>177.25</v>
      </c>
      <c r="GE28" s="18">
        <f>'Total Sunday-Holiday Boardings'!GE28/4</f>
        <v>207.5</v>
      </c>
      <c r="GF28" s="18">
        <f>'Total Sunday-Holiday Boardings'!GF28/5</f>
        <v>173.8</v>
      </c>
      <c r="GG28" s="18">
        <f>'Total Sunday-Holiday Boardings'!GG28/4</f>
        <v>177.75</v>
      </c>
      <c r="GH28" s="18">
        <f>'Total Sunday-Holiday Boardings'!GH28/4</f>
        <v>157.75</v>
      </c>
      <c r="GI28" s="18">
        <f>'Total Sunday-Holiday Boardings'!GI28/5</f>
        <v>182.2</v>
      </c>
      <c r="GJ28" s="18">
        <f>'Total Sunday-Holiday Boardings'!GJ28/4</f>
        <v>151.5</v>
      </c>
      <c r="GK28" s="18">
        <f>'Total Sunday-Holiday Boardings'!GK28/4</f>
        <v>156.5</v>
      </c>
      <c r="GL28" s="18">
        <f>'Total Sunday-Holiday Boardings'!GL28/5</f>
        <v>148.19999999999999</v>
      </c>
    </row>
    <row r="29" spans="1:194" x14ac:dyDescent="0.3">
      <c r="A29" s="3" t="s">
        <v>42</v>
      </c>
      <c r="B29" s="17"/>
      <c r="C29" s="18">
        <f>'Total Sunday-Holiday Boardings'!C29/SUM('Service Days per Month'!C$6:C$7)</f>
        <v>461.2</v>
      </c>
      <c r="D29" s="18">
        <f>'Total Sunday-Holiday Boardings'!D29/SUM('Service Days per Month'!D$6:D$7)</f>
        <v>202.75</v>
      </c>
      <c r="E29" s="18">
        <f>'Total Sunday-Holiday Boardings'!E29/SUM('Service Days per Month'!E$6:E$7)</f>
        <v>191.4</v>
      </c>
      <c r="F29" s="18">
        <f>'Total Sunday-Holiday Boardings'!F29/SUM('Service Days per Month'!F$6:F$7)</f>
        <v>141.80000000000001</v>
      </c>
      <c r="G29" s="18">
        <f>'Total Sunday-Holiday Boardings'!G29/SUM('Service Days per Month'!G$6:G$7)</f>
        <v>184.66666666666666</v>
      </c>
      <c r="H29" s="19">
        <f>'Total Sunday-Holiday Boardings'!H29/SUM('Service Days per Month'!H$6:H$7)</f>
        <v>164.5</v>
      </c>
      <c r="I29" s="17">
        <f>'Total Sunday-Holiday Boardings'!I29/SUM('Service Days per Month'!I$6:I$7)</f>
        <v>221</v>
      </c>
      <c r="J29" s="18">
        <f>'Total Sunday-Holiday Boardings'!J29/SUM('Service Days per Month'!J$6:J$7)</f>
        <v>182.6</v>
      </c>
      <c r="K29" s="18">
        <f>'Total Sunday-Holiday Boardings'!K29/SUM('Service Days per Month'!K$6:K$7)</f>
        <v>193.8</v>
      </c>
      <c r="L29" s="18">
        <f>'Total Sunday-Holiday Boardings'!L29/SUM('Service Days per Month'!L$6:L$7)</f>
        <v>222.75</v>
      </c>
      <c r="M29" s="18">
        <f>'Total Sunday-Holiday Boardings'!M29/SUM('Service Days per Month'!M$6:M$7)</f>
        <v>343.66666666666669</v>
      </c>
      <c r="N29" s="18">
        <f>'Total Sunday-Holiday Boardings'!N29/SUM('Service Days per Month'!N$6:N$7)</f>
        <v>216</v>
      </c>
      <c r="O29" s="79">
        <f>'Total Sunday-Holiday Boardings'!O29/SUM('Service Days per Month'!O$6:O$7)</f>
        <v>264.83333333333331</v>
      </c>
      <c r="P29" s="79">
        <f>'Total Sunday-Holiday Boardings'!P29/SUM('Service Days per Month'!P$6:P$7)</f>
        <v>294</v>
      </c>
      <c r="Q29" s="79">
        <f>'Total Sunday-Holiday Boardings'!Q29/SUM('Service Days per Month'!Q$6:Q$7)</f>
        <v>259.75</v>
      </c>
      <c r="R29" s="79">
        <f>'Total Sunday-Holiday Boardings'!R29/SUM('Service Days per Month'!R$6:R$7)</f>
        <v>222</v>
      </c>
      <c r="S29" s="79">
        <f>'Total Sunday-Holiday Boardings'!S29/SUM('Service Days per Month'!S$6:S$7)</f>
        <v>209.5</v>
      </c>
      <c r="T29" s="80">
        <f>'Total Sunday-Holiday Boardings'!T29/SUM('Service Days per Month'!T$6:T$7)</f>
        <v>195.25</v>
      </c>
      <c r="U29" s="81">
        <f>'Total Sunday-Holiday Boardings'!U29/SUM('Service Days per Month'!U$6:U$7)</f>
        <v>178.2</v>
      </c>
      <c r="V29" s="79">
        <f>'Total Sunday-Holiday Boardings'!V29/SUM('Service Days per Month'!V$6:V$7)</f>
        <v>227.8</v>
      </c>
      <c r="W29" s="79">
        <f>'Total Sunday-Holiday Boardings'!W29/SUM('Service Days per Month'!W$6:W$7)</f>
        <v>228</v>
      </c>
      <c r="X29" s="79">
        <f>'Total Sunday-Holiday Boardings'!X29/SUM('Service Days per Month'!X$6:X$7)</f>
        <v>265</v>
      </c>
      <c r="Y29" s="79">
        <f>'Total Sunday-Holiday Boardings'!Y29/SUM('Service Days per Month'!Y$6:Y$7)</f>
        <v>294.14285714285717</v>
      </c>
      <c r="Z29" s="79">
        <f>'Total Sunday-Holiday Boardings'!Z29/SUM('Service Days per Month'!Z$6:Z$7)</f>
        <v>145.85714285714286</v>
      </c>
      <c r="AA29" s="18">
        <f>'Total Sunday-Holiday Boardings'!AA29/SUM('Service Days per Month'!AA$6:AA$7)</f>
        <v>235.83333333333334</v>
      </c>
      <c r="AB29" s="18">
        <f>'Total Sunday-Holiday Boardings'!AB29/SUM('Service Days per Month'!AB$6:AB$7)</f>
        <v>281.2</v>
      </c>
      <c r="AC29" s="18">
        <f>'Total Sunday-Holiday Boardings'!AC29/SUM('Service Days per Month'!AC$6:AC$7)</f>
        <v>294.5</v>
      </c>
      <c r="AD29" s="18">
        <f>'Total Sunday-Holiday Boardings'!AD29/SUM('Service Days per Month'!AD$6:AD$7)</f>
        <v>254.75</v>
      </c>
      <c r="AE29" s="18">
        <f>'Total Sunday-Holiday Boardings'!AE29/SUM('Service Days per Month'!AE$6:AE$7)</f>
        <v>242.83333333333334</v>
      </c>
      <c r="AF29" s="19">
        <f>'Total Sunday-Holiday Boardings'!AF29/SUM('Service Days per Month'!AF$6:AF$7)</f>
        <v>210.75</v>
      </c>
      <c r="AG29" s="17">
        <f>'Total Sunday-Holiday Boardings'!AG29/SUM('Service Days per Month'!AG$6:AG$7)</f>
        <v>237.33333333333334</v>
      </c>
      <c r="AH29" s="18">
        <f>'Total Sunday-Holiday Boardings'!AH29/SUM('Service Days per Month'!AH$6:AH$7)</f>
        <v>216.5</v>
      </c>
      <c r="AI29" s="18">
        <f>'Total Sunday-Holiday Boardings'!AI29/SUM('Service Days per Month'!AI$6:AI$7)</f>
        <v>236.4</v>
      </c>
      <c r="AJ29" s="18">
        <f>'Total Sunday-Holiday Boardings'!AJ29/SUM('Service Days per Month'!AJ$6:AJ$7)</f>
        <v>266.39999999999998</v>
      </c>
      <c r="AK29" s="18">
        <f>'Total Sunday-Holiday Boardings'!AK29/SUM('Service Days per Month'!AK$6:AK$7)</f>
        <v>278.57142857142856</v>
      </c>
      <c r="AL29" s="18">
        <f>'Total Sunday-Holiday Boardings'!AL29/SUM('Service Days per Month'!AL$6:AL$7)</f>
        <v>201</v>
      </c>
      <c r="AM29" s="18">
        <f>'Total Sunday-Holiday Boardings'!AM29/SUM('Service Days per Month'!AM$6:AM$7)</f>
        <v>253</v>
      </c>
      <c r="AN29" s="18">
        <f>'Total Sunday-Holiday Boardings'!AN29/SUM('Service Days per Month'!AN$6:AN$7)</f>
        <v>291.39999999999998</v>
      </c>
      <c r="AO29" s="18">
        <f>'Total Sunday-Holiday Boardings'!AO29/SUM('Service Days per Month'!AO$6:AO$7)</f>
        <v>283</v>
      </c>
      <c r="AP29" s="18">
        <f>'Total Sunday-Holiday Boardings'!AP29/SUM('Service Days per Month'!AP$6:AP$7)</f>
        <v>308</v>
      </c>
      <c r="AQ29" s="18">
        <f>'Total Sunday-Holiday Boardings'!AQ29/SUM('Service Days per Month'!AQ$6:AQ$7)</f>
        <v>277.60000000000002</v>
      </c>
      <c r="AR29" s="19">
        <f>'Total Sunday-Holiday Boardings'!AR29/SUM('Service Days per Month'!AR$6:AR$7)</f>
        <v>277.75</v>
      </c>
      <c r="AS29" s="17">
        <f>'Total Sunday-Holiday Boardings'!AS29/SUM('Service Days per Month'!AS$6:AS$7)</f>
        <v>316.33333333333331</v>
      </c>
      <c r="AT29" s="18">
        <f>'Total Sunday-Holiday Boardings'!AT29/SUM('Service Days per Month'!AT$6:AT$7)</f>
        <v>289</v>
      </c>
      <c r="AU29" s="18">
        <f>'Total Sunday-Holiday Boardings'!AU29/SUM('Service Days per Month'!AU$6:AU$7)</f>
        <v>288.83333333333331</v>
      </c>
      <c r="AV29" s="18">
        <f>'Total Sunday-Holiday Boardings'!AV29/SUM('Service Days per Month'!AV$6:AV$7)</f>
        <v>339.25</v>
      </c>
      <c r="AW29" s="18">
        <f>'Total Sunday-Holiday Boardings'!AW29/SUM('Service Days per Month'!AW$6:AW$7)</f>
        <v>297.71428571428572</v>
      </c>
      <c r="AX29" s="18">
        <f>'Total Sunday-Holiday Boardings'!AX29/SUM('Service Days per Month'!AX$6:AX$7)</f>
        <v>275.28571428571428</v>
      </c>
      <c r="AY29" s="18">
        <f>'Total Sunday-Holiday Boardings'!AY29/SUM('Service Days per Month'!AY$6:AY$7)</f>
        <v>312.16666666666669</v>
      </c>
      <c r="AZ29" s="18">
        <f>'Total Sunday-Holiday Boardings'!AZ29/SUM('Service Days per Month'!AZ$6:AZ$7)</f>
        <v>370</v>
      </c>
      <c r="BA29" s="18">
        <f>'Total Sunday-Holiday Boardings'!BA29/SUM('Service Days per Month'!BA$6:BA$7)</f>
        <v>376.8</v>
      </c>
      <c r="BB29" s="18">
        <f>'Total Sunday-Holiday Boardings'!BB29/SUM('Service Days per Month'!BB$6:BB$7)</f>
        <v>346</v>
      </c>
      <c r="BC29" s="18">
        <f>'Total Sunday-Holiday Boardings'!BC29/SUM('Service Days per Month'!BC$6:BC$7)</f>
        <v>354</v>
      </c>
      <c r="BD29" s="19">
        <f>'Total Sunday-Holiday Boardings'!BD29/SUM('Service Days per Month'!BD$6:BD$7)</f>
        <v>305.8</v>
      </c>
      <c r="BE29" s="17">
        <f>'Total Sunday-Holiday Boardings'!BE29/SUM('Service Days per Month'!BE$6:BE$7)</f>
        <v>319.8</v>
      </c>
      <c r="BF29" s="18">
        <f>'Total Sunday-Holiday Boardings'!BF29/SUM('Service Days per Month'!BF$6:BF$7)</f>
        <v>307.25</v>
      </c>
      <c r="BG29" s="18">
        <f>'Total Sunday-Holiday Boardings'!BG29/SUM('Service Days per Month'!BG$6:BG$7)</f>
        <v>329</v>
      </c>
      <c r="BH29" s="18">
        <f>'Total Sunday-Holiday Boardings'!BH29/SUM('Service Days per Month'!BH$6:BH$7)</f>
        <v>350.75</v>
      </c>
      <c r="BI29" s="18">
        <f>'Total Sunday-Holiday Boardings'!BI29/SUM('Service Days per Month'!BI$6:BI$7)</f>
        <v>330.1523763802208</v>
      </c>
      <c r="BJ29" s="18">
        <f>'Total Sunday-Holiday Boardings'!BJ29/SUM('Service Days per Month'!BJ$6:BJ$7)</f>
        <v>333.71428571428572</v>
      </c>
      <c r="BK29" s="18">
        <f>'Total Sunday-Holiday Boardings'!BK29/SUM('Service Days per Month'!BK$6:BK$7)</f>
        <v>379.83333333333331</v>
      </c>
      <c r="BL29" s="18">
        <f>'Total Sunday-Holiday Boardings'!BL29/SUM('Service Days per Month'!BL$6:BL$7)</f>
        <v>379.2</v>
      </c>
      <c r="BM29" s="18">
        <f>'Total Sunday-Holiday Boardings'!BM29/SUM('Service Days per Month'!BM$6:BM$7)</f>
        <v>368.8</v>
      </c>
      <c r="BN29" s="18">
        <f>'Total Sunday-Holiday Boardings'!BN29/SUM('Service Days per Month'!BN$6:BN$7)</f>
        <v>357.25</v>
      </c>
      <c r="BO29" s="18">
        <f>'Total Sunday-Holiday Boardings'!BO29/SUM('Service Days per Month'!BO$6:BO$7)</f>
        <v>323.2</v>
      </c>
      <c r="BP29" s="19">
        <f>'Total Sunday-Holiday Boardings'!BP29/SUM('Service Days per Month'!BP$6:BP$7)</f>
        <v>308</v>
      </c>
      <c r="BQ29" s="17">
        <f>'Total Sunday-Holiday Boardings'!BQ29/SUM('Service Days per Month'!BQ$6:BQ$7)</f>
        <v>362</v>
      </c>
      <c r="BR29" s="18">
        <f>'Total Sunday-Holiday Boardings'!BR29/SUM('Service Days per Month'!BR$6:BR$7)</f>
        <v>342</v>
      </c>
      <c r="BS29" s="18">
        <f>'Total Sunday-Holiday Boardings'!BS29/SUM('Service Days per Month'!BS$6:BS$7)</f>
        <v>356</v>
      </c>
      <c r="BT29" s="18">
        <f>'Total Sunday-Holiday Boardings'!BT29/SUM('Service Days per Month'!BT$6:BT$7)</f>
        <v>378.25</v>
      </c>
      <c r="BU29" s="18">
        <f>'Total Sunday-Holiday Boardings'!BU29/SUM('Service Days per Month'!BU$6:BU$7)</f>
        <v>375.25</v>
      </c>
      <c r="BV29" s="18">
        <f>'Total Sunday-Holiday Boardings'!BV29/SUM('Service Days per Month'!BV$6:BV$7)</f>
        <v>333.33333333333331</v>
      </c>
      <c r="BW29" s="18">
        <f>'Total Sunday-Holiday Boardings'!BW29/SUM('Service Days per Month'!BW$6:BW$7)</f>
        <v>365.16666666666669</v>
      </c>
      <c r="BX29" s="18">
        <f>'Total Sunday-Holiday Boardings'!BX29/SUM('Service Days per Month'!BX$6:BX$7)</f>
        <v>395</v>
      </c>
      <c r="BY29" s="18">
        <f>'Total Sunday-Holiday Boardings'!BY29/SUM('Service Days per Month'!BY$6:BY$7)</f>
        <v>366.4</v>
      </c>
      <c r="BZ29" s="18">
        <f>'Total Sunday-Holiday Boardings'!BZ29/SUM('Service Days per Month'!BZ$6:BZ$7)</f>
        <v>342.25</v>
      </c>
      <c r="CA29" s="18">
        <f>'Total Sunday-Holiday Boardings'!CA29/SUM('Service Days per Month'!CA$6:CA$7)</f>
        <v>312.33333333333331</v>
      </c>
      <c r="CB29" s="19">
        <f>'Total Sunday-Holiday Boardings'!CB29/SUM('Service Days per Month'!CB$6:CB$7)</f>
        <v>322</v>
      </c>
      <c r="CC29" s="20">
        <f>'Total Sunday-Holiday Boardings'!CC29/SUM('Service Days per Month'!CC$6:CC$7)</f>
        <v>356.4</v>
      </c>
      <c r="CD29" s="18">
        <f>'Total Sunday-Holiday Boardings'!CD29/SUM('Service Days per Month'!CD$6:CD$7)</f>
        <v>316.39999999999998</v>
      </c>
      <c r="CE29" s="18">
        <f>'Total Sunday-Holiday Boardings'!CE29/SUM('Service Days per Month'!CE$6:CE$7)</f>
        <v>376</v>
      </c>
      <c r="CF29" s="18">
        <f>'Total Sunday-Holiday Boardings'!CF29/SUM('Service Days per Month'!CF$6:CF$7)</f>
        <v>404.5</v>
      </c>
      <c r="CG29" s="18">
        <f>'Total Sunday-Holiday Boardings'!CG29/SUM('Service Days per Month'!CG$6:CG$7)</f>
        <v>401.5</v>
      </c>
      <c r="CH29" s="18">
        <f>'Total Sunday-Holiday Boardings'!CH29/SUM('Service Days per Month'!CH$6:CH$7)</f>
        <v>383.83333333333331</v>
      </c>
      <c r="CI29" s="18">
        <f>'Total Sunday-Holiday Boardings'!CI29/SUM('Service Days per Month'!CI$6:CI$7)</f>
        <v>404.28571428571428</v>
      </c>
      <c r="CJ29" s="18">
        <f>'Total Sunday-Holiday Boardings'!CJ29/SUM('Service Days per Month'!CJ$6:CJ$7)</f>
        <v>423.4</v>
      </c>
      <c r="CK29" s="18">
        <f>'Total Sunday-Holiday Boardings'!CK29/SUM('Service Days per Month'!CK$6:CK$7)</f>
        <v>442.5</v>
      </c>
      <c r="CL29" s="18">
        <f>'Total Sunday-Holiday Boardings'!CL29/SUM('Service Days per Month'!CL$6:CL$7)</f>
        <v>501.25</v>
      </c>
      <c r="CM29" s="18">
        <f>'Total Sunday-Holiday Boardings'!CM29/SUM('Service Days per Month'!CM$6:CM$7)</f>
        <v>459.33333333333331</v>
      </c>
      <c r="CN29" s="21">
        <f>'Total Sunday-Holiday Boardings'!CN29/SUM('Service Days per Month'!CN$6:CN$7)</f>
        <v>466</v>
      </c>
      <c r="CO29" s="17">
        <f>'Total Sunday-Holiday Boardings'!CO29/SUM('Service Days per Month'!CO$6:CO$7)</f>
        <v>372.16666666666669</v>
      </c>
      <c r="CP29" s="18">
        <f>'Total Sunday-Holiday Boardings'!CP29/SUM('Service Days per Month'!CP$6:CP$7)</f>
        <v>376</v>
      </c>
      <c r="CQ29" s="18">
        <f>'Total Sunday-Holiday Boardings'!CQ29/SUM('Service Days per Month'!CQ$6:CQ$7)</f>
        <v>353.8</v>
      </c>
      <c r="CR29" s="18">
        <f>'Total Sunday-Holiday Boardings'!CR29/SUM('Service Days per Month'!CR$6:CR$7)</f>
        <v>371.2</v>
      </c>
      <c r="CS29" s="18">
        <f>'Total Sunday-Holiday Boardings'!CS29/SUM('Service Days per Month'!CS$6:CS$7)</f>
        <v>440.28571428571428</v>
      </c>
      <c r="CT29" s="18">
        <f>'Total Sunday-Holiday Boardings'!CT29/SUM('Service Days per Month'!CT$6:CT$7)</f>
        <v>473</v>
      </c>
      <c r="CU29" s="18">
        <f>'Total Sunday-Holiday Boardings'!CU29/SUM('Service Days per Month'!CU$6:CU$7)</f>
        <v>369.28571428571428</v>
      </c>
      <c r="CV29" s="18">
        <f>'Total Sunday-Holiday Boardings'!CV29/SUM('Service Days per Month'!CV$6:CV$7)</f>
        <v>355</v>
      </c>
      <c r="CW29" s="18">
        <f>'Total Sunday-Holiday Boardings'!CW29/SUM('Service Days per Month'!CW$6:CW$7)</f>
        <v>356.75</v>
      </c>
      <c r="CX29" s="18">
        <f>'Total Sunday-Holiday Boardings'!CX29/SUM('Service Days per Month'!CX$6:CX$7)</f>
        <v>386.8</v>
      </c>
      <c r="CY29" s="18">
        <f>'Total Sunday-Holiday Boardings'!CY29/SUM('Service Days per Month'!CY$6:CY$7)</f>
        <v>323.39999999999998</v>
      </c>
      <c r="CZ29" s="19">
        <f>'Total Sunday-Holiday Boardings'!CZ29/SUM('Service Days per Month'!CZ$6:CZ$7)</f>
        <v>310.75</v>
      </c>
      <c r="DA29" s="17">
        <f>'Total Sunday-Holiday Boardings'!DA29/SUM('Service Days per Month'!DA$6:DA$7)</f>
        <v>316.16666666666669</v>
      </c>
      <c r="DB29" s="18">
        <f>'Total Sunday-Holiday Boardings'!DB29/SUM('Service Days per Month'!DB$6:DB$7)</f>
        <v>350.5</v>
      </c>
      <c r="DC29" s="18">
        <f>'Total Sunday-Holiday Boardings'!DC29/SUM('Service Days per Month'!DC$6:DC$7)</f>
        <v>441.2</v>
      </c>
      <c r="DD29" s="18">
        <f>'Total Sunday-Holiday Boardings'!DD29/SUM('Service Days per Month'!DD$6:DD$7)</f>
        <v>361.6</v>
      </c>
      <c r="DE29" s="18">
        <f>'Total Sunday-Holiday Boardings'!DE29/SUM('Service Days per Month'!DE$6:DE$7)</f>
        <v>364</v>
      </c>
      <c r="DF29" s="18">
        <f>'Total Sunday-Holiday Boardings'!DF29/SUM('Service Days per Month'!DF$6:DF$7)</f>
        <v>330.33333333333331</v>
      </c>
      <c r="DG29" s="18">
        <f>'Total Sunday-Holiday Boardings'!DG29/SUM('Service Days per Month'!DG$6:DG$7)</f>
        <v>345.16666666666669</v>
      </c>
      <c r="DH29" s="18">
        <f>'Total Sunday-Holiday Boardings'!DH29/SUM('Service Days per Month'!DH$6:DH$7)</f>
        <v>379.8</v>
      </c>
      <c r="DI29" s="18">
        <f>'Total Sunday-Holiday Boardings'!DI29/SUM('Service Days per Month'!DI$6:DI$7)</f>
        <v>369.5</v>
      </c>
      <c r="DJ29" s="18">
        <f>'Total Sunday-Holiday Boardings'!DJ29/SUM('Service Days per Month'!DJ$6:DJ$7)</f>
        <v>367.4</v>
      </c>
      <c r="DK29" s="18">
        <f>'Total Sunday-Holiday Boardings'!DK29/SUM('Service Days per Month'!DK$6:DK$7)</f>
        <v>359.8</v>
      </c>
      <c r="DL29" s="19">
        <f>'Total Sunday-Holiday Boardings'!DL29/SUM('Service Days per Month'!DL$6:DL$7)</f>
        <v>348</v>
      </c>
      <c r="DM29" s="17">
        <f>'Total Sunday-Holiday Boardings'!DM29/('Service Days per Month'!DM$6+'Service Days per Month'!DM$7)</f>
        <v>325.5</v>
      </c>
      <c r="DN29" s="18">
        <f>'Total Sunday-Holiday Boardings'!DN29/('Service Days per Month'!DN$6+'Service Days per Month'!DN$7)</f>
        <v>351.25</v>
      </c>
      <c r="DO29" s="18">
        <f>'Total Sunday-Holiday Boardings'!DO29/('Service Days per Month'!DO$6+'Service Days per Month'!DO$7)</f>
        <v>312</v>
      </c>
      <c r="DP29" s="18">
        <f>'Total Sunday-Holiday Boardings'!DP29/('Service Days per Month'!DP$6+'Service Days per Month'!DP$7)</f>
        <v>331</v>
      </c>
      <c r="DQ29" s="18">
        <f>'Total Sunday-Holiday Boardings'!DQ29/('Service Days per Month'!DQ$6+'Service Days per Month'!DQ$7)</f>
        <v>316.8</v>
      </c>
      <c r="DR29" s="18">
        <f>'Total Sunday-Holiday Boardings'!DR29/('Service Days per Month'!DR$6+'Service Days per Month'!DR$7)</f>
        <v>325.66666666666669</v>
      </c>
      <c r="DS29" s="18">
        <f>'Total Sunday-Holiday Boardings'!DS29/('Service Days per Month'!DS$6+'Service Days per Month'!DS$7)</f>
        <v>312.2</v>
      </c>
      <c r="DT29" s="18">
        <f>'Total Sunday-Holiday Boardings'!DT29/('Service Days per Month'!DT$6+'Service Days per Month'!DT$7)</f>
        <v>329</v>
      </c>
      <c r="DU29" s="18">
        <f>'Total Sunday-Holiday Boardings'!DU29/('Service Days per Month'!DU$6+'Service Days per Month'!DU$7)</f>
        <v>331.8</v>
      </c>
      <c r="DV29" s="18">
        <f>'Total Sunday-Holiday Boardings'!DV29/('Service Days per Month'!DV$6+'Service Days per Month'!DV$7)</f>
        <v>314.5</v>
      </c>
      <c r="DW29" s="18">
        <f>'Total Sunday-Holiday Boardings'!DW29/('Service Days per Month'!DW$6+'Service Days per Month'!DW$7)</f>
        <v>289.8</v>
      </c>
      <c r="DX29" s="18">
        <f>'Total Sunday-Holiday Boardings'!DX29/('Service Days per Month'!DX$6+'Service Days per Month'!DX$7)</f>
        <v>276</v>
      </c>
      <c r="DY29" s="17">
        <f>'Total Sunday-Holiday Boardings'!DY29/('Service Days per Month'!DY$6+'Service Days per Month'!DY$7)</f>
        <v>263.2</v>
      </c>
      <c r="DZ29" s="18">
        <f>'Total Sunday-Holiday Boardings'!DZ29/('Service Days per Month'!DZ$6+'Service Days per Month'!DZ$7)</f>
        <v>268</v>
      </c>
      <c r="EA29" s="18">
        <f>'Total Sunday-Holiday Boardings'!EA29/('Service Days per Month'!EA$6+'Service Days per Month'!EA$7)</f>
        <v>283.66666666666669</v>
      </c>
      <c r="EB29" s="18">
        <f>'Total Sunday-Holiday Boardings'!EB29/('Service Days per Month'!EB$6+'Service Days per Month'!EB$7)</f>
        <v>293</v>
      </c>
      <c r="EC29" s="18">
        <f>'Total Sunday-Holiday Boardings'!EC29/('Service Days per Month'!EC$6+'Service Days per Month'!EC$7)</f>
        <v>300.2</v>
      </c>
      <c r="ED29" s="18">
        <f>'Total Sunday-Holiday Boardings'!ED29/('Service Days per Month'!ED$6+'Service Days per Month'!ED$7)</f>
        <v>251.66666666666666</v>
      </c>
      <c r="EE29" s="18">
        <f>'Total Sunday-Holiday Boardings'!EE29/('Service Days per Month'!EE$6+'Service Days per Month'!EE$7)</f>
        <v>377.5</v>
      </c>
      <c r="EF29" s="18">
        <f>'Total Sunday-Holiday Boardings'!EF29/('Service Days per Month'!EF$6+'Service Days per Month'!EF$7)</f>
        <v>290</v>
      </c>
      <c r="EG29" s="18">
        <f>'Total Sunday-Holiday Boardings'!EG29/('Service Days per Month'!EG$6+'Service Days per Month'!EG$7)</f>
        <v>306.2</v>
      </c>
      <c r="EH29" s="18">
        <f>'Total Sunday-Holiday Boardings'!EH29/('Service Days per Month'!EH$6+'Service Days per Month'!EH$7)</f>
        <v>246.75</v>
      </c>
      <c r="EI29" s="18">
        <f>'Total Sunday-Holiday Boardings'!EI29/('Service Days per Month'!EI$6+'Service Days per Month'!EI$7)</f>
        <v>262.16666666666669</v>
      </c>
      <c r="EJ29" s="18">
        <f>'Total Sunday-Holiday Boardings'!EJ29/('Service Days per Month'!EJ$6+'Service Days per Month'!EJ$7)</f>
        <v>207.25</v>
      </c>
      <c r="EK29" s="17">
        <f>'Total Sunday-Holiday Boardings'!EK29/('Service Days per Month'!EK$6+'Service Days per Month'!EK$7)</f>
        <v>226.2</v>
      </c>
      <c r="EL29" s="18">
        <f>'Total Sunday-Holiday Boardings'!EL29/('Service Days per Month'!EL$6+'Service Days per Month'!EL$7)</f>
        <v>207.6</v>
      </c>
      <c r="EM29" s="18">
        <f>'Total Sunday-Holiday Boardings'!EM29/('Service Days per Month'!EM$6+'Service Days per Month'!EM$7)</f>
        <v>166.6</v>
      </c>
      <c r="EN29" s="18">
        <f>'Total Sunday-Holiday Boardings'!EN29/('Service Days per Month'!EN$6+'Service Days per Month'!EN$7)</f>
        <v>182.5</v>
      </c>
      <c r="EO29" s="18">
        <f>'Total Sunday-Holiday Boardings'!EO29/('Service Days per Month'!EO$6+'Service Days per Month'!EO$7)</f>
        <v>99.5</v>
      </c>
      <c r="EP29" s="18">
        <f>'Total Sunday-Holiday Boardings'!EP29/('Service Days per Month'!EP$6+'Service Days per Month'!EP$7)</f>
        <v>112.8</v>
      </c>
      <c r="EQ29" s="18">
        <f>'Total Sunday-Holiday Boardings'!EQ29/('Service Days per Month'!EQ$6+'Service Days per Month'!EQ$7)</f>
        <v>80</v>
      </c>
      <c r="ER29" s="18">
        <f>'Total Sunday-Holiday Boardings'!ER29/('Service Days per Month'!ER$6+'Service Days per Month'!ER$7)</f>
        <v>163.5</v>
      </c>
      <c r="ES29" s="18">
        <f>'Total Sunday-Holiday Boardings'!ES29/('Service Days per Month'!ES$6+'Service Days per Month'!ES$7)</f>
        <v>158.75</v>
      </c>
      <c r="ET29" s="18">
        <f>'Total Sunday-Holiday Boardings'!ET29/('Service Days per Month'!ET$6+'Service Days per Month'!ET$7)</f>
        <v>158.25</v>
      </c>
      <c r="EU29" s="18">
        <f>'Total Sunday-Holiday Boardings'!EU29/('Service Days per Month'!EU$6+'Service Days per Month'!EU$7)</f>
        <v>135.66666666666666</v>
      </c>
      <c r="EV29" s="18">
        <f>'Total Sunday-Holiday Boardings'!EV29/('Service Days per Month'!EV$6+'Service Days per Month'!EV$7)</f>
        <v>162</v>
      </c>
      <c r="EW29" s="17">
        <f>'Total Sunday-Holiday Boardings'!EW29/('Service Days per Month'!EW$6+'Service Days per Month'!EW$7)</f>
        <v>150</v>
      </c>
      <c r="EX29" s="18">
        <f>'Total Sunday-Holiday Boardings'!EX29/('Service Days per Month'!EX$6+'Service Days per Month'!EX$7)</f>
        <v>186</v>
      </c>
      <c r="EY29" s="18">
        <f>'Total Sunday-Holiday Boardings'!EY29/('Service Days per Month'!EY$6+'Service Days per Month'!EY$7)</f>
        <v>144.19999999999999</v>
      </c>
      <c r="EZ29" s="18">
        <f>'Total Sunday-Holiday Boardings'!EZ29/('Service Days per Month'!EZ$6+'Service Days per Month'!EZ$7)</f>
        <v>156</v>
      </c>
      <c r="FA29" s="18">
        <f>'Total Sunday-Holiday Boardings'!FA29/('Service Days per Month'!FA$6+'Service Days per Month'!FA$7)</f>
        <v>163</v>
      </c>
      <c r="FB29" s="18">
        <f>'Total Sunday-Holiday Boardings'!FB29/('Service Days per Month'!FB$6+'Service Days per Month'!FB$7)</f>
        <v>195</v>
      </c>
      <c r="FC29" s="18">
        <f>'Total Sunday-Holiday Boardings'!FC29/('Service Days per Month'!FC$6+'Service Days per Month'!FC$7)</f>
        <v>163.6</v>
      </c>
      <c r="FD29" s="18">
        <f>'Total Sunday-Holiday Boardings'!FD29/('Service Days per Month'!FD$6+'Service Days per Month'!FD$7)</f>
        <v>197</v>
      </c>
      <c r="FE29" s="18">
        <f>'Total Sunday-Holiday Boardings'!FE29/('Service Days per Month'!FE$6+'Service Days per Month'!FE$7)</f>
        <v>204.5</v>
      </c>
      <c r="FF29" s="18">
        <f>'Total Sunday-Holiday Boardings'!FF29/('Service Days per Month'!FF$6+'Service Days per Month'!FF$7)</f>
        <v>200.25</v>
      </c>
      <c r="FG29" s="18">
        <f>'Total Sunday-Holiday Boardings'!FG29/('Service Days per Month'!FG$6+'Service Days per Month'!FG$7)</f>
        <v>195.66666666666666</v>
      </c>
      <c r="FH29" s="18">
        <f>'Total Sunday-Holiday Boardings'!FH29/('Service Days per Month'!FH$6+'Service Days per Month'!FH$7)</f>
        <v>154</v>
      </c>
      <c r="FI29" s="17">
        <v>169.66666666666666</v>
      </c>
      <c r="FJ29" s="18">
        <v>167</v>
      </c>
      <c r="FK29" s="18">
        <v>183.8</v>
      </c>
      <c r="FL29" s="18">
        <v>190.6</v>
      </c>
      <c r="FM29" s="18">
        <v>166.6</v>
      </c>
      <c r="FN29" s="18">
        <v>184.6</v>
      </c>
      <c r="FO29" s="18">
        <v>225</v>
      </c>
      <c r="FP29" s="18">
        <v>187</v>
      </c>
      <c r="FQ29" s="18">
        <v>225</v>
      </c>
      <c r="FR29" s="18">
        <f>'Total Sunday-Holiday Boardings'!FR29/5</f>
        <v>227.2</v>
      </c>
      <c r="FS29" s="18">
        <f>'Total Sunday-Holiday Boardings'!FS29/5</f>
        <v>208</v>
      </c>
      <c r="FT29" s="21">
        <f>'Total Sunday-Holiday Boardings'!FT29/4</f>
        <v>211.75</v>
      </c>
      <c r="FU29" s="18">
        <f>'Total Sunday-Holiday Boardings'!FU29/5</f>
        <v>231.6</v>
      </c>
      <c r="FV29" s="18">
        <f>'Total Sunday-Holiday Boardings'!FV29/4</f>
        <v>277</v>
      </c>
      <c r="FW29" s="18">
        <f>'Total Sunday-Holiday Boardings'!FW29/4</f>
        <v>237</v>
      </c>
      <c r="FX29" s="18">
        <f>'Total Sunday-Holiday Boardings'!FX29/5</f>
        <v>203.6</v>
      </c>
      <c r="FY29" s="18">
        <f>'Total Sunday-Holiday Boardings'!FY29/4</f>
        <v>242</v>
      </c>
      <c r="FZ29" s="18">
        <f>'Total Sunday-Holiday Boardings'!FZ29/5</f>
        <v>195</v>
      </c>
      <c r="GA29" s="18">
        <f>'Total Sunday-Holiday Boardings'!GA29/4</f>
        <v>274.75</v>
      </c>
      <c r="GB29" s="18">
        <f>'Total Sunday-Holiday Boardings'!GB29/4</f>
        <v>226</v>
      </c>
      <c r="GC29" s="18">
        <f>'Total Sunday-Holiday Boardings'!GC29/5</f>
        <v>209</v>
      </c>
      <c r="GD29" s="18">
        <f>'Total Sunday-Holiday Boardings'!GD29/4</f>
        <v>221.25</v>
      </c>
      <c r="GE29" s="18">
        <f>'Total Sunday-Holiday Boardings'!GE29/4</f>
        <v>260.5</v>
      </c>
      <c r="GF29" s="18">
        <f>'Total Sunday-Holiday Boardings'!GF29/5</f>
        <v>194.4</v>
      </c>
      <c r="GG29" s="18">
        <f>'Total Sunday-Holiday Boardings'!GG29/4</f>
        <v>214.25</v>
      </c>
      <c r="GH29" s="18">
        <f>'Total Sunday-Holiday Boardings'!GH29/4</f>
        <v>217</v>
      </c>
      <c r="GI29" s="18">
        <f>'Total Sunday-Holiday Boardings'!GI29/5</f>
        <v>240.2</v>
      </c>
      <c r="GJ29" s="18">
        <f>'Total Sunday-Holiday Boardings'!GJ29/4</f>
        <v>223</v>
      </c>
      <c r="GK29" s="18">
        <f>'Total Sunday-Holiday Boardings'!GK29/4</f>
        <v>246.25</v>
      </c>
      <c r="GL29" s="18">
        <f>'Total Sunday-Holiday Boardings'!GL29/5</f>
        <v>225.4</v>
      </c>
    </row>
    <row r="30" spans="1:194" x14ac:dyDescent="0.3">
      <c r="A30" s="3" t="s">
        <v>43</v>
      </c>
      <c r="B30" s="17"/>
      <c r="C30" s="18">
        <f>'Total Sunday-Holiday Boardings'!C30/SUM('Service Days per Month'!C$6:C$7)</f>
        <v>294.8</v>
      </c>
      <c r="D30" s="18">
        <f>'Total Sunday-Holiday Boardings'!D30/SUM('Service Days per Month'!D$6:D$7)</f>
        <v>191</v>
      </c>
      <c r="E30" s="18">
        <f>'Total Sunday-Holiday Boardings'!E30/SUM('Service Days per Month'!E$6:E$7)</f>
        <v>160.80000000000001</v>
      </c>
      <c r="F30" s="18">
        <f>'Total Sunday-Holiday Boardings'!F30/SUM('Service Days per Month'!F$6:F$7)</f>
        <v>154.4</v>
      </c>
      <c r="G30" s="18">
        <f>'Total Sunday-Holiday Boardings'!G30/SUM('Service Days per Month'!G$6:G$7)</f>
        <v>167.16666666666666</v>
      </c>
      <c r="H30" s="19">
        <f>'Total Sunday-Holiday Boardings'!H30/SUM('Service Days per Month'!H$6:H$7)</f>
        <v>156.75</v>
      </c>
      <c r="I30" s="17">
        <f>'Total Sunday-Holiday Boardings'!I30/SUM('Service Days per Month'!I$6:I$7)</f>
        <v>224.6</v>
      </c>
      <c r="J30" s="18">
        <f>'Total Sunday-Holiday Boardings'!J30/SUM('Service Days per Month'!J$6:J$7)</f>
        <v>178.4</v>
      </c>
      <c r="K30" s="18">
        <f>'Total Sunday-Holiday Boardings'!K30/SUM('Service Days per Month'!K$6:K$7)</f>
        <v>204.2</v>
      </c>
      <c r="L30" s="18">
        <f>'Total Sunday-Holiday Boardings'!L30/SUM('Service Days per Month'!L$6:L$7)</f>
        <v>206.5</v>
      </c>
      <c r="M30" s="18">
        <f>'Total Sunday-Holiday Boardings'!M30/SUM('Service Days per Month'!M$6:M$7)</f>
        <v>392</v>
      </c>
      <c r="N30" s="18">
        <f>'Total Sunday-Holiday Boardings'!N30/SUM('Service Days per Month'!N$6:N$7)</f>
        <v>197</v>
      </c>
      <c r="O30" s="79">
        <f>'Total Sunday-Holiday Boardings'!O30/SUM('Service Days per Month'!O$6:O$7)</f>
        <v>283.16666666666669</v>
      </c>
      <c r="P30" s="79">
        <f>'Total Sunday-Holiday Boardings'!P30/SUM('Service Days per Month'!P$6:P$7)</f>
        <v>336.5</v>
      </c>
      <c r="Q30" s="79">
        <f>'Total Sunday-Holiday Boardings'!Q30/SUM('Service Days per Month'!Q$6:Q$7)</f>
        <v>259</v>
      </c>
      <c r="R30" s="79">
        <f>'Total Sunday-Holiday Boardings'!R30/SUM('Service Days per Month'!R$6:R$7)</f>
        <v>267.75</v>
      </c>
      <c r="S30" s="79">
        <f>'Total Sunday-Holiday Boardings'!S30/SUM('Service Days per Month'!S$6:S$7)</f>
        <v>294.5</v>
      </c>
      <c r="T30" s="80">
        <f>'Total Sunday-Holiday Boardings'!T30/SUM('Service Days per Month'!T$6:T$7)</f>
        <v>243.5</v>
      </c>
      <c r="U30" s="81">
        <f>'Total Sunday-Holiday Boardings'!U30/SUM('Service Days per Month'!U$6:U$7)</f>
        <v>191.6</v>
      </c>
      <c r="V30" s="79">
        <f>'Total Sunday-Holiday Boardings'!V30/SUM('Service Days per Month'!V$6:V$7)</f>
        <v>228.4</v>
      </c>
      <c r="W30" s="79">
        <f>'Total Sunday-Holiday Boardings'!W30/SUM('Service Days per Month'!W$6:W$7)</f>
        <v>327.39999999999998</v>
      </c>
      <c r="X30" s="79">
        <f>'Total Sunday-Holiday Boardings'!X30/SUM('Service Days per Month'!X$6:X$7)</f>
        <v>236.6</v>
      </c>
      <c r="Y30" s="79">
        <f>'Total Sunday-Holiday Boardings'!Y30/SUM('Service Days per Month'!Y$6:Y$7)</f>
        <v>324.85714285714283</v>
      </c>
      <c r="Z30" s="79">
        <f>'Total Sunday-Holiday Boardings'!Z30/SUM('Service Days per Month'!Z$6:Z$7)</f>
        <v>200</v>
      </c>
      <c r="AA30" s="18">
        <f>'Total Sunday-Holiday Boardings'!AA30/SUM('Service Days per Month'!AA$6:AA$7)</f>
        <v>285.5</v>
      </c>
      <c r="AB30" s="18">
        <f>'Total Sunday-Holiday Boardings'!AB30/SUM('Service Days per Month'!AB$6:AB$7)</f>
        <v>316.2</v>
      </c>
      <c r="AC30" s="18">
        <f>'Total Sunday-Holiday Boardings'!AC30/SUM('Service Days per Month'!AC$6:AC$7)</f>
        <v>318</v>
      </c>
      <c r="AD30" s="18">
        <f>'Total Sunday-Holiday Boardings'!AD30/SUM('Service Days per Month'!AD$6:AD$7)</f>
        <v>268.5</v>
      </c>
      <c r="AE30" s="18">
        <f>'Total Sunday-Holiday Boardings'!AE30/SUM('Service Days per Month'!AE$6:AE$7)</f>
        <v>261.16666666666669</v>
      </c>
      <c r="AF30" s="19">
        <f>'Total Sunday-Holiday Boardings'!AF30/SUM('Service Days per Month'!AF$6:AF$7)</f>
        <v>274.25</v>
      </c>
      <c r="AG30" s="17">
        <f>'Total Sunday-Holiday Boardings'!AG30/SUM('Service Days per Month'!AG$6:AG$7)</f>
        <v>302.16666666666669</v>
      </c>
      <c r="AH30" s="18">
        <f>'Total Sunday-Holiday Boardings'!AH30/SUM('Service Days per Month'!AH$6:AH$7)</f>
        <v>264.5</v>
      </c>
      <c r="AI30" s="18">
        <f>'Total Sunday-Holiday Boardings'!AI30/SUM('Service Days per Month'!AI$6:AI$7)</f>
        <v>249.4</v>
      </c>
      <c r="AJ30" s="18">
        <f>'Total Sunday-Holiday Boardings'!AJ30/SUM('Service Days per Month'!AJ$6:AJ$7)</f>
        <v>284.39999999999998</v>
      </c>
      <c r="AK30" s="18">
        <f>'Total Sunday-Holiday Boardings'!AK30/SUM('Service Days per Month'!AK$6:AK$7)</f>
        <v>278.57142857142856</v>
      </c>
      <c r="AL30" s="18">
        <f>'Total Sunday-Holiday Boardings'!AL30/SUM('Service Days per Month'!AL$6:AL$7)</f>
        <v>204.66666666666666</v>
      </c>
      <c r="AM30" s="18">
        <f>'Total Sunday-Holiday Boardings'!AM30/SUM('Service Days per Month'!AM$6:AM$7)</f>
        <v>307.85714285714283</v>
      </c>
      <c r="AN30" s="18">
        <f>'Total Sunday-Holiday Boardings'!AN30/SUM('Service Days per Month'!AN$6:AN$7)</f>
        <v>271.39999999999998</v>
      </c>
      <c r="AO30" s="18">
        <f>'Total Sunday-Holiday Boardings'!AO30/SUM('Service Days per Month'!AO$6:AO$7)</f>
        <v>328.25</v>
      </c>
      <c r="AP30" s="18">
        <f>'Total Sunday-Holiday Boardings'!AP30/SUM('Service Days per Month'!AP$6:AP$7)</f>
        <v>308</v>
      </c>
      <c r="AQ30" s="18">
        <f>'Total Sunday-Holiday Boardings'!AQ30/SUM('Service Days per Month'!AQ$6:AQ$7)</f>
        <v>297.2</v>
      </c>
      <c r="AR30" s="19">
        <f>'Total Sunday-Holiday Boardings'!AR30/SUM('Service Days per Month'!AR$6:AR$7)</f>
        <v>285.5</v>
      </c>
      <c r="AS30" s="17">
        <f>'Total Sunday-Holiday Boardings'!AS30/SUM('Service Days per Month'!AS$6:AS$7)</f>
        <v>326.16666666666669</v>
      </c>
      <c r="AT30" s="18">
        <f>'Total Sunday-Holiday Boardings'!AT30/SUM('Service Days per Month'!AT$6:AT$7)</f>
        <v>274</v>
      </c>
      <c r="AU30" s="18">
        <f>'Total Sunday-Holiday Boardings'!AU30/SUM('Service Days per Month'!AU$6:AU$7)</f>
        <v>304.5</v>
      </c>
      <c r="AV30" s="18">
        <f>'Total Sunday-Holiday Boardings'!AV30/SUM('Service Days per Month'!AV$6:AV$7)</f>
        <v>365.5</v>
      </c>
      <c r="AW30" s="18">
        <f>'Total Sunday-Holiday Boardings'!AW30/SUM('Service Days per Month'!AW$6:AW$7)</f>
        <v>284.85714285714283</v>
      </c>
      <c r="AX30" s="18">
        <f>'Total Sunday-Holiday Boardings'!AX30/SUM('Service Days per Month'!AX$6:AX$7)</f>
        <v>263.42857142857144</v>
      </c>
      <c r="AY30" s="18">
        <f>'Total Sunday-Holiday Boardings'!AY30/SUM('Service Days per Month'!AY$6:AY$7)</f>
        <v>326.83333333333331</v>
      </c>
      <c r="AZ30" s="18">
        <f>'Total Sunday-Holiday Boardings'!AZ30/SUM('Service Days per Month'!AZ$6:AZ$7)</f>
        <v>387</v>
      </c>
      <c r="BA30" s="18">
        <f>'Total Sunday-Holiday Boardings'!BA30/SUM('Service Days per Month'!BA$6:BA$7)</f>
        <v>348.6</v>
      </c>
      <c r="BB30" s="18">
        <f>'Total Sunday-Holiday Boardings'!BB30/SUM('Service Days per Month'!BB$6:BB$7)</f>
        <v>344.75</v>
      </c>
      <c r="BC30" s="18">
        <f>'Total Sunday-Holiday Boardings'!BC30/SUM('Service Days per Month'!BC$6:BC$7)</f>
        <v>338.2</v>
      </c>
      <c r="BD30" s="19">
        <f>'Total Sunday-Holiday Boardings'!BD30/SUM('Service Days per Month'!BD$6:BD$7)</f>
        <v>332.2</v>
      </c>
      <c r="BE30" s="17">
        <f>'Total Sunday-Holiday Boardings'!BE30/SUM('Service Days per Month'!BE$6:BE$7)</f>
        <v>359.2</v>
      </c>
      <c r="BF30" s="18">
        <f>'Total Sunday-Holiday Boardings'!BF30/SUM('Service Days per Month'!BF$6:BF$7)</f>
        <v>361.75</v>
      </c>
      <c r="BG30" s="18">
        <f>'Total Sunday-Holiday Boardings'!BG30/SUM('Service Days per Month'!BG$6:BG$7)</f>
        <v>354.83333333333331</v>
      </c>
      <c r="BH30" s="18">
        <f>'Total Sunday-Holiday Boardings'!BH30/SUM('Service Days per Month'!BH$6:BH$7)</f>
        <v>350.5</v>
      </c>
      <c r="BI30" s="18">
        <f>'Total Sunday-Holiday Boardings'!BI30/SUM('Service Days per Month'!BI$6:BI$7)</f>
        <v>325.17112680886083</v>
      </c>
      <c r="BJ30" s="18">
        <f>'Total Sunday-Holiday Boardings'!BJ30/SUM('Service Days per Month'!BJ$6:BJ$7)</f>
        <v>379</v>
      </c>
      <c r="BK30" s="18">
        <f>'Total Sunday-Holiday Boardings'!BK30/SUM('Service Days per Month'!BK$6:BK$7)</f>
        <v>413.66666666666669</v>
      </c>
      <c r="BL30" s="18">
        <f>'Total Sunday-Holiday Boardings'!BL30/SUM('Service Days per Month'!BL$6:BL$7)</f>
        <v>373.6</v>
      </c>
      <c r="BM30" s="18">
        <f>'Total Sunday-Holiday Boardings'!BM30/SUM('Service Days per Month'!BM$6:BM$7)</f>
        <v>417.2</v>
      </c>
      <c r="BN30" s="18">
        <f>'Total Sunday-Holiday Boardings'!BN30/SUM('Service Days per Month'!BN$6:BN$7)</f>
        <v>369</v>
      </c>
      <c r="BO30" s="18">
        <f>'Total Sunday-Holiday Boardings'!BO30/SUM('Service Days per Month'!BO$6:BO$7)</f>
        <v>363.4</v>
      </c>
      <c r="BP30" s="19">
        <f>'Total Sunday-Holiday Boardings'!BP30/SUM('Service Days per Month'!BP$6:BP$7)</f>
        <v>353.2</v>
      </c>
      <c r="BQ30" s="17">
        <f>'Total Sunday-Holiday Boardings'!BQ30/SUM('Service Days per Month'!BQ$6:BQ$7)</f>
        <v>344</v>
      </c>
      <c r="BR30" s="18">
        <f>'Total Sunday-Holiday Boardings'!BR30/SUM('Service Days per Month'!BR$6:BR$7)</f>
        <v>352</v>
      </c>
      <c r="BS30" s="18">
        <f>'Total Sunday-Holiday Boardings'!BS30/SUM('Service Days per Month'!BS$6:BS$7)</f>
        <v>369.4</v>
      </c>
      <c r="BT30" s="18">
        <f>'Total Sunday-Holiday Boardings'!BT30/SUM('Service Days per Month'!BT$6:BT$7)</f>
        <v>364</v>
      </c>
      <c r="BU30" s="18">
        <f>'Total Sunday-Holiday Boardings'!BU30/SUM('Service Days per Month'!BU$6:BU$7)</f>
        <v>374.875</v>
      </c>
      <c r="BV30" s="18">
        <f>'Total Sunday-Holiday Boardings'!BV30/SUM('Service Days per Month'!BV$6:BV$7)</f>
        <v>346.83333333333331</v>
      </c>
      <c r="BW30" s="18">
        <f>'Total Sunday-Holiday Boardings'!BW30/SUM('Service Days per Month'!BW$6:BW$7)</f>
        <v>399.33333333333331</v>
      </c>
      <c r="BX30" s="18">
        <f>'Total Sunday-Holiday Boardings'!BX30/SUM('Service Days per Month'!BX$6:BX$7)</f>
        <v>438.4</v>
      </c>
      <c r="BY30" s="18">
        <f>'Total Sunday-Holiday Boardings'!BY30/SUM('Service Days per Month'!BY$6:BY$7)</f>
        <v>368.6</v>
      </c>
      <c r="BZ30" s="18">
        <f>'Total Sunday-Holiday Boardings'!BZ30/SUM('Service Days per Month'!BZ$6:BZ$7)</f>
        <v>361.75</v>
      </c>
      <c r="CA30" s="18">
        <f>'Total Sunday-Holiday Boardings'!CA30/SUM('Service Days per Month'!CA$6:CA$7)</f>
        <v>378.66666666666669</v>
      </c>
      <c r="CB30" s="19">
        <f>'Total Sunday-Holiday Boardings'!CB30/SUM('Service Days per Month'!CB$6:CB$7)</f>
        <v>382.75</v>
      </c>
      <c r="CC30" s="20">
        <f>'Total Sunday-Holiday Boardings'!CC30/SUM('Service Days per Month'!CC$6:CC$7)</f>
        <v>360.6</v>
      </c>
      <c r="CD30" s="18">
        <f>'Total Sunday-Holiday Boardings'!CD30/SUM('Service Days per Month'!CD$6:CD$7)</f>
        <v>399.2</v>
      </c>
      <c r="CE30" s="18">
        <f>'Total Sunday-Holiday Boardings'!CE30/SUM('Service Days per Month'!CE$6:CE$7)</f>
        <v>399</v>
      </c>
      <c r="CF30" s="18">
        <f>'Total Sunday-Holiday Boardings'!CF30/SUM('Service Days per Month'!CF$6:CF$7)</f>
        <v>420</v>
      </c>
      <c r="CG30" s="18">
        <f>'Total Sunday-Holiday Boardings'!CG30/SUM('Service Days per Month'!CG$6:CG$7)</f>
        <v>429.5</v>
      </c>
      <c r="CH30" s="18">
        <f>'Total Sunday-Holiday Boardings'!CH30/SUM('Service Days per Month'!CH$6:CH$7)</f>
        <v>444</v>
      </c>
      <c r="CI30" s="18">
        <f>'Total Sunday-Holiday Boardings'!CI30/SUM('Service Days per Month'!CI$6:CI$7)</f>
        <v>446.57142857142856</v>
      </c>
      <c r="CJ30" s="18">
        <f>'Total Sunday-Holiday Boardings'!CJ30/SUM('Service Days per Month'!CJ$6:CJ$7)</f>
        <v>440.2</v>
      </c>
      <c r="CK30" s="18">
        <f>'Total Sunday-Holiday Boardings'!CK30/SUM('Service Days per Month'!CK$6:CK$7)</f>
        <v>382.25</v>
      </c>
      <c r="CL30" s="18">
        <f>'Total Sunday-Holiday Boardings'!CL30/SUM('Service Days per Month'!CL$6:CL$7)</f>
        <v>369.5</v>
      </c>
      <c r="CM30" s="18">
        <f>'Total Sunday-Holiday Boardings'!CM30/SUM('Service Days per Month'!CM$6:CM$7)</f>
        <v>383</v>
      </c>
      <c r="CN30" s="21">
        <f>'Total Sunday-Holiday Boardings'!CN30/SUM('Service Days per Month'!CN$6:CN$7)</f>
        <v>351.75</v>
      </c>
      <c r="CO30" s="17">
        <f>'Total Sunday-Holiday Boardings'!CO30/SUM('Service Days per Month'!CO$6:CO$7)</f>
        <v>430.66666666666669</v>
      </c>
      <c r="CP30" s="18">
        <f>'Total Sunday-Holiday Boardings'!CP30/SUM('Service Days per Month'!CP$6:CP$7)</f>
        <v>452</v>
      </c>
      <c r="CQ30" s="18">
        <f>'Total Sunday-Holiday Boardings'!CQ30/SUM('Service Days per Month'!CQ$6:CQ$7)</f>
        <v>418.8</v>
      </c>
      <c r="CR30" s="18">
        <f>'Total Sunday-Holiday Boardings'!CR30/SUM('Service Days per Month'!CR$6:CR$7)</f>
        <v>416.2</v>
      </c>
      <c r="CS30" s="18">
        <f>'Total Sunday-Holiday Boardings'!CS30/SUM('Service Days per Month'!CS$6:CS$7)</f>
        <v>488.28571428571428</v>
      </c>
      <c r="CT30" s="18">
        <f>'Total Sunday-Holiday Boardings'!CT30/SUM('Service Days per Month'!CT$6:CT$7)</f>
        <v>554</v>
      </c>
      <c r="CU30" s="18">
        <f>'Total Sunday-Holiday Boardings'!CU30/SUM('Service Days per Month'!CU$6:CU$7)</f>
        <v>439.85714285714283</v>
      </c>
      <c r="CV30" s="18">
        <f>'Total Sunday-Holiday Boardings'!CV30/SUM('Service Days per Month'!CV$6:CV$7)</f>
        <v>415.4</v>
      </c>
      <c r="CW30" s="18">
        <f>'Total Sunday-Holiday Boardings'!CW30/SUM('Service Days per Month'!CW$6:CW$7)</f>
        <v>412</v>
      </c>
      <c r="CX30" s="18">
        <f>'Total Sunday-Holiday Boardings'!CX30/SUM('Service Days per Month'!CX$6:CX$7)</f>
        <v>469</v>
      </c>
      <c r="CY30" s="18">
        <f>'Total Sunday-Holiday Boardings'!CY30/SUM('Service Days per Month'!CY$6:CY$7)</f>
        <v>404</v>
      </c>
      <c r="CZ30" s="19">
        <f>'Total Sunday-Holiday Boardings'!CZ30/SUM('Service Days per Month'!CZ$6:CZ$7)</f>
        <v>355.5</v>
      </c>
      <c r="DA30" s="17">
        <f>'Total Sunday-Holiday Boardings'!DA30/SUM('Service Days per Month'!DA$6:DA$7)</f>
        <v>444.5</v>
      </c>
      <c r="DB30" s="18">
        <f>'Total Sunday-Holiday Boardings'!DB30/SUM('Service Days per Month'!DB$6:DB$7)</f>
        <v>420.25</v>
      </c>
      <c r="DC30" s="18">
        <f>'Total Sunday-Holiday Boardings'!DC30/SUM('Service Days per Month'!DC$6:DC$7)</f>
        <v>419.2</v>
      </c>
      <c r="DD30" s="18">
        <f>'Total Sunday-Holiday Boardings'!DD30/SUM('Service Days per Month'!DD$6:DD$7)</f>
        <v>420</v>
      </c>
      <c r="DE30" s="18">
        <f>'Total Sunday-Holiday Boardings'!DE30/SUM('Service Days per Month'!DE$6:DE$7)</f>
        <v>415.28571428571428</v>
      </c>
      <c r="DF30" s="18">
        <f>'Total Sunday-Holiday Boardings'!DF30/SUM('Service Days per Month'!DF$6:DF$7)</f>
        <v>407.66666666666669</v>
      </c>
      <c r="DG30" s="18">
        <f>'Total Sunday-Holiday Boardings'!DG30/SUM('Service Days per Month'!DG$6:DG$7)</f>
        <v>409.66666666666669</v>
      </c>
      <c r="DH30" s="18">
        <f>'Total Sunday-Holiday Boardings'!DH30/SUM('Service Days per Month'!DH$6:DH$7)</f>
        <v>418.2</v>
      </c>
      <c r="DI30" s="18">
        <f>'Total Sunday-Holiday Boardings'!DI30/SUM('Service Days per Month'!DI$6:DI$7)</f>
        <v>404</v>
      </c>
      <c r="DJ30" s="18">
        <f>'Total Sunday-Holiday Boardings'!DJ30/SUM('Service Days per Month'!DJ$6:DJ$7)</f>
        <v>439.4</v>
      </c>
      <c r="DK30" s="18">
        <f>'Total Sunday-Holiday Boardings'!DK30/SUM('Service Days per Month'!DK$6:DK$7)</f>
        <v>417.4</v>
      </c>
      <c r="DL30" s="19">
        <f>'Total Sunday-Holiday Boardings'!DL30/SUM('Service Days per Month'!DL$6:DL$7)</f>
        <v>359</v>
      </c>
      <c r="DM30" s="17">
        <f>'Total Sunday-Holiday Boardings'!DM30/('Service Days per Month'!DM$6+'Service Days per Month'!DM$7)</f>
        <v>408.5</v>
      </c>
      <c r="DN30" s="18">
        <f>'Total Sunday-Holiday Boardings'!DN30/('Service Days per Month'!DN$6+'Service Days per Month'!DN$7)</f>
        <v>407</v>
      </c>
      <c r="DO30" s="18">
        <f>'Total Sunday-Holiday Boardings'!DO30/('Service Days per Month'!DO$6+'Service Days per Month'!DO$7)</f>
        <v>394</v>
      </c>
      <c r="DP30" s="18">
        <f>'Total Sunday-Holiday Boardings'!DP30/('Service Days per Month'!DP$6+'Service Days per Month'!DP$7)</f>
        <v>390.5</v>
      </c>
      <c r="DQ30" s="18">
        <f>'Total Sunday-Holiday Boardings'!DQ30/('Service Days per Month'!DQ$6+'Service Days per Month'!DQ$7)</f>
        <v>380.6</v>
      </c>
      <c r="DR30" s="18">
        <f>'Total Sunday-Holiday Boardings'!DR30/('Service Days per Month'!DR$6+'Service Days per Month'!DR$7)</f>
        <v>398.33333333333331</v>
      </c>
      <c r="DS30" s="18">
        <f>'Total Sunday-Holiday Boardings'!DS30/('Service Days per Month'!DS$6+'Service Days per Month'!DS$7)</f>
        <v>387</v>
      </c>
      <c r="DT30" s="18">
        <f>'Total Sunday-Holiday Boardings'!DT30/('Service Days per Month'!DT$6+'Service Days per Month'!DT$7)</f>
        <v>360.5</v>
      </c>
      <c r="DU30" s="18">
        <f>'Total Sunday-Holiday Boardings'!DU30/('Service Days per Month'!DU$6+'Service Days per Month'!DU$7)</f>
        <v>387.4</v>
      </c>
      <c r="DV30" s="18">
        <f>'Total Sunday-Holiday Boardings'!DV30/('Service Days per Month'!DV$6+'Service Days per Month'!DV$7)</f>
        <v>138</v>
      </c>
      <c r="DW30" s="18">
        <f>'Total Sunday-Holiday Boardings'!DW30/('Service Days per Month'!DW$6+'Service Days per Month'!DW$7)</f>
        <v>383.4</v>
      </c>
      <c r="DX30" s="18">
        <f>'Total Sunday-Holiday Boardings'!DX30/('Service Days per Month'!DX$6+'Service Days per Month'!DX$7)</f>
        <v>353.4</v>
      </c>
      <c r="DY30" s="17">
        <f>'Total Sunday-Holiday Boardings'!DY30/('Service Days per Month'!DY$6+'Service Days per Month'!DY$7)</f>
        <v>331</v>
      </c>
      <c r="DZ30" s="18">
        <f>'Total Sunday-Holiday Boardings'!DZ30/('Service Days per Month'!DZ$6+'Service Days per Month'!DZ$7)</f>
        <v>323.25</v>
      </c>
      <c r="EA30" s="18">
        <f>'Total Sunday-Holiday Boardings'!EA30/('Service Days per Month'!EA$6+'Service Days per Month'!EA$7)</f>
        <v>351.5</v>
      </c>
      <c r="EB30" s="18">
        <f>'Total Sunday-Holiday Boardings'!EB30/('Service Days per Month'!EB$6+'Service Days per Month'!EB$7)</f>
        <v>322.5</v>
      </c>
      <c r="EC30" s="18">
        <f>'Total Sunday-Holiday Boardings'!EC30/('Service Days per Month'!EC$6+'Service Days per Month'!EC$7)</f>
        <v>339.6</v>
      </c>
      <c r="ED30" s="18">
        <f>'Total Sunday-Holiday Boardings'!ED30/('Service Days per Month'!ED$6+'Service Days per Month'!ED$7)</f>
        <v>358.5</v>
      </c>
      <c r="EE30" s="18">
        <f>'Total Sunday-Holiday Boardings'!EE30/('Service Days per Month'!EE$6+'Service Days per Month'!EE$7)</f>
        <v>494.5</v>
      </c>
      <c r="EF30" s="18">
        <f>'Total Sunday-Holiday Boardings'!EF30/('Service Days per Month'!EF$6+'Service Days per Month'!EF$7)</f>
        <v>370.75</v>
      </c>
      <c r="EG30" s="18">
        <f>'Total Sunday-Holiday Boardings'!EG30/('Service Days per Month'!EG$6+'Service Days per Month'!EG$7)</f>
        <v>279.60000000000002</v>
      </c>
      <c r="EH30" s="18">
        <f>'Total Sunday-Holiday Boardings'!EH30/('Service Days per Month'!EH$6+'Service Days per Month'!EH$7)</f>
        <v>192.75</v>
      </c>
      <c r="EI30" s="18">
        <f>'Total Sunday-Holiday Boardings'!EI30/('Service Days per Month'!EI$6+'Service Days per Month'!EI$7)</f>
        <v>170</v>
      </c>
      <c r="EJ30" s="18">
        <f>'Total Sunday-Holiday Boardings'!EJ30/('Service Days per Month'!EJ$6+'Service Days per Month'!EJ$7)</f>
        <v>190.5</v>
      </c>
      <c r="EK30" s="17">
        <f>'Total Sunday-Holiday Boardings'!EK30/('Service Days per Month'!EK$6+'Service Days per Month'!EK$7)</f>
        <v>169.2</v>
      </c>
      <c r="EL30" s="18">
        <f>'Total Sunday-Holiday Boardings'!EL30/('Service Days per Month'!EL$6+'Service Days per Month'!EL$7)</f>
        <v>158.6</v>
      </c>
      <c r="EM30" s="18">
        <f>'Total Sunday-Holiday Boardings'!EM30/('Service Days per Month'!EM$6+'Service Days per Month'!EM$7)</f>
        <v>210.4</v>
      </c>
      <c r="EN30" s="18">
        <f>'Total Sunday-Holiday Boardings'!EN30/('Service Days per Month'!EN$6+'Service Days per Month'!EN$7)</f>
        <v>158.25</v>
      </c>
      <c r="EO30" s="18">
        <f>'Total Sunday-Holiday Boardings'!EO30/('Service Days per Month'!EO$6+'Service Days per Month'!EO$7)</f>
        <v>144.5</v>
      </c>
      <c r="EP30" s="18">
        <f>'Total Sunday-Holiday Boardings'!EP30/('Service Days per Month'!EP$6+'Service Days per Month'!EP$7)</f>
        <v>125.2</v>
      </c>
      <c r="EQ30" s="18">
        <f>'Total Sunday-Holiday Boardings'!EQ30/('Service Days per Month'!EQ$6+'Service Days per Month'!EQ$7)</f>
        <v>68.8</v>
      </c>
      <c r="ER30" s="18">
        <f>'Total Sunday-Holiday Boardings'!ER30/('Service Days per Month'!ER$6+'Service Days per Month'!ER$7)</f>
        <v>151.75</v>
      </c>
      <c r="ES30" s="18">
        <f>'Total Sunday-Holiday Boardings'!ES30/('Service Days per Month'!ES$6+'Service Days per Month'!ES$7)</f>
        <v>147.75</v>
      </c>
      <c r="ET30" s="18">
        <f>'Total Sunday-Holiday Boardings'!ET30/('Service Days per Month'!ET$6+'Service Days per Month'!ET$7)</f>
        <v>173.5</v>
      </c>
      <c r="EU30" s="18">
        <f>'Total Sunday-Holiday Boardings'!EU30/('Service Days per Month'!EU$6+'Service Days per Month'!EU$7)</f>
        <v>139.83333333333334</v>
      </c>
      <c r="EV30" s="18">
        <f>'Total Sunday-Holiday Boardings'!EV30/('Service Days per Month'!EV$6+'Service Days per Month'!EV$7)</f>
        <v>183.25</v>
      </c>
      <c r="EW30" s="17">
        <f>'Total Sunday-Holiday Boardings'!EW30/('Service Days per Month'!EW$6+'Service Days per Month'!EW$7)</f>
        <v>216</v>
      </c>
      <c r="EX30" s="18">
        <f>'Total Sunday-Holiday Boardings'!EX30/('Service Days per Month'!EX$6+'Service Days per Month'!EX$7)</f>
        <v>228.6</v>
      </c>
      <c r="EY30" s="18">
        <f>'Total Sunday-Holiday Boardings'!EY30/('Service Days per Month'!EY$6+'Service Days per Month'!EY$7)</f>
        <v>194.8</v>
      </c>
      <c r="EZ30" s="18">
        <f>'Total Sunday-Holiday Boardings'!EZ30/('Service Days per Month'!EZ$6+'Service Days per Month'!EZ$7)</f>
        <v>179.4</v>
      </c>
      <c r="FA30" s="18">
        <f>'Total Sunday-Holiday Boardings'!FA30/('Service Days per Month'!FA$6+'Service Days per Month'!FA$7)</f>
        <v>185.8</v>
      </c>
      <c r="FB30" s="18">
        <f>'Total Sunday-Holiday Boardings'!FB30/('Service Days per Month'!FB$6+'Service Days per Month'!FB$7)</f>
        <v>250.2</v>
      </c>
      <c r="FC30" s="18">
        <f>'Total Sunday-Holiday Boardings'!FC30/('Service Days per Month'!FC$6+'Service Days per Month'!FC$7)</f>
        <v>205.8</v>
      </c>
      <c r="FD30" s="18">
        <f>'Total Sunday-Holiday Boardings'!FD30/('Service Days per Month'!FD$6+'Service Days per Month'!FD$7)</f>
        <v>272.5</v>
      </c>
      <c r="FE30" s="18">
        <f>'Total Sunday-Holiday Boardings'!FE30/('Service Days per Month'!FE$6+'Service Days per Month'!FE$7)</f>
        <v>252.75</v>
      </c>
      <c r="FF30" s="18">
        <f>'Total Sunday-Holiday Boardings'!FF30/('Service Days per Month'!FF$6+'Service Days per Month'!FF$7)</f>
        <v>234</v>
      </c>
      <c r="FG30" s="18">
        <f>'Total Sunday-Holiday Boardings'!FG30/('Service Days per Month'!FG$6+'Service Days per Month'!FG$7)</f>
        <v>207.16666666666666</v>
      </c>
      <c r="FH30" s="18">
        <f>'Total Sunday-Holiday Boardings'!FH30/('Service Days per Month'!FH$6+'Service Days per Month'!FH$7)</f>
        <v>195</v>
      </c>
      <c r="FI30" s="17">
        <v>206</v>
      </c>
      <c r="FJ30" s="18">
        <v>207.75</v>
      </c>
      <c r="FK30" s="18">
        <v>240.6</v>
      </c>
      <c r="FL30" s="18">
        <v>235.2</v>
      </c>
      <c r="FM30" s="18">
        <v>216.6</v>
      </c>
      <c r="FN30" s="18">
        <v>239</v>
      </c>
      <c r="FO30" s="18">
        <v>306.39999999999998</v>
      </c>
      <c r="FP30" s="18">
        <v>229.25</v>
      </c>
      <c r="FQ30" s="18">
        <v>302.25</v>
      </c>
      <c r="FR30" s="18">
        <f>'Total Sunday-Holiday Boardings'!FR30/5</f>
        <v>301.8</v>
      </c>
      <c r="FS30" s="18">
        <f>'Total Sunday-Holiday Boardings'!FS30/5</f>
        <v>277.60000000000002</v>
      </c>
      <c r="FT30" s="21">
        <f>'Total Sunday-Holiday Boardings'!FT30/4</f>
        <v>254.75</v>
      </c>
      <c r="FU30" s="18">
        <f>'Total Sunday-Holiday Boardings'!FU30/5</f>
        <v>373.4</v>
      </c>
      <c r="FV30" s="18">
        <f>'Total Sunday-Holiday Boardings'!FV30/4</f>
        <v>375.5</v>
      </c>
      <c r="FW30" s="18">
        <f>'Total Sunday-Holiday Boardings'!FW30/4</f>
        <v>358.25</v>
      </c>
      <c r="FX30" s="18">
        <f>'Total Sunday-Holiday Boardings'!FX30/5</f>
        <v>289</v>
      </c>
      <c r="FY30" s="18">
        <f>'Total Sunday-Holiday Boardings'!FY30/4</f>
        <v>346</v>
      </c>
      <c r="FZ30" s="18">
        <f>'Total Sunday-Holiday Boardings'!FZ30/5</f>
        <v>284.39999999999998</v>
      </c>
      <c r="GA30" s="18">
        <f>'Total Sunday-Holiday Boardings'!GA30/4</f>
        <v>378.5</v>
      </c>
      <c r="GB30" s="18">
        <f>'Total Sunday-Holiday Boardings'!GB30/4</f>
        <v>325.25</v>
      </c>
      <c r="GC30" s="18">
        <f>'Total Sunday-Holiday Boardings'!GC30/5</f>
        <v>311</v>
      </c>
      <c r="GD30" s="18">
        <f>'Total Sunday-Holiday Boardings'!GD30/4</f>
        <v>276</v>
      </c>
      <c r="GE30" s="18">
        <f>'Total Sunday-Holiday Boardings'!GE30/4</f>
        <v>361</v>
      </c>
      <c r="GF30" s="18">
        <f>'Total Sunday-Holiday Boardings'!GF30/5</f>
        <v>308.39999999999998</v>
      </c>
      <c r="GG30" s="18">
        <f>'Total Sunday-Holiday Boardings'!GG30/4</f>
        <v>331.25</v>
      </c>
      <c r="GH30" s="18">
        <f>'Total Sunday-Holiday Boardings'!GH30/4</f>
        <v>282.25</v>
      </c>
      <c r="GI30" s="18">
        <f>'Total Sunday-Holiday Boardings'!GI30/5</f>
        <v>347.8</v>
      </c>
      <c r="GJ30" s="18">
        <f>'Total Sunday-Holiday Boardings'!GJ30/4</f>
        <v>282.75</v>
      </c>
      <c r="GK30" s="18">
        <f>'Total Sunday-Holiday Boardings'!GK30/4</f>
        <v>301</v>
      </c>
      <c r="GL30" s="18">
        <f>'Total Sunday-Holiday Boardings'!GL30/5</f>
        <v>284.8</v>
      </c>
    </row>
    <row r="31" spans="1:194" x14ac:dyDescent="0.3">
      <c r="A31" s="3" t="s">
        <v>14</v>
      </c>
      <c r="B31" s="17"/>
      <c r="C31" s="18">
        <f>'Total Sunday-Holiday Boardings'!C31/SUM('Service Days per Month'!C$6:C$7)</f>
        <v>164.2</v>
      </c>
      <c r="D31" s="18">
        <f>'Total Sunday-Holiday Boardings'!D31/SUM('Service Days per Month'!D$6:D$7)</f>
        <v>272.75</v>
      </c>
      <c r="E31" s="18">
        <f>'Total Sunday-Holiday Boardings'!E31/SUM('Service Days per Month'!E$6:E$7)</f>
        <v>208.8</v>
      </c>
      <c r="F31" s="18">
        <f>'Total Sunday-Holiday Boardings'!F31/SUM('Service Days per Month'!F$6:F$7)</f>
        <v>189.4</v>
      </c>
      <c r="G31" s="18">
        <f>'Total Sunday-Holiday Boardings'!G31/SUM('Service Days per Month'!G$6:G$7)</f>
        <v>182</v>
      </c>
      <c r="H31" s="19">
        <f>'Total Sunday-Holiday Boardings'!H31/SUM('Service Days per Month'!H$6:H$7)</f>
        <v>214.75</v>
      </c>
      <c r="I31" s="17">
        <f>'Total Sunday-Holiday Boardings'!I31/SUM('Service Days per Month'!I$6:I$7)</f>
        <v>186.2</v>
      </c>
      <c r="J31" s="18">
        <f>'Total Sunday-Holiday Boardings'!J31/SUM('Service Days per Month'!J$6:J$7)</f>
        <v>156.4</v>
      </c>
      <c r="K31" s="18">
        <f>'Total Sunday-Holiday Boardings'!K31/SUM('Service Days per Month'!K$6:K$7)</f>
        <v>151.4</v>
      </c>
      <c r="L31" s="18">
        <f>'Total Sunday-Holiday Boardings'!L31/SUM('Service Days per Month'!L$6:L$7)</f>
        <v>127.75</v>
      </c>
      <c r="M31" s="18">
        <f>'Total Sunday-Holiday Boardings'!M31/SUM('Service Days per Month'!M$6:M$7)</f>
        <v>258.16666666666669</v>
      </c>
      <c r="N31" s="18">
        <f>'Total Sunday-Holiday Boardings'!N31/SUM('Service Days per Month'!N$6:N$7)</f>
        <v>152.4</v>
      </c>
      <c r="O31" s="79">
        <f>'Total Sunday-Holiday Boardings'!O31/SUM('Service Days per Month'!O$6:O$7)</f>
        <v>246.83333333333334</v>
      </c>
      <c r="P31" s="79">
        <f>'Total Sunday-Holiday Boardings'!P31/SUM('Service Days per Month'!P$6:P$7)</f>
        <v>235.5</v>
      </c>
      <c r="Q31" s="79">
        <f>'Total Sunday-Holiday Boardings'!Q31/SUM('Service Days per Month'!Q$6:Q$7)</f>
        <v>243.25</v>
      </c>
      <c r="R31" s="79">
        <f>'Total Sunday-Holiday Boardings'!R31/SUM('Service Days per Month'!R$6:R$7)</f>
        <v>241</v>
      </c>
      <c r="S31" s="79">
        <f>'Total Sunday-Holiday Boardings'!S31/SUM('Service Days per Month'!S$6:S$7)</f>
        <v>204.83333333333334</v>
      </c>
      <c r="T31" s="80">
        <f>'Total Sunday-Holiday Boardings'!T31/SUM('Service Days per Month'!T$6:T$7)</f>
        <v>201</v>
      </c>
      <c r="U31" s="81">
        <f>'Total Sunday-Holiday Boardings'!U31/SUM('Service Days per Month'!U$6:U$7)</f>
        <v>174.6</v>
      </c>
      <c r="V31" s="79">
        <f>'Total Sunday-Holiday Boardings'!V31/SUM('Service Days per Month'!V$6:V$7)</f>
        <v>148.4</v>
      </c>
      <c r="W31" s="79">
        <f>'Total Sunday-Holiday Boardings'!W31/SUM('Service Days per Month'!W$6:W$7)</f>
        <v>164.8</v>
      </c>
      <c r="X31" s="79">
        <f>'Total Sunday-Holiday Boardings'!X31/SUM('Service Days per Month'!X$6:X$7)</f>
        <v>156</v>
      </c>
      <c r="Y31" s="79">
        <f>'Total Sunday-Holiday Boardings'!Y31/SUM('Service Days per Month'!Y$6:Y$7)</f>
        <v>151</v>
      </c>
      <c r="Z31" s="79">
        <f>'Total Sunday-Holiday Boardings'!Z31/SUM('Service Days per Month'!Z$6:Z$7)</f>
        <v>87.428571428571431</v>
      </c>
      <c r="AA31" s="18">
        <f>'Total Sunday-Holiday Boardings'!AA31/SUM('Service Days per Month'!AA$6:AA$7)</f>
        <v>231.16666666666666</v>
      </c>
      <c r="AB31" s="18">
        <f>'Total Sunday-Holiday Boardings'!AB31/SUM('Service Days per Month'!AB$6:AB$7)</f>
        <v>176</v>
      </c>
      <c r="AC31" s="18">
        <f>'Total Sunday-Holiday Boardings'!AC31/SUM('Service Days per Month'!AC$6:AC$7)</f>
        <v>196.5</v>
      </c>
      <c r="AD31" s="18">
        <f>'Total Sunday-Holiday Boardings'!AD31/SUM('Service Days per Month'!AD$6:AD$7)</f>
        <v>212</v>
      </c>
      <c r="AE31" s="18">
        <f>'Total Sunday-Holiday Boardings'!AE31/SUM('Service Days per Month'!AE$6:AE$7)</f>
        <v>171</v>
      </c>
      <c r="AF31" s="19">
        <f>'Total Sunday-Holiday Boardings'!AF31/SUM('Service Days per Month'!AF$6:AF$7)</f>
        <v>228.75</v>
      </c>
      <c r="AG31" s="17">
        <f>'Total Sunday-Holiday Boardings'!AG31/SUM('Service Days per Month'!AG$6:AG$7)</f>
        <v>180.5</v>
      </c>
      <c r="AH31" s="18">
        <f>'Total Sunday-Holiday Boardings'!AH31/SUM('Service Days per Month'!AH$6:AH$7)</f>
        <v>184.25</v>
      </c>
      <c r="AI31" s="18">
        <f>'Total Sunday-Holiday Boardings'!AI31/SUM('Service Days per Month'!AI$6:AI$7)</f>
        <v>149.4</v>
      </c>
      <c r="AJ31" s="18">
        <f>'Total Sunday-Holiday Boardings'!AJ31/SUM('Service Days per Month'!AJ$6:AJ$7)</f>
        <v>171.4</v>
      </c>
      <c r="AK31" s="18">
        <f>'Total Sunday-Holiday Boardings'!AK31/SUM('Service Days per Month'!AK$6:AK$7)</f>
        <v>175.14285714285714</v>
      </c>
      <c r="AL31" s="18">
        <f>'Total Sunday-Holiday Boardings'!AL31/SUM('Service Days per Month'!AL$6:AL$7)</f>
        <v>136</v>
      </c>
      <c r="AM31" s="18">
        <f>'Total Sunday-Holiday Boardings'!AM31/SUM('Service Days per Month'!AM$6:AM$7)</f>
        <v>162.14285714285714</v>
      </c>
      <c r="AN31" s="18">
        <f>'Total Sunday-Holiday Boardings'!AN31/SUM('Service Days per Month'!AN$6:AN$7)</f>
        <v>228.6</v>
      </c>
      <c r="AO31" s="18">
        <f>'Total Sunday-Holiday Boardings'!AO31/SUM('Service Days per Month'!AO$6:AO$7)</f>
        <v>223.25</v>
      </c>
      <c r="AP31" s="18">
        <f>'Total Sunday-Holiday Boardings'!AP31/SUM('Service Days per Month'!AP$6:AP$7)</f>
        <v>253.4</v>
      </c>
      <c r="AQ31" s="18">
        <f>'Total Sunday-Holiday Boardings'!AQ31/SUM('Service Days per Month'!AQ$6:AQ$7)</f>
        <v>202.4</v>
      </c>
      <c r="AR31" s="19">
        <f>'Total Sunday-Holiday Boardings'!AR31/SUM('Service Days per Month'!AR$6:AR$7)</f>
        <v>148.25</v>
      </c>
      <c r="AS31" s="17">
        <f>'Total Sunday-Holiday Boardings'!AS31/SUM('Service Days per Month'!AS$6:AS$7)</f>
        <v>184.16666666666666</v>
      </c>
      <c r="AT31" s="18">
        <f>'Total Sunday-Holiday Boardings'!AT31/SUM('Service Days per Month'!AT$6:AT$7)</f>
        <v>177.5</v>
      </c>
      <c r="AU31" s="18">
        <f>'Total Sunday-Holiday Boardings'!AU31/SUM('Service Days per Month'!AU$6:AU$7)</f>
        <v>187.83333333333334</v>
      </c>
      <c r="AV31" s="18">
        <f>'Total Sunday-Holiday Boardings'!AV31/SUM('Service Days per Month'!AV$6:AV$7)</f>
        <v>219.25</v>
      </c>
      <c r="AW31" s="18">
        <f>'Total Sunday-Holiday Boardings'!AW31/SUM('Service Days per Month'!AW$6:AW$7)</f>
        <v>163.28571428571428</v>
      </c>
      <c r="AX31" s="18">
        <f>'Total Sunday-Holiday Boardings'!AX31/SUM('Service Days per Month'!AX$6:AX$7)</f>
        <v>144.85714285714286</v>
      </c>
      <c r="AY31" s="18">
        <f>'Total Sunday-Holiday Boardings'!AY31/SUM('Service Days per Month'!AY$6:AY$7)</f>
        <v>168</v>
      </c>
      <c r="AZ31" s="18">
        <f>'Total Sunday-Holiday Boardings'!AZ31/SUM('Service Days per Month'!AZ$6:AZ$7)</f>
        <v>225</v>
      </c>
      <c r="BA31" s="18">
        <f>'Total Sunday-Holiday Boardings'!BA31/SUM('Service Days per Month'!BA$6:BA$7)</f>
        <v>273</v>
      </c>
      <c r="BB31" s="18">
        <f>'Total Sunday-Holiday Boardings'!BB31/SUM('Service Days per Month'!BB$6:BB$7)</f>
        <v>255.5</v>
      </c>
      <c r="BC31" s="18">
        <f>'Total Sunday-Holiday Boardings'!BC31/SUM('Service Days per Month'!BC$6:BC$7)</f>
        <v>227.2</v>
      </c>
      <c r="BD31" s="19">
        <f>'Total Sunday-Holiday Boardings'!BD31/SUM('Service Days per Month'!BD$6:BD$7)</f>
        <v>173</v>
      </c>
      <c r="BE31" s="17">
        <f>'Total Sunday-Holiday Boardings'!BE31/SUM('Service Days per Month'!BE$6:BE$7)</f>
        <v>167.4</v>
      </c>
      <c r="BF31" s="18">
        <f>'Total Sunday-Holiday Boardings'!BF31/SUM('Service Days per Month'!BF$6:BF$7)</f>
        <v>186.75</v>
      </c>
      <c r="BG31" s="18">
        <f>'Total Sunday-Holiday Boardings'!BG31/SUM('Service Days per Month'!BG$6:BG$7)</f>
        <v>151.66666666666666</v>
      </c>
      <c r="BH31" s="18">
        <f>'Total Sunday-Holiday Boardings'!BH31/SUM('Service Days per Month'!BH$6:BH$7)</f>
        <v>167.25</v>
      </c>
      <c r="BI31" s="18">
        <f>'Total Sunday-Holiday Boardings'!BI31/SUM('Service Days per Month'!BI$6:BI$7)</f>
        <v>147.94110143337221</v>
      </c>
      <c r="BJ31" s="18">
        <f>'Total Sunday-Holiday Boardings'!BJ31/SUM('Service Days per Month'!BJ$6:BJ$7)</f>
        <v>225.71428571428572</v>
      </c>
      <c r="BK31" s="18">
        <f>'Total Sunday-Holiday Boardings'!BK31/SUM('Service Days per Month'!BK$6:BK$7)</f>
        <v>208.33333333333334</v>
      </c>
      <c r="BL31" s="18">
        <f>'Total Sunday-Holiday Boardings'!BL31/SUM('Service Days per Month'!BL$6:BL$7)</f>
        <v>249</v>
      </c>
      <c r="BM31" s="18">
        <f>'Total Sunday-Holiday Boardings'!BM31/SUM('Service Days per Month'!BM$6:BM$7)</f>
        <v>269</v>
      </c>
      <c r="BN31" s="18">
        <f>'Total Sunday-Holiday Boardings'!BN31/SUM('Service Days per Month'!BN$6:BN$7)</f>
        <v>236</v>
      </c>
      <c r="BO31" s="18">
        <f>'Total Sunday-Holiday Boardings'!BO31/SUM('Service Days per Month'!BO$6:BO$7)</f>
        <v>213.6</v>
      </c>
      <c r="BP31" s="19">
        <f>'Total Sunday-Holiday Boardings'!BP31/SUM('Service Days per Month'!BP$6:BP$7)</f>
        <v>193.6</v>
      </c>
      <c r="BQ31" s="17">
        <f>'Total Sunday-Holiday Boardings'!BQ31/SUM('Service Days per Month'!BQ$6:BQ$7)</f>
        <v>180</v>
      </c>
      <c r="BR31" s="18">
        <f>'Total Sunday-Holiday Boardings'!BR31/SUM('Service Days per Month'!BR$6:BR$7)</f>
        <v>198.2</v>
      </c>
      <c r="BS31" s="18">
        <f>'Total Sunday-Holiday Boardings'!BS31/SUM('Service Days per Month'!BS$6:BS$7)</f>
        <v>171.6</v>
      </c>
      <c r="BT31" s="18">
        <f>'Total Sunday-Holiday Boardings'!BT31/SUM('Service Days per Month'!BT$6:BT$7)</f>
        <v>206.5</v>
      </c>
      <c r="BU31" s="18">
        <f>'Total Sunday-Holiday Boardings'!BU31/SUM('Service Days per Month'!BU$6:BU$7)</f>
        <v>214.5</v>
      </c>
      <c r="BV31" s="18">
        <f>'Total Sunday-Holiday Boardings'!BV31/SUM('Service Days per Month'!BV$6:BV$7)</f>
        <v>218.16666666666666</v>
      </c>
      <c r="BW31" s="18">
        <f>'Total Sunday-Holiday Boardings'!BW31/SUM('Service Days per Month'!BW$6:BW$7)</f>
        <v>292.5</v>
      </c>
      <c r="BX31" s="18">
        <f>'Total Sunday-Holiday Boardings'!BX31/SUM('Service Days per Month'!BX$6:BX$7)</f>
        <v>325.60000000000002</v>
      </c>
      <c r="BY31" s="18">
        <f>'Total Sunday-Holiday Boardings'!BY31/SUM('Service Days per Month'!BY$6:BY$7)</f>
        <v>290</v>
      </c>
      <c r="BZ31" s="18">
        <f>'Total Sunday-Holiday Boardings'!BZ31/SUM('Service Days per Month'!BZ$6:BZ$7)</f>
        <v>294.75</v>
      </c>
      <c r="CA31" s="18">
        <f>'Total Sunday-Holiday Boardings'!CA31/SUM('Service Days per Month'!CA$6:CA$7)</f>
        <v>229</v>
      </c>
      <c r="CB31" s="19">
        <f>'Total Sunday-Holiday Boardings'!CB31/SUM('Service Days per Month'!CB$6:CB$7)</f>
        <v>215</v>
      </c>
      <c r="CC31" s="20">
        <f>'Total Sunday-Holiday Boardings'!CC31/SUM('Service Days per Month'!CC$6:CC$7)</f>
        <v>238.8</v>
      </c>
      <c r="CD31" s="18">
        <f>'Total Sunday-Holiday Boardings'!CD31/SUM('Service Days per Month'!CD$6:CD$7)</f>
        <v>329</v>
      </c>
      <c r="CE31" s="18">
        <f>'Total Sunday-Holiday Boardings'!CE31/SUM('Service Days per Month'!CE$6:CE$7)</f>
        <v>592</v>
      </c>
      <c r="CF31" s="18">
        <f>'Total Sunday-Holiday Boardings'!CF31/SUM('Service Days per Month'!CF$6:CF$7)</f>
        <v>628</v>
      </c>
      <c r="CG31" s="18">
        <f>'Total Sunday-Holiday Boardings'!CG31/SUM('Service Days per Month'!CG$6:CG$7)</f>
        <v>564.25</v>
      </c>
      <c r="CH31" s="18">
        <f>'Total Sunday-Holiday Boardings'!CH31/SUM('Service Days per Month'!CH$6:CH$7)</f>
        <v>609</v>
      </c>
      <c r="CI31" s="18">
        <f>'Total Sunday-Holiday Boardings'!CI31/SUM('Service Days per Month'!CI$6:CI$7)</f>
        <v>653.28571428571433</v>
      </c>
      <c r="CJ31" s="18">
        <f>'Total Sunday-Holiday Boardings'!CJ31/SUM('Service Days per Month'!CJ$6:CJ$7)</f>
        <v>636.20000000000005</v>
      </c>
      <c r="CK31" s="18">
        <f>'Total Sunday-Holiday Boardings'!CK31/SUM('Service Days per Month'!CK$6:CK$7)</f>
        <v>654.75</v>
      </c>
      <c r="CL31" s="18">
        <f>'Total Sunday-Holiday Boardings'!CL31/SUM('Service Days per Month'!CL$6:CL$7)</f>
        <v>731</v>
      </c>
      <c r="CM31" s="18">
        <f>'Total Sunday-Holiday Boardings'!CM31/SUM('Service Days per Month'!CM$6:CM$7)</f>
        <v>640.5</v>
      </c>
      <c r="CN31" s="21">
        <f>'Total Sunday-Holiday Boardings'!CN31/SUM('Service Days per Month'!CN$6:CN$7)</f>
        <v>701.75</v>
      </c>
      <c r="CO31" s="17">
        <f>'Total Sunday-Holiday Boardings'!CO31/SUM('Service Days per Month'!CO$6:CO$7)</f>
        <v>666.66666666666663</v>
      </c>
      <c r="CP31" s="18">
        <f>'Total Sunday-Holiday Boardings'!CP31/SUM('Service Days per Month'!CP$6:CP$7)</f>
        <v>594</v>
      </c>
      <c r="CQ31" s="18">
        <f>'Total Sunday-Holiday Boardings'!CQ31/SUM('Service Days per Month'!CQ$6:CQ$7)</f>
        <v>604.79999999999995</v>
      </c>
      <c r="CR31" s="18">
        <f>'Total Sunday-Holiday Boardings'!CR31/SUM('Service Days per Month'!CR$6:CR$7)</f>
        <v>691.2</v>
      </c>
      <c r="CS31" s="18">
        <f>'Total Sunday-Holiday Boardings'!CS31/SUM('Service Days per Month'!CS$6:CS$7)</f>
        <v>716</v>
      </c>
      <c r="CT31" s="18">
        <f>'Total Sunday-Holiday Boardings'!CT31/SUM('Service Days per Month'!CT$6:CT$7)</f>
        <v>707.16666666666663</v>
      </c>
      <c r="CU31" s="18">
        <f>'Total Sunday-Holiday Boardings'!CU31/SUM('Service Days per Month'!CU$6:CU$7)</f>
        <v>632.14285714285711</v>
      </c>
      <c r="CV31" s="18">
        <f>'Total Sunday-Holiday Boardings'!CV31/SUM('Service Days per Month'!CV$6:CV$7)</f>
        <v>611.79999999999995</v>
      </c>
      <c r="CW31" s="18">
        <f>'Total Sunday-Holiday Boardings'!CW31/SUM('Service Days per Month'!CW$6:CW$7)</f>
        <v>720.5</v>
      </c>
      <c r="CX31" s="18">
        <f>'Total Sunday-Holiday Boardings'!CX31/SUM('Service Days per Month'!CX$6:CX$7)</f>
        <v>1044.5999999999999</v>
      </c>
      <c r="CY31" s="18">
        <f>'Total Sunday-Holiday Boardings'!CY31/SUM('Service Days per Month'!CY$6:CY$7)</f>
        <v>680.4</v>
      </c>
      <c r="CZ31" s="19">
        <f>'Total Sunday-Holiday Boardings'!CZ31/SUM('Service Days per Month'!CZ$6:CZ$7)</f>
        <v>592.5</v>
      </c>
      <c r="DA31" s="17">
        <f>'Total Sunday-Holiday Boardings'!DA31/SUM('Service Days per Month'!DA$6:DA$7)</f>
        <v>554.5</v>
      </c>
      <c r="DB31" s="18">
        <f>'Total Sunday-Holiday Boardings'!DB31/SUM('Service Days per Month'!DB$6:DB$7)</f>
        <v>585.5</v>
      </c>
      <c r="DC31" s="18">
        <f>'Total Sunday-Holiday Boardings'!DC31/SUM('Service Days per Month'!DC$6:DC$7)</f>
        <v>568.4</v>
      </c>
      <c r="DD31" s="18">
        <f>'Total Sunday-Holiday Boardings'!DD31/SUM('Service Days per Month'!DD$6:DD$7)</f>
        <v>608.6</v>
      </c>
      <c r="DE31" s="18">
        <f>'Total Sunday-Holiday Boardings'!DE31/SUM('Service Days per Month'!DE$6:DE$7)</f>
        <v>587.71428571428567</v>
      </c>
      <c r="DF31" s="18">
        <f>'Total Sunday-Holiday Boardings'!DF31/SUM('Service Days per Month'!DF$6:DF$7)</f>
        <v>507.66666666666669</v>
      </c>
      <c r="DG31" s="18">
        <f>'Total Sunday-Holiday Boardings'!DG31/SUM('Service Days per Month'!DG$6:DG$7)</f>
        <v>639.16666666666663</v>
      </c>
      <c r="DH31" s="18">
        <f>'Total Sunday-Holiday Boardings'!DH31/SUM('Service Days per Month'!DH$6:DH$7)</f>
        <v>634.79999999999995</v>
      </c>
      <c r="DI31" s="18">
        <f>'Total Sunday-Holiday Boardings'!DI31/SUM('Service Days per Month'!DI$6:DI$7)</f>
        <v>695.25</v>
      </c>
      <c r="DJ31" s="18">
        <f>'Total Sunday-Holiday Boardings'!DJ31/SUM('Service Days per Month'!DJ$6:DJ$7)</f>
        <v>565.6</v>
      </c>
      <c r="DK31" s="18">
        <f>'Total Sunday-Holiday Boardings'!DK31/SUM('Service Days per Month'!DK$6:DK$7)</f>
        <v>612.4</v>
      </c>
      <c r="DL31" s="19">
        <f>'Total Sunday-Holiday Boardings'!DL31/SUM('Service Days per Month'!DL$6:DL$7)</f>
        <v>534.5</v>
      </c>
      <c r="DM31" s="17">
        <f>'Total Sunday-Holiday Boardings'!DM31/('Service Days per Month'!DM$6+'Service Days per Month'!DM$7)</f>
        <v>544</v>
      </c>
      <c r="DN31" s="18">
        <f>'Total Sunday-Holiday Boardings'!DN31/('Service Days per Month'!DN$6+'Service Days per Month'!DN$7)</f>
        <v>485</v>
      </c>
      <c r="DO31" s="18">
        <f>'Total Sunday-Holiday Boardings'!DO31/('Service Days per Month'!DO$6+'Service Days per Month'!DO$7)</f>
        <v>528</v>
      </c>
      <c r="DP31" s="18">
        <f>'Total Sunday-Holiday Boardings'!DP31/('Service Days per Month'!DP$6+'Service Days per Month'!DP$7)</f>
        <v>529.5</v>
      </c>
      <c r="DQ31" s="18">
        <f>'Total Sunday-Holiday Boardings'!DQ31/('Service Days per Month'!DQ$6+'Service Days per Month'!DQ$7)</f>
        <v>513.4</v>
      </c>
      <c r="DR31" s="18">
        <f>'Total Sunday-Holiday Boardings'!DR31/('Service Days per Month'!DR$6+'Service Days per Month'!DR$7)</f>
        <v>509</v>
      </c>
      <c r="DS31" s="18">
        <f>'Total Sunday-Holiday Boardings'!DS31/('Service Days per Month'!DS$6+'Service Days per Month'!DS$7)</f>
        <v>537.6</v>
      </c>
      <c r="DT31" s="18">
        <f>'Total Sunday-Holiday Boardings'!DT31/('Service Days per Month'!DT$6+'Service Days per Month'!DT$7)</f>
        <v>544.75</v>
      </c>
      <c r="DU31" s="18">
        <f>'Total Sunday-Holiday Boardings'!DU31/('Service Days per Month'!DU$6+'Service Days per Month'!DU$7)</f>
        <v>636</v>
      </c>
      <c r="DV31" s="18">
        <f>'Total Sunday-Holiday Boardings'!DV31/('Service Days per Month'!DV$6+'Service Days per Month'!DV$7)</f>
        <v>711</v>
      </c>
      <c r="DW31" s="18">
        <f>'Total Sunday-Holiday Boardings'!DW31/('Service Days per Month'!DW$6+'Service Days per Month'!DW$7)</f>
        <v>584.6</v>
      </c>
      <c r="DX31" s="18">
        <f>'Total Sunday-Holiday Boardings'!DX31/('Service Days per Month'!DX$6+'Service Days per Month'!DX$7)</f>
        <v>511.2</v>
      </c>
      <c r="DY31" s="17">
        <f>'Total Sunday-Holiday Boardings'!DY31/('Service Days per Month'!DY$6+'Service Days per Month'!DY$7)</f>
        <v>518.79999999999995</v>
      </c>
      <c r="DZ31" s="18">
        <f>'Total Sunday-Holiday Boardings'!DZ31/('Service Days per Month'!DZ$6+'Service Days per Month'!DZ$7)</f>
        <v>589</v>
      </c>
      <c r="EA31" s="18">
        <f>'Total Sunday-Holiday Boardings'!EA31/('Service Days per Month'!EA$6+'Service Days per Month'!EA$7)</f>
        <v>484.5</v>
      </c>
      <c r="EB31" s="18">
        <f>'Total Sunday-Holiday Boardings'!EB31/('Service Days per Month'!EB$6+'Service Days per Month'!EB$7)</f>
        <v>534.25</v>
      </c>
      <c r="EC31" s="18">
        <f>'Total Sunday-Holiday Boardings'!EC31/('Service Days per Month'!EC$6+'Service Days per Month'!EC$7)</f>
        <v>474.2</v>
      </c>
      <c r="ED31" s="18">
        <f>'Total Sunday-Holiday Boardings'!ED31/('Service Days per Month'!ED$6+'Service Days per Month'!ED$7)</f>
        <v>428</v>
      </c>
      <c r="EE31" s="18">
        <f>'Total Sunday-Holiday Boardings'!EE31/('Service Days per Month'!EE$6+'Service Days per Month'!EE$7)</f>
        <v>791.75</v>
      </c>
      <c r="EF31" s="18">
        <f>'Total Sunday-Holiday Boardings'!EF31/('Service Days per Month'!EF$6+'Service Days per Month'!EF$7)</f>
        <v>595.5</v>
      </c>
      <c r="EG31" s="18">
        <f>'Total Sunday-Holiday Boardings'!EG31/('Service Days per Month'!EG$6+'Service Days per Month'!EG$7)</f>
        <v>482.4</v>
      </c>
      <c r="EH31" s="18">
        <f>'Total Sunday-Holiday Boardings'!EH31/('Service Days per Month'!EH$6+'Service Days per Month'!EH$7)</f>
        <v>229.5</v>
      </c>
      <c r="EI31" s="18">
        <f>'Total Sunday-Holiday Boardings'!EI31/('Service Days per Month'!EI$6+'Service Days per Month'!EI$7)</f>
        <v>259.5</v>
      </c>
      <c r="EJ31" s="18">
        <f>'Total Sunday-Holiday Boardings'!EJ31/('Service Days per Month'!EJ$6+'Service Days per Month'!EJ$7)</f>
        <v>294</v>
      </c>
      <c r="EK31" s="17">
        <f>'Total Sunday-Holiday Boardings'!EK31/('Service Days per Month'!EK$6+'Service Days per Month'!EK$7)</f>
        <v>250.4</v>
      </c>
      <c r="EL31" s="18">
        <f>'Total Sunday-Holiday Boardings'!EL31/('Service Days per Month'!EL$6+'Service Days per Month'!EL$7)</f>
        <v>303.60000000000002</v>
      </c>
      <c r="EM31" s="18">
        <f>'Total Sunday-Holiday Boardings'!EM31/('Service Days per Month'!EM$6+'Service Days per Month'!EM$7)</f>
        <v>287</v>
      </c>
      <c r="EN31" s="18">
        <f>'Total Sunday-Holiday Boardings'!EN31/('Service Days per Month'!EN$6+'Service Days per Month'!EN$7)</f>
        <v>340</v>
      </c>
      <c r="EO31" s="18">
        <f>'Total Sunday-Holiday Boardings'!EO31/('Service Days per Month'!EO$6+'Service Days per Month'!EO$7)</f>
        <v>214.5</v>
      </c>
      <c r="EP31" s="18">
        <f>'Total Sunday-Holiday Boardings'!EP31/('Service Days per Month'!EP$6+'Service Days per Month'!EP$7)</f>
        <v>223.8</v>
      </c>
      <c r="EQ31" s="18">
        <f>'Total Sunday-Holiday Boardings'!EQ31/('Service Days per Month'!EQ$6+'Service Days per Month'!EQ$7)</f>
        <v>152.19999999999999</v>
      </c>
      <c r="ER31" s="18">
        <f>'Total Sunday-Holiday Boardings'!ER31/('Service Days per Month'!ER$6+'Service Days per Month'!ER$7)</f>
        <v>284</v>
      </c>
      <c r="ES31" s="18">
        <f>'Total Sunday-Holiday Boardings'!ES31/('Service Days per Month'!ES$6+'Service Days per Month'!ES$7)</f>
        <v>448.75</v>
      </c>
      <c r="ET31" s="18">
        <f>'Total Sunday-Holiday Boardings'!ET31/('Service Days per Month'!ET$6+'Service Days per Month'!ET$7)</f>
        <v>338.5</v>
      </c>
      <c r="EU31" s="18">
        <f>'Total Sunday-Holiday Boardings'!EU31/('Service Days per Month'!EU$6+'Service Days per Month'!EU$7)</f>
        <v>279.83333333333331</v>
      </c>
      <c r="EV31" s="18">
        <f>'Total Sunday-Holiday Boardings'!EV31/('Service Days per Month'!EV$6+'Service Days per Month'!EV$7)</f>
        <v>335.5</v>
      </c>
      <c r="EW31" s="17">
        <f>'Total Sunday-Holiday Boardings'!EW31/('Service Days per Month'!EW$6+'Service Days per Month'!EW$7)</f>
        <v>296.39999999999998</v>
      </c>
      <c r="EX31" s="18">
        <f>'Total Sunday-Holiday Boardings'!EX31/('Service Days per Month'!EX$6+'Service Days per Month'!EX$7)</f>
        <v>374.8</v>
      </c>
      <c r="EY31" s="18">
        <f>'Total Sunday-Holiday Boardings'!EY31/('Service Days per Month'!EY$6+'Service Days per Month'!EY$7)</f>
        <v>280</v>
      </c>
      <c r="EZ31" s="18">
        <f>'Total Sunday-Holiday Boardings'!EZ31/('Service Days per Month'!EZ$6+'Service Days per Month'!EZ$7)</f>
        <v>328.2</v>
      </c>
      <c r="FA31" s="18">
        <f>'Total Sunday-Holiday Boardings'!FA31/('Service Days per Month'!FA$6+'Service Days per Month'!FA$7)</f>
        <v>314.2</v>
      </c>
      <c r="FB31" s="18">
        <f>'Total Sunday-Holiday Boardings'!FB31/('Service Days per Month'!FB$6+'Service Days per Month'!FB$7)</f>
        <v>401.8</v>
      </c>
      <c r="FC31" s="18">
        <f>'Total Sunday-Holiday Boardings'!FC31/('Service Days per Month'!FC$6+'Service Days per Month'!FC$7)</f>
        <v>324.39999999999998</v>
      </c>
      <c r="FD31" s="18">
        <f>'Total Sunday-Holiday Boardings'!FD31/('Service Days per Month'!FD$6+'Service Days per Month'!FD$7)</f>
        <v>421.25</v>
      </c>
      <c r="FE31" s="18">
        <f>'Total Sunday-Holiday Boardings'!FE31/('Service Days per Month'!FE$6+'Service Days per Month'!FE$7)</f>
        <v>453.5</v>
      </c>
      <c r="FF31" s="18">
        <f>'Total Sunday-Holiday Boardings'!FF31/('Service Days per Month'!FF$6+'Service Days per Month'!FF$7)</f>
        <v>433</v>
      </c>
      <c r="FG31" s="18">
        <f>'Total Sunday-Holiday Boardings'!FG31/('Service Days per Month'!FG$6+'Service Days per Month'!FG$7)</f>
        <v>409.33333333333331</v>
      </c>
      <c r="FH31" s="18">
        <f>'Total Sunday-Holiday Boardings'!FH31/('Service Days per Month'!FH$6+'Service Days per Month'!FH$7)</f>
        <v>329.25</v>
      </c>
      <c r="FI31" s="17">
        <v>316.5</v>
      </c>
      <c r="FJ31" s="18">
        <v>342</v>
      </c>
      <c r="FK31" s="18">
        <v>321.39999999999998</v>
      </c>
      <c r="FL31" s="18">
        <v>400.4</v>
      </c>
      <c r="FM31" s="18">
        <v>286.2</v>
      </c>
      <c r="FN31" s="18">
        <v>303.8</v>
      </c>
      <c r="FO31" s="18">
        <v>371.6</v>
      </c>
      <c r="FP31" s="18">
        <v>429.25</v>
      </c>
      <c r="FQ31" s="18">
        <v>421.25</v>
      </c>
      <c r="FR31" s="18">
        <f>'Total Sunday-Holiday Boardings'!FR31/5</f>
        <v>446</v>
      </c>
      <c r="FS31" s="18">
        <f>'Total Sunday-Holiday Boardings'!FS31/5</f>
        <v>385.8</v>
      </c>
      <c r="FT31" s="21">
        <f>'Total Sunday-Holiday Boardings'!FT31/4</f>
        <v>436</v>
      </c>
      <c r="FU31" s="18">
        <f>'Total Sunday-Holiday Boardings'!FU31/5</f>
        <v>458.6</v>
      </c>
      <c r="FV31" s="18">
        <f>'Total Sunday-Holiday Boardings'!FV31/4</f>
        <v>459.75</v>
      </c>
      <c r="FW31" s="18">
        <f>'Total Sunday-Holiday Boardings'!FW31/4</f>
        <v>475</v>
      </c>
      <c r="FX31" s="18">
        <f>'Total Sunday-Holiday Boardings'!FX31/5</f>
        <v>375.2</v>
      </c>
      <c r="FY31" s="18">
        <f>'Total Sunday-Holiday Boardings'!FY31/4</f>
        <v>377.5</v>
      </c>
      <c r="FZ31" s="18">
        <f>'Total Sunday-Holiday Boardings'!FZ31/5</f>
        <v>344.4</v>
      </c>
      <c r="GA31" s="18">
        <f>'Total Sunday-Holiday Boardings'!GA31/4</f>
        <v>485.75</v>
      </c>
      <c r="GB31" s="18">
        <f>'Total Sunday-Holiday Boardings'!GB31/4</f>
        <v>413</v>
      </c>
      <c r="GC31" s="18">
        <f>'Total Sunday-Holiday Boardings'!GC31/5</f>
        <v>417.8</v>
      </c>
      <c r="GD31" s="18">
        <f>'Total Sunday-Holiday Boardings'!GD31/4</f>
        <v>520.25</v>
      </c>
      <c r="GE31" s="18">
        <f>'Total Sunday-Holiday Boardings'!GE31/4</f>
        <v>539.5</v>
      </c>
      <c r="GF31" s="18">
        <f>'Total Sunday-Holiday Boardings'!GF31/5</f>
        <v>394</v>
      </c>
      <c r="GG31" s="18">
        <f>'Total Sunday-Holiday Boardings'!GG31/4</f>
        <v>365.5</v>
      </c>
      <c r="GH31" s="18">
        <f>'Total Sunday-Holiday Boardings'!GH31/4</f>
        <v>330</v>
      </c>
      <c r="GI31" s="18">
        <f>'Total Sunday-Holiday Boardings'!GI31/5</f>
        <v>564.79999999999995</v>
      </c>
      <c r="GJ31" s="18">
        <f>'Total Sunday-Holiday Boardings'!GJ31/4</f>
        <v>312.25</v>
      </c>
      <c r="GK31" s="18">
        <f>'Total Sunday-Holiday Boardings'!GK31/4</f>
        <v>322.25</v>
      </c>
      <c r="GL31" s="18">
        <f>'Total Sunday-Holiday Boardings'!GL31/5</f>
        <v>360.8</v>
      </c>
    </row>
    <row r="32" spans="1:194" x14ac:dyDescent="0.3">
      <c r="A32" s="3" t="s">
        <v>15</v>
      </c>
      <c r="B32" s="17"/>
      <c r="C32" s="18">
        <f>'Total Sunday-Holiday Boardings'!C32/SUM('Service Days per Month'!C$6:C$7)</f>
        <v>1014.6</v>
      </c>
      <c r="D32" s="18">
        <f>'Total Sunday-Holiday Boardings'!D32/SUM('Service Days per Month'!D$6:D$7)</f>
        <v>895.75</v>
      </c>
      <c r="E32" s="18">
        <f>'Total Sunday-Holiday Boardings'!E32/SUM('Service Days per Month'!E$6:E$7)</f>
        <v>851.6</v>
      </c>
      <c r="F32" s="18">
        <f>'Total Sunday-Holiday Boardings'!F32/SUM('Service Days per Month'!F$6:F$7)</f>
        <v>590.79999999999995</v>
      </c>
      <c r="G32" s="18">
        <f>'Total Sunday-Holiday Boardings'!G32/SUM('Service Days per Month'!G$6:G$7)</f>
        <v>665.5</v>
      </c>
      <c r="H32" s="19">
        <f>'Total Sunday-Holiday Boardings'!H32/SUM('Service Days per Month'!H$6:H$7)</f>
        <v>589.5</v>
      </c>
      <c r="I32" s="17">
        <f>'Total Sunday-Holiday Boardings'!I32/SUM('Service Days per Month'!I$6:I$7)</f>
        <v>723.4</v>
      </c>
      <c r="J32" s="18">
        <f>'Total Sunday-Holiday Boardings'!J32/SUM('Service Days per Month'!J$6:J$7)</f>
        <v>516.6</v>
      </c>
      <c r="K32" s="18">
        <f>'Total Sunday-Holiday Boardings'!K32/SUM('Service Days per Month'!K$6:K$7)</f>
        <v>605.79999999999995</v>
      </c>
      <c r="L32" s="18">
        <f>'Total Sunday-Holiday Boardings'!L32/SUM('Service Days per Month'!L$6:L$7)</f>
        <v>594.75</v>
      </c>
      <c r="M32" s="18">
        <f>'Total Sunday-Holiday Boardings'!M32/SUM('Service Days per Month'!M$6:M$7)</f>
        <v>1001.3333333333334</v>
      </c>
      <c r="N32" s="18">
        <f>'Total Sunday-Holiday Boardings'!N32/SUM('Service Days per Month'!N$6:N$7)</f>
        <v>561.6</v>
      </c>
      <c r="O32" s="79">
        <f>'Total Sunday-Holiday Boardings'!O32/SUM('Service Days per Month'!O$6:O$7)</f>
        <v>739</v>
      </c>
      <c r="P32" s="79">
        <f>'Total Sunday-Holiday Boardings'!P32/SUM('Service Days per Month'!P$6:P$7)</f>
        <v>869.5</v>
      </c>
      <c r="Q32" s="79">
        <f>'Total Sunday-Holiday Boardings'!Q32/SUM('Service Days per Month'!Q$6:Q$7)</f>
        <v>979.75</v>
      </c>
      <c r="R32" s="79">
        <f>'Total Sunday-Holiday Boardings'!R32/SUM('Service Days per Month'!R$6:R$7)</f>
        <v>731.75</v>
      </c>
      <c r="S32" s="79">
        <f>'Total Sunday-Holiday Boardings'!S32/SUM('Service Days per Month'!S$6:S$7)</f>
        <v>711.33333333333337</v>
      </c>
      <c r="T32" s="80">
        <f>'Total Sunday-Holiday Boardings'!T32/SUM('Service Days per Month'!T$6:T$7)</f>
        <v>707.5</v>
      </c>
      <c r="U32" s="81">
        <f>'Total Sunday-Holiday Boardings'!U32/SUM('Service Days per Month'!U$6:U$7)</f>
        <v>559.4</v>
      </c>
      <c r="V32" s="79">
        <f>'Total Sunday-Holiday Boardings'!V32/SUM('Service Days per Month'!V$6:V$7)</f>
        <v>558.20000000000005</v>
      </c>
      <c r="W32" s="79">
        <f>'Total Sunday-Holiday Boardings'!W32/SUM('Service Days per Month'!W$6:W$7)</f>
        <v>653.6</v>
      </c>
      <c r="X32" s="79">
        <f>'Total Sunday-Holiday Boardings'!X32/SUM('Service Days per Month'!X$6:X$7)</f>
        <v>646.4</v>
      </c>
      <c r="Y32" s="79">
        <f>'Total Sunday-Holiday Boardings'!Y32/SUM('Service Days per Month'!Y$6:Y$7)</f>
        <v>717.71428571428567</v>
      </c>
      <c r="Z32" s="79">
        <f>'Total Sunday-Holiday Boardings'!Z32/SUM('Service Days per Month'!Z$6:Z$7)</f>
        <v>425.85714285714283</v>
      </c>
      <c r="AA32" s="18">
        <f>'Total Sunday-Holiday Boardings'!AA32/SUM('Service Days per Month'!AA$6:AA$7)</f>
        <v>720.83333333333337</v>
      </c>
      <c r="AB32" s="18">
        <f>'Total Sunday-Holiday Boardings'!AB32/SUM('Service Days per Month'!AB$6:AB$7)</f>
        <v>688</v>
      </c>
      <c r="AC32" s="18">
        <f>'Total Sunday-Holiday Boardings'!AC32/SUM('Service Days per Month'!AC$6:AC$7)</f>
        <v>824.25</v>
      </c>
      <c r="AD32" s="18">
        <f>'Total Sunday-Holiday Boardings'!AD32/SUM('Service Days per Month'!AD$6:AD$7)</f>
        <v>728.25</v>
      </c>
      <c r="AE32" s="18">
        <f>'Total Sunday-Holiday Boardings'!AE32/SUM('Service Days per Month'!AE$6:AE$7)</f>
        <v>680.5</v>
      </c>
      <c r="AF32" s="19">
        <f>'Total Sunday-Holiday Boardings'!AF32/SUM('Service Days per Month'!AF$6:AF$7)</f>
        <v>689.75</v>
      </c>
      <c r="AG32" s="17">
        <f>'Total Sunday-Holiday Boardings'!AG32/SUM('Service Days per Month'!AG$6:AG$7)</f>
        <v>765.5</v>
      </c>
      <c r="AH32" s="18">
        <f>'Total Sunday-Holiday Boardings'!AH32/SUM('Service Days per Month'!AH$6:AH$7)</f>
        <v>622.5</v>
      </c>
      <c r="AI32" s="18">
        <f>'Total Sunday-Holiday Boardings'!AI32/SUM('Service Days per Month'!AI$6:AI$7)</f>
        <v>623.4</v>
      </c>
      <c r="AJ32" s="18">
        <f>'Total Sunday-Holiday Boardings'!AJ32/SUM('Service Days per Month'!AJ$6:AJ$7)</f>
        <v>663.6</v>
      </c>
      <c r="AK32" s="18">
        <f>'Total Sunday-Holiday Boardings'!AK32/SUM('Service Days per Month'!AK$6:AK$7)</f>
        <v>708.28571428571433</v>
      </c>
      <c r="AL32" s="18">
        <f>'Total Sunday-Holiday Boardings'!AL32/SUM('Service Days per Month'!AL$6:AL$7)</f>
        <v>554.66666666666663</v>
      </c>
      <c r="AM32" s="18">
        <f>'Total Sunday-Holiday Boardings'!AM32/SUM('Service Days per Month'!AM$6:AM$7)</f>
        <v>704</v>
      </c>
      <c r="AN32" s="18">
        <f>'Total Sunday-Holiday Boardings'!AN32/SUM('Service Days per Month'!AN$6:AN$7)</f>
        <v>878</v>
      </c>
      <c r="AO32" s="18">
        <f>'Total Sunday-Holiday Boardings'!AO32/SUM('Service Days per Month'!AO$6:AO$7)</f>
        <v>856.5</v>
      </c>
      <c r="AP32" s="18">
        <f>'Total Sunday-Holiday Boardings'!AP32/SUM('Service Days per Month'!AP$6:AP$7)</f>
        <v>830</v>
      </c>
      <c r="AQ32" s="18">
        <f>'Total Sunday-Holiday Boardings'!AQ32/SUM('Service Days per Month'!AQ$6:AQ$7)</f>
        <v>794.8</v>
      </c>
      <c r="AR32" s="19">
        <f>'Total Sunday-Holiday Boardings'!AR32/SUM('Service Days per Month'!AR$6:AR$7)</f>
        <v>680.75</v>
      </c>
      <c r="AS32" s="17">
        <f>'Total Sunday-Holiday Boardings'!AS32/SUM('Service Days per Month'!AS$6:AS$7)</f>
        <v>842.16666666666663</v>
      </c>
      <c r="AT32" s="18">
        <f>'Total Sunday-Holiday Boardings'!AT32/SUM('Service Days per Month'!AT$6:AT$7)</f>
        <v>815</v>
      </c>
      <c r="AU32" s="18">
        <f>'Total Sunday-Holiday Boardings'!AU32/SUM('Service Days per Month'!AU$6:AU$7)</f>
        <v>759.83333333333337</v>
      </c>
      <c r="AV32" s="18">
        <f>'Total Sunday-Holiday Boardings'!AV32/SUM('Service Days per Month'!AV$6:AV$7)</f>
        <v>953.5</v>
      </c>
      <c r="AW32" s="18">
        <f>'Total Sunday-Holiday Boardings'!AW32/SUM('Service Days per Month'!AW$6:AW$7)</f>
        <v>717.28571428571433</v>
      </c>
      <c r="AX32" s="18">
        <f>'Total Sunday-Holiday Boardings'!AX32/SUM('Service Days per Month'!AX$6:AX$7)</f>
        <v>676.14285714285711</v>
      </c>
      <c r="AY32" s="18">
        <f>'Total Sunday-Holiday Boardings'!AY32/SUM('Service Days per Month'!AY$6:AY$7)</f>
        <v>832.66666666666663</v>
      </c>
      <c r="AZ32" s="18">
        <f>'Total Sunday-Holiday Boardings'!AZ32/SUM('Service Days per Month'!AZ$6:AZ$7)</f>
        <v>847.8</v>
      </c>
      <c r="BA32" s="18">
        <f>'Total Sunday-Holiday Boardings'!BA32/SUM('Service Days per Month'!BA$6:BA$7)</f>
        <v>932.2</v>
      </c>
      <c r="BB32" s="18">
        <f>'Total Sunday-Holiday Boardings'!BB32/SUM('Service Days per Month'!BB$6:BB$7)</f>
        <v>1107.5</v>
      </c>
      <c r="BC32" s="18">
        <f>'Total Sunday-Holiday Boardings'!BC32/SUM('Service Days per Month'!BC$6:BC$7)</f>
        <v>1195</v>
      </c>
      <c r="BD32" s="19">
        <f>'Total Sunday-Holiday Boardings'!BD32/SUM('Service Days per Month'!BD$6:BD$7)</f>
        <v>1023.4</v>
      </c>
      <c r="BE32" s="17">
        <f>'Total Sunday-Holiday Boardings'!BE32/SUM('Service Days per Month'!BE$6:BE$7)</f>
        <v>996.6</v>
      </c>
      <c r="BF32" s="18">
        <f>'Total Sunday-Holiday Boardings'!BF32/SUM('Service Days per Month'!BF$6:BF$7)</f>
        <v>842.5</v>
      </c>
      <c r="BG32" s="18">
        <f>'Total Sunday-Holiday Boardings'!BG32/SUM('Service Days per Month'!BG$6:BG$7)</f>
        <v>910.66666666666663</v>
      </c>
      <c r="BH32" s="18">
        <f>'Total Sunday-Holiday Boardings'!BH32/SUM('Service Days per Month'!BH$6:BH$7)</f>
        <v>940</v>
      </c>
      <c r="BI32" s="18">
        <f>'Total Sunday-Holiday Boardings'!BI32/SUM('Service Days per Month'!BI$6:BI$7)</f>
        <v>841.15863109526094</v>
      </c>
      <c r="BJ32" s="18">
        <f>'Total Sunday-Holiday Boardings'!BJ32/SUM('Service Days per Month'!BJ$6:BJ$7)</f>
        <v>966.28571428571433</v>
      </c>
      <c r="BK32" s="18">
        <f>'Total Sunday-Holiday Boardings'!BK32/SUM('Service Days per Month'!BK$6:BK$7)</f>
        <v>1168.8333333333333</v>
      </c>
      <c r="BL32" s="18">
        <f>'Total Sunday-Holiday Boardings'!BL32/SUM('Service Days per Month'!BL$6:BL$7)</f>
        <v>1155.5999999999999</v>
      </c>
      <c r="BM32" s="18">
        <f>'Total Sunday-Holiday Boardings'!BM32/SUM('Service Days per Month'!BM$6:BM$7)</f>
        <v>1238.5999999999999</v>
      </c>
      <c r="BN32" s="18">
        <f>'Total Sunday-Holiday Boardings'!BN32/SUM('Service Days per Month'!BN$6:BN$7)</f>
        <v>1104.5</v>
      </c>
      <c r="BO32" s="18">
        <f>'Total Sunday-Holiday Boardings'!BO32/SUM('Service Days per Month'!BO$6:BO$7)</f>
        <v>1093.2</v>
      </c>
      <c r="BP32" s="19">
        <f>'Total Sunday-Holiday Boardings'!BP32/SUM('Service Days per Month'!BP$6:BP$7)</f>
        <v>987</v>
      </c>
      <c r="BQ32" s="17">
        <f>'Total Sunday-Holiday Boardings'!BQ32/SUM('Service Days per Month'!BQ$6:BQ$7)</f>
        <v>995.4</v>
      </c>
      <c r="BR32" s="18">
        <f>'Total Sunday-Holiday Boardings'!BR32/SUM('Service Days per Month'!BR$6:BR$7)</f>
        <v>986</v>
      </c>
      <c r="BS32" s="18">
        <f>'Total Sunday-Holiday Boardings'!BS32/SUM('Service Days per Month'!BS$6:BS$7)</f>
        <v>1046.4000000000001</v>
      </c>
      <c r="BT32" s="18">
        <f>'Total Sunday-Holiday Boardings'!BT32/SUM('Service Days per Month'!BT$6:BT$7)</f>
        <v>1044.25</v>
      </c>
      <c r="BU32" s="18">
        <f>'Total Sunday-Holiday Boardings'!BU32/SUM('Service Days per Month'!BU$6:BU$7)</f>
        <v>1104.625</v>
      </c>
      <c r="BV32" s="18">
        <f>'Total Sunday-Holiday Boardings'!BV32/SUM('Service Days per Month'!BV$6:BV$7)</f>
        <v>1047.1666666666667</v>
      </c>
      <c r="BW32" s="18">
        <f>'Total Sunday-Holiday Boardings'!BW32/SUM('Service Days per Month'!BW$6:BW$7)</f>
        <v>1336.8333333333333</v>
      </c>
      <c r="BX32" s="18">
        <f>'Total Sunday-Holiday Boardings'!BX32/SUM('Service Days per Month'!BX$6:BX$7)</f>
        <v>1366.2</v>
      </c>
      <c r="BY32" s="18">
        <f>'Total Sunday-Holiday Boardings'!BY32/SUM('Service Days per Month'!BY$6:BY$7)</f>
        <v>1302</v>
      </c>
      <c r="BZ32" s="18">
        <f>'Total Sunday-Holiday Boardings'!BZ32/SUM('Service Days per Month'!BZ$6:BZ$7)</f>
        <v>1119.75</v>
      </c>
      <c r="CA32" s="18">
        <f>'Total Sunday-Holiday Boardings'!CA32/SUM('Service Days per Month'!CA$6:CA$7)</f>
        <v>1164.3333333333333</v>
      </c>
      <c r="CB32" s="19">
        <f>'Total Sunday-Holiday Boardings'!CB32/SUM('Service Days per Month'!CB$6:CB$7)</f>
        <v>1010</v>
      </c>
      <c r="CC32" s="20">
        <f>'Total Sunday-Holiday Boardings'!CC32/SUM('Service Days per Month'!CC$6:CC$7)</f>
        <v>1036.5999999999999</v>
      </c>
      <c r="CD32" s="18">
        <f>'Total Sunday-Holiday Boardings'!CD32/SUM('Service Days per Month'!CD$6:CD$7)</f>
        <v>1098.5999999999999</v>
      </c>
      <c r="CE32" s="18">
        <f>'Total Sunday-Holiday Boardings'!CE32/SUM('Service Days per Month'!CE$6:CE$7)</f>
        <v>1486</v>
      </c>
      <c r="CF32" s="18">
        <f>'Total Sunday-Holiday Boardings'!CF32/SUM('Service Days per Month'!CF$6:CF$7)</f>
        <v>1550</v>
      </c>
      <c r="CG32" s="18">
        <f>'Total Sunday-Holiday Boardings'!CG32/SUM('Service Days per Month'!CG$6:CG$7)</f>
        <v>1783.875</v>
      </c>
      <c r="CH32" s="18">
        <f>'Total Sunday-Holiday Boardings'!CH32/SUM('Service Days per Month'!CH$6:CH$7)</f>
        <v>1436.1666666666667</v>
      </c>
      <c r="CI32" s="18">
        <f>'Total Sunday-Holiday Boardings'!CI32/SUM('Service Days per Month'!CI$6:CI$7)</f>
        <v>1651.1428571428571</v>
      </c>
      <c r="CJ32" s="18">
        <f>'Total Sunday-Holiday Boardings'!CJ32/SUM('Service Days per Month'!CJ$6:CJ$7)</f>
        <v>1630.8</v>
      </c>
      <c r="CK32" s="18">
        <f>'Total Sunday-Holiday Boardings'!CK32/SUM('Service Days per Month'!CK$6:CK$7)</f>
        <v>1789.25</v>
      </c>
      <c r="CL32" s="18">
        <f>'Total Sunday-Holiday Boardings'!CL32/SUM('Service Days per Month'!CL$6:CL$7)</f>
        <v>1577</v>
      </c>
      <c r="CM32" s="18">
        <f>'Total Sunday-Holiday Boardings'!CM32/SUM('Service Days per Month'!CM$6:CM$7)</f>
        <v>1684.1666666666667</v>
      </c>
      <c r="CN32" s="21">
        <f>'Total Sunday-Holiday Boardings'!CN32/SUM('Service Days per Month'!CN$6:CN$7)</f>
        <v>1510.5</v>
      </c>
      <c r="CO32" s="17">
        <f>'Total Sunday-Holiday Boardings'!CO32/SUM('Service Days per Month'!CO$6:CO$7)</f>
        <v>1540.1666666666667</v>
      </c>
      <c r="CP32" s="18">
        <f>'Total Sunday-Holiday Boardings'!CP32/SUM('Service Days per Month'!CP$6:CP$7)</f>
        <v>1459</v>
      </c>
      <c r="CQ32" s="18">
        <f>'Total Sunday-Holiday Boardings'!CQ32/SUM('Service Days per Month'!CQ$6:CQ$7)</f>
        <v>1470</v>
      </c>
      <c r="CR32" s="18">
        <f>'Total Sunday-Holiday Boardings'!CR32/SUM('Service Days per Month'!CR$6:CR$7)</f>
        <v>1469.8</v>
      </c>
      <c r="CS32" s="18">
        <f>'Total Sunday-Holiday Boardings'!CS32/SUM('Service Days per Month'!CS$6:CS$7)</f>
        <v>1916.2857142857142</v>
      </c>
      <c r="CT32" s="18">
        <f>'Total Sunday-Holiday Boardings'!CT32/SUM('Service Days per Month'!CT$6:CT$7)</f>
        <v>1820.3333333333333</v>
      </c>
      <c r="CU32" s="18">
        <f>'Total Sunday-Holiday Boardings'!CU32/SUM('Service Days per Month'!CU$6:CU$7)</f>
        <v>1618.7142857142858</v>
      </c>
      <c r="CV32" s="18">
        <f>'Total Sunday-Holiday Boardings'!CV32/SUM('Service Days per Month'!CV$6:CV$7)</f>
        <v>1507.8</v>
      </c>
      <c r="CW32" s="18">
        <f>'Total Sunday-Holiday Boardings'!CW32/SUM('Service Days per Month'!CW$6:CW$7)</f>
        <v>1635</v>
      </c>
      <c r="CX32" s="18">
        <f>'Total Sunday-Holiday Boardings'!CX32/SUM('Service Days per Month'!CX$6:CX$7)</f>
        <v>1873.6</v>
      </c>
      <c r="CY32" s="18">
        <f>'Total Sunday-Holiday Boardings'!CY32/SUM('Service Days per Month'!CY$6:CY$7)</f>
        <v>1490.8</v>
      </c>
      <c r="CZ32" s="19">
        <f>'Total Sunday-Holiday Boardings'!CZ32/SUM('Service Days per Month'!CZ$6:CZ$7)</f>
        <v>1394.25</v>
      </c>
      <c r="DA32" s="17">
        <f>'Total Sunday-Holiday Boardings'!DA32/SUM('Service Days per Month'!DA$6:DA$7)</f>
        <v>1300.1666666666667</v>
      </c>
      <c r="DB32" s="18">
        <f>'Total Sunday-Holiday Boardings'!DB32/SUM('Service Days per Month'!DB$6:DB$7)</f>
        <v>1478.75</v>
      </c>
      <c r="DC32" s="18">
        <f>'Total Sunday-Holiday Boardings'!DC32/SUM('Service Days per Month'!DC$6:DC$7)</f>
        <v>1351.8</v>
      </c>
      <c r="DD32" s="18">
        <f>'Total Sunday-Holiday Boardings'!DD32/SUM('Service Days per Month'!DD$6:DD$7)</f>
        <v>1433.2</v>
      </c>
      <c r="DE32" s="18">
        <f>'Total Sunday-Holiday Boardings'!DE32/SUM('Service Days per Month'!DE$6:DE$7)</f>
        <v>1501.2857142857142</v>
      </c>
      <c r="DF32" s="18">
        <f>'Total Sunday-Holiday Boardings'!DF32/SUM('Service Days per Month'!DF$6:DF$7)</f>
        <v>1408.3333333333333</v>
      </c>
      <c r="DG32" s="18">
        <f>'Total Sunday-Holiday Boardings'!DG32/SUM('Service Days per Month'!DG$6:DG$7)</f>
        <v>1527.3333333333333</v>
      </c>
      <c r="DH32" s="18">
        <f>'Total Sunday-Holiday Boardings'!DH32/SUM('Service Days per Month'!DH$6:DH$7)</f>
        <v>1504.4</v>
      </c>
      <c r="DI32" s="18">
        <f>'Total Sunday-Holiday Boardings'!DI32/SUM('Service Days per Month'!DI$6:DI$7)</f>
        <v>1692.5</v>
      </c>
      <c r="DJ32" s="18">
        <f>'Total Sunday-Holiday Boardings'!DJ32/SUM('Service Days per Month'!DJ$6:DJ$7)</f>
        <v>1401.8</v>
      </c>
      <c r="DK32" s="18">
        <f>'Total Sunday-Holiday Boardings'!DK32/SUM('Service Days per Month'!DK$6:DK$7)</f>
        <v>1436.6</v>
      </c>
      <c r="DL32" s="19">
        <f>'Total Sunday-Holiday Boardings'!DL32/SUM('Service Days per Month'!DL$6:DL$7)</f>
        <v>1330.25</v>
      </c>
      <c r="DM32" s="17">
        <f>'Total Sunday-Holiday Boardings'!DM32/('Service Days per Month'!DM$6+'Service Days per Month'!DM$7)</f>
        <v>1497</v>
      </c>
      <c r="DN32" s="18">
        <f>'Total Sunday-Holiday Boardings'!DN32/('Service Days per Month'!DN$6+'Service Days per Month'!DN$7)</f>
        <v>1352.75</v>
      </c>
      <c r="DO32" s="18">
        <f>'Total Sunday-Holiday Boardings'!DO32/('Service Days per Month'!DO$6+'Service Days per Month'!DO$7)</f>
        <v>1408.3333333333333</v>
      </c>
      <c r="DP32" s="18">
        <f>'Total Sunday-Holiday Boardings'!DP32/('Service Days per Month'!DP$6+'Service Days per Month'!DP$7)</f>
        <v>1332.75</v>
      </c>
      <c r="DQ32" s="18">
        <f>'Total Sunday-Holiday Boardings'!DQ32/('Service Days per Month'!DQ$6+'Service Days per Month'!DQ$7)</f>
        <v>1402.2</v>
      </c>
      <c r="DR32" s="18">
        <f>'Total Sunday-Holiday Boardings'!DR32/('Service Days per Month'!DR$6+'Service Days per Month'!DR$7)</f>
        <v>1298.6666666666667</v>
      </c>
      <c r="DS32" s="18">
        <f>'Total Sunday-Holiday Boardings'!DS32/('Service Days per Month'!DS$6+'Service Days per Month'!DS$7)</f>
        <v>1511.6</v>
      </c>
      <c r="DT32" s="18">
        <f>'Total Sunday-Holiday Boardings'!DT32/('Service Days per Month'!DT$6+'Service Days per Month'!DT$7)</f>
        <v>1406.5</v>
      </c>
      <c r="DU32" s="18">
        <f>'Total Sunday-Holiday Boardings'!DU32/('Service Days per Month'!DU$6+'Service Days per Month'!DU$7)</f>
        <v>1608</v>
      </c>
      <c r="DV32" s="18">
        <f>'Total Sunday-Holiday Boardings'!DV32/('Service Days per Month'!DV$6+'Service Days per Month'!DV$7)</f>
        <v>1398</v>
      </c>
      <c r="DW32" s="18">
        <f>'Total Sunday-Holiday Boardings'!DW32/('Service Days per Month'!DW$6+'Service Days per Month'!DW$7)</f>
        <v>1432.8</v>
      </c>
      <c r="DX32" s="18">
        <f>'Total Sunday-Holiday Boardings'!DX32/('Service Days per Month'!DX$6+'Service Days per Month'!DX$7)</f>
        <v>1327.4</v>
      </c>
      <c r="DY32" s="17">
        <f>'Total Sunday-Holiday Boardings'!DY32/('Service Days per Month'!DY$6+'Service Days per Month'!DY$7)</f>
        <v>1299.2</v>
      </c>
      <c r="DZ32" s="18">
        <f>'Total Sunday-Holiday Boardings'!DZ32/('Service Days per Month'!DZ$6+'Service Days per Month'!DZ$7)</f>
        <v>1692.25</v>
      </c>
      <c r="EA32" s="18">
        <f>'Total Sunday-Holiday Boardings'!EA32/('Service Days per Month'!EA$6+'Service Days per Month'!EA$7)</f>
        <v>1336.5</v>
      </c>
      <c r="EB32" s="18">
        <f>'Total Sunday-Holiday Boardings'!EB32/('Service Days per Month'!EB$6+'Service Days per Month'!EB$7)</f>
        <v>1348</v>
      </c>
      <c r="EC32" s="18">
        <f>'Total Sunday-Holiday Boardings'!EC32/('Service Days per Month'!EC$6+'Service Days per Month'!EC$7)</f>
        <v>1269.5999999999999</v>
      </c>
      <c r="ED32" s="18">
        <f>'Total Sunday-Holiday Boardings'!ED32/('Service Days per Month'!ED$6+'Service Days per Month'!ED$7)</f>
        <v>1317.5</v>
      </c>
      <c r="EE32" s="18">
        <f>'Total Sunday-Holiday Boardings'!EE32/('Service Days per Month'!EE$6+'Service Days per Month'!EE$7)</f>
        <v>1676.25</v>
      </c>
      <c r="EF32" s="18">
        <f>'Total Sunday-Holiday Boardings'!EF32/('Service Days per Month'!EF$6+'Service Days per Month'!EF$7)</f>
        <v>1454.75</v>
      </c>
      <c r="EG32" s="18">
        <f>'Total Sunday-Holiday Boardings'!EG32/('Service Days per Month'!EG$6+'Service Days per Month'!EG$7)</f>
        <v>1176.8</v>
      </c>
      <c r="EH32" s="18">
        <f>'Total Sunday-Holiday Boardings'!EH32/('Service Days per Month'!EH$6+'Service Days per Month'!EH$7)</f>
        <v>650.25</v>
      </c>
      <c r="EI32" s="18">
        <f>'Total Sunday-Holiday Boardings'!EI32/('Service Days per Month'!EI$6+'Service Days per Month'!EI$7)</f>
        <v>620.66666666666663</v>
      </c>
      <c r="EJ32" s="18">
        <f>'Total Sunday-Holiday Boardings'!EJ32/('Service Days per Month'!EJ$6+'Service Days per Month'!EJ$7)</f>
        <v>608.5</v>
      </c>
      <c r="EK32" s="17">
        <f>'Total Sunday-Holiday Boardings'!EK32/('Service Days per Month'!EK$6+'Service Days per Month'!EK$7)</f>
        <v>646</v>
      </c>
      <c r="EL32" s="18">
        <f>'Total Sunday-Holiday Boardings'!EL32/('Service Days per Month'!EL$6+'Service Days per Month'!EL$7)</f>
        <v>662.8</v>
      </c>
      <c r="EM32" s="18">
        <f>'Total Sunday-Holiday Boardings'!EM32/('Service Days per Month'!EM$6+'Service Days per Month'!EM$7)</f>
        <v>657.4</v>
      </c>
      <c r="EN32" s="18">
        <f>'Total Sunday-Holiday Boardings'!EN32/('Service Days per Month'!EN$6+'Service Days per Month'!EN$7)</f>
        <v>689.5</v>
      </c>
      <c r="EO32" s="18">
        <f>'Total Sunday-Holiday Boardings'!EO32/('Service Days per Month'!EO$6+'Service Days per Month'!EO$7)</f>
        <v>529.83333333333337</v>
      </c>
      <c r="EP32" s="18">
        <f>'Total Sunday-Holiday Boardings'!EP32/('Service Days per Month'!EP$6+'Service Days per Month'!EP$7)</f>
        <v>440.6</v>
      </c>
      <c r="EQ32" s="18">
        <f>'Total Sunday-Holiday Boardings'!EQ32/('Service Days per Month'!EQ$6+'Service Days per Month'!EQ$7)</f>
        <v>329</v>
      </c>
      <c r="ER32" s="18">
        <f>'Total Sunday-Holiday Boardings'!ER32/('Service Days per Month'!ER$6+'Service Days per Month'!ER$7)</f>
        <v>626.25</v>
      </c>
      <c r="ES32" s="18">
        <f>'Total Sunday-Holiday Boardings'!ES32/('Service Days per Month'!ES$6+'Service Days per Month'!ES$7)</f>
        <v>696.5</v>
      </c>
      <c r="ET32" s="18">
        <f>'Total Sunday-Holiday Boardings'!ET32/('Service Days per Month'!ET$6+'Service Days per Month'!ET$7)</f>
        <v>721.75</v>
      </c>
      <c r="EU32" s="18">
        <f>'Total Sunday-Holiday Boardings'!EU32/('Service Days per Month'!EU$6+'Service Days per Month'!EU$7)</f>
        <v>609</v>
      </c>
      <c r="EV32" s="18">
        <f>'Total Sunday-Holiday Boardings'!EV32/('Service Days per Month'!EV$6+'Service Days per Month'!EV$7)</f>
        <v>784.25</v>
      </c>
      <c r="EW32" s="17">
        <f>'Total Sunday-Holiday Boardings'!EW32/('Service Days per Month'!EW$6+'Service Days per Month'!EW$7)</f>
        <v>801</v>
      </c>
      <c r="EX32" s="18">
        <f>'Total Sunday-Holiday Boardings'!EX32/('Service Days per Month'!EX$6+'Service Days per Month'!EX$7)</f>
        <v>758.4</v>
      </c>
      <c r="EY32" s="18">
        <f>'Total Sunday-Holiday Boardings'!EY32/('Service Days per Month'!EY$6+'Service Days per Month'!EY$7)</f>
        <v>762.8</v>
      </c>
      <c r="EZ32" s="18">
        <f>'Total Sunday-Holiday Boardings'!EZ32/('Service Days per Month'!EZ$6+'Service Days per Month'!EZ$7)</f>
        <v>842.4</v>
      </c>
      <c r="FA32" s="18">
        <f>'Total Sunday-Holiday Boardings'!FA32/('Service Days per Month'!FA$6+'Service Days per Month'!FA$7)</f>
        <v>868.6</v>
      </c>
      <c r="FB32" s="18">
        <f>'Total Sunday-Holiday Boardings'!FB32/('Service Days per Month'!FB$6+'Service Days per Month'!FB$7)</f>
        <v>1044.4000000000001</v>
      </c>
      <c r="FC32" s="18">
        <f>'Total Sunday-Holiday Boardings'!FC32/('Service Days per Month'!FC$6+'Service Days per Month'!FC$7)</f>
        <v>839.4</v>
      </c>
      <c r="FD32" s="18">
        <f>'Total Sunday-Holiday Boardings'!FD32/('Service Days per Month'!FD$6+'Service Days per Month'!FD$7)</f>
        <v>928.5</v>
      </c>
      <c r="FE32" s="18">
        <f>'Total Sunday-Holiday Boardings'!FE32/('Service Days per Month'!FE$6+'Service Days per Month'!FE$7)</f>
        <v>1114.75</v>
      </c>
      <c r="FF32" s="18">
        <f>'Total Sunday-Holiday Boardings'!FF32/('Service Days per Month'!FF$6+'Service Days per Month'!FF$7)</f>
        <v>970.25</v>
      </c>
      <c r="FG32" s="18">
        <f>'Total Sunday-Holiday Boardings'!FG32/('Service Days per Month'!FG$6+'Service Days per Month'!FG$7)</f>
        <v>837.33333333333337</v>
      </c>
      <c r="FH32" s="18">
        <f>'Total Sunday-Holiday Boardings'!FH32/('Service Days per Month'!FH$6+'Service Days per Month'!FH$7)</f>
        <v>685</v>
      </c>
      <c r="FI32" s="17">
        <v>753.83333333333337</v>
      </c>
      <c r="FJ32" s="18">
        <v>752.75</v>
      </c>
      <c r="FK32" s="18">
        <v>869.2</v>
      </c>
      <c r="FL32" s="18">
        <v>826.6</v>
      </c>
      <c r="FM32" s="18">
        <v>861.6</v>
      </c>
      <c r="FN32" s="18">
        <v>818</v>
      </c>
      <c r="FO32" s="18">
        <v>1074.2</v>
      </c>
      <c r="FP32" s="18">
        <v>802.25</v>
      </c>
      <c r="FQ32" s="18">
        <v>1076</v>
      </c>
      <c r="FR32" s="18">
        <f>'Total Sunday-Holiday Boardings'!FR32/5</f>
        <v>979.4</v>
      </c>
      <c r="FS32" s="18">
        <f>'Total Sunday-Holiday Boardings'!FS32/5</f>
        <v>1022.8</v>
      </c>
      <c r="FT32" s="21">
        <f>'Total Sunday-Holiday Boardings'!FT32/4</f>
        <v>948.5</v>
      </c>
      <c r="FU32" s="18">
        <f>'Total Sunday-Holiday Boardings'!FU32/5</f>
        <v>1049.5999999999999</v>
      </c>
      <c r="FV32" s="18">
        <f>'Total Sunday-Holiday Boardings'!FV32/4</f>
        <v>1293.75</v>
      </c>
      <c r="FW32" s="18">
        <f>'Total Sunday-Holiday Boardings'!FW32/4</f>
        <v>1154.25</v>
      </c>
      <c r="FX32" s="18">
        <f>'Total Sunday-Holiday Boardings'!FX32/5</f>
        <v>952.2</v>
      </c>
      <c r="FY32" s="18">
        <f>'Total Sunday-Holiday Boardings'!FY32/4</f>
        <v>1216.25</v>
      </c>
      <c r="FZ32" s="18">
        <f>'Total Sunday-Holiday Boardings'!FZ32/5</f>
        <v>1399</v>
      </c>
      <c r="GA32" s="18">
        <f>'Total Sunday-Holiday Boardings'!GA32/4</f>
        <v>1299.25</v>
      </c>
      <c r="GB32" s="18">
        <f>'Total Sunday-Holiday Boardings'!GB32/4</f>
        <v>1076.5</v>
      </c>
      <c r="GC32" s="18">
        <f>'Total Sunday-Holiday Boardings'!GC32/5</f>
        <v>1067.2</v>
      </c>
      <c r="GD32" s="18">
        <f>'Total Sunday-Holiday Boardings'!GD32/4</f>
        <v>1025.5</v>
      </c>
      <c r="GE32" s="18">
        <f>'Total Sunday-Holiday Boardings'!GE32/4</f>
        <v>1386.5</v>
      </c>
      <c r="GF32" s="18">
        <f>'Total Sunday-Holiday Boardings'!GF32/5</f>
        <v>1006</v>
      </c>
      <c r="GG32" s="18">
        <f>'Total Sunday-Holiday Boardings'!GG32/4</f>
        <v>1127.25</v>
      </c>
      <c r="GH32" s="18">
        <f>'Total Sunday-Holiday Boardings'!GH32/4</f>
        <v>966.5</v>
      </c>
      <c r="GI32" s="18">
        <f>'Total Sunday-Holiday Boardings'!GI32/5</f>
        <v>1126.2</v>
      </c>
      <c r="GJ32" s="18">
        <f>'Total Sunday-Holiday Boardings'!GJ32/4</f>
        <v>954.25</v>
      </c>
      <c r="GK32" s="18">
        <f>'Total Sunday-Holiday Boardings'!GK32/4</f>
        <v>1198.25</v>
      </c>
      <c r="GL32" s="18">
        <f>'Total Sunday-Holiday Boardings'!GL32/5</f>
        <v>1114</v>
      </c>
    </row>
    <row r="33" spans="1:194" x14ac:dyDescent="0.3">
      <c r="A33" s="92" t="s">
        <v>71</v>
      </c>
      <c r="B33" s="17"/>
      <c r="C33" s="18"/>
      <c r="D33" s="18"/>
      <c r="E33" s="18"/>
      <c r="F33" s="18"/>
      <c r="G33" s="18"/>
      <c r="H33" s="19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  <c r="U33" s="17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7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9"/>
      <c r="AS33" s="17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9"/>
      <c r="BE33" s="17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9"/>
      <c r="BQ33" s="17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20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21"/>
      <c r="CO33" s="17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9"/>
      <c r="DA33" s="17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9"/>
      <c r="DM33" s="17"/>
      <c r="DN33" s="18"/>
      <c r="DO33" s="18"/>
      <c r="DP33" s="18"/>
      <c r="DQ33" s="18"/>
      <c r="DR33" s="18"/>
      <c r="DS33" s="18"/>
      <c r="DT33" s="18"/>
      <c r="DU33" s="18"/>
      <c r="DV33" s="18">
        <f>'Total Sunday-Holiday Boardings'!DV33/('Service Days per Month'!DV10+'Service Days per Month'!DV11)</f>
        <v>95</v>
      </c>
      <c r="DW33" s="18">
        <f>'Total Sunday-Holiday Boardings'!DW33/('Service Days per Month'!DW$6+'Service Days per Month'!DW$7)</f>
        <v>152.4</v>
      </c>
      <c r="DX33" s="18">
        <f>'Total Sunday-Holiday Boardings'!DX33/('Service Days per Month'!DX$6+'Service Days per Month'!DX$7)</f>
        <v>138.80000000000001</v>
      </c>
      <c r="DY33" s="17">
        <f>'Total Sunday-Holiday Boardings'!DY33/('Service Days per Month'!DY$6+'Service Days per Month'!DY$7)</f>
        <v>160.6</v>
      </c>
      <c r="DZ33" s="18">
        <f>'Total Sunday-Holiday Boardings'!DZ33/('Service Days per Month'!DZ$6+'Service Days per Month'!DZ$7)</f>
        <v>143.25</v>
      </c>
      <c r="EA33" s="18">
        <f>'Total Sunday-Holiday Boardings'!EA33/('Service Days per Month'!EA$6+'Service Days per Month'!EA$7)</f>
        <v>198.5</v>
      </c>
      <c r="EB33" s="18">
        <f>'Total Sunday-Holiday Boardings'!EB33/('Service Days per Month'!EB$6+'Service Days per Month'!EB$7)</f>
        <v>243</v>
      </c>
      <c r="EC33" s="18">
        <f>'Total Sunday-Holiday Boardings'!EC33/('Service Days per Month'!EC$6+'Service Days per Month'!EC$7)</f>
        <v>287.8</v>
      </c>
      <c r="ED33" s="18">
        <f>'Total Sunday-Holiday Boardings'!ED33/('Service Days per Month'!ED$6+'Service Days per Month'!ED$7)</f>
        <v>316.66666666666669</v>
      </c>
      <c r="EE33" s="18">
        <f>'Total Sunday-Holiday Boardings'!EE33/('Service Days per Month'!EE$6+'Service Days per Month'!EE$7)</f>
        <v>356.5</v>
      </c>
      <c r="EF33" s="18">
        <f>'Total Sunday-Holiday Boardings'!EF33/('Service Days per Month'!EF$6+'Service Days per Month'!EF$7)</f>
        <v>277.75</v>
      </c>
      <c r="EG33" s="18">
        <f>'Total Sunday-Holiday Boardings'!EG33/('Service Days per Month'!EG$6+'Service Days per Month'!EG$7)</f>
        <v>234.8</v>
      </c>
      <c r="EH33" s="18">
        <f>'Total Sunday-Holiday Boardings'!EH33/('Service Days per Month'!EH$6+'Service Days per Month'!EH$7)</f>
        <v>188.25</v>
      </c>
      <c r="EI33" s="18">
        <f>'Total Sunday-Holiday Boardings'!EI33/('Service Days per Month'!EI$6+'Service Days per Month'!EI$7)</f>
        <v>179</v>
      </c>
      <c r="EJ33" s="18">
        <f>'Total Sunday-Holiday Boardings'!EJ33/('Service Days per Month'!EJ$6+'Service Days per Month'!EJ$7)</f>
        <v>194.25</v>
      </c>
      <c r="EK33" s="17">
        <f>'Total Sunday-Holiday Boardings'!EK33/('Service Days per Month'!EK$6+'Service Days per Month'!EK$7)</f>
        <v>155.4</v>
      </c>
      <c r="EL33" s="18">
        <f>'Total Sunday-Holiday Boardings'!EL33/('Service Days per Month'!EL$6+'Service Days per Month'!EL$7)</f>
        <v>184</v>
      </c>
      <c r="EM33" s="18">
        <f>'Total Sunday-Holiday Boardings'!EM33/('Service Days per Month'!EM$6+'Service Days per Month'!EM$7)</f>
        <v>166.4</v>
      </c>
      <c r="EN33" s="18">
        <f>'Total Sunday-Holiday Boardings'!EN33/('Service Days per Month'!EN$6+'Service Days per Month'!EN$7)</f>
        <v>191.75</v>
      </c>
      <c r="EO33" s="18">
        <f>'Total Sunday-Holiday Boardings'!EO33/('Service Days per Month'!EO$6+'Service Days per Month'!EO$7)</f>
        <v>115.5</v>
      </c>
      <c r="EP33" s="18">
        <f>'Total Sunday-Holiday Boardings'!EP33/('Service Days per Month'!EP$6+'Service Days per Month'!EP$7)</f>
        <v>86.2</v>
      </c>
      <c r="EQ33" s="18">
        <f>'Total Sunday-Holiday Boardings'!EQ33/('Service Days per Month'!EQ$6+'Service Days per Month'!EQ$7)</f>
        <v>76.400000000000006</v>
      </c>
      <c r="ER33" s="18">
        <f>'Total Sunday-Holiday Boardings'!ER33/('Service Days per Month'!ER$6+'Service Days per Month'!ER$7)</f>
        <v>161.5</v>
      </c>
      <c r="ES33" s="18">
        <f>'Total Sunday-Holiday Boardings'!ES33/('Service Days per Month'!ES$6+'Service Days per Month'!ES$7)</f>
        <v>121.5</v>
      </c>
      <c r="ET33" s="18">
        <f>'Total Sunday-Holiday Boardings'!ET33/('Service Days per Month'!ET$6+'Service Days per Month'!ET$7)</f>
        <v>717.25</v>
      </c>
      <c r="EU33" s="18">
        <f>'Total Sunday-Holiday Boardings'!EU33/('Service Days per Month'!EU$6+'Service Days per Month'!EU$7)</f>
        <v>134.33333333333334</v>
      </c>
      <c r="EV33" s="18">
        <f>'Total Sunday-Holiday Boardings'!EV33/('Service Days per Month'!EV$6+'Service Days per Month'!EV$7)</f>
        <v>167</v>
      </c>
      <c r="EW33" s="17">
        <f>'Total Sunday-Holiday Boardings'!EW33/('Service Days per Month'!EW$6+'Service Days per Month'!EW$7)</f>
        <v>166</v>
      </c>
      <c r="EX33" s="18">
        <f>'Total Sunday-Holiday Boardings'!EX33/('Service Days per Month'!EX$6+'Service Days per Month'!EX$7)</f>
        <v>194.8</v>
      </c>
      <c r="EY33" s="18">
        <f>'Total Sunday-Holiday Boardings'!EY33/('Service Days per Month'!EY$6+'Service Days per Month'!EY$7)</f>
        <v>166</v>
      </c>
      <c r="EZ33" s="18">
        <f>'Total Sunday-Holiday Boardings'!EZ33/('Service Days per Month'!EZ$6+'Service Days per Month'!EZ$7)</f>
        <v>141</v>
      </c>
      <c r="FA33" s="18">
        <f>'Total Sunday-Holiday Boardings'!FA33/('Service Days per Month'!FA$6+'Service Days per Month'!FA$7)</f>
        <v>150.80000000000001</v>
      </c>
      <c r="FB33" s="18">
        <f>'Total Sunday-Holiday Boardings'!FB33/('Service Days per Month'!FB$6+'Service Days per Month'!FB$7)</f>
        <v>180.4</v>
      </c>
      <c r="FC33" s="18">
        <f>'Total Sunday-Holiday Boardings'!FC33/('Service Days per Month'!FC$6+'Service Days per Month'!FC$7)</f>
        <v>148</v>
      </c>
      <c r="FD33" s="18">
        <f>'Total Sunday-Holiday Boardings'!FD33/('Service Days per Month'!FD$6+'Service Days per Month'!FD$7)</f>
        <v>165.5</v>
      </c>
      <c r="FE33" s="18">
        <f>'Total Sunday-Holiday Boardings'!FE33/('Service Days per Month'!FE$6+'Service Days per Month'!FE$7)</f>
        <v>206.5</v>
      </c>
      <c r="FF33" s="18">
        <f>'Total Sunday-Holiday Boardings'!FF33/('Service Days per Month'!FF$6+'Service Days per Month'!FF$7)</f>
        <v>177.75</v>
      </c>
      <c r="FG33" s="18">
        <f>'Total Sunday-Holiday Boardings'!FG33/('Service Days per Month'!FG$6+'Service Days per Month'!FG$7)</f>
        <v>734</v>
      </c>
      <c r="FH33" s="18">
        <f>'Total Sunday-Holiday Boardings'!FH33/('Service Days per Month'!FH$6+'Service Days per Month'!FH$7)</f>
        <v>146.75</v>
      </c>
      <c r="FI33" s="17">
        <v>160.5</v>
      </c>
      <c r="FJ33" s="18">
        <v>139</v>
      </c>
      <c r="FK33" s="18">
        <v>167.8</v>
      </c>
      <c r="FL33" s="18">
        <v>139.6</v>
      </c>
      <c r="FM33" s="18">
        <v>133.80000000000001</v>
      </c>
      <c r="FN33" s="18">
        <v>174.2</v>
      </c>
      <c r="FO33" s="18">
        <v>253</v>
      </c>
      <c r="FP33" s="18">
        <v>177.5</v>
      </c>
      <c r="FQ33" s="18">
        <v>205</v>
      </c>
      <c r="FR33" s="18">
        <f>'Total Sunday-Holiday Boardings'!FR33/5</f>
        <v>230.6</v>
      </c>
      <c r="FS33" s="18">
        <f>'Total Sunday-Holiday Boardings'!FS33/5</f>
        <v>216.4</v>
      </c>
      <c r="FT33" s="21">
        <f>'Total Sunday-Holiday Boardings'!FT33/4</f>
        <v>210.5</v>
      </c>
      <c r="FU33" s="18">
        <f>'Total Sunday-Holiday Boardings'!FU33/5</f>
        <v>218.8</v>
      </c>
      <c r="FV33" s="18">
        <f>'Total Sunday-Holiday Boardings'!FV33/4</f>
        <v>271.5</v>
      </c>
      <c r="FW33" s="18">
        <f>'Total Sunday-Holiday Boardings'!FW33/4</f>
        <v>235.25</v>
      </c>
      <c r="FX33" s="18">
        <f>'Total Sunday-Holiday Boardings'!FX33/5</f>
        <v>175.8</v>
      </c>
      <c r="FY33" s="18">
        <f>'Total Sunday-Holiday Boardings'!FY33/4</f>
        <v>196.5</v>
      </c>
      <c r="FZ33" s="18">
        <f>'Total Sunday-Holiday Boardings'!FZ33/5</f>
        <v>200.2</v>
      </c>
      <c r="GA33" s="18">
        <f>'Total Sunday-Holiday Boardings'!GA33/4</f>
        <v>278.75</v>
      </c>
      <c r="GB33" s="18">
        <f>'Total Sunday-Holiday Boardings'!GB33/4</f>
        <v>204.5</v>
      </c>
      <c r="GC33" s="18">
        <f>'Total Sunday-Holiday Boardings'!GC33/5</f>
        <v>186.8</v>
      </c>
      <c r="GD33" s="18">
        <f>'Total Sunday-Holiday Boardings'!GD33/4</f>
        <v>193.5</v>
      </c>
      <c r="GE33" s="18">
        <f>'Total Sunday-Holiday Boardings'!GE33/4</f>
        <v>214.25</v>
      </c>
      <c r="GF33" s="18">
        <f>'Total Sunday-Holiday Boardings'!GF33/5</f>
        <v>149.6</v>
      </c>
      <c r="GG33" s="18">
        <f>'Total Sunday-Holiday Boardings'!GG33/4</f>
        <v>186</v>
      </c>
      <c r="GH33" s="18">
        <f>'Total Sunday-Holiday Boardings'!GH33/4</f>
        <v>155.75</v>
      </c>
      <c r="GI33" s="18">
        <f>'Total Sunday-Holiday Boardings'!GI33/5</f>
        <v>189</v>
      </c>
      <c r="GJ33" s="18">
        <f>'Total Sunday-Holiday Boardings'!GJ33/4</f>
        <v>193.5</v>
      </c>
      <c r="GK33" s="18">
        <f>'Total Sunday-Holiday Boardings'!GK33/4</f>
        <v>274</v>
      </c>
      <c r="GL33" s="18">
        <f>'Total Sunday-Holiday Boardings'!GL33/5</f>
        <v>255.4</v>
      </c>
    </row>
    <row r="34" spans="1:194" x14ac:dyDescent="0.3">
      <c r="A34" s="3" t="s">
        <v>16</v>
      </c>
      <c r="B34" s="17"/>
      <c r="C34" s="18">
        <f>'Total Sunday-Holiday Boardings'!C34/SUM('Service Days per Month'!C$6:C$7)</f>
        <v>2111</v>
      </c>
      <c r="D34" s="18">
        <f>'Total Sunday-Holiday Boardings'!D34/SUM('Service Days per Month'!D$6:D$7)</f>
        <v>1106.25</v>
      </c>
      <c r="E34" s="18">
        <f>'Total Sunday-Holiday Boardings'!E34/SUM('Service Days per Month'!E$6:E$7)</f>
        <v>1117</v>
      </c>
      <c r="F34" s="18">
        <f>'Total Sunday-Holiday Boardings'!F34/SUM('Service Days per Month'!F$6:F$7)</f>
        <v>789</v>
      </c>
      <c r="G34" s="18">
        <f>'Total Sunday-Holiday Boardings'!G34/SUM('Service Days per Month'!G$6:G$7)</f>
        <v>880.16666666666663</v>
      </c>
      <c r="H34" s="19">
        <f>'Total Sunday-Holiday Boardings'!H34/SUM('Service Days per Month'!H$6:H$7)</f>
        <v>700.25</v>
      </c>
      <c r="I34" s="17">
        <f>'Total Sunday-Holiday Boardings'!I34/SUM('Service Days per Month'!I$6:I$7)</f>
        <v>1034.4000000000001</v>
      </c>
      <c r="J34" s="18">
        <f>'Total Sunday-Holiday Boardings'!J34/SUM('Service Days per Month'!J$6:J$7)</f>
        <v>715.4</v>
      </c>
      <c r="K34" s="18">
        <f>'Total Sunday-Holiday Boardings'!K34/SUM('Service Days per Month'!K$6:K$7)</f>
        <v>789.2</v>
      </c>
      <c r="L34" s="18">
        <f>'Total Sunday-Holiday Boardings'!L34/SUM('Service Days per Month'!L$6:L$7)</f>
        <v>966.5</v>
      </c>
      <c r="M34" s="18">
        <f>'Total Sunday-Holiday Boardings'!M34/SUM('Service Days per Month'!M$6:M$7)</f>
        <v>1536.8333333333333</v>
      </c>
      <c r="N34" s="18">
        <f>'Total Sunday-Holiday Boardings'!N34/SUM('Service Days per Month'!N$6:N$7)</f>
        <v>667.4</v>
      </c>
      <c r="O34" s="79">
        <f>'Total Sunday-Holiday Boardings'!O34/SUM('Service Days per Month'!O$6:O$7)</f>
        <v>1093.3333333333333</v>
      </c>
      <c r="P34" s="79">
        <f>'Total Sunday-Holiday Boardings'!P34/SUM('Service Days per Month'!P$6:P$7)</f>
        <v>1181</v>
      </c>
      <c r="Q34" s="79">
        <f>'Total Sunday-Holiday Boardings'!Q34/SUM('Service Days per Month'!Q$6:Q$7)</f>
        <v>1321.5</v>
      </c>
      <c r="R34" s="79">
        <f>'Total Sunday-Holiday Boardings'!R34/SUM('Service Days per Month'!R$6:R$7)</f>
        <v>870.5</v>
      </c>
      <c r="S34" s="79">
        <f>'Total Sunday-Holiday Boardings'!S34/SUM('Service Days per Month'!S$6:S$7)</f>
        <v>957.66666666666663</v>
      </c>
      <c r="T34" s="80">
        <f>'Total Sunday-Holiday Boardings'!T34/SUM('Service Days per Month'!T$6:T$7)</f>
        <v>1261.5</v>
      </c>
      <c r="U34" s="81">
        <f>'Total Sunday-Holiday Boardings'!U34/SUM('Service Days per Month'!U$6:U$7)</f>
        <v>1023.6</v>
      </c>
      <c r="V34" s="79">
        <f>'Total Sunday-Holiday Boardings'!V34/SUM('Service Days per Month'!V$6:V$7)</f>
        <v>806</v>
      </c>
      <c r="W34" s="79">
        <f>'Total Sunday-Holiday Boardings'!W34/SUM('Service Days per Month'!W$6:W$7)</f>
        <v>824.2</v>
      </c>
      <c r="X34" s="79">
        <f>'Total Sunday-Holiday Boardings'!X34/SUM('Service Days per Month'!X$6:X$7)</f>
        <v>990.2</v>
      </c>
      <c r="Y34" s="79">
        <f>'Total Sunday-Holiday Boardings'!Y34/SUM('Service Days per Month'!Y$6:Y$7)</f>
        <v>1252</v>
      </c>
      <c r="Z34" s="79">
        <f>'Total Sunday-Holiday Boardings'!Z34/SUM('Service Days per Month'!Z$6:Z$7)</f>
        <v>622.85714285714289</v>
      </c>
      <c r="AA34" s="18">
        <f>'Total Sunday-Holiday Boardings'!AA34/SUM('Service Days per Month'!AA$6:AA$7)</f>
        <v>1045.3333333333333</v>
      </c>
      <c r="AB34" s="18">
        <f>'Total Sunday-Holiday Boardings'!AB34/SUM('Service Days per Month'!AB$6:AB$7)</f>
        <v>1007.8</v>
      </c>
      <c r="AC34" s="18">
        <f>'Total Sunday-Holiday Boardings'!AC34/SUM('Service Days per Month'!AC$6:AC$7)</f>
        <v>1373.5</v>
      </c>
      <c r="AD34" s="18">
        <f>'Total Sunday-Holiday Boardings'!AD34/SUM('Service Days per Month'!AD$6:AD$7)</f>
        <v>1024</v>
      </c>
      <c r="AE34" s="18">
        <f>'Total Sunday-Holiday Boardings'!AE34/SUM('Service Days per Month'!AE$6:AE$7)</f>
        <v>960.33333333333337</v>
      </c>
      <c r="AF34" s="19">
        <f>'Total Sunday-Holiday Boardings'!AF34/SUM('Service Days per Month'!AF$6:AF$7)</f>
        <v>777.75</v>
      </c>
      <c r="AG34" s="17">
        <f>'Total Sunday-Holiday Boardings'!AG34/SUM('Service Days per Month'!AG$6:AG$7)</f>
        <v>1038.8333333333333</v>
      </c>
      <c r="AH34" s="18">
        <f>'Total Sunday-Holiday Boardings'!AH34/SUM('Service Days per Month'!AH$6:AH$7)</f>
        <v>883.25</v>
      </c>
      <c r="AI34" s="18">
        <f>'Total Sunday-Holiday Boardings'!AI34/SUM('Service Days per Month'!AI$6:AI$7)</f>
        <v>969.6</v>
      </c>
      <c r="AJ34" s="18">
        <f>'Total Sunday-Holiday Boardings'!AJ34/SUM('Service Days per Month'!AJ$6:AJ$7)</f>
        <v>1072.5999999999999</v>
      </c>
      <c r="AK34" s="18">
        <f>'Total Sunday-Holiday Boardings'!AK34/SUM('Service Days per Month'!AK$6:AK$7)</f>
        <v>1101.4285714285713</v>
      </c>
      <c r="AL34" s="18">
        <f>'Total Sunday-Holiday Boardings'!AL34/SUM('Service Days per Month'!AL$6:AL$7)</f>
        <v>800.16666666666663</v>
      </c>
      <c r="AM34" s="18">
        <f>'Total Sunday-Holiday Boardings'!AM34/SUM('Service Days per Month'!AM$6:AM$7)</f>
        <v>1210.8571428571429</v>
      </c>
      <c r="AN34" s="18">
        <f>'Total Sunday-Holiday Boardings'!AN34/SUM('Service Days per Month'!AN$6:AN$7)</f>
        <v>1263</v>
      </c>
      <c r="AO34" s="18">
        <f>'Total Sunday-Holiday Boardings'!AO34/SUM('Service Days per Month'!AO$6:AO$7)</f>
        <v>1192</v>
      </c>
      <c r="AP34" s="18">
        <f>'Total Sunday-Holiday Boardings'!AP34/SUM('Service Days per Month'!AP$6:AP$7)</f>
        <v>1059.5999999999999</v>
      </c>
      <c r="AQ34" s="18">
        <f>'Total Sunday-Holiday Boardings'!AQ34/SUM('Service Days per Month'!AQ$6:AQ$7)</f>
        <v>1048.5999999999999</v>
      </c>
      <c r="AR34" s="19">
        <f>'Total Sunday-Holiday Boardings'!AR34/SUM('Service Days per Month'!AR$6:AR$7)</f>
        <v>1132</v>
      </c>
      <c r="AS34" s="17">
        <f>'Total Sunday-Holiday Boardings'!AS34/SUM('Service Days per Month'!AS$6:AS$7)</f>
        <v>1190.5</v>
      </c>
      <c r="AT34" s="18">
        <f>'Total Sunday-Holiday Boardings'!AT34/SUM('Service Days per Month'!AT$6:AT$7)</f>
        <v>1038</v>
      </c>
      <c r="AU34" s="18">
        <f>'Total Sunday-Holiday Boardings'!AU34/SUM('Service Days per Month'!AU$6:AU$7)</f>
        <v>1034.8333333333333</v>
      </c>
      <c r="AV34" s="18">
        <f>'Total Sunday-Holiday Boardings'!AV34/SUM('Service Days per Month'!AV$6:AV$7)</f>
        <v>1236</v>
      </c>
      <c r="AW34" s="18">
        <f>'Total Sunday-Holiday Boardings'!AW34/SUM('Service Days per Month'!AW$6:AW$7)</f>
        <v>1170.2857142857142</v>
      </c>
      <c r="AX34" s="18">
        <f>'Total Sunday-Holiday Boardings'!AX34/SUM('Service Days per Month'!AX$6:AX$7)</f>
        <v>976.28571428571433</v>
      </c>
      <c r="AY34" s="18">
        <f>'Total Sunday-Holiday Boardings'!AY34/SUM('Service Days per Month'!AY$6:AY$7)</f>
        <v>1326.8333333333333</v>
      </c>
      <c r="AZ34" s="18">
        <f>'Total Sunday-Holiday Boardings'!AZ34/SUM('Service Days per Month'!AZ$6:AZ$7)</f>
        <v>1301.2</v>
      </c>
      <c r="BA34" s="18">
        <f>'Total Sunday-Holiday Boardings'!BA34/SUM('Service Days per Month'!BA$6:BA$7)</f>
        <v>1447</v>
      </c>
      <c r="BB34" s="18">
        <f>'Total Sunday-Holiday Boardings'!BB34/SUM('Service Days per Month'!BB$6:BB$7)</f>
        <v>1226</v>
      </c>
      <c r="BC34" s="18">
        <f>'Total Sunday-Holiday Boardings'!BC34/SUM('Service Days per Month'!BC$6:BC$7)</f>
        <v>1203.5999999999999</v>
      </c>
      <c r="BD34" s="19">
        <f>'Total Sunday-Holiday Boardings'!BD34/SUM('Service Days per Month'!BD$6:BD$7)</f>
        <v>1068.8</v>
      </c>
      <c r="BE34" s="17">
        <f>'Total Sunday-Holiday Boardings'!BE34/SUM('Service Days per Month'!BE$6:BE$7)</f>
        <v>1060.4000000000001</v>
      </c>
      <c r="BF34" s="18">
        <f>'Total Sunday-Holiday Boardings'!BF34/SUM('Service Days per Month'!BF$6:BF$7)</f>
        <v>892</v>
      </c>
      <c r="BG34" s="18">
        <f>'Total Sunday-Holiday Boardings'!BG34/SUM('Service Days per Month'!BG$6:BG$7)</f>
        <v>1041.6666666666667</v>
      </c>
      <c r="BH34" s="18">
        <f>'Total Sunday-Holiday Boardings'!BH34/SUM('Service Days per Month'!BH$6:BH$7)</f>
        <v>1161.5</v>
      </c>
      <c r="BI34" s="18">
        <f>'Total Sunday-Holiday Boardings'!BI34/SUM('Service Days per Month'!BI$6:BI$7)</f>
        <v>1043.5582607502915</v>
      </c>
      <c r="BJ34" s="18">
        <f>'Total Sunday-Holiday Boardings'!BJ34/SUM('Service Days per Month'!BJ$6:BJ$7)</f>
        <v>1110.4285714285713</v>
      </c>
      <c r="BK34" s="18">
        <f>'Total Sunday-Holiday Boardings'!BK34/SUM('Service Days per Month'!BK$6:BK$7)</f>
        <v>1334.1666666666667</v>
      </c>
      <c r="BL34" s="18">
        <f>'Total Sunday-Holiday Boardings'!BL34/SUM('Service Days per Month'!BL$6:BL$7)</f>
        <v>1409.4</v>
      </c>
      <c r="BM34" s="18">
        <f>'Total Sunday-Holiday Boardings'!BM34/SUM('Service Days per Month'!BM$6:BM$7)</f>
        <v>1415.2</v>
      </c>
      <c r="BN34" s="18">
        <f>'Total Sunday-Holiday Boardings'!BN34/SUM('Service Days per Month'!BN$6:BN$7)</f>
        <v>1093.5</v>
      </c>
      <c r="BO34" s="18">
        <f>'Total Sunday-Holiday Boardings'!BO34/SUM('Service Days per Month'!BO$6:BO$7)</f>
        <v>1133.8</v>
      </c>
      <c r="BP34" s="19">
        <f>'Total Sunday-Holiday Boardings'!BP34/SUM('Service Days per Month'!BP$6:BP$7)</f>
        <v>1116.2</v>
      </c>
      <c r="BQ34" s="17">
        <f>'Total Sunday-Holiday Boardings'!BQ34/SUM('Service Days per Month'!BQ$6:BQ$7)</f>
        <v>1203.8</v>
      </c>
      <c r="BR34" s="18">
        <f>'Total Sunday-Holiday Boardings'!BR34/SUM('Service Days per Month'!BR$6:BR$7)</f>
        <v>1102.2</v>
      </c>
      <c r="BS34" s="18">
        <f>'Total Sunday-Holiday Boardings'!BS34/SUM('Service Days per Month'!BS$6:BS$7)</f>
        <v>1234.4000000000001</v>
      </c>
      <c r="BT34" s="18">
        <f>'Total Sunday-Holiday Boardings'!BT34/SUM('Service Days per Month'!BT$6:BT$7)</f>
        <v>1113</v>
      </c>
      <c r="BU34" s="18">
        <f>'Total Sunday-Holiday Boardings'!BU34/SUM('Service Days per Month'!BU$6:BU$7)</f>
        <v>1206.5</v>
      </c>
      <c r="BV34" s="18">
        <f>'Total Sunday-Holiday Boardings'!BV34/SUM('Service Days per Month'!BV$6:BV$7)</f>
        <v>1054.3333333333333</v>
      </c>
      <c r="BW34" s="18">
        <f>'Total Sunday-Holiday Boardings'!BW34/SUM('Service Days per Month'!BW$6:BW$7)</f>
        <v>1390.3333333333333</v>
      </c>
      <c r="BX34" s="18">
        <f>'Total Sunday-Holiday Boardings'!BX34/SUM('Service Days per Month'!BX$6:BX$7)</f>
        <v>1329.4</v>
      </c>
      <c r="BY34" s="18">
        <f>'Total Sunday-Holiday Boardings'!BY34/SUM('Service Days per Month'!BY$6:BY$7)</f>
        <v>1193.2</v>
      </c>
      <c r="BZ34" s="18">
        <f>'Total Sunday-Holiday Boardings'!BZ34/SUM('Service Days per Month'!BZ$6:BZ$7)</f>
        <v>1114.5</v>
      </c>
      <c r="CA34" s="18">
        <f>'Total Sunday-Holiday Boardings'!CA34/SUM('Service Days per Month'!CA$6:CA$7)</f>
        <v>1113.8333333333333</v>
      </c>
      <c r="CB34" s="19">
        <f>'Total Sunday-Holiday Boardings'!CB34/SUM('Service Days per Month'!CB$6:CB$7)</f>
        <v>1003.5</v>
      </c>
      <c r="CC34" s="20">
        <f>'Total Sunday-Holiday Boardings'!CC34/SUM('Service Days per Month'!CC$6:CC$7)</f>
        <v>1137</v>
      </c>
      <c r="CD34" s="18">
        <f>'Total Sunday-Holiday Boardings'!CD34/SUM('Service Days per Month'!CD$6:CD$7)</f>
        <v>826</v>
      </c>
      <c r="CE34" s="18">
        <f>'Total Sunday-Holiday Boardings'!CE34/SUM('Service Days per Month'!CE$6:CE$7)</f>
        <v>555.6</v>
      </c>
      <c r="CF34" s="18">
        <f>'Total Sunday-Holiday Boardings'!CF34/SUM('Service Days per Month'!CF$6:CF$7)</f>
        <v>565.5</v>
      </c>
      <c r="CG34" s="18">
        <f>'Total Sunday-Holiday Boardings'!CG34/SUM('Service Days per Month'!CG$6:CG$7)</f>
        <v>597.625</v>
      </c>
      <c r="CH34" s="18">
        <f>'Total Sunday-Holiday Boardings'!CH34/SUM('Service Days per Month'!CH$6:CH$7)</f>
        <v>555</v>
      </c>
      <c r="CI34" s="18">
        <f>'Total Sunday-Holiday Boardings'!CI34/SUM('Service Days per Month'!CI$6:CI$7)</f>
        <v>639.42857142857144</v>
      </c>
      <c r="CJ34" s="18">
        <f>'Total Sunday-Holiday Boardings'!CJ34/SUM('Service Days per Month'!CJ$6:CJ$7)</f>
        <v>609.79999999999995</v>
      </c>
      <c r="CK34" s="18">
        <f>'Total Sunday-Holiday Boardings'!CK34/SUM('Service Days per Month'!CK$6:CK$7)</f>
        <v>547</v>
      </c>
      <c r="CL34" s="18">
        <f>'Total Sunday-Holiday Boardings'!CL34/SUM('Service Days per Month'!CL$6:CL$7)</f>
        <v>539</v>
      </c>
      <c r="CM34" s="18">
        <f>'Total Sunday-Holiday Boardings'!CM34/SUM('Service Days per Month'!CM$6:CM$7)</f>
        <v>498.83333333333331</v>
      </c>
      <c r="CN34" s="21">
        <f>'Total Sunday-Holiday Boardings'!CN34/SUM('Service Days per Month'!CN$6:CN$7)</f>
        <v>455.75</v>
      </c>
      <c r="CO34" s="17">
        <f>'Total Sunday-Holiday Boardings'!CO34/SUM('Service Days per Month'!CO$6:CO$7)</f>
        <v>498.5</v>
      </c>
      <c r="CP34" s="18">
        <f>'Total Sunday-Holiday Boardings'!CP34/SUM('Service Days per Month'!CP$6:CP$7)</f>
        <v>488</v>
      </c>
      <c r="CQ34" s="18">
        <f>'Total Sunday-Holiday Boardings'!CQ34/SUM('Service Days per Month'!CQ$6:CQ$7)</f>
        <v>464.8</v>
      </c>
      <c r="CR34" s="18">
        <f>'Total Sunday-Holiday Boardings'!CR34/SUM('Service Days per Month'!CR$6:CR$7)</f>
        <v>559.6</v>
      </c>
      <c r="CS34" s="18">
        <f>'Total Sunday-Holiday Boardings'!CS34/SUM('Service Days per Month'!CS$6:CS$7)</f>
        <v>693.85714285714289</v>
      </c>
      <c r="CT34" s="18">
        <f>'Total Sunday-Holiday Boardings'!CT34/SUM('Service Days per Month'!CT$6:CT$7)</f>
        <v>661.5</v>
      </c>
      <c r="CU34" s="18">
        <f>'Total Sunday-Holiday Boardings'!CU34/SUM('Service Days per Month'!CU$6:CU$7)</f>
        <v>595.57142857142856</v>
      </c>
      <c r="CV34" s="18">
        <f>'Total Sunday-Holiday Boardings'!CV34/SUM('Service Days per Month'!CV$6:CV$7)</f>
        <v>586.79999999999995</v>
      </c>
      <c r="CW34" s="18">
        <f>'Total Sunday-Holiday Boardings'!CW34/SUM('Service Days per Month'!CW$6:CW$7)</f>
        <v>538.25</v>
      </c>
      <c r="CX34" s="18">
        <f>'Total Sunday-Holiday Boardings'!CX34/SUM('Service Days per Month'!CX$6:CX$7)</f>
        <v>671.8</v>
      </c>
      <c r="CY34" s="18">
        <f>'Total Sunday-Holiday Boardings'!CY34/SUM('Service Days per Month'!CY$6:CY$7)</f>
        <v>516.79999999999995</v>
      </c>
      <c r="CZ34" s="19">
        <f>'Total Sunday-Holiday Boardings'!CZ34/SUM('Service Days per Month'!CZ$6:CZ$7)</f>
        <v>478</v>
      </c>
      <c r="DA34" s="17">
        <f>'Total Sunday-Holiday Boardings'!DA34/SUM('Service Days per Month'!DA$6:DA$7)</f>
        <v>558.5</v>
      </c>
      <c r="DB34" s="18">
        <f>'Total Sunday-Holiday Boardings'!DB34/SUM('Service Days per Month'!DB$6:DB$7)</f>
        <v>479.25</v>
      </c>
      <c r="DC34" s="18">
        <f>'Total Sunday-Holiday Boardings'!DC34/SUM('Service Days per Month'!DC$6:DC$7)</f>
        <v>493.8</v>
      </c>
      <c r="DD34" s="18">
        <f>'Total Sunday-Holiday Boardings'!DD34/SUM('Service Days per Month'!DD$6:DD$7)</f>
        <v>540.20000000000005</v>
      </c>
      <c r="DE34" s="18">
        <f>'Total Sunday-Holiday Boardings'!DE34/SUM('Service Days per Month'!DE$6:DE$7)</f>
        <v>666.85714285714289</v>
      </c>
      <c r="DF34" s="18">
        <f>'Total Sunday-Holiday Boardings'!DF34/SUM('Service Days per Month'!DF$6:DF$7)</f>
        <v>603.16666666666663</v>
      </c>
      <c r="DG34" s="18">
        <f>'Total Sunday-Holiday Boardings'!DG34/SUM('Service Days per Month'!DG$6:DG$7)</f>
        <v>642.83333333333337</v>
      </c>
      <c r="DH34" s="18">
        <f>'Total Sunday-Holiday Boardings'!DH34/SUM('Service Days per Month'!DH$6:DH$7)</f>
        <v>659.4</v>
      </c>
      <c r="DI34" s="18">
        <f>'Total Sunday-Holiday Boardings'!DI34/SUM('Service Days per Month'!DI$6:DI$7)</f>
        <v>764.75</v>
      </c>
      <c r="DJ34" s="18">
        <f>'Total Sunday-Holiday Boardings'!DJ34/SUM('Service Days per Month'!DJ$6:DJ$7)</f>
        <v>610.4</v>
      </c>
      <c r="DK34" s="18">
        <f>'Total Sunday-Holiday Boardings'!DK34/SUM('Service Days per Month'!DK$6:DK$7)</f>
        <v>613</v>
      </c>
      <c r="DL34" s="19">
        <f>'Total Sunday-Holiday Boardings'!DL34/SUM('Service Days per Month'!DL$6:DL$7)</f>
        <v>489.5</v>
      </c>
      <c r="DM34" s="17">
        <f>'Total Sunday-Holiday Boardings'!DM34/('Service Days per Month'!DM$6+'Service Days per Month'!DM$7)</f>
        <v>550.16666666666663</v>
      </c>
      <c r="DN34" s="18">
        <f>'Total Sunday-Holiday Boardings'!DN34/('Service Days per Month'!DN$6+'Service Days per Month'!DN$7)</f>
        <v>583.75</v>
      </c>
      <c r="DO34" s="18">
        <f>'Total Sunday-Holiday Boardings'!DO34/('Service Days per Month'!DO$6+'Service Days per Month'!DO$7)</f>
        <v>561.83333333333337</v>
      </c>
      <c r="DP34" s="18">
        <f>'Total Sunday-Holiday Boardings'!DP34/('Service Days per Month'!DP$6+'Service Days per Month'!DP$7)</f>
        <v>607.25</v>
      </c>
      <c r="DQ34" s="18">
        <f>'Total Sunday-Holiday Boardings'!DQ34/('Service Days per Month'!DQ$6+'Service Days per Month'!DQ$7)</f>
        <v>534.6</v>
      </c>
      <c r="DR34" s="18">
        <f>'Total Sunday-Holiday Boardings'!DR34/('Service Days per Month'!DR$6+'Service Days per Month'!DR$7)</f>
        <v>526.5</v>
      </c>
      <c r="DS34" s="18">
        <f>'Total Sunday-Holiday Boardings'!DS34/('Service Days per Month'!DS$6+'Service Days per Month'!DS$7)</f>
        <v>545.20000000000005</v>
      </c>
      <c r="DT34" s="18">
        <f>'Total Sunday-Holiday Boardings'!DT34/('Service Days per Month'!DT$6+'Service Days per Month'!DT$7)</f>
        <v>554.75</v>
      </c>
      <c r="DU34" s="18">
        <f>'Total Sunday-Holiday Boardings'!DU34/('Service Days per Month'!DU$6+'Service Days per Month'!DU$7)</f>
        <v>643</v>
      </c>
      <c r="DV34" s="18">
        <f>'Total Sunday-Holiday Boardings'!DV34/('Service Days per Month'!DV$6+'Service Days per Month'!DV$7)</f>
        <v>130.5</v>
      </c>
      <c r="DW34" s="18">
        <f>'Total Sunday-Holiday Boardings'!DW34/('Service Days per Month'!DW$6+'Service Days per Month'!DW$7)</f>
        <v>511.6</v>
      </c>
      <c r="DX34" s="18">
        <f>'Total Sunday-Holiday Boardings'!DX34/('Service Days per Month'!DX$6+'Service Days per Month'!DX$7)</f>
        <v>500.6</v>
      </c>
      <c r="DY34" s="17">
        <f>'Total Sunday-Holiday Boardings'!DY34/('Service Days per Month'!DY$6+'Service Days per Month'!DY$7)</f>
        <v>565.6</v>
      </c>
      <c r="DZ34" s="18">
        <f>'Total Sunday-Holiday Boardings'!DZ34/('Service Days per Month'!DZ$6+'Service Days per Month'!DZ$7)</f>
        <v>464</v>
      </c>
      <c r="EA34" s="18">
        <f>'Total Sunday-Holiday Boardings'!EA34/('Service Days per Month'!EA$6+'Service Days per Month'!EA$7)</f>
        <v>505</v>
      </c>
      <c r="EB34" s="18">
        <f>'Total Sunday-Holiday Boardings'!EB34/('Service Days per Month'!EB$6+'Service Days per Month'!EB$7)</f>
        <v>611</v>
      </c>
      <c r="EC34" s="18">
        <f>'Total Sunday-Holiday Boardings'!EC34/('Service Days per Month'!EC$6+'Service Days per Month'!EC$7)</f>
        <v>603.6</v>
      </c>
      <c r="ED34" s="18">
        <f>'Total Sunday-Holiday Boardings'!ED34/('Service Days per Month'!ED$6+'Service Days per Month'!ED$7)</f>
        <v>482.83333333333331</v>
      </c>
      <c r="EE34" s="18">
        <f>'Total Sunday-Holiday Boardings'!EE34/('Service Days per Month'!EE$6+'Service Days per Month'!EE$7)</f>
        <v>636.25</v>
      </c>
      <c r="EF34" s="18">
        <f>'Total Sunday-Holiday Boardings'!EF34/('Service Days per Month'!EF$6+'Service Days per Month'!EF$7)</f>
        <v>591</v>
      </c>
      <c r="EG34" s="18">
        <f>'Total Sunday-Holiday Boardings'!EG34/('Service Days per Month'!EG$6+'Service Days per Month'!EG$7)</f>
        <v>567</v>
      </c>
      <c r="EH34" s="18">
        <f>'Total Sunday-Holiday Boardings'!EH34/('Service Days per Month'!EH$6+'Service Days per Month'!EH$7)</f>
        <v>342.5</v>
      </c>
      <c r="EI34" s="18">
        <f>'Total Sunday-Holiday Boardings'!EI34/('Service Days per Month'!EI$6+'Service Days per Month'!EI$7)</f>
        <v>370.33333333333331</v>
      </c>
      <c r="EJ34" s="18">
        <f>'Total Sunday-Holiday Boardings'!EJ34/('Service Days per Month'!EJ$6+'Service Days per Month'!EJ$7)</f>
        <v>300</v>
      </c>
      <c r="EK34" s="17">
        <f>'Total Sunday-Holiday Boardings'!EK34/('Service Days per Month'!EK$6+'Service Days per Month'!EK$7)</f>
        <v>306.39999999999998</v>
      </c>
      <c r="EL34" s="18">
        <f>'Total Sunday-Holiday Boardings'!EL34/('Service Days per Month'!EL$6+'Service Days per Month'!EL$7)</f>
        <v>351.6</v>
      </c>
      <c r="EM34" s="18">
        <f>'Total Sunday-Holiday Boardings'!EM34/('Service Days per Month'!EM$6+'Service Days per Month'!EM$7)</f>
        <v>340</v>
      </c>
      <c r="EN34" s="18">
        <f>'Total Sunday-Holiday Boardings'!EN34/('Service Days per Month'!EN$6+'Service Days per Month'!EN$7)</f>
        <v>322.25</v>
      </c>
      <c r="EO34" s="18">
        <f>'Total Sunday-Holiday Boardings'!EO34/('Service Days per Month'!EO$6+'Service Days per Month'!EO$7)</f>
        <v>204.16666666666666</v>
      </c>
      <c r="EP34" s="18">
        <f>'Total Sunday-Holiday Boardings'!EP34/('Service Days per Month'!EP$6+'Service Days per Month'!EP$7)</f>
        <v>229.8</v>
      </c>
      <c r="EQ34" s="18">
        <f>'Total Sunday-Holiday Boardings'!EQ34/('Service Days per Month'!EQ$6+'Service Days per Month'!EQ$7)</f>
        <v>162.6</v>
      </c>
      <c r="ER34" s="18">
        <f>'Total Sunday-Holiday Boardings'!ER34/('Service Days per Month'!ER$6+'Service Days per Month'!ER$7)</f>
        <v>317.75</v>
      </c>
      <c r="ES34" s="18">
        <f>'Total Sunday-Holiday Boardings'!ES34/('Service Days per Month'!ES$6+'Service Days per Month'!ES$7)</f>
        <v>339</v>
      </c>
      <c r="ET34" s="18">
        <f>'Total Sunday-Holiday Boardings'!ET34/('Service Days per Month'!ET$6+'Service Days per Month'!ET$7)</f>
        <v>342.5</v>
      </c>
      <c r="EU34" s="18">
        <f>'Total Sunday-Holiday Boardings'!EU34/('Service Days per Month'!EU$6+'Service Days per Month'!EU$7)</f>
        <v>271</v>
      </c>
      <c r="EV34" s="18">
        <f>'Total Sunday-Holiday Boardings'!EV34/('Service Days per Month'!EV$6+'Service Days per Month'!EV$7)</f>
        <v>346.5</v>
      </c>
      <c r="EW34" s="17">
        <f>'Total Sunday-Holiday Boardings'!EW34/('Service Days per Month'!EW$6+'Service Days per Month'!EW$7)</f>
        <v>302</v>
      </c>
      <c r="EX34" s="18">
        <f>'Total Sunday-Holiday Boardings'!EX34/('Service Days per Month'!EX$6+'Service Days per Month'!EX$7)</f>
        <v>399.6</v>
      </c>
      <c r="EY34" s="18">
        <f>'Total Sunday-Holiday Boardings'!EY34/('Service Days per Month'!EY$6+'Service Days per Month'!EY$7)</f>
        <v>304.60000000000002</v>
      </c>
      <c r="EZ34" s="18">
        <f>'Total Sunday-Holiday Boardings'!EZ34/('Service Days per Month'!EZ$6+'Service Days per Month'!EZ$7)</f>
        <v>323</v>
      </c>
      <c r="FA34" s="18">
        <f>'Total Sunday-Holiday Boardings'!FA34/('Service Days per Month'!FA$6+'Service Days per Month'!FA$7)</f>
        <v>305.2</v>
      </c>
      <c r="FB34" s="18">
        <f>'Total Sunday-Holiday Boardings'!FB34/('Service Days per Month'!FB$6+'Service Days per Month'!FB$7)</f>
        <v>381.8</v>
      </c>
      <c r="FC34" s="18">
        <f>'Total Sunday-Holiday Boardings'!FC34/('Service Days per Month'!FC$6+'Service Days per Month'!FC$7)</f>
        <v>310.8</v>
      </c>
      <c r="FD34" s="18">
        <f>'Total Sunday-Holiday Boardings'!FD34/('Service Days per Month'!FD$6+'Service Days per Month'!FD$7)</f>
        <v>374.75</v>
      </c>
      <c r="FE34" s="18">
        <f>'Total Sunday-Holiday Boardings'!FE34/('Service Days per Month'!FE$6+'Service Days per Month'!FE$7)</f>
        <v>428.75</v>
      </c>
      <c r="FF34" s="18">
        <f>'Total Sunday-Holiday Boardings'!FF34/('Service Days per Month'!FF$6+'Service Days per Month'!FF$7)</f>
        <v>400.5</v>
      </c>
      <c r="FG34" s="18">
        <f>'Total Sunday-Holiday Boardings'!FG34/('Service Days per Month'!FG$6+'Service Days per Month'!FG$7)</f>
        <v>344.16666666666669</v>
      </c>
      <c r="FH34" s="18">
        <f>'Total Sunday-Holiday Boardings'!FH34/('Service Days per Month'!FH$6+'Service Days per Month'!FH$7)</f>
        <v>303</v>
      </c>
      <c r="FI34" s="17">
        <v>328.16666666666669</v>
      </c>
      <c r="FJ34" s="18">
        <v>301.25</v>
      </c>
      <c r="FK34" s="18">
        <v>314</v>
      </c>
      <c r="FL34" s="18">
        <v>334</v>
      </c>
      <c r="FM34" s="18">
        <v>345.2</v>
      </c>
      <c r="FN34" s="18">
        <v>333.2</v>
      </c>
      <c r="FO34" s="18">
        <v>423.2</v>
      </c>
      <c r="FP34" s="18">
        <v>373</v>
      </c>
      <c r="FQ34" s="18">
        <v>450.75</v>
      </c>
      <c r="FR34" s="18">
        <f>'Total Sunday-Holiday Boardings'!FR34/5</f>
        <v>412.8</v>
      </c>
      <c r="FS34" s="18">
        <f>'Total Sunday-Holiday Boardings'!FS34/5</f>
        <v>428.6</v>
      </c>
      <c r="FT34" s="21">
        <f>'Total Sunday-Holiday Boardings'!FT34/4</f>
        <v>416</v>
      </c>
      <c r="FU34" s="18">
        <f>'Total Sunday-Holiday Boardings'!FU34/5</f>
        <v>471.2</v>
      </c>
      <c r="FV34" s="18">
        <f>'Total Sunday-Holiday Boardings'!FV34/4</f>
        <v>534.75</v>
      </c>
      <c r="FW34" s="18">
        <f>'Total Sunday-Holiday Boardings'!FW34/4</f>
        <v>502</v>
      </c>
      <c r="FX34" s="18">
        <f>'Total Sunday-Holiday Boardings'!FX34/5</f>
        <v>430.6</v>
      </c>
      <c r="FY34" s="18">
        <f>'Total Sunday-Holiday Boardings'!FY34/4</f>
        <v>471.75</v>
      </c>
      <c r="FZ34" s="18">
        <f>'Total Sunday-Holiday Boardings'!FZ34/5</f>
        <v>503</v>
      </c>
      <c r="GA34" s="18">
        <f>'Total Sunday-Holiday Boardings'!GA34/4</f>
        <v>624.75</v>
      </c>
      <c r="GB34" s="18">
        <f>'Total Sunday-Holiday Boardings'!GB34/4</f>
        <v>474</v>
      </c>
      <c r="GC34" s="18">
        <f>'Total Sunday-Holiday Boardings'!GC34/5</f>
        <v>444.2</v>
      </c>
      <c r="GD34" s="18">
        <f>'Total Sunday-Holiday Boardings'!GD34/4</f>
        <v>424.75</v>
      </c>
      <c r="GE34" s="18">
        <f>'Total Sunday-Holiday Boardings'!GE34/4</f>
        <v>521.25</v>
      </c>
      <c r="GF34" s="18">
        <f>'Total Sunday-Holiday Boardings'!GF34/5</f>
        <v>414.8</v>
      </c>
      <c r="GG34" s="18">
        <f>'Total Sunday-Holiday Boardings'!GG34/4</f>
        <v>482.25</v>
      </c>
      <c r="GH34" s="18">
        <f>'Total Sunday-Holiday Boardings'!GH34/4</f>
        <v>367</v>
      </c>
      <c r="GI34" s="18">
        <f>'Total Sunday-Holiday Boardings'!GI34/5</f>
        <v>441.2</v>
      </c>
      <c r="GJ34" s="18">
        <f>'Total Sunday-Holiday Boardings'!GJ34/4</f>
        <v>370</v>
      </c>
      <c r="GK34" s="18">
        <f>'Total Sunday-Holiday Boardings'!GK34/4</f>
        <v>432.25</v>
      </c>
      <c r="GL34" s="18">
        <f>'Total Sunday-Holiday Boardings'!GL34/5</f>
        <v>359.8</v>
      </c>
    </row>
    <row r="35" spans="1:194" x14ac:dyDescent="0.3">
      <c r="A35" s="3" t="s">
        <v>17</v>
      </c>
      <c r="B35" s="17"/>
      <c r="C35" s="18">
        <f>'Total Sunday-Holiday Boardings'!C35/SUM('Service Days per Month'!C$6:C$7)</f>
        <v>369.2</v>
      </c>
      <c r="D35" s="18">
        <f>'Total Sunday-Holiday Boardings'!D35/SUM('Service Days per Month'!D$6:D$7)</f>
        <v>178</v>
      </c>
      <c r="E35" s="18">
        <f>'Total Sunday-Holiday Boardings'!E35/SUM('Service Days per Month'!E$6:E$7)</f>
        <v>160.6</v>
      </c>
      <c r="F35" s="18">
        <f>'Total Sunday-Holiday Boardings'!F35/SUM('Service Days per Month'!F$6:F$7)</f>
        <v>115.8</v>
      </c>
      <c r="G35" s="18">
        <f>'Total Sunday-Holiday Boardings'!G35/SUM('Service Days per Month'!G$6:G$7)</f>
        <v>118.33333333333333</v>
      </c>
      <c r="H35" s="19">
        <f>'Total Sunday-Holiday Boardings'!H35/SUM('Service Days per Month'!H$6:H$7)</f>
        <v>85.25</v>
      </c>
      <c r="I35" s="17">
        <f>'Total Sunday-Holiday Boardings'!I35/SUM('Service Days per Month'!I$6:I$7)</f>
        <v>272.2</v>
      </c>
      <c r="J35" s="18">
        <f>'Total Sunday-Holiday Boardings'!J35/SUM('Service Days per Month'!J$6:J$7)</f>
        <v>96.4</v>
      </c>
      <c r="K35" s="18">
        <f>'Total Sunday-Holiday Boardings'!K35/SUM('Service Days per Month'!K$6:K$7)</f>
        <v>115.8</v>
      </c>
      <c r="L35" s="18">
        <f>'Total Sunday-Holiday Boardings'!L35/SUM('Service Days per Month'!L$6:L$7)</f>
        <v>117.75</v>
      </c>
      <c r="M35" s="18">
        <f>'Total Sunday-Holiday Boardings'!M35/SUM('Service Days per Month'!M$6:M$7)</f>
        <v>172</v>
      </c>
      <c r="N35" s="18">
        <f>'Total Sunday-Holiday Boardings'!N35/SUM('Service Days per Month'!N$6:N$7)</f>
        <v>87.2</v>
      </c>
      <c r="O35" s="79">
        <f>'Total Sunday-Holiday Boardings'!O35/SUM('Service Days per Month'!O$6:O$7)</f>
        <v>144.66666666666666</v>
      </c>
      <c r="P35" s="79">
        <f>'Total Sunday-Holiday Boardings'!P35/SUM('Service Days per Month'!P$6:P$7)</f>
        <v>197.75</v>
      </c>
      <c r="Q35" s="79">
        <f>'Total Sunday-Holiday Boardings'!Q35/SUM('Service Days per Month'!Q$6:Q$7)</f>
        <v>168</v>
      </c>
      <c r="R35" s="79">
        <f>'Total Sunday-Holiday Boardings'!R35/SUM('Service Days per Month'!R$6:R$7)</f>
        <v>164</v>
      </c>
      <c r="S35" s="79">
        <f>'Total Sunday-Holiday Boardings'!S35/SUM('Service Days per Month'!S$6:S$7)</f>
        <v>115.33333333333333</v>
      </c>
      <c r="T35" s="80">
        <f>'Total Sunday-Holiday Boardings'!T35/SUM('Service Days per Month'!T$6:T$7)</f>
        <v>87</v>
      </c>
      <c r="U35" s="81">
        <f>'Total Sunday-Holiday Boardings'!U35/SUM('Service Days per Month'!U$6:U$7)</f>
        <v>223.4</v>
      </c>
      <c r="V35" s="79">
        <f>'Total Sunday-Holiday Boardings'!V35/SUM('Service Days per Month'!V$6:V$7)</f>
        <v>107.8</v>
      </c>
      <c r="W35" s="79">
        <f>'Total Sunday-Holiday Boardings'!W35/SUM('Service Days per Month'!W$6:W$7)</f>
        <v>128</v>
      </c>
      <c r="X35" s="79">
        <f>'Total Sunday-Holiday Boardings'!X35/SUM('Service Days per Month'!X$6:X$7)</f>
        <v>173</v>
      </c>
      <c r="Y35" s="79">
        <f>'Total Sunday-Holiday Boardings'!Y35/SUM('Service Days per Month'!Y$6:Y$7)</f>
        <v>148</v>
      </c>
      <c r="Z35" s="79">
        <f>'Total Sunday-Holiday Boardings'!Z35/SUM('Service Days per Month'!Z$6:Z$7)</f>
        <v>70</v>
      </c>
      <c r="AA35" s="18">
        <f>'Total Sunday-Holiday Boardings'!AA35/SUM('Service Days per Month'!AA$6:AA$7)</f>
        <v>164.16666666666666</v>
      </c>
      <c r="AB35" s="18">
        <f>'Total Sunday-Holiday Boardings'!AB35/SUM('Service Days per Month'!AB$6:AB$7)</f>
        <v>154.19999999999999</v>
      </c>
      <c r="AC35" s="18">
        <f>'Total Sunday-Holiday Boardings'!AC35/SUM('Service Days per Month'!AC$6:AC$7)</f>
        <v>208.5</v>
      </c>
      <c r="AD35" s="18">
        <f>'Total Sunday-Holiday Boardings'!AD35/SUM('Service Days per Month'!AD$6:AD$7)</f>
        <v>139.5</v>
      </c>
      <c r="AE35" s="18">
        <f>'Total Sunday-Holiday Boardings'!AE35/SUM('Service Days per Month'!AE$6:AE$7)</f>
        <v>120.66666666666667</v>
      </c>
      <c r="AF35" s="19">
        <f>'Total Sunday-Holiday Boardings'!AF35/SUM('Service Days per Month'!AF$6:AF$7)</f>
        <v>93.5</v>
      </c>
      <c r="AG35" s="17">
        <f>'Total Sunday-Holiday Boardings'!AG35/SUM('Service Days per Month'!AG$6:AG$7)</f>
        <v>272.5</v>
      </c>
      <c r="AH35" s="18">
        <f>'Total Sunday-Holiday Boardings'!AH35/SUM('Service Days per Month'!AH$6:AH$7)</f>
        <v>117</v>
      </c>
      <c r="AI35" s="18">
        <f>'Total Sunday-Holiday Boardings'!AI35/SUM('Service Days per Month'!AI$6:AI$7)</f>
        <v>135.19999999999999</v>
      </c>
      <c r="AJ35" s="18">
        <f>'Total Sunday-Holiday Boardings'!AJ35/SUM('Service Days per Month'!AJ$6:AJ$7)</f>
        <v>162.4</v>
      </c>
      <c r="AK35" s="18">
        <f>'Total Sunday-Holiday Boardings'!AK35/SUM('Service Days per Month'!AK$6:AK$7)</f>
        <v>172</v>
      </c>
      <c r="AL35" s="18">
        <f>'Total Sunday-Holiday Boardings'!AL35/SUM('Service Days per Month'!AL$6:AL$7)</f>
        <v>105.16666666666667</v>
      </c>
      <c r="AM35" s="18">
        <f>'Total Sunday-Holiday Boardings'!AM35/SUM('Service Days per Month'!AM$6:AM$7)</f>
        <v>214.28571428571428</v>
      </c>
      <c r="AN35" s="18">
        <f>'Total Sunday-Holiday Boardings'!AN35/SUM('Service Days per Month'!AN$6:AN$7)</f>
        <v>187.6</v>
      </c>
      <c r="AO35" s="18">
        <f>'Total Sunday-Holiday Boardings'!AO35/SUM('Service Days per Month'!AO$6:AO$7)</f>
        <v>148</v>
      </c>
      <c r="AP35" s="18">
        <f>'Total Sunday-Holiday Boardings'!AP35/SUM('Service Days per Month'!AP$6:AP$7)</f>
        <v>166.8</v>
      </c>
      <c r="AQ35" s="18">
        <f>'Total Sunday-Holiday Boardings'!AQ35/SUM('Service Days per Month'!AQ$6:AQ$7)</f>
        <v>134.6</v>
      </c>
      <c r="AR35" s="19">
        <f>'Total Sunday-Holiday Boardings'!AR35/SUM('Service Days per Month'!AR$6:AR$7)</f>
        <v>122</v>
      </c>
      <c r="AS35" s="17">
        <f>'Total Sunday-Holiday Boardings'!AS35/SUM('Service Days per Month'!AS$6:AS$7)</f>
        <v>287.66666666666669</v>
      </c>
      <c r="AT35" s="18">
        <f>'Total Sunday-Holiday Boardings'!AT35/SUM('Service Days per Month'!AT$6:AT$7)</f>
        <v>148.75</v>
      </c>
      <c r="AU35" s="18">
        <f>'Total Sunday-Holiday Boardings'!AU35/SUM('Service Days per Month'!AU$6:AU$7)</f>
        <v>167.16666666666666</v>
      </c>
      <c r="AV35" s="18">
        <f>'Total Sunday-Holiday Boardings'!AV35/SUM('Service Days per Month'!AV$6:AV$7)</f>
        <v>189.75</v>
      </c>
      <c r="AW35" s="18">
        <f>'Total Sunday-Holiday Boardings'!AW35/SUM('Service Days per Month'!AW$6:AW$7)</f>
        <v>145.85714285714286</v>
      </c>
      <c r="AX35" s="18">
        <f>'Total Sunday-Holiday Boardings'!AX35/SUM('Service Days per Month'!AX$6:AX$7)</f>
        <v>127.85714285714286</v>
      </c>
      <c r="AY35" s="18">
        <f>'Total Sunday-Holiday Boardings'!AY35/SUM('Service Days per Month'!AY$6:AY$7)</f>
        <v>170.83333333333334</v>
      </c>
      <c r="AZ35" s="18">
        <f>'Total Sunday-Holiday Boardings'!AZ35/SUM('Service Days per Month'!AZ$6:AZ$7)</f>
        <v>186.6</v>
      </c>
      <c r="BA35" s="18">
        <f>'Total Sunday-Holiday Boardings'!BA35/SUM('Service Days per Month'!BA$6:BA$7)</f>
        <v>204.4</v>
      </c>
      <c r="BB35" s="18">
        <f>'Total Sunday-Holiday Boardings'!BB35/SUM('Service Days per Month'!BB$6:BB$7)</f>
        <v>221</v>
      </c>
      <c r="BC35" s="18">
        <f>'Total Sunday-Holiday Boardings'!BC35/SUM('Service Days per Month'!BC$6:BC$7)</f>
        <v>174.6</v>
      </c>
      <c r="BD35" s="19">
        <f>'Total Sunday-Holiday Boardings'!BD35/SUM('Service Days per Month'!BD$6:BD$7)</f>
        <v>127.8</v>
      </c>
      <c r="BE35" s="17">
        <f>'Total Sunday-Holiday Boardings'!BE35/SUM('Service Days per Month'!BE$6:BE$7)</f>
        <v>314.2</v>
      </c>
      <c r="BF35" s="18">
        <f>'Total Sunday-Holiday Boardings'!BF35/SUM('Service Days per Month'!BF$6:BF$7)</f>
        <v>123.75</v>
      </c>
      <c r="BG35" s="18">
        <f>'Total Sunday-Holiday Boardings'!BG35/SUM('Service Days per Month'!BG$6:BG$7)</f>
        <v>184.33333333333334</v>
      </c>
      <c r="BH35" s="18">
        <f>'Total Sunday-Holiday Boardings'!BH35/SUM('Service Days per Month'!BH$6:BH$7)</f>
        <v>207.75</v>
      </c>
      <c r="BI35" s="18">
        <f>'Total Sunday-Holiday Boardings'!BI35/SUM('Service Days per Month'!BI$6:BI$7)</f>
        <v>158.08716823263151</v>
      </c>
      <c r="BJ35" s="18">
        <f>'Total Sunday-Holiday Boardings'!BJ35/SUM('Service Days per Month'!BJ$6:BJ$7)</f>
        <v>137.14285714285714</v>
      </c>
      <c r="BK35" s="18">
        <f>'Total Sunday-Holiday Boardings'!BK35/SUM('Service Days per Month'!BK$6:BK$7)</f>
        <v>190.83333333333334</v>
      </c>
      <c r="BL35" s="18">
        <f>'Total Sunday-Holiday Boardings'!BL35/SUM('Service Days per Month'!BL$6:BL$7)</f>
        <v>228.2</v>
      </c>
      <c r="BM35" s="18">
        <f>'Total Sunday-Holiday Boardings'!BM35/SUM('Service Days per Month'!BM$6:BM$7)</f>
        <v>208.4</v>
      </c>
      <c r="BN35" s="18">
        <f>'Total Sunday-Holiday Boardings'!BN35/SUM('Service Days per Month'!BN$6:BN$7)</f>
        <v>213.75</v>
      </c>
      <c r="BO35" s="18">
        <f>'Total Sunday-Holiday Boardings'!BO35/SUM('Service Days per Month'!BO$6:BO$7)</f>
        <v>163.6</v>
      </c>
      <c r="BP35" s="19">
        <f>'Total Sunday-Holiday Boardings'!BP35/SUM('Service Days per Month'!BP$6:BP$7)</f>
        <v>167</v>
      </c>
      <c r="BQ35" s="17">
        <f>'Total Sunday-Holiday Boardings'!BQ35/SUM('Service Days per Month'!BQ$6:BQ$7)</f>
        <v>364.4</v>
      </c>
      <c r="BR35" s="18">
        <f>'Total Sunday-Holiday Boardings'!BR35/SUM('Service Days per Month'!BR$6:BR$7)</f>
        <v>187.6</v>
      </c>
      <c r="BS35" s="18">
        <f>'Total Sunday-Holiday Boardings'!BS35/SUM('Service Days per Month'!BS$6:BS$7)</f>
        <v>248.4</v>
      </c>
      <c r="BT35" s="18">
        <f>'Total Sunday-Holiday Boardings'!BT35/SUM('Service Days per Month'!BT$6:BT$7)</f>
        <v>241.25</v>
      </c>
      <c r="BU35" s="18">
        <f>'Total Sunday-Holiday Boardings'!BU35/SUM('Service Days per Month'!BU$6:BU$7)</f>
        <v>202.25</v>
      </c>
      <c r="BV35" s="18">
        <f>'Total Sunday-Holiday Boardings'!BV35/SUM('Service Days per Month'!BV$6:BV$7)</f>
        <v>153.16666666666666</v>
      </c>
      <c r="BW35" s="18">
        <f>'Total Sunday-Holiday Boardings'!BW35/SUM('Service Days per Month'!BW$6:BW$7)</f>
        <v>206.33333333333334</v>
      </c>
      <c r="BX35" s="18">
        <f>'Total Sunday-Holiday Boardings'!BX35/SUM('Service Days per Month'!BX$6:BX$7)</f>
        <v>227.6</v>
      </c>
      <c r="BY35" s="18">
        <f>'Total Sunday-Holiday Boardings'!BY35/SUM('Service Days per Month'!BY$6:BY$7)</f>
        <v>209.4</v>
      </c>
      <c r="BZ35" s="18">
        <f>'Total Sunday-Holiday Boardings'!BZ35/SUM('Service Days per Month'!BZ$6:BZ$7)</f>
        <v>195.25</v>
      </c>
      <c r="CA35" s="18">
        <f>'Total Sunday-Holiday Boardings'!CA35/SUM('Service Days per Month'!CA$6:CA$7)</f>
        <v>175.66666666666666</v>
      </c>
      <c r="CB35" s="19">
        <f>'Total Sunday-Holiday Boardings'!CB35/SUM('Service Days per Month'!CB$6:CB$7)</f>
        <v>187</v>
      </c>
      <c r="CC35" s="20">
        <f>'Total Sunday-Holiday Boardings'!CC35/SUM('Service Days per Month'!CC$6:CC$7)</f>
        <v>175.4</v>
      </c>
      <c r="CD35" s="18">
        <f>'Total Sunday-Holiday Boardings'!CD35/SUM('Service Days per Month'!CD$6:CD$7)</f>
        <v>155.6</v>
      </c>
      <c r="CE35" s="18">
        <f>'Total Sunday-Holiday Boardings'!CE35/SUM('Service Days per Month'!CE$6:CE$7)</f>
        <v>239.2</v>
      </c>
      <c r="CF35" s="18">
        <f>'Total Sunday-Holiday Boardings'!CF35/SUM('Service Days per Month'!CF$6:CF$7)</f>
        <v>236.5</v>
      </c>
      <c r="CG35" s="18">
        <f>'Total Sunday-Holiday Boardings'!CG35/SUM('Service Days per Month'!CG$6:CG$7)</f>
        <v>234</v>
      </c>
      <c r="CH35" s="18">
        <f>'Total Sunday-Holiday Boardings'!CH35/SUM('Service Days per Month'!CH$6:CH$7)</f>
        <v>195.33333333333334</v>
      </c>
      <c r="CI35" s="18">
        <f>'Total Sunday-Holiday Boardings'!CI35/SUM('Service Days per Month'!CI$6:CI$7)</f>
        <v>233.28571428571428</v>
      </c>
      <c r="CJ35" s="18">
        <f>'Total Sunday-Holiday Boardings'!CJ35/SUM('Service Days per Month'!CJ$6:CJ$7)</f>
        <v>226</v>
      </c>
      <c r="CK35" s="18">
        <f>'Total Sunday-Holiday Boardings'!CK35/SUM('Service Days per Month'!CK$6:CK$7)</f>
        <v>191.5</v>
      </c>
      <c r="CL35" s="18">
        <f>'Total Sunday-Holiday Boardings'!CL35/SUM('Service Days per Month'!CL$6:CL$7)</f>
        <v>234.5</v>
      </c>
      <c r="CM35" s="18">
        <f>'Total Sunday-Holiday Boardings'!CM35/SUM('Service Days per Month'!CM$6:CM$7)</f>
        <v>169.83333333333334</v>
      </c>
      <c r="CN35" s="21">
        <f>'Total Sunday-Holiday Boardings'!CN35/SUM('Service Days per Month'!CN$6:CN$7)</f>
        <v>139.5</v>
      </c>
      <c r="CO35" s="17">
        <f>'Total Sunday-Holiday Boardings'!CO35/SUM('Service Days per Month'!CO$6:CO$7)</f>
        <v>234.5</v>
      </c>
      <c r="CP35" s="18">
        <f>'Total Sunday-Holiday Boardings'!CP35/SUM('Service Days per Month'!CP$6:CP$7)</f>
        <v>154.25</v>
      </c>
      <c r="CQ35" s="18">
        <f>'Total Sunday-Holiday Boardings'!CQ35/SUM('Service Days per Month'!CQ$6:CQ$7)</f>
        <v>149.19999999999999</v>
      </c>
      <c r="CR35" s="18">
        <f>'Total Sunday-Holiday Boardings'!CR35/SUM('Service Days per Month'!CR$6:CR$7)</f>
        <v>183</v>
      </c>
      <c r="CS35" s="18">
        <f>'Total Sunday-Holiday Boardings'!CS35/SUM('Service Days per Month'!CS$6:CS$7)</f>
        <v>206.57142857142858</v>
      </c>
      <c r="CT35" s="18">
        <f>'Total Sunday-Holiday Boardings'!CT35/SUM('Service Days per Month'!CT$6:CT$7)</f>
        <v>172.33333333333334</v>
      </c>
      <c r="CU35" s="18">
        <f>'Total Sunday-Holiday Boardings'!CU35/SUM('Service Days per Month'!CU$6:CU$7)</f>
        <v>188.85714285714286</v>
      </c>
      <c r="CV35" s="18">
        <f>'Total Sunday-Holiday Boardings'!CV35/SUM('Service Days per Month'!CV$6:CV$7)</f>
        <v>187</v>
      </c>
      <c r="CW35" s="18">
        <f>'Total Sunday-Holiday Boardings'!CW35/SUM('Service Days per Month'!CW$6:CW$7)</f>
        <v>178.25</v>
      </c>
      <c r="CX35" s="18">
        <f>'Total Sunday-Holiday Boardings'!CX35/SUM('Service Days per Month'!CX$6:CX$7)</f>
        <v>250.2</v>
      </c>
      <c r="CY35" s="18">
        <f>'Total Sunday-Holiday Boardings'!CY35/SUM('Service Days per Month'!CY$6:CY$7)</f>
        <v>173.8</v>
      </c>
      <c r="CZ35" s="19">
        <f>'Total Sunday-Holiday Boardings'!CZ35/SUM('Service Days per Month'!CZ$6:CZ$7)</f>
        <v>174.25</v>
      </c>
      <c r="DA35" s="17">
        <f>'Total Sunday-Holiday Boardings'!DA35/SUM('Service Days per Month'!DA$6:DA$7)</f>
        <v>267.66666666666669</v>
      </c>
      <c r="DB35" s="18">
        <f>'Total Sunday-Holiday Boardings'!DB35/SUM('Service Days per Month'!DB$6:DB$7)</f>
        <v>190</v>
      </c>
      <c r="DC35" s="18">
        <f>'Total Sunday-Holiday Boardings'!DC35/SUM('Service Days per Month'!DC$6:DC$7)</f>
        <v>154.6</v>
      </c>
      <c r="DD35" s="18">
        <f>'Total Sunday-Holiday Boardings'!DD35/SUM('Service Days per Month'!DD$6:DD$7)</f>
        <v>177.4</v>
      </c>
      <c r="DE35" s="18">
        <f>'Total Sunday-Holiday Boardings'!DE35/SUM('Service Days per Month'!DE$6:DE$7)</f>
        <v>236.57142857142858</v>
      </c>
      <c r="DF35" s="18">
        <f>'Total Sunday-Holiday Boardings'!DF35/SUM('Service Days per Month'!DF$6:DF$7)</f>
        <v>194.16666666666666</v>
      </c>
      <c r="DG35" s="18">
        <f>'Total Sunday-Holiday Boardings'!DG35/SUM('Service Days per Month'!DG$6:DG$7)</f>
        <v>202.66666666666666</v>
      </c>
      <c r="DH35" s="18">
        <f>'Total Sunday-Holiday Boardings'!DH35/SUM('Service Days per Month'!DH$6:DH$7)</f>
        <v>197.4</v>
      </c>
      <c r="DI35" s="18">
        <f>'Total Sunday-Holiday Boardings'!DI35/SUM('Service Days per Month'!DI$6:DI$7)</f>
        <v>204</v>
      </c>
      <c r="DJ35" s="18">
        <f>'Total Sunday-Holiday Boardings'!DJ35/SUM('Service Days per Month'!DJ$6:DJ$7)</f>
        <v>179.2</v>
      </c>
      <c r="DK35" s="18">
        <f>'Total Sunday-Holiday Boardings'!DK35/SUM('Service Days per Month'!DK$6:DK$7)</f>
        <v>177.8</v>
      </c>
      <c r="DL35" s="19">
        <f>'Total Sunday-Holiday Boardings'!DL35/SUM('Service Days per Month'!DL$6:DL$7)</f>
        <v>143</v>
      </c>
      <c r="DM35" s="17">
        <f>'Total Sunday-Holiday Boardings'!DM35/('Service Days per Month'!DM$6+'Service Days per Month'!DM$7)</f>
        <v>288.16666666666669</v>
      </c>
      <c r="DN35" s="18">
        <f>'Total Sunday-Holiday Boardings'!DN35/('Service Days per Month'!DN$6+'Service Days per Month'!DN$7)</f>
        <v>159.75</v>
      </c>
      <c r="DO35" s="18">
        <f>'Total Sunday-Holiday Boardings'!DO35/('Service Days per Month'!DO$6+'Service Days per Month'!DO$7)</f>
        <v>163.66666666666666</v>
      </c>
      <c r="DP35" s="18">
        <f>'Total Sunday-Holiday Boardings'!DP35/('Service Days per Month'!DP$6+'Service Days per Month'!DP$7)</f>
        <v>168</v>
      </c>
      <c r="DQ35" s="18">
        <f>'Total Sunday-Holiday Boardings'!DQ35/('Service Days per Month'!DQ$6+'Service Days per Month'!DQ$7)</f>
        <v>141.80000000000001</v>
      </c>
      <c r="DR35" s="18">
        <f>'Total Sunday-Holiday Boardings'!DR35/('Service Days per Month'!DR$6+'Service Days per Month'!DR$7)</f>
        <v>131</v>
      </c>
      <c r="DS35" s="18">
        <f>'Total Sunday-Holiday Boardings'!DS35/('Service Days per Month'!DS$6+'Service Days per Month'!DS$7)</f>
        <v>154.6</v>
      </c>
      <c r="DT35" s="18">
        <f>'Total Sunday-Holiday Boardings'!DT35/('Service Days per Month'!DT$6+'Service Days per Month'!DT$7)</f>
        <v>137.5</v>
      </c>
      <c r="DU35" s="18">
        <f>'Total Sunday-Holiday Boardings'!DU35/('Service Days per Month'!DU$6+'Service Days per Month'!DU$7)</f>
        <v>185.2</v>
      </c>
      <c r="DV35" s="18">
        <f>'Total Sunday-Holiday Boardings'!DV35/('Service Days per Month'!DV$6+'Service Days per Month'!DV$7)</f>
        <v>133.75</v>
      </c>
      <c r="DW35" s="18">
        <f>'Total Sunday-Holiday Boardings'!DW35/('Service Days per Month'!DW$6+'Service Days per Month'!DW$7)</f>
        <v>163.80000000000001</v>
      </c>
      <c r="DX35" s="18">
        <f>'Total Sunday-Holiday Boardings'!DX35/('Service Days per Month'!DX$6+'Service Days per Month'!DX$7)</f>
        <v>127.2</v>
      </c>
      <c r="DY35" s="17">
        <f>'Total Sunday-Holiday Boardings'!DY35/('Service Days per Month'!DY$6+'Service Days per Month'!DY$7)</f>
        <v>197</v>
      </c>
      <c r="DZ35" s="18">
        <f>'Total Sunday-Holiday Boardings'!DZ35/('Service Days per Month'!DZ$6+'Service Days per Month'!DZ$7)</f>
        <v>136.25</v>
      </c>
      <c r="EA35" s="18">
        <f>'Total Sunday-Holiday Boardings'!EA35/('Service Days per Month'!EA$6+'Service Days per Month'!EA$7)</f>
        <v>178.5</v>
      </c>
      <c r="EB35" s="18">
        <f>'Total Sunday-Holiday Boardings'!EB35/('Service Days per Month'!EB$6+'Service Days per Month'!EB$7)</f>
        <v>221.5</v>
      </c>
      <c r="EC35" s="18">
        <f>'Total Sunday-Holiday Boardings'!EC35/('Service Days per Month'!EC$6+'Service Days per Month'!EC$7)</f>
        <v>204.2</v>
      </c>
      <c r="ED35" s="18">
        <f>'Total Sunday-Holiday Boardings'!ED35/('Service Days per Month'!ED$6+'Service Days per Month'!ED$7)</f>
        <v>156.33333333333334</v>
      </c>
      <c r="EE35" s="18">
        <f>'Total Sunday-Holiday Boardings'!EE35/('Service Days per Month'!EE$6+'Service Days per Month'!EE$7)</f>
        <v>242.75</v>
      </c>
      <c r="EF35" s="18">
        <f>'Total Sunday-Holiday Boardings'!EF35/('Service Days per Month'!EF$6+'Service Days per Month'!EF$7)</f>
        <v>192.25</v>
      </c>
      <c r="EG35" s="18">
        <f>'Total Sunday-Holiday Boardings'!EG35/('Service Days per Month'!EG$6+'Service Days per Month'!EG$7)</f>
        <v>183.2</v>
      </c>
      <c r="EH35" s="18">
        <f>'Total Sunday-Holiday Boardings'!EH35/('Service Days per Month'!EH$6+'Service Days per Month'!EH$7)</f>
        <v>124.75</v>
      </c>
      <c r="EI35" s="18">
        <f>'Total Sunday-Holiday Boardings'!EI35/('Service Days per Month'!EI$6+'Service Days per Month'!EI$7)</f>
        <v>138.83333333333334</v>
      </c>
      <c r="EJ35" s="18">
        <f>'Total Sunday-Holiday Boardings'!EJ35/('Service Days per Month'!EJ$6+'Service Days per Month'!EJ$7)</f>
        <v>110.75</v>
      </c>
      <c r="EK35" s="17">
        <f>'Total Sunday-Holiday Boardings'!EK35/('Service Days per Month'!EK$6+'Service Days per Month'!EK$7)</f>
        <v>117.2</v>
      </c>
      <c r="EL35" s="18">
        <f>'Total Sunday-Holiday Boardings'!EL35/('Service Days per Month'!EL$6+'Service Days per Month'!EL$7)</f>
        <v>114.8</v>
      </c>
      <c r="EM35" s="18">
        <f>'Total Sunday-Holiday Boardings'!EM35/('Service Days per Month'!EM$6+'Service Days per Month'!EM$7)</f>
        <v>124.2</v>
      </c>
      <c r="EN35" s="18">
        <f>'Total Sunday-Holiday Boardings'!EN35/('Service Days per Month'!EN$6+'Service Days per Month'!EN$7)</f>
        <v>134.25</v>
      </c>
      <c r="EO35" s="18">
        <f>'Total Sunday-Holiday Boardings'!EO35/('Service Days per Month'!EO$6+'Service Days per Month'!EO$7)</f>
        <v>75.166666666666671</v>
      </c>
      <c r="EP35" s="18">
        <f>'Total Sunday-Holiday Boardings'!EP35/('Service Days per Month'!EP$6+'Service Days per Month'!EP$7)</f>
        <v>103.4</v>
      </c>
      <c r="EQ35" s="18">
        <f>'Total Sunday-Holiday Boardings'!EQ35/('Service Days per Month'!EQ$6+'Service Days per Month'!EQ$7)</f>
        <v>62</v>
      </c>
      <c r="ER35" s="18">
        <f>'Total Sunday-Holiday Boardings'!ER35/('Service Days per Month'!ER$6+'Service Days per Month'!ER$7)</f>
        <v>124.25</v>
      </c>
      <c r="ES35" s="18">
        <f>'Total Sunday-Holiday Boardings'!ES35/('Service Days per Month'!ES$6+'Service Days per Month'!ES$7)</f>
        <v>121</v>
      </c>
      <c r="ET35" s="18">
        <f>'Total Sunday-Holiday Boardings'!ET35/('Service Days per Month'!ET$6+'Service Days per Month'!ET$7)</f>
        <v>124.75</v>
      </c>
      <c r="EU35" s="18">
        <f>'Total Sunday-Holiday Boardings'!EU35/('Service Days per Month'!EU$6+'Service Days per Month'!EU$7)</f>
        <v>87.833333333333329</v>
      </c>
      <c r="EV35" s="18">
        <f>'Total Sunday-Holiday Boardings'!EV35/('Service Days per Month'!EV$6+'Service Days per Month'!EV$7)</f>
        <v>102.25</v>
      </c>
      <c r="EW35" s="17">
        <f>'Total Sunday-Holiday Boardings'!EW35/('Service Days per Month'!EW$6+'Service Days per Month'!EW$7)</f>
        <v>109.8</v>
      </c>
      <c r="EX35" s="18">
        <f>'Total Sunday-Holiday Boardings'!EX35/('Service Days per Month'!EX$6+'Service Days per Month'!EX$7)</f>
        <v>149</v>
      </c>
      <c r="EY35" s="18">
        <f>'Total Sunday-Holiday Boardings'!EY35/('Service Days per Month'!EY$6+'Service Days per Month'!EY$7)</f>
        <v>115.6</v>
      </c>
      <c r="EZ35" s="18">
        <f>'Total Sunday-Holiday Boardings'!EZ35/('Service Days per Month'!EZ$6+'Service Days per Month'!EZ$7)</f>
        <v>126.6</v>
      </c>
      <c r="FA35" s="18">
        <f>'Total Sunday-Holiday Boardings'!FA35/('Service Days per Month'!FA$6+'Service Days per Month'!FA$7)</f>
        <v>117.6</v>
      </c>
      <c r="FB35" s="18">
        <f>'Total Sunday-Holiday Boardings'!FB35/('Service Days per Month'!FB$6+'Service Days per Month'!FB$7)</f>
        <v>133.4</v>
      </c>
      <c r="FC35" s="18">
        <f>'Total Sunday-Holiday Boardings'!FC35/('Service Days per Month'!FC$6+'Service Days per Month'!FC$7)</f>
        <v>111</v>
      </c>
      <c r="FD35" s="18">
        <f>'Total Sunday-Holiday Boardings'!FD35/('Service Days per Month'!FD$6+'Service Days per Month'!FD$7)</f>
        <v>112</v>
      </c>
      <c r="FE35" s="18">
        <f>'Total Sunday-Holiday Boardings'!FE35/('Service Days per Month'!FE$6+'Service Days per Month'!FE$7)</f>
        <v>145.5</v>
      </c>
      <c r="FF35" s="18">
        <f>'Total Sunday-Holiday Boardings'!FF35/('Service Days per Month'!FF$6+'Service Days per Month'!FF$7)</f>
        <v>144.5</v>
      </c>
      <c r="FG35" s="18">
        <f>'Total Sunday-Holiday Boardings'!FG35/('Service Days per Month'!FG$6+'Service Days per Month'!FG$7)</f>
        <v>134.66666666666666</v>
      </c>
      <c r="FH35" s="18">
        <f>'Total Sunday-Holiday Boardings'!FH35/('Service Days per Month'!FH$6+'Service Days per Month'!FH$7)</f>
        <v>87.25</v>
      </c>
      <c r="FI35" s="17">
        <v>104.66666666666667</v>
      </c>
      <c r="FJ35" s="18">
        <v>87.5</v>
      </c>
      <c r="FK35" s="18">
        <v>126</v>
      </c>
      <c r="FL35" s="18">
        <v>119.4</v>
      </c>
      <c r="FM35" s="18">
        <v>100.6</v>
      </c>
      <c r="FN35" s="18">
        <v>118</v>
      </c>
      <c r="FO35" s="18">
        <v>135.80000000000001</v>
      </c>
      <c r="FP35" s="18">
        <v>187.25</v>
      </c>
      <c r="FQ35" s="18">
        <v>176.75</v>
      </c>
      <c r="FR35" s="18">
        <f>'Total Sunday-Holiday Boardings'!FR35/5</f>
        <v>164</v>
      </c>
      <c r="FS35" s="18">
        <f>'Total Sunday-Holiday Boardings'!FS35/5</f>
        <v>172</v>
      </c>
      <c r="FT35" s="21">
        <f>'Total Sunday-Holiday Boardings'!FT35/4</f>
        <v>203.75</v>
      </c>
      <c r="FU35" s="18">
        <f>'Total Sunday-Holiday Boardings'!FU35/5</f>
        <v>184</v>
      </c>
      <c r="FV35" s="18">
        <f>'Total Sunday-Holiday Boardings'!FV35/4</f>
        <v>215.5</v>
      </c>
      <c r="FW35" s="18">
        <f>'Total Sunday-Holiday Boardings'!FW35/4</f>
        <v>206</v>
      </c>
      <c r="FX35" s="18">
        <f>'Total Sunday-Holiday Boardings'!FX35/5</f>
        <v>188.6</v>
      </c>
      <c r="FY35" s="18">
        <f>'Total Sunday-Holiday Boardings'!FY35/4</f>
        <v>226.5</v>
      </c>
      <c r="FZ35" s="18">
        <f>'Total Sunday-Holiday Boardings'!FZ35/5</f>
        <v>162.19999999999999</v>
      </c>
      <c r="GA35" s="18">
        <f>'Total Sunday-Holiday Boardings'!GA35/4</f>
        <v>225</v>
      </c>
      <c r="GB35" s="18">
        <f>'Total Sunday-Holiday Boardings'!GB35/4</f>
        <v>151.5</v>
      </c>
      <c r="GC35" s="18">
        <f>'Total Sunday-Holiday Boardings'!GC35/5</f>
        <v>157.19999999999999</v>
      </c>
      <c r="GD35" s="18">
        <f>'Total Sunday-Holiday Boardings'!GD35/4</f>
        <v>129.75</v>
      </c>
      <c r="GE35" s="18">
        <f>'Total Sunday-Holiday Boardings'!GE35/4</f>
        <v>172.25</v>
      </c>
      <c r="GF35" s="18">
        <f>'Total Sunday-Holiday Boardings'!GF35/5</f>
        <v>147.80000000000001</v>
      </c>
      <c r="GG35" s="18">
        <f>'Total Sunday-Holiday Boardings'!GG35/4</f>
        <v>177.75</v>
      </c>
      <c r="GH35" s="18">
        <f>'Total Sunday-Holiday Boardings'!GH35/4</f>
        <v>130</v>
      </c>
      <c r="GI35" s="18">
        <f>'Total Sunday-Holiday Boardings'!GI35/5</f>
        <v>185.2</v>
      </c>
      <c r="GJ35" s="18">
        <f>'Total Sunday-Holiday Boardings'!GJ35/4</f>
        <v>161.25</v>
      </c>
      <c r="GK35" s="18">
        <f>'Total Sunday-Holiday Boardings'!GK35/4</f>
        <v>178.5</v>
      </c>
      <c r="GL35" s="18">
        <f>'Total Sunday-Holiday Boardings'!GL35/5</f>
        <v>145.4</v>
      </c>
    </row>
    <row r="36" spans="1:194" x14ac:dyDescent="0.3">
      <c r="A36" s="3" t="s">
        <v>18</v>
      </c>
      <c r="B36" s="17"/>
      <c r="C36" s="18">
        <f>'Total Sunday-Holiday Boardings'!C36/SUM('Service Days per Month'!C$6:C$7)</f>
        <v>2226.6</v>
      </c>
      <c r="D36" s="18">
        <f>'Total Sunday-Holiday Boardings'!D36/SUM('Service Days per Month'!D$6:D$7)</f>
        <v>1771</v>
      </c>
      <c r="E36" s="18">
        <f>'Total Sunday-Holiday Boardings'!E36/SUM('Service Days per Month'!E$6:E$7)</f>
        <v>2522.1999999999998</v>
      </c>
      <c r="F36" s="18">
        <f>'Total Sunday-Holiday Boardings'!F36/SUM('Service Days per Month'!F$6:F$7)</f>
        <v>1433.6</v>
      </c>
      <c r="G36" s="18">
        <f>'Total Sunday-Holiday Boardings'!G36/SUM('Service Days per Month'!G$6:G$7)</f>
        <v>1314</v>
      </c>
      <c r="H36" s="19">
        <f>'Total Sunday-Holiday Boardings'!H36/SUM('Service Days per Month'!H$6:H$7)</f>
        <v>943</v>
      </c>
      <c r="I36" s="17">
        <f>'Total Sunday-Holiday Boardings'!I36/SUM('Service Days per Month'!I$6:I$7)</f>
        <v>2156.8000000000002</v>
      </c>
      <c r="J36" s="18">
        <f>'Total Sunday-Holiday Boardings'!J36/SUM('Service Days per Month'!J$6:J$7)</f>
        <v>934.6</v>
      </c>
      <c r="K36" s="18">
        <f>'Total Sunday-Holiday Boardings'!K36/SUM('Service Days per Month'!K$6:K$7)</f>
        <v>1369.4</v>
      </c>
      <c r="L36" s="18">
        <f>'Total Sunday-Holiday Boardings'!L36/SUM('Service Days per Month'!L$6:L$7)</f>
        <v>1681</v>
      </c>
      <c r="M36" s="18">
        <f>'Total Sunday-Holiday Boardings'!M36/SUM('Service Days per Month'!M$6:M$7)</f>
        <v>1971.3333333333333</v>
      </c>
      <c r="N36" s="18">
        <f>'Total Sunday-Holiday Boardings'!N36/SUM('Service Days per Month'!N$6:N$7)</f>
        <v>1094.8</v>
      </c>
      <c r="O36" s="79">
        <f>'Total Sunday-Holiday Boardings'!O36/SUM('Service Days per Month'!O$6:O$7)</f>
        <v>2190.1666666666665</v>
      </c>
      <c r="P36" s="79">
        <f>'Total Sunday-Holiday Boardings'!P36/SUM('Service Days per Month'!P$6:P$7)</f>
        <v>1530.75</v>
      </c>
      <c r="Q36" s="79">
        <f>'Total Sunday-Holiday Boardings'!Q36/SUM('Service Days per Month'!Q$6:Q$7)</f>
        <v>2716.25</v>
      </c>
      <c r="R36" s="79">
        <f>'Total Sunday-Holiday Boardings'!R36/SUM('Service Days per Month'!R$6:R$7)</f>
        <v>1385.75</v>
      </c>
      <c r="S36" s="79">
        <f>'Total Sunday-Holiday Boardings'!S36/SUM('Service Days per Month'!S$6:S$7)</f>
        <v>1142.1666666666667</v>
      </c>
      <c r="T36" s="80">
        <f>'Total Sunday-Holiday Boardings'!T36/SUM('Service Days per Month'!T$6:T$7)</f>
        <v>915.25</v>
      </c>
      <c r="U36" s="81">
        <f>'Total Sunday-Holiday Boardings'!U36/SUM('Service Days per Month'!U$6:U$7)</f>
        <v>1819</v>
      </c>
      <c r="V36" s="79">
        <f>'Total Sunday-Holiday Boardings'!V36/SUM('Service Days per Month'!V$6:V$7)</f>
        <v>823.8</v>
      </c>
      <c r="W36" s="79">
        <f>'Total Sunday-Holiday Boardings'!W36/SUM('Service Days per Month'!W$6:W$7)</f>
        <v>1175</v>
      </c>
      <c r="X36" s="79">
        <f>'Total Sunday-Holiday Boardings'!X36/SUM('Service Days per Month'!X$6:X$7)</f>
        <v>1397.4</v>
      </c>
      <c r="Y36" s="79">
        <f>'Total Sunday-Holiday Boardings'!Y36/SUM('Service Days per Month'!Y$6:Y$7)</f>
        <v>1316</v>
      </c>
      <c r="Z36" s="79">
        <f>'Total Sunday-Holiday Boardings'!Z36/SUM('Service Days per Month'!Z$6:Z$7)</f>
        <v>870.42857142857144</v>
      </c>
      <c r="AA36" s="18">
        <f>'Total Sunday-Holiday Boardings'!AA36/SUM('Service Days per Month'!AA$6:AA$7)</f>
        <v>1834.3333333333333</v>
      </c>
      <c r="AB36" s="18">
        <f>'Total Sunday-Holiday Boardings'!AB36/SUM('Service Days per Month'!AB$6:AB$7)</f>
        <v>1103.8</v>
      </c>
      <c r="AC36" s="18">
        <f>'Total Sunday-Holiday Boardings'!AC36/SUM('Service Days per Month'!AC$6:AC$7)</f>
        <v>2769.75</v>
      </c>
      <c r="AD36" s="18">
        <f>'Total Sunday-Holiday Boardings'!AD36/SUM('Service Days per Month'!AD$6:AD$7)</f>
        <v>1334.25</v>
      </c>
      <c r="AE36" s="18">
        <f>'Total Sunday-Holiday Boardings'!AE36/SUM('Service Days per Month'!AE$6:AE$7)</f>
        <v>1209.3333333333333</v>
      </c>
      <c r="AF36" s="19">
        <f>'Total Sunday-Holiday Boardings'!AF36/SUM('Service Days per Month'!AF$6:AF$7)</f>
        <v>1015.25</v>
      </c>
      <c r="AG36" s="17">
        <f>'Total Sunday-Holiday Boardings'!AG36/SUM('Service Days per Month'!AG$6:AG$7)</f>
        <v>1750.1666666666667</v>
      </c>
      <c r="AH36" s="18">
        <f>'Total Sunday-Holiday Boardings'!AH36/SUM('Service Days per Month'!AH$6:AH$7)</f>
        <v>1005.75</v>
      </c>
      <c r="AI36" s="18">
        <f>'Total Sunday-Holiday Boardings'!AI36/SUM('Service Days per Month'!AI$6:AI$7)</f>
        <v>1143</v>
      </c>
      <c r="AJ36" s="18">
        <f>'Total Sunday-Holiday Boardings'!AJ36/SUM('Service Days per Month'!AJ$6:AJ$7)</f>
        <v>1712.6</v>
      </c>
      <c r="AK36" s="18">
        <f>'Total Sunday-Holiday Boardings'!AK36/SUM('Service Days per Month'!AK$6:AK$7)</f>
        <v>1177.5714285714287</v>
      </c>
      <c r="AL36" s="18">
        <f>'Total Sunday-Holiday Boardings'!AL36/SUM('Service Days per Month'!AL$6:AL$7)</f>
        <v>906.83333333333337</v>
      </c>
      <c r="AM36" s="18">
        <f>'Total Sunday-Holiday Boardings'!AM36/SUM('Service Days per Month'!AM$6:AM$7)</f>
        <v>1839.1428571428571</v>
      </c>
      <c r="AN36" s="18">
        <f>'Total Sunday-Holiday Boardings'!AN36/SUM('Service Days per Month'!AN$6:AN$7)</f>
        <v>1255.5999999999999</v>
      </c>
      <c r="AO36" s="18">
        <f>'Total Sunday-Holiday Boardings'!AO36/SUM('Service Days per Month'!AO$6:AO$7)</f>
        <v>1789</v>
      </c>
      <c r="AP36" s="18">
        <f>'Total Sunday-Holiday Boardings'!AP36/SUM('Service Days per Month'!AP$6:AP$7)</f>
        <v>1736.2</v>
      </c>
      <c r="AQ36" s="18">
        <f>'Total Sunday-Holiday Boardings'!AQ36/SUM('Service Days per Month'!AQ$6:AQ$7)</f>
        <v>1217</v>
      </c>
      <c r="AR36" s="19">
        <f>'Total Sunday-Holiday Boardings'!AR36/SUM('Service Days per Month'!AR$6:AR$7)</f>
        <v>1150.25</v>
      </c>
      <c r="AS36" s="17">
        <f>'Total Sunday-Holiday Boardings'!AS36/SUM('Service Days per Month'!AS$6:AS$7)</f>
        <v>1822.5</v>
      </c>
      <c r="AT36" s="18">
        <f>'Total Sunday-Holiday Boardings'!AT36/SUM('Service Days per Month'!AT$6:AT$7)</f>
        <v>1074.5</v>
      </c>
      <c r="AU36" s="18">
        <f>'Total Sunday-Holiday Boardings'!AU36/SUM('Service Days per Month'!AU$6:AU$7)</f>
        <v>1183.3333333333333</v>
      </c>
      <c r="AV36" s="18">
        <f>'Total Sunday-Holiday Boardings'!AV36/SUM('Service Days per Month'!AV$6:AV$7)</f>
        <v>1841.25</v>
      </c>
      <c r="AW36" s="18">
        <f>'Total Sunday-Holiday Boardings'!AW36/SUM('Service Days per Month'!AW$6:AW$7)</f>
        <v>979</v>
      </c>
      <c r="AX36" s="18">
        <f>'Total Sunday-Holiday Boardings'!AX36/SUM('Service Days per Month'!AX$6:AX$7)</f>
        <v>1109.5714285714287</v>
      </c>
      <c r="AY36" s="18">
        <f>'Total Sunday-Holiday Boardings'!AY36/SUM('Service Days per Month'!AY$6:AY$7)</f>
        <v>1595.6666666666667</v>
      </c>
      <c r="AZ36" s="18">
        <f>'Total Sunday-Holiday Boardings'!AZ36/SUM('Service Days per Month'!AZ$6:AZ$7)</f>
        <v>1241.4000000000001</v>
      </c>
      <c r="BA36" s="18">
        <f>'Total Sunday-Holiday Boardings'!BA36/SUM('Service Days per Month'!BA$6:BA$7)</f>
        <v>2101</v>
      </c>
      <c r="BB36" s="18">
        <f>'Total Sunday-Holiday Boardings'!BB36/SUM('Service Days per Month'!BB$6:BB$7)</f>
        <v>1872</v>
      </c>
      <c r="BC36" s="18">
        <f>'Total Sunday-Holiday Boardings'!BC36/SUM('Service Days per Month'!BC$6:BC$7)</f>
        <v>1330.6</v>
      </c>
      <c r="BD36" s="19">
        <f>'Total Sunday-Holiday Boardings'!BD36/SUM('Service Days per Month'!BD$6:BD$7)</f>
        <v>1023.8</v>
      </c>
      <c r="BE36" s="17">
        <f>'Total Sunday-Holiday Boardings'!BE36/SUM('Service Days per Month'!BE$6:BE$7)</f>
        <v>2065.8000000000002</v>
      </c>
      <c r="BF36" s="18">
        <f>'Total Sunday-Holiday Boardings'!BF36/SUM('Service Days per Month'!BF$6:BF$7)</f>
        <v>1000.5</v>
      </c>
      <c r="BG36" s="18">
        <f>'Total Sunday-Holiday Boardings'!BG36/SUM('Service Days per Month'!BG$6:BG$7)</f>
        <v>1271.5</v>
      </c>
      <c r="BH36" s="18">
        <f>'Total Sunday-Holiday Boardings'!BH36/SUM('Service Days per Month'!BH$6:BH$7)</f>
        <v>1671</v>
      </c>
      <c r="BI36" s="18">
        <f>'Total Sunday-Holiday Boardings'!BI36/SUM('Service Days per Month'!BI$6:BI$7)</f>
        <v>1007.0537823194569</v>
      </c>
      <c r="BJ36" s="18">
        <f>'Total Sunday-Holiday Boardings'!BJ36/SUM('Service Days per Month'!BJ$6:BJ$7)</f>
        <v>1238.2857142857142</v>
      </c>
      <c r="BK36" s="18">
        <f>'Total Sunday-Holiday Boardings'!BK36/SUM('Service Days per Month'!BK$6:BK$7)</f>
        <v>2496.8333333333335</v>
      </c>
      <c r="BL36" s="18">
        <f>'Total Sunday-Holiday Boardings'!BL36/SUM('Service Days per Month'!BL$6:BL$7)</f>
        <v>1309.8</v>
      </c>
      <c r="BM36" s="18">
        <f>'Total Sunday-Holiday Boardings'!BM36/SUM('Service Days per Month'!BM$6:BM$7)</f>
        <v>2048.6</v>
      </c>
      <c r="BN36" s="18">
        <f>'Total Sunday-Holiday Boardings'!BN36/SUM('Service Days per Month'!BN$6:BN$7)</f>
        <v>1317.25</v>
      </c>
      <c r="BO36" s="18">
        <f>'Total Sunday-Holiday Boardings'!BO36/SUM('Service Days per Month'!BO$6:BO$7)</f>
        <v>1082.5999999999999</v>
      </c>
      <c r="BP36" s="19">
        <f>'Total Sunday-Holiday Boardings'!BP36/SUM('Service Days per Month'!BP$6:BP$7)</f>
        <v>1078.4000000000001</v>
      </c>
      <c r="BQ36" s="17">
        <f>'Total Sunday-Holiday Boardings'!BQ36/SUM('Service Days per Month'!BQ$6:BQ$7)</f>
        <v>1820.6</v>
      </c>
      <c r="BR36" s="18">
        <f>'Total Sunday-Holiday Boardings'!BR36/SUM('Service Days per Month'!BR$6:BR$7)</f>
        <v>1092.4000000000001</v>
      </c>
      <c r="BS36" s="18">
        <f>'Total Sunday-Holiday Boardings'!BS36/SUM('Service Days per Month'!BS$6:BS$7)</f>
        <v>1076.8</v>
      </c>
      <c r="BT36" s="18">
        <f>'Total Sunday-Holiday Boardings'!BT36/SUM('Service Days per Month'!BT$6:BT$7)</f>
        <v>1512.5</v>
      </c>
      <c r="BU36" s="18">
        <f>'Total Sunday-Holiday Boardings'!BU36/SUM('Service Days per Month'!BU$6:BU$7)</f>
        <v>1200.75</v>
      </c>
      <c r="BV36" s="18">
        <f>'Total Sunday-Holiday Boardings'!BV36/SUM('Service Days per Month'!BV$6:BV$7)</f>
        <v>1088</v>
      </c>
      <c r="BW36" s="18">
        <f>'Total Sunday-Holiday Boardings'!BW36/SUM('Service Days per Month'!BW$6:BW$7)</f>
        <v>2052.6666666666665</v>
      </c>
      <c r="BX36" s="18">
        <f>'Total Sunday-Holiday Boardings'!BX36/SUM('Service Days per Month'!BX$6:BX$7)</f>
        <v>1465.4</v>
      </c>
      <c r="BY36" s="18">
        <f>'Total Sunday-Holiday Boardings'!BY36/SUM('Service Days per Month'!BY$6:BY$7)</f>
        <v>1941.6</v>
      </c>
      <c r="BZ36" s="18">
        <f>'Total Sunday-Holiday Boardings'!BZ36/SUM('Service Days per Month'!BZ$6:BZ$7)</f>
        <v>1218.5</v>
      </c>
      <c r="CA36" s="18">
        <f>'Total Sunday-Holiday Boardings'!CA36/SUM('Service Days per Month'!CA$6:CA$7)</f>
        <v>1066.1666666666667</v>
      </c>
      <c r="CB36" s="19">
        <f>'Total Sunday-Holiday Boardings'!CB36/SUM('Service Days per Month'!CB$6:CB$7)</f>
        <v>904.25</v>
      </c>
      <c r="CC36" s="20">
        <f>'Total Sunday-Holiday Boardings'!CC36/SUM('Service Days per Month'!CC$6:CC$7)</f>
        <v>1026.5999999999999</v>
      </c>
      <c r="CD36" s="18">
        <f>'Total Sunday-Holiday Boardings'!CD36/SUM('Service Days per Month'!CD$6:CD$7)</f>
        <v>921.6</v>
      </c>
      <c r="CE36" s="18">
        <f>'Total Sunday-Holiday Boardings'!CE36/SUM('Service Days per Month'!CE$6:CE$7)</f>
        <v>1503.2</v>
      </c>
      <c r="CF36" s="18">
        <f>'Total Sunday-Holiday Boardings'!CF36/SUM('Service Days per Month'!CF$6:CF$7)</f>
        <v>1469.25</v>
      </c>
      <c r="CG36" s="18">
        <f>'Total Sunday-Holiday Boardings'!CG36/SUM('Service Days per Month'!CG$6:CG$7)</f>
        <v>1524.625</v>
      </c>
      <c r="CH36" s="18">
        <f>'Total Sunday-Holiday Boardings'!CH36/SUM('Service Days per Month'!CH$6:CH$7)</f>
        <v>1176.3333333333333</v>
      </c>
      <c r="CI36" s="18">
        <f>'Total Sunday-Holiday Boardings'!CI36/SUM('Service Days per Month'!CI$6:CI$7)</f>
        <v>2116.4285714285716</v>
      </c>
      <c r="CJ36" s="18">
        <f>'Total Sunday-Holiday Boardings'!CJ36/SUM('Service Days per Month'!CJ$6:CJ$7)</f>
        <v>1266</v>
      </c>
      <c r="CK36" s="18">
        <f>'Total Sunday-Holiday Boardings'!CK36/SUM('Service Days per Month'!CK$6:CK$7)</f>
        <v>1537</v>
      </c>
      <c r="CL36" s="18">
        <f>'Total Sunday-Holiday Boardings'!CL36/SUM('Service Days per Month'!CL$6:CL$7)</f>
        <v>1480.75</v>
      </c>
      <c r="CM36" s="18">
        <f>'Total Sunday-Holiday Boardings'!CM36/SUM('Service Days per Month'!CM$6:CM$7)</f>
        <v>1160.6666666666667</v>
      </c>
      <c r="CN36" s="21">
        <f>'Total Sunday-Holiday Boardings'!CN36/SUM('Service Days per Month'!CN$6:CN$7)</f>
        <v>982.5</v>
      </c>
      <c r="CO36" s="17">
        <f>'Total Sunday-Holiday Boardings'!CO36/SUM('Service Days per Month'!CO$6:CO$7)</f>
        <v>1534.8333333333333</v>
      </c>
      <c r="CP36" s="18">
        <f>'Total Sunday-Holiday Boardings'!CP36/SUM('Service Days per Month'!CP$6:CP$7)</f>
        <v>1088</v>
      </c>
      <c r="CQ36" s="18">
        <f>'Total Sunday-Holiday Boardings'!CQ36/SUM('Service Days per Month'!CQ$6:CQ$7)</f>
        <v>1194.2</v>
      </c>
      <c r="CR36" s="18">
        <f>'Total Sunday-Holiday Boardings'!CR36/SUM('Service Days per Month'!CR$6:CR$7)</f>
        <v>1339.8</v>
      </c>
      <c r="CS36" s="18">
        <f>'Total Sunday-Holiday Boardings'!CS36/SUM('Service Days per Month'!CS$6:CS$7)</f>
        <v>1271.8571428571429</v>
      </c>
      <c r="CT36" s="18">
        <f>'Total Sunday-Holiday Boardings'!CT36/SUM('Service Days per Month'!CT$6:CT$7)</f>
        <v>1294.1666666666667</v>
      </c>
      <c r="CU36" s="18">
        <f>'Total Sunday-Holiday Boardings'!CU36/SUM('Service Days per Month'!CU$6:CU$7)</f>
        <v>1662.1428571428571</v>
      </c>
      <c r="CV36" s="18">
        <f>'Total Sunday-Holiday Boardings'!CV36/SUM('Service Days per Month'!CV$6:CV$7)</f>
        <v>1209.5999999999999</v>
      </c>
      <c r="CW36" s="18">
        <f>'Total Sunday-Holiday Boardings'!CW36/SUM('Service Days per Month'!CW$6:CW$7)</f>
        <v>1598.5</v>
      </c>
      <c r="CX36" s="18">
        <f>'Total Sunday-Holiday Boardings'!CX36/SUM('Service Days per Month'!CX$6:CX$7)</f>
        <v>1845.4</v>
      </c>
      <c r="CY36" s="18">
        <f>'Total Sunday-Holiday Boardings'!CY36/SUM('Service Days per Month'!CY$6:CY$7)</f>
        <v>988.6</v>
      </c>
      <c r="CZ36" s="19">
        <f>'Total Sunday-Holiday Boardings'!CZ36/SUM('Service Days per Month'!CZ$6:CZ$7)</f>
        <v>862.25</v>
      </c>
      <c r="DA36" s="17">
        <f>'Total Sunday-Holiday Boardings'!DA36/SUM('Service Days per Month'!DA$6:DA$7)</f>
        <v>1400.5</v>
      </c>
      <c r="DB36" s="18">
        <f>'Total Sunday-Holiday Boardings'!DB36/SUM('Service Days per Month'!DB$6:DB$7)</f>
        <v>978.25</v>
      </c>
      <c r="DC36" s="18">
        <f>'Total Sunday-Holiday Boardings'!DC36/SUM('Service Days per Month'!DC$6:DC$7)</f>
        <v>972.8</v>
      </c>
      <c r="DD36" s="18">
        <f>'Total Sunday-Holiday Boardings'!DD36/SUM('Service Days per Month'!DD$6:DD$7)</f>
        <v>1302.2</v>
      </c>
      <c r="DE36" s="18">
        <f>'Total Sunday-Holiday Boardings'!DE36/SUM('Service Days per Month'!DE$6:DE$7)</f>
        <v>1097.7142857142858</v>
      </c>
      <c r="DF36" s="18">
        <f>'Total Sunday-Holiday Boardings'!DF36/SUM('Service Days per Month'!DF$6:DF$7)</f>
        <v>1014.6666666666666</v>
      </c>
      <c r="DG36" s="18">
        <f>'Total Sunday-Holiday Boardings'!DG36/SUM('Service Days per Month'!DG$6:DG$7)</f>
        <v>1363</v>
      </c>
      <c r="DH36" s="18">
        <f>'Total Sunday-Holiday Boardings'!DH36/SUM('Service Days per Month'!DH$6:DH$7)</f>
        <v>995.8</v>
      </c>
      <c r="DI36" s="18">
        <f>'Total Sunday-Holiday Boardings'!DI36/SUM('Service Days per Month'!DI$6:DI$7)</f>
        <v>1932.75</v>
      </c>
      <c r="DJ36" s="18">
        <f>'Total Sunday-Holiday Boardings'!DJ36/SUM('Service Days per Month'!DJ$6:DJ$7)</f>
        <v>913.4</v>
      </c>
      <c r="DK36" s="18">
        <f>'Total Sunday-Holiday Boardings'!DK36/SUM('Service Days per Month'!DK$6:DK$7)</f>
        <v>890</v>
      </c>
      <c r="DL36" s="19">
        <f>'Total Sunday-Holiday Boardings'!DL36/SUM('Service Days per Month'!DL$6:DL$7)</f>
        <v>782.25</v>
      </c>
      <c r="DM36" s="17">
        <f>'Total Sunday-Holiday Boardings'!DM36/('Service Days per Month'!DM$6+'Service Days per Month'!DM$7)</f>
        <v>1259.8333333333333</v>
      </c>
      <c r="DN36" s="18">
        <f>'Total Sunday-Holiday Boardings'!DN36/('Service Days per Month'!DN$6+'Service Days per Month'!DN$7)</f>
        <v>745.5</v>
      </c>
      <c r="DO36" s="18">
        <f>'Total Sunday-Holiday Boardings'!DO36/('Service Days per Month'!DO$6+'Service Days per Month'!DO$7)</f>
        <v>822.83333333333337</v>
      </c>
      <c r="DP36" s="18">
        <f>'Total Sunday-Holiday Boardings'!DP36/('Service Days per Month'!DP$6+'Service Days per Month'!DP$7)</f>
        <v>1026.75</v>
      </c>
      <c r="DQ36" s="18">
        <f>'Total Sunday-Holiday Boardings'!DQ36/('Service Days per Month'!DQ$6+'Service Days per Month'!DQ$7)</f>
        <v>785.2</v>
      </c>
      <c r="DR36" s="18">
        <f>'Total Sunday-Holiday Boardings'!DR36/('Service Days per Month'!DR$6+'Service Days per Month'!DR$7)</f>
        <v>885.16666666666663</v>
      </c>
      <c r="DS36" s="18">
        <f>'Total Sunday-Holiday Boardings'!DS36/('Service Days per Month'!DS$6+'Service Days per Month'!DS$7)</f>
        <v>1123.4000000000001</v>
      </c>
      <c r="DT36" s="18">
        <f>'Total Sunday-Holiday Boardings'!DT36/('Service Days per Month'!DT$6+'Service Days per Month'!DT$7)</f>
        <v>771.25</v>
      </c>
      <c r="DU36" s="18">
        <f>'Total Sunday-Holiday Boardings'!DU36/('Service Days per Month'!DU$6+'Service Days per Month'!DU$7)</f>
        <v>1647.6</v>
      </c>
      <c r="DV36" s="18">
        <f>'Total Sunday-Holiday Boardings'!DV36/('Service Days per Month'!DV$6+'Service Days per Month'!DV$7)</f>
        <v>881.75</v>
      </c>
      <c r="DW36" s="18">
        <f>'Total Sunday-Holiday Boardings'!DW36/('Service Days per Month'!DW$6+'Service Days per Month'!DW$7)</f>
        <v>814</v>
      </c>
      <c r="DX36" s="18">
        <f>'Total Sunday-Holiday Boardings'!DX36/('Service Days per Month'!DX$6+'Service Days per Month'!DX$7)</f>
        <v>725.6</v>
      </c>
      <c r="DY36" s="17">
        <f>'Total Sunday-Holiday Boardings'!DY36/('Service Days per Month'!DY$6+'Service Days per Month'!DY$7)</f>
        <v>1125.8</v>
      </c>
      <c r="DZ36" s="18">
        <f>'Total Sunday-Holiday Boardings'!DZ36/('Service Days per Month'!DZ$6+'Service Days per Month'!DZ$7)</f>
        <v>714.75</v>
      </c>
      <c r="EA36" s="18">
        <f>'Total Sunday-Holiday Boardings'!EA36/('Service Days per Month'!EA$6+'Service Days per Month'!EA$7)</f>
        <v>750.83333333333337</v>
      </c>
      <c r="EB36" s="18">
        <f>'Total Sunday-Holiday Boardings'!EB36/('Service Days per Month'!EB$6+'Service Days per Month'!EB$7)</f>
        <v>1038.75</v>
      </c>
      <c r="EC36" s="18">
        <f>'Total Sunday-Holiday Boardings'!EC36/('Service Days per Month'!EC$6+'Service Days per Month'!EC$7)</f>
        <v>870</v>
      </c>
      <c r="ED36" s="18">
        <f>'Total Sunday-Holiday Boardings'!ED36/('Service Days per Month'!ED$6+'Service Days per Month'!ED$7)</f>
        <v>780.83333333333337</v>
      </c>
      <c r="EE36" s="18">
        <f>'Total Sunday-Holiday Boardings'!EE36/('Service Days per Month'!EE$6+'Service Days per Month'!EE$7)</f>
        <v>1453.75</v>
      </c>
      <c r="EF36" s="18">
        <f>'Total Sunday-Holiday Boardings'!EF36/('Service Days per Month'!EF$6+'Service Days per Month'!EF$7)</f>
        <v>832.5</v>
      </c>
      <c r="EG36" s="18">
        <f>'Total Sunday-Holiday Boardings'!EG36/('Service Days per Month'!EG$6+'Service Days per Month'!EG$7)</f>
        <v>904.6</v>
      </c>
      <c r="EH36" s="18">
        <f>'Total Sunday-Holiday Boardings'!EH36/('Service Days per Month'!EH$6+'Service Days per Month'!EH$7)</f>
        <v>349.5</v>
      </c>
      <c r="EI36" s="18">
        <f>'Total Sunday-Holiday Boardings'!EI36/('Service Days per Month'!EI$6+'Service Days per Month'!EI$7)</f>
        <v>369.83333333333331</v>
      </c>
      <c r="EJ36" s="18">
        <f>'Total Sunday-Holiday Boardings'!EJ36/('Service Days per Month'!EJ$6+'Service Days per Month'!EJ$7)</f>
        <v>362</v>
      </c>
      <c r="EK36" s="17">
        <f>'Total Sunday-Holiday Boardings'!EK36/('Service Days per Month'!EK$6+'Service Days per Month'!EK$7)</f>
        <v>321</v>
      </c>
      <c r="EL36" s="18">
        <f>'Total Sunday-Holiday Boardings'!EL36/('Service Days per Month'!EL$6+'Service Days per Month'!EL$7)</f>
        <v>314.2</v>
      </c>
      <c r="EM36" s="18">
        <f>'Total Sunday-Holiday Boardings'!EM36/('Service Days per Month'!EM$6+'Service Days per Month'!EM$7)</f>
        <v>373.4</v>
      </c>
      <c r="EN36" s="18">
        <f>'Total Sunday-Holiday Boardings'!EN36/('Service Days per Month'!EN$6+'Service Days per Month'!EN$7)</f>
        <v>371.75</v>
      </c>
      <c r="EO36" s="18">
        <f>'Total Sunday-Holiday Boardings'!EO36/('Service Days per Month'!EO$6+'Service Days per Month'!EO$7)</f>
        <v>293</v>
      </c>
      <c r="EP36" s="18">
        <f>'Total Sunday-Holiday Boardings'!EP36/('Service Days per Month'!EP$6+'Service Days per Month'!EP$7)</f>
        <v>244.8</v>
      </c>
      <c r="EQ36" s="18">
        <f>'Total Sunday-Holiday Boardings'!EQ36/('Service Days per Month'!EQ$6+'Service Days per Month'!EQ$7)</f>
        <v>167.4</v>
      </c>
      <c r="ER36" s="18">
        <f>'Total Sunday-Holiday Boardings'!ER36/('Service Days per Month'!ER$6+'Service Days per Month'!ER$7)</f>
        <v>388.75</v>
      </c>
      <c r="ES36" s="18">
        <f>'Total Sunday-Holiday Boardings'!ES36/('Service Days per Month'!ES$6+'Service Days per Month'!ES$7)</f>
        <v>402.5</v>
      </c>
      <c r="ET36" s="18">
        <f>'Total Sunday-Holiday Boardings'!ET36/('Service Days per Month'!ET$6+'Service Days per Month'!ET$7)</f>
        <v>415.5</v>
      </c>
      <c r="EU36" s="18">
        <f>'Total Sunday-Holiday Boardings'!EU36/('Service Days per Month'!EU$6+'Service Days per Month'!EU$7)</f>
        <v>386.33333333333331</v>
      </c>
      <c r="EV36" s="18">
        <f>'Total Sunday-Holiday Boardings'!EV36/('Service Days per Month'!EV$6+'Service Days per Month'!EV$7)</f>
        <v>388.75</v>
      </c>
      <c r="EW36" s="17">
        <f>'Total Sunday-Holiday Boardings'!EW36/('Service Days per Month'!EW$6+'Service Days per Month'!EW$7)</f>
        <v>438.6</v>
      </c>
      <c r="EX36" s="18">
        <f>'Total Sunday-Holiday Boardings'!EX36/('Service Days per Month'!EX$6+'Service Days per Month'!EX$7)</f>
        <v>474.4</v>
      </c>
      <c r="EY36" s="18">
        <f>'Total Sunday-Holiday Boardings'!EY36/('Service Days per Month'!EY$6+'Service Days per Month'!EY$7)</f>
        <v>418</v>
      </c>
      <c r="EZ36" s="18">
        <f>'Total Sunday-Holiday Boardings'!EZ36/('Service Days per Month'!EZ$6+'Service Days per Month'!EZ$7)</f>
        <v>466.6</v>
      </c>
      <c r="FA36" s="18">
        <f>'Total Sunday-Holiday Boardings'!FA36/('Service Days per Month'!FA$6+'Service Days per Month'!FA$7)</f>
        <v>461.6</v>
      </c>
      <c r="FB36" s="18">
        <f>'Total Sunday-Holiday Boardings'!FB36/('Service Days per Month'!FB$6+'Service Days per Month'!FB$7)</f>
        <v>680.8</v>
      </c>
      <c r="FC36" s="18">
        <f>'Total Sunday-Holiday Boardings'!FC36/('Service Days per Month'!FC$6+'Service Days per Month'!FC$7)</f>
        <v>515.4</v>
      </c>
      <c r="FD36" s="18">
        <f>'Total Sunday-Holiday Boardings'!FD36/('Service Days per Month'!FD$6+'Service Days per Month'!FD$7)</f>
        <v>723.75</v>
      </c>
      <c r="FE36" s="18">
        <f>'Total Sunday-Holiday Boardings'!FE36/('Service Days per Month'!FE$6+'Service Days per Month'!FE$7)</f>
        <v>959</v>
      </c>
      <c r="FF36" s="18">
        <f>'Total Sunday-Holiday Boardings'!FF36/('Service Days per Month'!FF$6+'Service Days per Month'!FF$7)</f>
        <v>626.25</v>
      </c>
      <c r="FG36" s="18">
        <f>'Total Sunday-Holiday Boardings'!FG36/('Service Days per Month'!FG$6+'Service Days per Month'!FG$7)</f>
        <v>471.83333333333331</v>
      </c>
      <c r="FH36" s="18">
        <f>'Total Sunday-Holiday Boardings'!FH36/('Service Days per Month'!FH$6+'Service Days per Month'!FH$7)</f>
        <v>441.5</v>
      </c>
      <c r="FI36" s="17">
        <v>523.16666666666663</v>
      </c>
      <c r="FJ36" s="18">
        <v>473</v>
      </c>
      <c r="FK36" s="18">
        <v>569.20000000000005</v>
      </c>
      <c r="FL36" s="18">
        <v>611.79999999999995</v>
      </c>
      <c r="FM36" s="18">
        <v>445.8</v>
      </c>
      <c r="FN36" s="18">
        <v>517.20000000000005</v>
      </c>
      <c r="FO36" s="18">
        <v>659.6</v>
      </c>
      <c r="FP36" s="18">
        <v>769.5</v>
      </c>
      <c r="FQ36" s="18">
        <v>808.5</v>
      </c>
      <c r="FR36" s="18">
        <f>'Total Sunday-Holiday Boardings'!FR36/5</f>
        <v>806.6</v>
      </c>
      <c r="FS36" s="18">
        <f>'Total Sunday-Holiday Boardings'!FS36/5</f>
        <v>564</v>
      </c>
      <c r="FT36" s="21">
        <f>'Total Sunday-Holiday Boardings'!FT36/4</f>
        <v>465.25</v>
      </c>
      <c r="FU36" s="18">
        <f>'Total Sunday-Holiday Boardings'!FU36/5</f>
        <v>588.79999999999995</v>
      </c>
      <c r="FV36" s="18">
        <f>'Total Sunday-Holiday Boardings'!FV36/4</f>
        <v>585.75</v>
      </c>
      <c r="FW36" s="18">
        <f>'Total Sunday-Holiday Boardings'!FW36/4</f>
        <v>736.25</v>
      </c>
      <c r="FX36" s="18">
        <f>'Total Sunday-Holiday Boardings'!FX36/5</f>
        <v>596.4</v>
      </c>
      <c r="FY36" s="18">
        <f>'Total Sunday-Holiday Boardings'!FY36/4</f>
        <v>616.75</v>
      </c>
      <c r="FZ36" s="18">
        <f>'Total Sunday-Holiday Boardings'!FZ36/5</f>
        <v>678.2</v>
      </c>
      <c r="GA36" s="18">
        <f>'Total Sunday-Holiday Boardings'!GA36/4</f>
        <v>785.75</v>
      </c>
      <c r="GB36" s="18">
        <f>'Total Sunday-Holiday Boardings'!GB36/4</f>
        <v>546.75</v>
      </c>
      <c r="GC36" s="18">
        <f>'Total Sunday-Holiday Boardings'!GC36/5</f>
        <v>839.6</v>
      </c>
      <c r="GD36" s="18">
        <f>'Total Sunday-Holiday Boardings'!GD36/4</f>
        <v>626.25</v>
      </c>
      <c r="GE36" s="18">
        <f>'Total Sunday-Holiday Boardings'!GE36/4</f>
        <v>753.25</v>
      </c>
      <c r="GF36" s="18">
        <f>'Total Sunday-Holiday Boardings'!GF36/5</f>
        <v>457.8</v>
      </c>
      <c r="GG36" s="18">
        <f>'Total Sunday-Holiday Boardings'!GG36/4</f>
        <v>777</v>
      </c>
      <c r="GH36" s="18">
        <f>'Total Sunday-Holiday Boardings'!GH36/4</f>
        <v>433.25</v>
      </c>
      <c r="GI36" s="18">
        <f>'Total Sunday-Holiday Boardings'!GI36/5</f>
        <v>628.79999999999995</v>
      </c>
      <c r="GJ36" s="18">
        <f>'Total Sunday-Holiday Boardings'!GJ36/4</f>
        <v>541</v>
      </c>
      <c r="GK36" s="18">
        <f>'Total Sunday-Holiday Boardings'!GK36/4</f>
        <v>618</v>
      </c>
      <c r="GL36" s="18">
        <f>'Total Sunday-Holiday Boardings'!GL36/5</f>
        <v>590.6</v>
      </c>
    </row>
    <row r="37" spans="1:194" x14ac:dyDescent="0.3">
      <c r="A37" s="3" t="s">
        <v>19</v>
      </c>
      <c r="B37" s="17"/>
      <c r="C37" s="18">
        <f>'Total Sunday-Holiday Boardings'!C37/SUM('Service Days per Month'!C$6:C$7)</f>
        <v>1351.4</v>
      </c>
      <c r="D37" s="18">
        <f>'Total Sunday-Holiday Boardings'!D37/SUM('Service Days per Month'!D$6:D$7)</f>
        <v>1094.75</v>
      </c>
      <c r="E37" s="18">
        <f>'Total Sunday-Holiday Boardings'!E37/SUM('Service Days per Month'!E$6:E$7)</f>
        <v>727</v>
      </c>
      <c r="F37" s="18">
        <f>'Total Sunday-Holiday Boardings'!F37/SUM('Service Days per Month'!F$6:F$7)</f>
        <v>549.20000000000005</v>
      </c>
      <c r="G37" s="18">
        <f>'Total Sunday-Holiday Boardings'!G37/SUM('Service Days per Month'!G$6:G$7)</f>
        <v>512</v>
      </c>
      <c r="H37" s="19">
        <f>'Total Sunday-Holiday Boardings'!H37/SUM('Service Days per Month'!H$6:H$7)</f>
        <v>455.75</v>
      </c>
      <c r="I37" s="17">
        <f>'Total Sunday-Holiday Boardings'!I37/SUM('Service Days per Month'!I$6:I$7)</f>
        <v>708.8</v>
      </c>
      <c r="J37" s="18">
        <f>'Total Sunday-Holiday Boardings'!J37/SUM('Service Days per Month'!J$6:J$7)</f>
        <v>572.79999999999995</v>
      </c>
      <c r="K37" s="18">
        <f>'Total Sunday-Holiday Boardings'!K37/SUM('Service Days per Month'!K$6:K$7)</f>
        <v>703.4</v>
      </c>
      <c r="L37" s="18">
        <f>'Total Sunday-Holiday Boardings'!L37/SUM('Service Days per Month'!L$6:L$7)</f>
        <v>660.5</v>
      </c>
      <c r="M37" s="18">
        <f>'Total Sunday-Holiday Boardings'!M37/SUM('Service Days per Month'!M$6:M$7)</f>
        <v>1004.3333333333334</v>
      </c>
      <c r="N37" s="18">
        <f>'Total Sunday-Holiday Boardings'!N37/SUM('Service Days per Month'!N$6:N$7)</f>
        <v>512.79999999999995</v>
      </c>
      <c r="O37" s="79">
        <f>'Total Sunday-Holiday Boardings'!O37/SUM('Service Days per Month'!O$6:O$7)</f>
        <v>1439.1666666666667</v>
      </c>
      <c r="P37" s="79">
        <f>'Total Sunday-Holiday Boardings'!P37/SUM('Service Days per Month'!P$6:P$7)</f>
        <v>1130.5</v>
      </c>
      <c r="Q37" s="79">
        <f>'Total Sunday-Holiday Boardings'!Q37/SUM('Service Days per Month'!Q$6:Q$7)</f>
        <v>844.75</v>
      </c>
      <c r="R37" s="79">
        <f>'Total Sunday-Holiday Boardings'!R37/SUM('Service Days per Month'!R$6:R$7)</f>
        <v>662.5</v>
      </c>
      <c r="S37" s="79">
        <f>'Total Sunday-Holiday Boardings'!S37/SUM('Service Days per Month'!S$6:S$7)</f>
        <v>582.5</v>
      </c>
      <c r="T37" s="80">
        <f>'Total Sunday-Holiday Boardings'!T37/SUM('Service Days per Month'!T$6:T$7)</f>
        <v>549.5</v>
      </c>
      <c r="U37" s="81">
        <f>'Total Sunday-Holiday Boardings'!U37/SUM('Service Days per Month'!U$6:U$7)</f>
        <v>457</v>
      </c>
      <c r="V37" s="79">
        <f>'Total Sunday-Holiday Boardings'!V37/SUM('Service Days per Month'!V$6:V$7)</f>
        <v>592.4</v>
      </c>
      <c r="W37" s="79">
        <f>'Total Sunday-Holiday Boardings'!W37/SUM('Service Days per Month'!W$6:W$7)</f>
        <v>875.4</v>
      </c>
      <c r="X37" s="79">
        <f>'Total Sunday-Holiday Boardings'!X37/SUM('Service Days per Month'!X$6:X$7)</f>
        <v>712.4</v>
      </c>
      <c r="Y37" s="79">
        <f>'Total Sunday-Holiday Boardings'!Y37/SUM('Service Days per Month'!Y$6:Y$7)</f>
        <v>1120.7142857142858</v>
      </c>
      <c r="Z37" s="79">
        <f>'Total Sunday-Holiday Boardings'!Z37/SUM('Service Days per Month'!Z$6:Z$7)</f>
        <v>417.42857142857144</v>
      </c>
      <c r="AA37" s="18">
        <f>'Total Sunday-Holiday Boardings'!AA37/SUM('Service Days per Month'!AA$6:AA$7)</f>
        <v>1175.8333333333333</v>
      </c>
      <c r="AB37" s="18">
        <f>'Total Sunday-Holiday Boardings'!AB37/SUM('Service Days per Month'!AB$6:AB$7)</f>
        <v>1049.5999999999999</v>
      </c>
      <c r="AC37" s="18">
        <f>'Total Sunday-Holiday Boardings'!AC37/SUM('Service Days per Month'!AC$6:AC$7)</f>
        <v>822.75</v>
      </c>
      <c r="AD37" s="18">
        <f>'Total Sunday-Holiday Boardings'!AD37/SUM('Service Days per Month'!AD$6:AD$7)</f>
        <v>820</v>
      </c>
      <c r="AE37" s="18">
        <f>'Total Sunday-Holiday Boardings'!AE37/SUM('Service Days per Month'!AE$6:AE$7)</f>
        <v>681.5</v>
      </c>
      <c r="AF37" s="19">
        <f>'Total Sunday-Holiday Boardings'!AF37/SUM('Service Days per Month'!AF$6:AF$7)</f>
        <v>548</v>
      </c>
      <c r="AG37" s="17">
        <f>'Total Sunday-Holiday Boardings'!AG37/SUM('Service Days per Month'!AG$6:AG$7)</f>
        <v>717</v>
      </c>
      <c r="AH37" s="18">
        <f>'Total Sunday-Holiday Boardings'!AH37/SUM('Service Days per Month'!AH$6:AH$7)</f>
        <v>733.25</v>
      </c>
      <c r="AI37" s="18">
        <f>'Total Sunday-Holiday Boardings'!AI37/SUM('Service Days per Month'!AI$6:AI$7)</f>
        <v>806.8</v>
      </c>
      <c r="AJ37" s="18">
        <f>'Total Sunday-Holiday Boardings'!AJ37/SUM('Service Days per Month'!AJ$6:AJ$7)</f>
        <v>890.8</v>
      </c>
      <c r="AK37" s="18">
        <f>'Total Sunday-Holiday Boardings'!AK37/SUM('Service Days per Month'!AK$6:AK$7)</f>
        <v>1128.8571428571429</v>
      </c>
      <c r="AL37" s="18">
        <f>'Total Sunday-Holiday Boardings'!AL37/SUM('Service Days per Month'!AL$6:AL$7)</f>
        <v>579.66666666666663</v>
      </c>
      <c r="AM37" s="18">
        <f>'Total Sunday-Holiday Boardings'!AM37/SUM('Service Days per Month'!AM$6:AM$7)</f>
        <v>1393.4285714285713</v>
      </c>
      <c r="AN37" s="18">
        <f>'Total Sunday-Holiday Boardings'!AN37/SUM('Service Days per Month'!AN$6:AN$7)</f>
        <v>1090.8</v>
      </c>
      <c r="AO37" s="18">
        <f>'Total Sunday-Holiday Boardings'!AO37/SUM('Service Days per Month'!AO$6:AO$7)</f>
        <v>731</v>
      </c>
      <c r="AP37" s="18">
        <f>'Total Sunday-Holiday Boardings'!AP37/SUM('Service Days per Month'!AP$6:AP$7)</f>
        <v>775.2</v>
      </c>
      <c r="AQ37" s="18">
        <f>'Total Sunday-Holiday Boardings'!AQ37/SUM('Service Days per Month'!AQ$6:AQ$7)</f>
        <v>687.8</v>
      </c>
      <c r="AR37" s="19">
        <f>'Total Sunday-Holiday Boardings'!AR37/SUM('Service Days per Month'!AR$6:AR$7)</f>
        <v>666.5</v>
      </c>
      <c r="AS37" s="17">
        <f>'Total Sunday-Holiday Boardings'!AS37/SUM('Service Days per Month'!AS$6:AS$7)</f>
        <v>759.33333333333337</v>
      </c>
      <c r="AT37" s="18">
        <f>'Total Sunday-Holiday Boardings'!AT37/SUM('Service Days per Month'!AT$6:AT$7)</f>
        <v>789</v>
      </c>
      <c r="AU37" s="18">
        <f>'Total Sunday-Holiday Boardings'!AU37/SUM('Service Days per Month'!AU$6:AU$7)</f>
        <v>844.5</v>
      </c>
      <c r="AV37" s="18">
        <f>'Total Sunday-Holiday Boardings'!AV37/SUM('Service Days per Month'!AV$6:AV$7)</f>
        <v>968</v>
      </c>
      <c r="AW37" s="18">
        <f>'Total Sunday-Holiday Boardings'!AW37/SUM('Service Days per Month'!AW$6:AW$7)</f>
        <v>798.85714285714289</v>
      </c>
      <c r="AX37" s="18">
        <f>'Total Sunday-Holiday Boardings'!AX37/SUM('Service Days per Month'!AX$6:AX$7)</f>
        <v>750.71428571428567</v>
      </c>
      <c r="AY37" s="18">
        <f>'Total Sunday-Holiday Boardings'!AY37/SUM('Service Days per Month'!AY$6:AY$7)</f>
        <v>1355.8333333333333</v>
      </c>
      <c r="AZ37" s="18">
        <f>'Total Sunday-Holiday Boardings'!AZ37/SUM('Service Days per Month'!AZ$6:AZ$7)</f>
        <v>1092</v>
      </c>
      <c r="BA37" s="18">
        <f>'Total Sunday-Holiday Boardings'!BA37/SUM('Service Days per Month'!BA$6:BA$7)</f>
        <v>901.4</v>
      </c>
      <c r="BB37" s="18">
        <f>'Total Sunday-Holiday Boardings'!BB37/SUM('Service Days per Month'!BB$6:BB$7)</f>
        <v>886.25</v>
      </c>
      <c r="BC37" s="18">
        <f>'Total Sunday-Holiday Boardings'!BC37/SUM('Service Days per Month'!BC$6:BC$7)</f>
        <v>780.8</v>
      </c>
      <c r="BD37" s="19">
        <f>'Total Sunday-Holiday Boardings'!BD37/SUM('Service Days per Month'!BD$6:BD$7)</f>
        <v>707.8</v>
      </c>
      <c r="BE37" s="17">
        <f>'Total Sunday-Holiday Boardings'!BE37/SUM('Service Days per Month'!BE$6:BE$7)</f>
        <v>1008.4</v>
      </c>
      <c r="BF37" s="18">
        <f>'Total Sunday-Holiday Boardings'!BF37/SUM('Service Days per Month'!BF$6:BF$7)</f>
        <v>633.5</v>
      </c>
      <c r="BG37" s="18">
        <f>'Total Sunday-Holiday Boardings'!BG37/SUM('Service Days per Month'!BG$6:BG$7)</f>
        <v>972.33333333333337</v>
      </c>
      <c r="BH37" s="18">
        <f>'Total Sunday-Holiday Boardings'!BH37/SUM('Service Days per Month'!BH$6:BH$7)</f>
        <v>937.25</v>
      </c>
      <c r="BI37" s="18">
        <f>'Total Sunday-Holiday Boardings'!BI37/SUM('Service Days per Month'!BI$6:BI$7)</f>
        <v>825.48556340443042</v>
      </c>
      <c r="BJ37" s="18">
        <f>'Total Sunday-Holiday Boardings'!BJ37/SUM('Service Days per Month'!BJ$6:BJ$7)</f>
        <v>900.85714285714289</v>
      </c>
      <c r="BK37" s="18">
        <f>'Total Sunday-Holiday Boardings'!BK37/SUM('Service Days per Month'!BK$6:BK$7)</f>
        <v>1003.5</v>
      </c>
      <c r="BL37" s="18">
        <f>'Total Sunday-Holiday Boardings'!BL37/SUM('Service Days per Month'!BL$6:BL$7)</f>
        <v>1236.2</v>
      </c>
      <c r="BM37" s="18">
        <f>'Total Sunday-Holiday Boardings'!BM37/SUM('Service Days per Month'!BM$6:BM$7)</f>
        <v>924.2</v>
      </c>
      <c r="BN37" s="18">
        <f>'Total Sunday-Holiday Boardings'!BN37/SUM('Service Days per Month'!BN$6:BN$7)</f>
        <v>875</v>
      </c>
      <c r="BO37" s="18">
        <f>'Total Sunday-Holiday Boardings'!BO37/SUM('Service Days per Month'!BO$6:BO$7)</f>
        <v>816</v>
      </c>
      <c r="BP37" s="19">
        <f>'Total Sunday-Holiday Boardings'!BP37/SUM('Service Days per Month'!BP$6:BP$7)</f>
        <v>762.6</v>
      </c>
      <c r="BQ37" s="17">
        <f>'Total Sunday-Holiday Boardings'!BQ37/SUM('Service Days per Month'!BQ$6:BQ$7)</f>
        <v>850.8</v>
      </c>
      <c r="BR37" s="18">
        <f>'Total Sunday-Holiday Boardings'!BR37/SUM('Service Days per Month'!BR$6:BR$7)</f>
        <v>884.6</v>
      </c>
      <c r="BS37" s="18">
        <f>'Total Sunday-Holiday Boardings'!BS37/SUM('Service Days per Month'!BS$6:BS$7)</f>
        <v>981.2</v>
      </c>
      <c r="BT37" s="18">
        <f>'Total Sunday-Holiday Boardings'!BT37/SUM('Service Days per Month'!BT$6:BT$7)</f>
        <v>996.5</v>
      </c>
      <c r="BU37" s="18">
        <f>'Total Sunday-Holiday Boardings'!BU37/SUM('Service Days per Month'!BU$6:BU$7)</f>
        <v>1146.875</v>
      </c>
      <c r="BV37" s="18">
        <f>'Total Sunday-Holiday Boardings'!BV37/SUM('Service Days per Month'!BV$6:BV$7)</f>
        <v>787.66666666666663</v>
      </c>
      <c r="BW37" s="18">
        <f>'Total Sunday-Holiday Boardings'!BW37/SUM('Service Days per Month'!BW$6:BW$7)</f>
        <v>1021</v>
      </c>
      <c r="BX37" s="18">
        <f>'Total Sunday-Holiday Boardings'!BX37/SUM('Service Days per Month'!BX$6:BX$7)</f>
        <v>1193.5999999999999</v>
      </c>
      <c r="BY37" s="18">
        <f>'Total Sunday-Holiday Boardings'!BY37/SUM('Service Days per Month'!BY$6:BY$7)</f>
        <v>943</v>
      </c>
      <c r="BZ37" s="18">
        <f>'Total Sunday-Holiday Boardings'!BZ37/SUM('Service Days per Month'!BZ$6:BZ$7)</f>
        <v>891.75</v>
      </c>
      <c r="CA37" s="18">
        <f>'Total Sunday-Holiday Boardings'!CA37/SUM('Service Days per Month'!CA$6:CA$7)</f>
        <v>749.33333333333337</v>
      </c>
      <c r="CB37" s="19">
        <f>'Total Sunday-Holiday Boardings'!CB37/SUM('Service Days per Month'!CB$6:CB$7)</f>
        <v>663</v>
      </c>
      <c r="CC37" s="20">
        <f>'Total Sunday-Holiday Boardings'!CC37/SUM('Service Days per Month'!CC$6:CC$7)</f>
        <v>755</v>
      </c>
      <c r="CD37" s="18">
        <f>'Total Sunday-Holiday Boardings'!CD37/SUM('Service Days per Month'!CD$6:CD$7)</f>
        <v>792</v>
      </c>
      <c r="CE37" s="18">
        <f>'Total Sunday-Holiday Boardings'!CE37/SUM('Service Days per Month'!CE$6:CE$7)</f>
        <v>1098.5999999999999</v>
      </c>
      <c r="CF37" s="18">
        <f>'Total Sunday-Holiday Boardings'!CF37/SUM('Service Days per Month'!CF$6:CF$7)</f>
        <v>984.5</v>
      </c>
      <c r="CG37" s="18">
        <f>'Total Sunday-Holiday Boardings'!CG37/SUM('Service Days per Month'!CG$6:CG$7)</f>
        <v>1036.375</v>
      </c>
      <c r="CH37" s="18">
        <f>'Total Sunday-Holiday Boardings'!CH37/SUM('Service Days per Month'!CH$6:CH$7)</f>
        <v>801.83333333333337</v>
      </c>
      <c r="CI37" s="18">
        <f>'Total Sunday-Holiday Boardings'!CI37/SUM('Service Days per Month'!CI$6:CI$7)</f>
        <v>1094.1428571428571</v>
      </c>
      <c r="CJ37" s="18">
        <f>'Total Sunday-Holiday Boardings'!CJ37/SUM('Service Days per Month'!CJ$6:CJ$7)</f>
        <v>1179.4000000000001</v>
      </c>
      <c r="CK37" s="18">
        <f>'Total Sunday-Holiday Boardings'!CK37/SUM('Service Days per Month'!CK$6:CK$7)</f>
        <v>919.5</v>
      </c>
      <c r="CL37" s="18">
        <f>'Total Sunday-Holiday Boardings'!CL37/SUM('Service Days per Month'!CL$6:CL$7)</f>
        <v>915.75</v>
      </c>
      <c r="CM37" s="18">
        <f>'Total Sunday-Holiday Boardings'!CM37/SUM('Service Days per Month'!CM$6:CM$7)</f>
        <v>788.5</v>
      </c>
      <c r="CN37" s="21">
        <f>'Total Sunday-Holiday Boardings'!CN37/SUM('Service Days per Month'!CN$6:CN$7)</f>
        <v>696</v>
      </c>
      <c r="CO37" s="17">
        <f>'Total Sunday-Holiday Boardings'!CO37/SUM('Service Days per Month'!CO$6:CO$7)</f>
        <v>790</v>
      </c>
      <c r="CP37" s="18">
        <f>'Total Sunday-Holiday Boardings'!CP37/SUM('Service Days per Month'!CP$6:CP$7)</f>
        <v>918.75</v>
      </c>
      <c r="CQ37" s="18">
        <f>'Total Sunday-Holiday Boardings'!CQ37/SUM('Service Days per Month'!CQ$6:CQ$7)</f>
        <v>1034.8</v>
      </c>
      <c r="CR37" s="18">
        <f>'Total Sunday-Holiday Boardings'!CR37/SUM('Service Days per Month'!CR$6:CR$7)</f>
        <v>952.4</v>
      </c>
      <c r="CS37" s="18">
        <f>'Total Sunday-Holiday Boardings'!CS37/SUM('Service Days per Month'!CS$6:CS$7)</f>
        <v>1188.4285714285713</v>
      </c>
      <c r="CT37" s="18">
        <f>'Total Sunday-Holiday Boardings'!CT37/SUM('Service Days per Month'!CT$6:CT$7)</f>
        <v>934.83333333333337</v>
      </c>
      <c r="CU37" s="18">
        <f>'Total Sunday-Holiday Boardings'!CU37/SUM('Service Days per Month'!CU$6:CU$7)</f>
        <v>955.71428571428567</v>
      </c>
      <c r="CV37" s="18">
        <f>'Total Sunday-Holiday Boardings'!CV37/SUM('Service Days per Month'!CV$6:CV$7)</f>
        <v>1087.5999999999999</v>
      </c>
      <c r="CW37" s="18">
        <f>'Total Sunday-Holiday Boardings'!CW37/SUM('Service Days per Month'!CW$6:CW$7)</f>
        <v>854.75</v>
      </c>
      <c r="CX37" s="18">
        <f>'Total Sunday-Holiday Boardings'!CX37/SUM('Service Days per Month'!CX$6:CX$7)</f>
        <v>1044.8</v>
      </c>
      <c r="CY37" s="18">
        <f>'Total Sunday-Holiday Boardings'!CY37/SUM('Service Days per Month'!CY$6:CY$7)</f>
        <v>778.6</v>
      </c>
      <c r="CZ37" s="19">
        <f>'Total Sunday-Holiday Boardings'!CZ37/SUM('Service Days per Month'!CZ$6:CZ$7)</f>
        <v>751</v>
      </c>
      <c r="DA37" s="17">
        <f>'Total Sunday-Holiday Boardings'!DA37/SUM('Service Days per Month'!DA$6:DA$7)</f>
        <v>779.16666666666663</v>
      </c>
      <c r="DB37" s="18">
        <f>'Total Sunday-Holiday Boardings'!DB37/SUM('Service Days per Month'!DB$6:DB$7)</f>
        <v>845.5</v>
      </c>
      <c r="DC37" s="18">
        <f>'Total Sunday-Holiday Boardings'!DC37/SUM('Service Days per Month'!DC$6:DC$7)</f>
        <v>894.4</v>
      </c>
      <c r="DD37" s="18">
        <f>'Total Sunday-Holiday Boardings'!DD37/SUM('Service Days per Month'!DD$6:DD$7)</f>
        <v>914.6</v>
      </c>
      <c r="DE37" s="18">
        <f>'Total Sunday-Holiday Boardings'!DE37/SUM('Service Days per Month'!DE$6:DE$7)</f>
        <v>961.28571428571433</v>
      </c>
      <c r="DF37" s="18">
        <f>'Total Sunday-Holiday Boardings'!DF37/SUM('Service Days per Month'!DF$6:DF$7)</f>
        <v>724.16666666666663</v>
      </c>
      <c r="DG37" s="18">
        <f>'Total Sunday-Holiday Boardings'!DG37/SUM('Service Days per Month'!DG$6:DG$7)</f>
        <v>891.5</v>
      </c>
      <c r="DH37" s="18">
        <f>'Total Sunday-Holiday Boardings'!DH37/SUM('Service Days per Month'!DH$6:DH$7)</f>
        <v>1002.2</v>
      </c>
      <c r="DI37" s="18">
        <f>'Total Sunday-Holiday Boardings'!DI37/SUM('Service Days per Month'!DI$6:DI$7)</f>
        <v>847.75</v>
      </c>
      <c r="DJ37" s="18">
        <f>'Total Sunday-Holiday Boardings'!DJ37/SUM('Service Days per Month'!DJ$6:DJ$7)</f>
        <v>742</v>
      </c>
      <c r="DK37" s="18">
        <f>'Total Sunday-Holiday Boardings'!DK37/SUM('Service Days per Month'!DK$6:DK$7)</f>
        <v>990.2</v>
      </c>
      <c r="DL37" s="19">
        <f>'Total Sunday-Holiday Boardings'!DL37/SUM('Service Days per Month'!DL$6:DL$7)</f>
        <v>693.25</v>
      </c>
      <c r="DM37" s="17">
        <f>'Total Sunday-Holiday Boardings'!DM37/('Service Days per Month'!DM$6+'Service Days per Month'!DM$7)</f>
        <v>766.66666666666663</v>
      </c>
      <c r="DN37" s="18">
        <f>'Total Sunday-Holiday Boardings'!DN37/('Service Days per Month'!DN$6+'Service Days per Month'!DN$7)</f>
        <v>771</v>
      </c>
      <c r="DO37" s="18">
        <f>'Total Sunday-Holiday Boardings'!DO37/('Service Days per Month'!DO$6+'Service Days per Month'!DO$7)</f>
        <v>879.5</v>
      </c>
      <c r="DP37" s="18">
        <f>'Total Sunday-Holiday Boardings'!DP37/('Service Days per Month'!DP$6+'Service Days per Month'!DP$7)</f>
        <v>817.25</v>
      </c>
      <c r="DQ37" s="18">
        <f>'Total Sunday-Holiday Boardings'!DQ37/('Service Days per Month'!DQ$6+'Service Days per Month'!DQ$7)</f>
        <v>743.8</v>
      </c>
      <c r="DR37" s="18">
        <f>'Total Sunday-Holiday Boardings'!DR37/('Service Days per Month'!DR$6+'Service Days per Month'!DR$7)</f>
        <v>654.16666666666663</v>
      </c>
      <c r="DS37" s="18">
        <f>'Total Sunday-Holiday Boardings'!DS37/('Service Days per Month'!DS$6+'Service Days per Month'!DS$7)</f>
        <v>765.2</v>
      </c>
      <c r="DT37" s="18">
        <f>'Total Sunday-Holiday Boardings'!DT37/('Service Days per Month'!DT$6+'Service Days per Month'!DT$7)</f>
        <v>1072.75</v>
      </c>
      <c r="DU37" s="18">
        <f>'Total Sunday-Holiday Boardings'!DU37/('Service Days per Month'!DU$6+'Service Days per Month'!DU$7)</f>
        <v>1071.4000000000001</v>
      </c>
      <c r="DV37" s="18">
        <f>'Total Sunday-Holiday Boardings'!DV37/('Service Days per Month'!DV$6+'Service Days per Month'!DV$7)</f>
        <v>181</v>
      </c>
      <c r="DW37" s="18">
        <f>'Total Sunday-Holiday Boardings'!DW37/('Service Days per Month'!DW$6+'Service Days per Month'!DW$7)</f>
        <v>681.8</v>
      </c>
      <c r="DX37" s="18">
        <f>'Total Sunday-Holiday Boardings'!DX37/('Service Days per Month'!DX$6+'Service Days per Month'!DX$7)</f>
        <v>694.2</v>
      </c>
      <c r="DY37" s="17">
        <f>'Total Sunday-Holiday Boardings'!DY37/('Service Days per Month'!DY$6+'Service Days per Month'!DY$7)</f>
        <v>735.8</v>
      </c>
      <c r="DZ37" s="18">
        <f>'Total Sunday-Holiday Boardings'!DZ37/('Service Days per Month'!DZ$6+'Service Days per Month'!DZ$7)</f>
        <v>791.5</v>
      </c>
      <c r="EA37" s="18">
        <f>'Total Sunday-Holiday Boardings'!EA37/('Service Days per Month'!EA$6+'Service Days per Month'!EA$7)</f>
        <v>885.66666666666663</v>
      </c>
      <c r="EB37" s="18">
        <f>'Total Sunday-Holiday Boardings'!EB37/('Service Days per Month'!EB$6+'Service Days per Month'!EB$7)</f>
        <v>883.5</v>
      </c>
      <c r="EC37" s="18">
        <f>'Total Sunday-Holiday Boardings'!EC37/('Service Days per Month'!EC$6+'Service Days per Month'!EC$7)</f>
        <v>835</v>
      </c>
      <c r="ED37" s="18">
        <f>'Total Sunday-Holiday Boardings'!ED37/('Service Days per Month'!ED$6+'Service Days per Month'!ED$7)</f>
        <v>831.5</v>
      </c>
      <c r="EE37" s="18">
        <f>'Total Sunday-Holiday Boardings'!EE37/('Service Days per Month'!EE$6+'Service Days per Month'!EE$7)</f>
        <v>984.75</v>
      </c>
      <c r="EF37" s="18">
        <f>'Total Sunday-Holiday Boardings'!EF37/('Service Days per Month'!EF$6+'Service Days per Month'!EF$7)</f>
        <v>873</v>
      </c>
      <c r="EG37" s="18">
        <f>'Total Sunday-Holiday Boardings'!EG37/('Service Days per Month'!EG$6+'Service Days per Month'!EG$7)</f>
        <v>720.2</v>
      </c>
      <c r="EH37" s="18">
        <f>'Total Sunday-Holiday Boardings'!EH37/('Service Days per Month'!EH$6+'Service Days per Month'!EH$7)</f>
        <v>490</v>
      </c>
      <c r="EI37" s="18">
        <f>'Total Sunday-Holiday Boardings'!EI37/('Service Days per Month'!EI$6+'Service Days per Month'!EI$7)</f>
        <v>491.66666666666669</v>
      </c>
      <c r="EJ37" s="18">
        <f>'Total Sunday-Holiday Boardings'!EJ37/('Service Days per Month'!EJ$6+'Service Days per Month'!EJ$7)</f>
        <v>476.75</v>
      </c>
      <c r="EK37" s="17">
        <f>'Total Sunday-Holiday Boardings'!EK37/('Service Days per Month'!EK$6+'Service Days per Month'!EK$7)</f>
        <v>471.6</v>
      </c>
      <c r="EL37" s="18">
        <f>'Total Sunday-Holiday Boardings'!EL37/('Service Days per Month'!EL$6+'Service Days per Month'!EL$7)</f>
        <v>467.2</v>
      </c>
      <c r="EM37" s="18">
        <f>'Total Sunday-Holiday Boardings'!EM37/('Service Days per Month'!EM$6+'Service Days per Month'!EM$7)</f>
        <v>471.8</v>
      </c>
      <c r="EN37" s="18">
        <f>'Total Sunday-Holiday Boardings'!EN37/('Service Days per Month'!EN$6+'Service Days per Month'!EN$7)</f>
        <v>484</v>
      </c>
      <c r="EO37" s="18">
        <f>'Total Sunday-Holiday Boardings'!EO37/('Service Days per Month'!EO$6+'Service Days per Month'!EO$7)</f>
        <v>234.33333333333334</v>
      </c>
      <c r="EP37" s="18">
        <f>'Total Sunday-Holiday Boardings'!EP37/('Service Days per Month'!EP$6+'Service Days per Month'!EP$7)</f>
        <v>318.2</v>
      </c>
      <c r="EQ37" s="18">
        <f>'Total Sunday-Holiday Boardings'!EQ37/('Service Days per Month'!EQ$6+'Service Days per Month'!EQ$7)</f>
        <v>206.6</v>
      </c>
      <c r="ER37" s="18">
        <f>'Total Sunday-Holiday Boardings'!ER37/('Service Days per Month'!ER$6+'Service Days per Month'!ER$7)</f>
        <v>414.5</v>
      </c>
      <c r="ES37" s="18">
        <f>'Total Sunday-Holiday Boardings'!ES37/('Service Days per Month'!ES$6+'Service Days per Month'!ES$7)</f>
        <v>456.25</v>
      </c>
      <c r="ET37" s="18">
        <f>'Total Sunday-Holiday Boardings'!ET37/('Service Days per Month'!ET$6+'Service Days per Month'!ET$7)</f>
        <v>430.25</v>
      </c>
      <c r="EU37" s="18">
        <f>'Total Sunday-Holiday Boardings'!EU37/('Service Days per Month'!EU$6+'Service Days per Month'!EU$7)</f>
        <v>319.16666666666669</v>
      </c>
      <c r="EV37" s="18">
        <f>'Total Sunday-Holiday Boardings'!EV37/('Service Days per Month'!EV$6+'Service Days per Month'!EV$7)</f>
        <v>372.5</v>
      </c>
      <c r="EW37" s="17">
        <f>'Total Sunday-Holiday Boardings'!EW37/('Service Days per Month'!EW$6+'Service Days per Month'!EW$7)</f>
        <v>364.8</v>
      </c>
      <c r="EX37" s="18">
        <f>'Total Sunday-Holiday Boardings'!EX37/('Service Days per Month'!EX$6+'Service Days per Month'!EX$7)</f>
        <v>512</v>
      </c>
      <c r="EY37" s="18">
        <f>'Total Sunday-Holiday Boardings'!EY37/('Service Days per Month'!EY$6+'Service Days per Month'!EY$7)</f>
        <v>436.8</v>
      </c>
      <c r="EZ37" s="18">
        <f>'Total Sunday-Holiday Boardings'!EZ37/('Service Days per Month'!EZ$6+'Service Days per Month'!EZ$7)</f>
        <v>456.4</v>
      </c>
      <c r="FA37" s="18">
        <f>'Total Sunday-Holiday Boardings'!FA37/('Service Days per Month'!FA$6+'Service Days per Month'!FA$7)</f>
        <v>441.2</v>
      </c>
      <c r="FB37" s="18">
        <f>'Total Sunday-Holiday Boardings'!FB37/('Service Days per Month'!FB$6+'Service Days per Month'!FB$7)</f>
        <v>518.4</v>
      </c>
      <c r="FC37" s="18">
        <f>'Total Sunday-Holiday Boardings'!FC37/('Service Days per Month'!FC$6+'Service Days per Month'!FC$7)</f>
        <v>435.2</v>
      </c>
      <c r="FD37" s="18">
        <f>'Total Sunday-Holiday Boardings'!FD37/('Service Days per Month'!FD$6+'Service Days per Month'!FD$7)</f>
        <v>466.75</v>
      </c>
      <c r="FE37" s="18">
        <f>'Total Sunday-Holiday Boardings'!FE37/('Service Days per Month'!FE$6+'Service Days per Month'!FE$7)</f>
        <v>546.75</v>
      </c>
      <c r="FF37" s="18">
        <f>'Total Sunday-Holiday Boardings'!FF37/('Service Days per Month'!FF$6+'Service Days per Month'!FF$7)</f>
        <v>531.25</v>
      </c>
      <c r="FG37" s="18">
        <f>'Total Sunday-Holiday Boardings'!FG37/('Service Days per Month'!FG$6+'Service Days per Month'!FG$7)</f>
        <v>479.66666666666669</v>
      </c>
      <c r="FH37" s="18">
        <f>'Total Sunday-Holiday Boardings'!FH37/('Service Days per Month'!FH$6+'Service Days per Month'!FH$7)</f>
        <v>387.25</v>
      </c>
      <c r="FI37" s="17">
        <v>452.83333333333331</v>
      </c>
      <c r="FJ37" s="18">
        <v>432.25</v>
      </c>
      <c r="FK37" s="18">
        <v>535.79999999999995</v>
      </c>
      <c r="FL37" s="18">
        <v>486</v>
      </c>
      <c r="FM37" s="18">
        <v>449</v>
      </c>
      <c r="FN37" s="18">
        <v>476.4</v>
      </c>
      <c r="FO37" s="18">
        <v>657.6</v>
      </c>
      <c r="FP37" s="18">
        <v>518.5</v>
      </c>
      <c r="FQ37" s="18">
        <v>609.5</v>
      </c>
      <c r="FR37" s="18">
        <f>'Total Sunday-Holiday Boardings'!FR37/5</f>
        <v>596.79999999999995</v>
      </c>
      <c r="FS37" s="18">
        <f>'Total Sunday-Holiday Boardings'!FS37/5</f>
        <v>503.6</v>
      </c>
      <c r="FT37" s="21">
        <f>'Total Sunday-Holiday Boardings'!FT37/4</f>
        <v>488.75</v>
      </c>
      <c r="FU37" s="18">
        <f>'Total Sunday-Holiday Boardings'!FU37/5</f>
        <v>577.20000000000005</v>
      </c>
      <c r="FV37" s="18">
        <f>'Total Sunday-Holiday Boardings'!FV37/4</f>
        <v>679</v>
      </c>
      <c r="FW37" s="18">
        <f>'Total Sunday-Holiday Boardings'!FW37/4</f>
        <v>670.5</v>
      </c>
      <c r="FX37" s="18">
        <f>'Total Sunday-Holiday Boardings'!FX37/5</f>
        <v>531.6</v>
      </c>
      <c r="FY37" s="18">
        <f>'Total Sunday-Holiday Boardings'!FY37/4</f>
        <v>639.75</v>
      </c>
      <c r="FZ37" s="18">
        <f>'Total Sunday-Holiday Boardings'!FZ37/5</f>
        <v>548.6</v>
      </c>
      <c r="GA37" s="18">
        <f>'Total Sunday-Holiday Boardings'!GA37/4</f>
        <v>808</v>
      </c>
      <c r="GB37" s="18">
        <f>'Total Sunday-Holiday Boardings'!GB37/4</f>
        <v>1199</v>
      </c>
      <c r="GC37" s="18">
        <f>'Total Sunday-Holiday Boardings'!GC37/5</f>
        <v>593.79999999999995</v>
      </c>
      <c r="GD37" s="18">
        <f>'Total Sunday-Holiday Boardings'!GD37/4</f>
        <v>565.75</v>
      </c>
      <c r="GE37" s="18">
        <f>'Total Sunday-Holiday Boardings'!GE37/4</f>
        <v>664</v>
      </c>
      <c r="GF37" s="18">
        <f>'Total Sunday-Holiday Boardings'!GF37/5</f>
        <v>474</v>
      </c>
      <c r="GG37" s="18">
        <f>'Total Sunday-Holiday Boardings'!GG37/4</f>
        <v>520.75</v>
      </c>
      <c r="GH37" s="18">
        <f>'Total Sunday-Holiday Boardings'!GH37/4</f>
        <v>475.5</v>
      </c>
      <c r="GI37" s="18">
        <f>'Total Sunday-Holiday Boardings'!GI37/5</f>
        <v>570.4</v>
      </c>
      <c r="GJ37" s="18">
        <f>'Total Sunday-Holiday Boardings'!GJ37/4</f>
        <v>491.75</v>
      </c>
      <c r="GK37" s="18">
        <f>'Total Sunday-Holiday Boardings'!GK37/4</f>
        <v>594.75</v>
      </c>
      <c r="GL37" s="18">
        <f>'Total Sunday-Holiday Boardings'!GL37/5</f>
        <v>513</v>
      </c>
    </row>
    <row r="38" spans="1:194" x14ac:dyDescent="0.3">
      <c r="A38" s="3" t="s">
        <v>20</v>
      </c>
      <c r="B38" s="17"/>
      <c r="C38" s="18">
        <f>'Total Sunday-Holiday Boardings'!C38/SUM('Service Days per Month'!C$6:C$7)</f>
        <v>740</v>
      </c>
      <c r="D38" s="18">
        <f>'Total Sunday-Holiday Boardings'!D38/SUM('Service Days per Month'!D$6:D$7)</f>
        <v>933.75</v>
      </c>
      <c r="E38" s="18">
        <f>'Total Sunday-Holiday Boardings'!E38/SUM('Service Days per Month'!E$6:E$7)</f>
        <v>586.79999999999995</v>
      </c>
      <c r="F38" s="18">
        <f>'Total Sunday-Holiday Boardings'!F38/SUM('Service Days per Month'!F$6:F$7)</f>
        <v>459</v>
      </c>
      <c r="G38" s="18">
        <f>'Total Sunday-Holiday Boardings'!G38/SUM('Service Days per Month'!G$6:G$7)</f>
        <v>455.16666666666669</v>
      </c>
      <c r="H38" s="19">
        <f>'Total Sunday-Holiday Boardings'!H38/SUM('Service Days per Month'!H$6:H$7)</f>
        <v>417.5</v>
      </c>
      <c r="I38" s="17">
        <f>'Total Sunday-Holiday Boardings'!I38/SUM('Service Days per Month'!I$6:I$7)</f>
        <v>554</v>
      </c>
      <c r="J38" s="18">
        <f>'Total Sunday-Holiday Boardings'!J38/SUM('Service Days per Month'!J$6:J$7)</f>
        <v>513.4</v>
      </c>
      <c r="K38" s="18">
        <f>'Total Sunday-Holiday Boardings'!K38/SUM('Service Days per Month'!K$6:K$7)</f>
        <v>659.8</v>
      </c>
      <c r="L38" s="18">
        <f>'Total Sunday-Holiday Boardings'!L38/SUM('Service Days per Month'!L$6:L$7)</f>
        <v>743.25</v>
      </c>
      <c r="M38" s="18">
        <f>'Total Sunday-Holiday Boardings'!M38/SUM('Service Days per Month'!M$6:M$7)</f>
        <v>1030.5</v>
      </c>
      <c r="N38" s="18">
        <f>'Total Sunday-Holiday Boardings'!N38/SUM('Service Days per Month'!N$6:N$7)</f>
        <v>495.8</v>
      </c>
      <c r="O38" s="79">
        <f>'Total Sunday-Holiday Boardings'!O38/SUM('Service Days per Month'!O$6:O$7)</f>
        <v>884.5</v>
      </c>
      <c r="P38" s="79">
        <f>'Total Sunday-Holiday Boardings'!P38/SUM('Service Days per Month'!P$6:P$7)</f>
        <v>1386.75</v>
      </c>
      <c r="Q38" s="79">
        <f>'Total Sunday-Holiday Boardings'!Q38/SUM('Service Days per Month'!Q$6:Q$7)</f>
        <v>809.75</v>
      </c>
      <c r="R38" s="79">
        <f>'Total Sunday-Holiday Boardings'!R38/SUM('Service Days per Month'!R$6:R$7)</f>
        <v>764</v>
      </c>
      <c r="S38" s="79">
        <f>'Total Sunday-Holiday Boardings'!S38/SUM('Service Days per Month'!S$6:S$7)</f>
        <v>589.33333333333337</v>
      </c>
      <c r="T38" s="80">
        <f>'Total Sunday-Holiday Boardings'!T38/SUM('Service Days per Month'!T$6:T$7)</f>
        <v>425.5</v>
      </c>
      <c r="U38" s="81">
        <f>'Total Sunday-Holiday Boardings'!U38/SUM('Service Days per Month'!U$6:U$7)</f>
        <v>550</v>
      </c>
      <c r="V38" s="79">
        <f>'Total Sunday-Holiday Boardings'!V38/SUM('Service Days per Month'!V$6:V$7)</f>
        <v>596.4</v>
      </c>
      <c r="W38" s="79">
        <f>'Total Sunday-Holiday Boardings'!W38/SUM('Service Days per Month'!W$6:W$7)</f>
        <v>862</v>
      </c>
      <c r="X38" s="79">
        <f>'Total Sunday-Holiday Boardings'!X38/SUM('Service Days per Month'!X$6:X$7)</f>
        <v>870.8</v>
      </c>
      <c r="Y38" s="79">
        <f>'Total Sunday-Holiday Boardings'!Y38/SUM('Service Days per Month'!Y$6:Y$7)</f>
        <v>836.57142857142856</v>
      </c>
      <c r="Z38" s="79">
        <f>'Total Sunday-Holiday Boardings'!Z38/SUM('Service Days per Month'!Z$6:Z$7)</f>
        <v>380.14285714285717</v>
      </c>
      <c r="AA38" s="18">
        <f>'Total Sunday-Holiday Boardings'!AA38/SUM('Service Days per Month'!AA$6:AA$7)</f>
        <v>848.33333333333337</v>
      </c>
      <c r="AB38" s="18">
        <f>'Total Sunday-Holiday Boardings'!AB38/SUM('Service Days per Month'!AB$6:AB$7)</f>
        <v>1158.4000000000001</v>
      </c>
      <c r="AC38" s="18">
        <f>'Total Sunday-Holiday Boardings'!AC38/SUM('Service Days per Month'!AC$6:AC$7)</f>
        <v>865.5</v>
      </c>
      <c r="AD38" s="18">
        <f>'Total Sunday-Holiday Boardings'!AD38/SUM('Service Days per Month'!AD$6:AD$7)</f>
        <v>823.25</v>
      </c>
      <c r="AE38" s="18">
        <f>'Total Sunday-Holiday Boardings'!AE38/SUM('Service Days per Month'!AE$6:AE$7)</f>
        <v>604.66666666666663</v>
      </c>
      <c r="AF38" s="19">
        <f>'Total Sunday-Holiday Boardings'!AF38/SUM('Service Days per Month'!AF$6:AF$7)</f>
        <v>530.75</v>
      </c>
      <c r="AG38" s="17">
        <f>'Total Sunday-Holiday Boardings'!AG38/SUM('Service Days per Month'!AG$6:AG$7)</f>
        <v>659.83333333333337</v>
      </c>
      <c r="AH38" s="18">
        <f>'Total Sunday-Holiday Boardings'!AH38/SUM('Service Days per Month'!AH$6:AH$7)</f>
        <v>703.5</v>
      </c>
      <c r="AI38" s="18">
        <f>'Total Sunday-Holiday Boardings'!AI38/SUM('Service Days per Month'!AI$6:AI$7)</f>
        <v>786.4</v>
      </c>
      <c r="AJ38" s="18">
        <f>'Total Sunday-Holiday Boardings'!AJ38/SUM('Service Days per Month'!AJ$6:AJ$7)</f>
        <v>991</v>
      </c>
      <c r="AK38" s="18">
        <f>'Total Sunday-Holiday Boardings'!AK38/SUM('Service Days per Month'!AK$6:AK$7)</f>
        <v>838.14285714285711</v>
      </c>
      <c r="AL38" s="18">
        <f>'Total Sunday-Holiday Boardings'!AL38/SUM('Service Days per Month'!AL$6:AL$7)</f>
        <v>497.16666666666669</v>
      </c>
      <c r="AM38" s="18">
        <f>'Total Sunday-Holiday Boardings'!AM38/SUM('Service Days per Month'!AM$6:AM$7)</f>
        <v>946</v>
      </c>
      <c r="AN38" s="18">
        <f>'Total Sunday-Holiday Boardings'!AN38/SUM('Service Days per Month'!AN$6:AN$7)</f>
        <v>1236.4000000000001</v>
      </c>
      <c r="AO38" s="18">
        <f>'Total Sunday-Holiday Boardings'!AO38/SUM('Service Days per Month'!AO$6:AO$7)</f>
        <v>814.5</v>
      </c>
      <c r="AP38" s="18">
        <f>'Total Sunday-Holiday Boardings'!AP38/SUM('Service Days per Month'!AP$6:AP$7)</f>
        <v>798.8</v>
      </c>
      <c r="AQ38" s="18">
        <f>'Total Sunday-Holiday Boardings'!AQ38/SUM('Service Days per Month'!AQ$6:AQ$7)</f>
        <v>616.4</v>
      </c>
      <c r="AR38" s="19">
        <f>'Total Sunday-Holiday Boardings'!AR38/SUM('Service Days per Month'!AR$6:AR$7)</f>
        <v>627</v>
      </c>
      <c r="AS38" s="17">
        <f>'Total Sunday-Holiday Boardings'!AS38/SUM('Service Days per Month'!AS$6:AS$7)</f>
        <v>728.5</v>
      </c>
      <c r="AT38" s="18">
        <f>'Total Sunday-Holiday Boardings'!AT38/SUM('Service Days per Month'!AT$6:AT$7)</f>
        <v>795</v>
      </c>
      <c r="AU38" s="18">
        <f>'Total Sunday-Holiday Boardings'!AU38/SUM('Service Days per Month'!AU$6:AU$7)</f>
        <v>917.66666666666663</v>
      </c>
      <c r="AV38" s="18">
        <f>'Total Sunday-Holiday Boardings'!AV38/SUM('Service Days per Month'!AV$6:AV$7)</f>
        <v>1042.25</v>
      </c>
      <c r="AW38" s="18">
        <f>'Total Sunday-Holiday Boardings'!AW38/SUM('Service Days per Month'!AW$6:AW$7)</f>
        <v>780.85714285714289</v>
      </c>
      <c r="AX38" s="18">
        <f>'Total Sunday-Holiday Boardings'!AX38/SUM('Service Days per Month'!AX$6:AX$7)</f>
        <v>647.71428571428567</v>
      </c>
      <c r="AY38" s="18">
        <f>'Total Sunday-Holiday Boardings'!AY38/SUM('Service Days per Month'!AY$6:AY$7)</f>
        <v>1011.5</v>
      </c>
      <c r="AZ38" s="18">
        <f>'Total Sunday-Holiday Boardings'!AZ38/SUM('Service Days per Month'!AZ$6:AZ$7)</f>
        <v>1341.8</v>
      </c>
      <c r="BA38" s="18">
        <f>'Total Sunday-Holiday Boardings'!BA38/SUM('Service Days per Month'!BA$6:BA$7)</f>
        <v>938.8</v>
      </c>
      <c r="BB38" s="18">
        <f>'Total Sunday-Holiday Boardings'!BB38/SUM('Service Days per Month'!BB$6:BB$7)</f>
        <v>988.25</v>
      </c>
      <c r="BC38" s="18">
        <f>'Total Sunday-Holiday Boardings'!BC38/SUM('Service Days per Month'!BC$6:BC$7)</f>
        <v>742.2</v>
      </c>
      <c r="BD38" s="19">
        <f>'Total Sunday-Holiday Boardings'!BD38/SUM('Service Days per Month'!BD$6:BD$7)</f>
        <v>653.79999999999995</v>
      </c>
      <c r="BE38" s="17">
        <f>'Total Sunday-Holiday Boardings'!BE38/SUM('Service Days per Month'!BE$6:BE$7)</f>
        <v>719</v>
      </c>
      <c r="BF38" s="18">
        <f>'Total Sunday-Holiday Boardings'!BF38/SUM('Service Days per Month'!BF$6:BF$7)</f>
        <v>729</v>
      </c>
      <c r="BG38" s="18">
        <f>'Total Sunday-Holiday Boardings'!BG38/SUM('Service Days per Month'!BG$6:BG$7)</f>
        <v>971.66666666666663</v>
      </c>
      <c r="BH38" s="18">
        <f>'Total Sunday-Holiday Boardings'!BH38/SUM('Service Days per Month'!BH$6:BH$7)</f>
        <v>1020.25</v>
      </c>
      <c r="BI38" s="18">
        <f>'Total Sunday-Holiday Boardings'!BI38/SUM('Service Days per Month'!BI$6:BI$7)</f>
        <v>854.18915026404227</v>
      </c>
      <c r="BJ38" s="18">
        <f>'Total Sunday-Holiday Boardings'!BJ38/SUM('Service Days per Month'!BJ$6:BJ$7)</f>
        <v>771.28571428571433</v>
      </c>
      <c r="BK38" s="18">
        <f>'Total Sunday-Holiday Boardings'!BK38/SUM('Service Days per Month'!BK$6:BK$7)</f>
        <v>989</v>
      </c>
      <c r="BL38" s="18">
        <f>'Total Sunday-Holiday Boardings'!BL38/SUM('Service Days per Month'!BL$6:BL$7)</f>
        <v>1375.6</v>
      </c>
      <c r="BM38" s="18">
        <f>'Total Sunday-Holiday Boardings'!BM38/SUM('Service Days per Month'!BM$6:BM$7)</f>
        <v>1003.4</v>
      </c>
      <c r="BN38" s="18">
        <f>'Total Sunday-Holiday Boardings'!BN38/SUM('Service Days per Month'!BN$6:BN$7)</f>
        <v>967.5</v>
      </c>
      <c r="BO38" s="18">
        <f>'Total Sunday-Holiday Boardings'!BO38/SUM('Service Days per Month'!BO$6:BO$7)</f>
        <v>775</v>
      </c>
      <c r="BP38" s="19">
        <f>'Total Sunday-Holiday Boardings'!BP38/SUM('Service Days per Month'!BP$6:BP$7)</f>
        <v>719</v>
      </c>
      <c r="BQ38" s="17">
        <f>'Total Sunday-Holiday Boardings'!BQ38/SUM('Service Days per Month'!BQ$6:BQ$7)</f>
        <v>749.4</v>
      </c>
      <c r="BR38" s="18">
        <f>'Total Sunday-Holiday Boardings'!BR38/SUM('Service Days per Month'!BR$6:BR$7)</f>
        <v>933.2</v>
      </c>
      <c r="BS38" s="18">
        <f>'Total Sunday-Holiday Boardings'!BS38/SUM('Service Days per Month'!BS$6:BS$7)</f>
        <v>1018.8</v>
      </c>
      <c r="BT38" s="18">
        <f>'Total Sunday-Holiday Boardings'!BT38/SUM('Service Days per Month'!BT$6:BT$7)</f>
        <v>1001.5</v>
      </c>
      <c r="BU38" s="18">
        <f>'Total Sunday-Holiday Boardings'!BU38/SUM('Service Days per Month'!BU$6:BU$7)</f>
        <v>1006.5</v>
      </c>
      <c r="BV38" s="18">
        <f>'Total Sunday-Holiday Boardings'!BV38/SUM('Service Days per Month'!BV$6:BV$7)</f>
        <v>743.83333333333337</v>
      </c>
      <c r="BW38" s="18">
        <f>'Total Sunday-Holiday Boardings'!BW38/SUM('Service Days per Month'!BW$6:BW$7)</f>
        <v>937.16666666666663</v>
      </c>
      <c r="BX38" s="18">
        <f>'Total Sunday-Holiday Boardings'!BX38/SUM('Service Days per Month'!BX$6:BX$7)</f>
        <v>1296.4000000000001</v>
      </c>
      <c r="BY38" s="18">
        <f>'Total Sunday-Holiday Boardings'!BY38/SUM('Service Days per Month'!BY$6:BY$7)</f>
        <v>888</v>
      </c>
      <c r="BZ38" s="18">
        <f>'Total Sunday-Holiday Boardings'!BZ38/SUM('Service Days per Month'!BZ$6:BZ$7)</f>
        <v>858.5</v>
      </c>
      <c r="CA38" s="18">
        <f>'Total Sunday-Holiday Boardings'!CA38/SUM('Service Days per Month'!CA$6:CA$7)</f>
        <v>684</v>
      </c>
      <c r="CB38" s="19">
        <f>'Total Sunday-Holiday Boardings'!CB38/SUM('Service Days per Month'!CB$6:CB$7)</f>
        <v>609.25</v>
      </c>
      <c r="CC38" s="20">
        <f>'Total Sunday-Holiday Boardings'!CC38/SUM('Service Days per Month'!CC$6:CC$7)</f>
        <v>655.20000000000005</v>
      </c>
      <c r="CD38" s="18">
        <f>'Total Sunday-Holiday Boardings'!CD38/SUM('Service Days per Month'!CD$6:CD$7)</f>
        <v>714.4</v>
      </c>
      <c r="CE38" s="18">
        <f>'Total Sunday-Holiday Boardings'!CE38/SUM('Service Days per Month'!CE$6:CE$7)</f>
        <v>1014.4</v>
      </c>
      <c r="CF38" s="18">
        <f>'Total Sunday-Holiday Boardings'!CF38/SUM('Service Days per Month'!CF$6:CF$7)</f>
        <v>963.25</v>
      </c>
      <c r="CG38" s="18">
        <f>'Total Sunday-Holiday Boardings'!CG38/SUM('Service Days per Month'!CG$6:CG$7)</f>
        <v>963.875</v>
      </c>
      <c r="CH38" s="18">
        <f>'Total Sunday-Holiday Boardings'!CH38/SUM('Service Days per Month'!CH$6:CH$7)</f>
        <v>691.16666666666663</v>
      </c>
      <c r="CI38" s="18">
        <f>'Total Sunday-Holiday Boardings'!CI38/SUM('Service Days per Month'!CI$6:CI$7)</f>
        <v>898.14285714285711</v>
      </c>
      <c r="CJ38" s="18">
        <f>'Total Sunday-Holiday Boardings'!CJ38/SUM('Service Days per Month'!CJ$6:CJ$7)</f>
        <v>1216.4000000000001</v>
      </c>
      <c r="CK38" s="18">
        <f>'Total Sunday-Holiday Boardings'!CK38/SUM('Service Days per Month'!CK$6:CK$7)</f>
        <v>864.75</v>
      </c>
      <c r="CL38" s="18">
        <f>'Total Sunday-Holiday Boardings'!CL38/SUM('Service Days per Month'!CL$6:CL$7)</f>
        <v>993</v>
      </c>
      <c r="CM38" s="18">
        <f>'Total Sunday-Holiday Boardings'!CM38/SUM('Service Days per Month'!CM$6:CM$7)</f>
        <v>740.16666666666663</v>
      </c>
      <c r="CN38" s="21">
        <f>'Total Sunday-Holiday Boardings'!CN38/SUM('Service Days per Month'!CN$6:CN$7)</f>
        <v>675.75</v>
      </c>
      <c r="CO38" s="17">
        <f>'Total Sunday-Holiday Boardings'!CO38/SUM('Service Days per Month'!CO$6:CO$7)</f>
        <v>680.16666666666663</v>
      </c>
      <c r="CP38" s="18">
        <f>'Total Sunday-Holiday Boardings'!CP38/SUM('Service Days per Month'!CP$6:CP$7)</f>
        <v>832.5</v>
      </c>
      <c r="CQ38" s="18">
        <f>'Total Sunday-Holiday Boardings'!CQ38/SUM('Service Days per Month'!CQ$6:CQ$7)</f>
        <v>874.8</v>
      </c>
      <c r="CR38" s="18">
        <f>'Total Sunday-Holiday Boardings'!CR38/SUM('Service Days per Month'!CR$6:CR$7)</f>
        <v>866.6</v>
      </c>
      <c r="CS38" s="18">
        <f>'Total Sunday-Holiday Boardings'!CS38/SUM('Service Days per Month'!CS$6:CS$7)</f>
        <v>1075.1428571428571</v>
      </c>
      <c r="CT38" s="18">
        <f>'Total Sunday-Holiday Boardings'!CT38/SUM('Service Days per Month'!CT$6:CT$7)</f>
        <v>798</v>
      </c>
      <c r="CU38" s="18">
        <f>'Total Sunday-Holiday Boardings'!CU38/SUM('Service Days per Month'!CU$6:CU$7)</f>
        <v>823.57142857142856</v>
      </c>
      <c r="CV38" s="18">
        <f>'Total Sunday-Holiday Boardings'!CV38/SUM('Service Days per Month'!CV$6:CV$7)</f>
        <v>1190.4000000000001</v>
      </c>
      <c r="CW38" s="18">
        <f>'Total Sunday-Holiday Boardings'!CW38/SUM('Service Days per Month'!CW$6:CW$7)</f>
        <v>809.5</v>
      </c>
      <c r="CX38" s="18">
        <f>'Total Sunday-Holiday Boardings'!CX38/SUM('Service Days per Month'!CX$6:CX$7)</f>
        <v>996.4</v>
      </c>
      <c r="CY38" s="18">
        <f>'Total Sunday-Holiday Boardings'!CY38/SUM('Service Days per Month'!CY$6:CY$7)</f>
        <v>710.4</v>
      </c>
      <c r="CZ38" s="19">
        <f>'Total Sunday-Holiday Boardings'!CZ38/SUM('Service Days per Month'!CZ$6:CZ$7)</f>
        <v>676.75</v>
      </c>
      <c r="DA38" s="17">
        <f>'Total Sunday-Holiday Boardings'!DA38/SUM('Service Days per Month'!DA$6:DA$7)</f>
        <v>660.33333333333337</v>
      </c>
      <c r="DB38" s="18">
        <f>'Total Sunday-Holiday Boardings'!DB38/SUM('Service Days per Month'!DB$6:DB$7)</f>
        <v>763</v>
      </c>
      <c r="DC38" s="18">
        <f>'Total Sunday-Holiday Boardings'!DC38/SUM('Service Days per Month'!DC$6:DC$7)</f>
        <v>827</v>
      </c>
      <c r="DD38" s="18">
        <f>'Total Sunday-Holiday Boardings'!DD38/SUM('Service Days per Month'!DD$6:DD$7)</f>
        <v>904</v>
      </c>
      <c r="DE38" s="18">
        <f>'Total Sunday-Holiday Boardings'!DE38/SUM('Service Days per Month'!DE$6:DE$7)</f>
        <v>820</v>
      </c>
      <c r="DF38" s="18">
        <f>'Total Sunday-Holiday Boardings'!DF38/SUM('Service Days per Month'!DF$6:DF$7)</f>
        <v>618</v>
      </c>
      <c r="DG38" s="18">
        <f>'Total Sunday-Holiday Boardings'!DG38/SUM('Service Days per Month'!DG$6:DG$7)</f>
        <v>798.33333333333337</v>
      </c>
      <c r="DH38" s="18">
        <f>'Total Sunday-Holiday Boardings'!DH38/SUM('Service Days per Month'!DH$6:DH$7)</f>
        <v>1094.5999999999999</v>
      </c>
      <c r="DI38" s="18">
        <f>'Total Sunday-Holiday Boardings'!DI38/SUM('Service Days per Month'!DI$6:DI$7)</f>
        <v>834.25</v>
      </c>
      <c r="DJ38" s="18">
        <f>'Total Sunday-Holiday Boardings'!DJ38/SUM('Service Days per Month'!DJ$6:DJ$7)</f>
        <v>796.4</v>
      </c>
      <c r="DK38" s="18">
        <f>'Total Sunday-Holiday Boardings'!DK38/SUM('Service Days per Month'!DK$6:DK$7)</f>
        <v>662</v>
      </c>
      <c r="DL38" s="19">
        <f>'Total Sunday-Holiday Boardings'!DL38/SUM('Service Days per Month'!DL$6:DL$7)</f>
        <v>622.75</v>
      </c>
      <c r="DM38" s="17">
        <f>'Total Sunday-Holiday Boardings'!DM38/('Service Days per Month'!DM$6+'Service Days per Month'!DM$7)</f>
        <v>642.66666666666663</v>
      </c>
      <c r="DN38" s="18">
        <f>'Total Sunday-Holiday Boardings'!DN38/('Service Days per Month'!DN$6+'Service Days per Month'!DN$7)</f>
        <v>707.25</v>
      </c>
      <c r="DO38" s="18">
        <f>'Total Sunday-Holiday Boardings'!DO38/('Service Days per Month'!DO$6+'Service Days per Month'!DO$7)</f>
        <v>822.16666666666663</v>
      </c>
      <c r="DP38" s="18">
        <f>'Total Sunday-Holiday Boardings'!DP38/('Service Days per Month'!DP$6+'Service Days per Month'!DP$7)</f>
        <v>785</v>
      </c>
      <c r="DQ38" s="18">
        <f>'Total Sunday-Holiday Boardings'!DQ38/('Service Days per Month'!DQ$6+'Service Days per Month'!DQ$7)</f>
        <v>719.8</v>
      </c>
      <c r="DR38" s="18">
        <f>'Total Sunday-Holiday Boardings'!DR38/('Service Days per Month'!DR$6+'Service Days per Month'!DR$7)</f>
        <v>598.33333333333337</v>
      </c>
      <c r="DS38" s="18">
        <f>'Total Sunday-Holiday Boardings'!DS38/('Service Days per Month'!DS$6+'Service Days per Month'!DS$7)</f>
        <v>715.6</v>
      </c>
      <c r="DT38" s="18">
        <f>'Total Sunday-Holiday Boardings'!DT38/('Service Days per Month'!DT$6+'Service Days per Month'!DT$7)</f>
        <v>758.25</v>
      </c>
      <c r="DU38" s="18">
        <f>'Total Sunday-Holiday Boardings'!DU38/('Service Days per Month'!DU$6+'Service Days per Month'!DU$7)</f>
        <v>801.6</v>
      </c>
      <c r="DV38" s="18">
        <f>'Total Sunday-Holiday Boardings'!DV38/('Service Days per Month'!DV$6+'Service Days per Month'!DV$7)</f>
        <v>830.5</v>
      </c>
      <c r="DW38" s="18">
        <f>'Total Sunday-Holiday Boardings'!DW38/('Service Days per Month'!DW$6+'Service Days per Month'!DW$7)</f>
        <v>635.6</v>
      </c>
      <c r="DX38" s="18">
        <f>'Total Sunday-Holiday Boardings'!DX38/('Service Days per Month'!DX$6+'Service Days per Month'!DX$7)</f>
        <v>645.79999999999995</v>
      </c>
      <c r="DY38" s="17">
        <f>'Total Sunday-Holiday Boardings'!DY38/('Service Days per Month'!DY$6+'Service Days per Month'!DY$7)</f>
        <v>629.6</v>
      </c>
      <c r="DZ38" s="18">
        <f>'Total Sunday-Holiday Boardings'!DZ38/('Service Days per Month'!DZ$6+'Service Days per Month'!DZ$7)</f>
        <v>603.25</v>
      </c>
      <c r="EA38" s="18">
        <f>'Total Sunday-Holiday Boardings'!EA38/('Service Days per Month'!EA$6+'Service Days per Month'!EA$7)</f>
        <v>754.16666666666663</v>
      </c>
      <c r="EB38" s="18">
        <f>'Total Sunday-Holiday Boardings'!EB38/('Service Days per Month'!EB$6+'Service Days per Month'!EB$7)</f>
        <v>780</v>
      </c>
      <c r="EC38" s="18">
        <f>'Total Sunday-Holiday Boardings'!EC38/('Service Days per Month'!EC$6+'Service Days per Month'!EC$7)</f>
        <v>742</v>
      </c>
      <c r="ED38" s="18">
        <f>'Total Sunday-Holiday Boardings'!ED38/('Service Days per Month'!ED$6+'Service Days per Month'!ED$7)</f>
        <v>635.33333333333337</v>
      </c>
      <c r="EE38" s="18">
        <f>'Total Sunday-Holiday Boardings'!EE38/('Service Days per Month'!EE$6+'Service Days per Month'!EE$7)</f>
        <v>795.75</v>
      </c>
      <c r="EF38" s="18">
        <f>'Total Sunday-Holiday Boardings'!EF38/('Service Days per Month'!EF$6+'Service Days per Month'!EF$7)</f>
        <v>758</v>
      </c>
      <c r="EG38" s="18">
        <f>'Total Sunday-Holiday Boardings'!EG38/('Service Days per Month'!EG$6+'Service Days per Month'!EG$7)</f>
        <v>600</v>
      </c>
      <c r="EH38" s="18">
        <f>'Total Sunday-Holiday Boardings'!EH38/('Service Days per Month'!EH$6+'Service Days per Month'!EH$7)</f>
        <v>281</v>
      </c>
      <c r="EI38" s="18">
        <f>'Total Sunday-Holiday Boardings'!EI38/('Service Days per Month'!EI$6+'Service Days per Month'!EI$7)</f>
        <v>274.83333333333331</v>
      </c>
      <c r="EJ38" s="18">
        <f>'Total Sunday-Holiday Boardings'!EJ38/('Service Days per Month'!EJ$6+'Service Days per Month'!EJ$7)</f>
        <v>253</v>
      </c>
      <c r="EK38" s="17">
        <f>'Total Sunday-Holiday Boardings'!EK38/('Service Days per Month'!EK$6+'Service Days per Month'!EK$7)</f>
        <v>254</v>
      </c>
      <c r="EL38" s="18">
        <f>'Total Sunday-Holiday Boardings'!EL38/('Service Days per Month'!EL$6+'Service Days per Month'!EL$7)</f>
        <v>312.39999999999998</v>
      </c>
      <c r="EM38" s="18">
        <f>'Total Sunday-Holiday Boardings'!EM38/('Service Days per Month'!EM$6+'Service Days per Month'!EM$7)</f>
        <v>343.2</v>
      </c>
      <c r="EN38" s="18">
        <f>'Total Sunday-Holiday Boardings'!EN38/('Service Days per Month'!EN$6+'Service Days per Month'!EN$7)</f>
        <v>334.5</v>
      </c>
      <c r="EO38" s="18">
        <f>'Total Sunday-Holiday Boardings'!EO38/('Service Days per Month'!EO$6+'Service Days per Month'!EO$7)</f>
        <v>241.83333333333334</v>
      </c>
      <c r="EP38" s="18">
        <f>'Total Sunday-Holiday Boardings'!EP38/('Service Days per Month'!EP$6+'Service Days per Month'!EP$7)</f>
        <v>238.4</v>
      </c>
      <c r="EQ38" s="18">
        <f>'Total Sunday-Holiday Boardings'!EQ38/('Service Days per Month'!EQ$6+'Service Days per Month'!EQ$7)</f>
        <v>166.6</v>
      </c>
      <c r="ER38" s="18">
        <f>'Total Sunday-Holiday Boardings'!ER38/('Service Days per Month'!ER$6+'Service Days per Month'!ER$7)</f>
        <v>360</v>
      </c>
      <c r="ES38" s="18">
        <f>'Total Sunday-Holiday Boardings'!ES38/('Service Days per Month'!ES$6+'Service Days per Month'!ES$7)</f>
        <v>378.5</v>
      </c>
      <c r="ET38" s="18">
        <f>'Total Sunday-Holiday Boardings'!ET38/('Service Days per Month'!ET$6+'Service Days per Month'!ET$7)</f>
        <v>340.5</v>
      </c>
      <c r="EU38" s="18">
        <f>'Total Sunday-Holiday Boardings'!EU38/('Service Days per Month'!EU$6+'Service Days per Month'!EU$7)</f>
        <v>330.83333333333331</v>
      </c>
      <c r="EV38" s="18">
        <f>'Total Sunday-Holiday Boardings'!EV38/('Service Days per Month'!EV$6+'Service Days per Month'!EV$7)</f>
        <v>401.5</v>
      </c>
      <c r="EW38" s="17">
        <f>'Total Sunday-Holiday Boardings'!EW38/('Service Days per Month'!EW$6+'Service Days per Month'!EW$7)</f>
        <v>370.4</v>
      </c>
      <c r="EX38" s="18">
        <f>'Total Sunday-Holiday Boardings'!EX38/('Service Days per Month'!EX$6+'Service Days per Month'!EX$7)</f>
        <v>547.4</v>
      </c>
      <c r="EY38" s="18">
        <f>'Total Sunday-Holiday Boardings'!EY38/('Service Days per Month'!EY$6+'Service Days per Month'!EY$7)</f>
        <v>532.4</v>
      </c>
      <c r="EZ38" s="18">
        <f>'Total Sunday-Holiday Boardings'!EZ38/('Service Days per Month'!EZ$6+'Service Days per Month'!EZ$7)</f>
        <v>542.6</v>
      </c>
      <c r="FA38" s="18">
        <f>'Total Sunday-Holiday Boardings'!FA38/('Service Days per Month'!FA$6+'Service Days per Month'!FA$7)</f>
        <v>506.4</v>
      </c>
      <c r="FB38" s="18">
        <f>'Total Sunday-Holiday Boardings'!FB38/('Service Days per Month'!FB$6+'Service Days per Month'!FB$7)</f>
        <v>567.79999999999995</v>
      </c>
      <c r="FC38" s="18">
        <f>'Total Sunday-Holiday Boardings'!FC38/('Service Days per Month'!FC$6+'Service Days per Month'!FC$7)</f>
        <v>496.8</v>
      </c>
      <c r="FD38" s="18">
        <f>'Total Sunday-Holiday Boardings'!FD38/('Service Days per Month'!FD$6+'Service Days per Month'!FD$7)</f>
        <v>595.25</v>
      </c>
      <c r="FE38" s="18">
        <f>'Total Sunday-Holiday Boardings'!FE38/('Service Days per Month'!FE$6+'Service Days per Month'!FE$7)</f>
        <v>675</v>
      </c>
      <c r="FF38" s="18">
        <f>'Total Sunday-Holiday Boardings'!FF38/('Service Days per Month'!FF$6+'Service Days per Month'!FF$7)</f>
        <v>617.75</v>
      </c>
      <c r="FG38" s="18">
        <f>'Total Sunday-Holiday Boardings'!FG38/('Service Days per Month'!FG$6+'Service Days per Month'!FG$7)</f>
        <v>524.33333333333337</v>
      </c>
      <c r="FH38" s="18">
        <f>'Total Sunday-Holiday Boardings'!FH38/('Service Days per Month'!FH$6+'Service Days per Month'!FH$7)</f>
        <v>439.5</v>
      </c>
      <c r="FI38" s="17">
        <v>463.5</v>
      </c>
      <c r="FJ38" s="18">
        <v>283.75</v>
      </c>
      <c r="FK38" s="18">
        <v>317.60000000000002</v>
      </c>
      <c r="FL38" s="18">
        <v>344.8</v>
      </c>
      <c r="FM38" s="18">
        <v>280.60000000000002</v>
      </c>
      <c r="FN38" s="18">
        <v>258</v>
      </c>
      <c r="FO38" s="18">
        <v>368.6</v>
      </c>
      <c r="FP38" s="18">
        <v>659</v>
      </c>
      <c r="FQ38" s="18">
        <v>377</v>
      </c>
      <c r="FR38" s="18">
        <f>'Total Sunday-Holiday Boardings'!FR38/5</f>
        <v>352</v>
      </c>
      <c r="FS38" s="18">
        <f>'Total Sunday-Holiday Boardings'!FS38/5</f>
        <v>302.39999999999998</v>
      </c>
      <c r="FT38" s="21">
        <f>'Total Sunday-Holiday Boardings'!FT38/4</f>
        <v>299</v>
      </c>
      <c r="FU38" s="18">
        <f>'Total Sunday-Holiday Boardings'!FU38/5</f>
        <v>355.4</v>
      </c>
      <c r="FV38" s="18">
        <f>'Total Sunday-Holiday Boardings'!FV38/4</f>
        <v>485.75</v>
      </c>
      <c r="FW38" s="18">
        <f>'Total Sunday-Holiday Boardings'!FW38/4</f>
        <v>475</v>
      </c>
      <c r="FX38" s="18">
        <f>'Total Sunday-Holiday Boardings'!FX38/5</f>
        <v>335.6</v>
      </c>
      <c r="FY38" s="18">
        <f>'Total Sunday-Holiday Boardings'!FY38/4</f>
        <v>396</v>
      </c>
      <c r="FZ38" s="18">
        <f>'Total Sunday-Holiday Boardings'!FZ38/5</f>
        <v>358</v>
      </c>
      <c r="GA38" s="18">
        <f>'Total Sunday-Holiday Boardings'!GA38/4</f>
        <v>479.75</v>
      </c>
      <c r="GB38" s="18">
        <f>'Total Sunday-Holiday Boardings'!GB38/4</f>
        <v>355.25</v>
      </c>
      <c r="GC38" s="18">
        <f>'Total Sunday-Holiday Boardings'!GC38/5</f>
        <v>381</v>
      </c>
      <c r="GD38" s="18">
        <f>'Total Sunday-Holiday Boardings'!GD38/4</f>
        <v>341.25</v>
      </c>
      <c r="GE38" s="18">
        <f>'Total Sunday-Holiday Boardings'!GE38/4</f>
        <v>387.5</v>
      </c>
      <c r="GF38" s="18">
        <f>'Total Sunday-Holiday Boardings'!GF38/5</f>
        <v>272.39999999999998</v>
      </c>
      <c r="GG38" s="18">
        <f>'Total Sunday-Holiday Boardings'!GG38/4</f>
        <v>313.5</v>
      </c>
      <c r="GH38" s="18">
        <f>'Total Sunday-Holiday Boardings'!GH38/4</f>
        <v>322.75</v>
      </c>
      <c r="GI38" s="18">
        <f>'Total Sunday-Holiday Boardings'!GI38/5</f>
        <v>467.6</v>
      </c>
      <c r="GJ38" s="18">
        <f>'Total Sunday-Holiday Boardings'!GJ38/4</f>
        <v>358.75</v>
      </c>
      <c r="GK38" s="18">
        <f>'Total Sunday-Holiday Boardings'!GK38/4</f>
        <v>398.75</v>
      </c>
      <c r="GL38" s="18">
        <f>'Total Sunday-Holiday Boardings'!GL38/5</f>
        <v>345.6</v>
      </c>
    </row>
    <row r="39" spans="1:194" x14ac:dyDescent="0.3">
      <c r="A39" s="3" t="s">
        <v>21</v>
      </c>
      <c r="B39" s="17"/>
      <c r="C39" s="18">
        <f>'Total Sunday-Holiday Boardings'!C39/SUM('Service Days per Month'!C$6:C$7)</f>
        <v>660.6</v>
      </c>
      <c r="D39" s="18">
        <f>'Total Sunday-Holiday Boardings'!D39/SUM('Service Days per Month'!D$6:D$7)</f>
        <v>534.75</v>
      </c>
      <c r="E39" s="18">
        <f>'Total Sunday-Holiday Boardings'!E39/SUM('Service Days per Month'!E$6:E$7)</f>
        <v>461</v>
      </c>
      <c r="F39" s="18">
        <f>'Total Sunday-Holiday Boardings'!F39/SUM('Service Days per Month'!F$6:F$7)</f>
        <v>340.6</v>
      </c>
      <c r="G39" s="18">
        <f>'Total Sunday-Holiday Boardings'!G39/SUM('Service Days per Month'!G$6:G$7)</f>
        <v>343</v>
      </c>
      <c r="H39" s="19">
        <f>'Total Sunday-Holiday Boardings'!H39/SUM('Service Days per Month'!H$6:H$7)</f>
        <v>283.25</v>
      </c>
      <c r="I39" s="17">
        <f>'Total Sunday-Holiday Boardings'!I39/SUM('Service Days per Month'!I$6:I$7)</f>
        <v>448</v>
      </c>
      <c r="J39" s="18">
        <f>'Total Sunday-Holiday Boardings'!J39/SUM('Service Days per Month'!J$6:J$7)</f>
        <v>288.2</v>
      </c>
      <c r="K39" s="18">
        <f>'Total Sunday-Holiday Boardings'!K39/SUM('Service Days per Month'!K$6:K$7)</f>
        <v>367.4</v>
      </c>
      <c r="L39" s="18">
        <f>'Total Sunday-Holiday Boardings'!L39/SUM('Service Days per Month'!L$6:L$7)</f>
        <v>397.25</v>
      </c>
      <c r="M39" s="18">
        <f>'Total Sunday-Holiday Boardings'!M39/SUM('Service Days per Month'!M$6:M$7)</f>
        <v>533.83333333333337</v>
      </c>
      <c r="N39" s="18">
        <f>'Total Sunday-Holiday Boardings'!N39/SUM('Service Days per Month'!N$6:N$7)</f>
        <v>315.60000000000002</v>
      </c>
      <c r="O39" s="79">
        <f>'Total Sunday-Holiday Boardings'!O39/SUM('Service Days per Month'!O$6:O$7)</f>
        <v>452.33333333333331</v>
      </c>
      <c r="P39" s="79">
        <f>'Total Sunday-Holiday Boardings'!P39/SUM('Service Days per Month'!P$6:P$7)</f>
        <v>581.75</v>
      </c>
      <c r="Q39" s="79">
        <f>'Total Sunday-Holiday Boardings'!Q39/SUM('Service Days per Month'!Q$6:Q$7)</f>
        <v>538</v>
      </c>
      <c r="R39" s="79">
        <f>'Total Sunday-Holiday Boardings'!R39/SUM('Service Days per Month'!R$6:R$7)</f>
        <v>454.5</v>
      </c>
      <c r="S39" s="79">
        <f>'Total Sunday-Holiday Boardings'!S39/SUM('Service Days per Month'!S$6:S$7)</f>
        <v>408.83333333333331</v>
      </c>
      <c r="T39" s="80">
        <f>'Total Sunday-Holiday Boardings'!T39/SUM('Service Days per Month'!T$6:T$7)</f>
        <v>350.75</v>
      </c>
      <c r="U39" s="81">
        <f>'Total Sunday-Holiday Boardings'!U39/SUM('Service Days per Month'!U$6:U$7)</f>
        <v>394</v>
      </c>
      <c r="V39" s="79">
        <f>'Total Sunday-Holiday Boardings'!V39/SUM('Service Days per Month'!V$6:V$7)</f>
        <v>426.4</v>
      </c>
      <c r="W39" s="79">
        <f>'Total Sunday-Holiday Boardings'!W39/SUM('Service Days per Month'!W$6:W$7)</f>
        <v>458</v>
      </c>
      <c r="X39" s="79">
        <f>'Total Sunday-Holiday Boardings'!X39/SUM('Service Days per Month'!X$6:X$7)</f>
        <v>1215</v>
      </c>
      <c r="Y39" s="79">
        <f>'Total Sunday-Holiday Boardings'!Y39/SUM('Service Days per Month'!Y$6:Y$7)</f>
        <v>470.14285714285717</v>
      </c>
      <c r="Z39" s="79">
        <f>'Total Sunday-Holiday Boardings'!Z39/SUM('Service Days per Month'!Z$6:Z$7)</f>
        <v>231.28571428571428</v>
      </c>
      <c r="AA39" s="18">
        <f>'Total Sunday-Holiday Boardings'!AA39/SUM('Service Days per Month'!AA$6:AA$7)</f>
        <v>418.66666666666669</v>
      </c>
      <c r="AB39" s="18">
        <f>'Total Sunday-Holiday Boardings'!AB39/SUM('Service Days per Month'!AB$6:AB$7)</f>
        <v>489.6</v>
      </c>
      <c r="AC39" s="18">
        <f>'Total Sunday-Holiday Boardings'!AC39/SUM('Service Days per Month'!AC$6:AC$7)</f>
        <v>488.75</v>
      </c>
      <c r="AD39" s="18">
        <f>'Total Sunday-Holiday Boardings'!AD39/SUM('Service Days per Month'!AD$6:AD$7)</f>
        <v>456.75</v>
      </c>
      <c r="AE39" s="18">
        <f>'Total Sunday-Holiday Boardings'!AE39/SUM('Service Days per Month'!AE$6:AE$7)</f>
        <v>399.5</v>
      </c>
      <c r="AF39" s="19">
        <f>'Total Sunday-Holiday Boardings'!AF39/SUM('Service Days per Month'!AF$6:AF$7)</f>
        <v>326.5</v>
      </c>
      <c r="AG39" s="17">
        <f>'Total Sunday-Holiday Boardings'!AG39/SUM('Service Days per Month'!AG$6:AG$7)</f>
        <v>443.33333333333331</v>
      </c>
      <c r="AH39" s="18">
        <f>'Total Sunday-Holiday Boardings'!AH39/SUM('Service Days per Month'!AH$6:AH$7)</f>
        <v>405.75</v>
      </c>
      <c r="AI39" s="18">
        <f>'Total Sunday-Holiday Boardings'!AI39/SUM('Service Days per Month'!AI$6:AI$7)</f>
        <v>403</v>
      </c>
      <c r="AJ39" s="18">
        <f>'Total Sunday-Holiday Boardings'!AJ39/SUM('Service Days per Month'!AJ$6:AJ$7)</f>
        <v>516.4</v>
      </c>
      <c r="AK39" s="18">
        <f>'Total Sunday-Holiday Boardings'!AK39/SUM('Service Days per Month'!AK$6:AK$7)</f>
        <v>470</v>
      </c>
      <c r="AL39" s="18">
        <f>'Total Sunday-Holiday Boardings'!AL39/SUM('Service Days per Month'!AL$6:AL$7)</f>
        <v>321.16666666666669</v>
      </c>
      <c r="AM39" s="18">
        <f>'Total Sunday-Holiday Boardings'!AM39/SUM('Service Days per Month'!AM$6:AM$7)</f>
        <v>501.14285714285717</v>
      </c>
      <c r="AN39" s="18">
        <f>'Total Sunday-Holiday Boardings'!AN39/SUM('Service Days per Month'!AN$6:AN$7)</f>
        <v>560.6</v>
      </c>
      <c r="AO39" s="18">
        <f>'Total Sunday-Holiday Boardings'!AO39/SUM('Service Days per Month'!AO$6:AO$7)</f>
        <v>524.25</v>
      </c>
      <c r="AP39" s="18">
        <f>'Total Sunday-Holiday Boardings'!AP39/SUM('Service Days per Month'!AP$6:AP$7)</f>
        <v>539.20000000000005</v>
      </c>
      <c r="AQ39" s="18">
        <f>'Total Sunday-Holiday Boardings'!AQ39/SUM('Service Days per Month'!AQ$6:AQ$7)</f>
        <v>499</v>
      </c>
      <c r="AR39" s="19">
        <f>'Total Sunday-Holiday Boardings'!AR39/SUM('Service Days per Month'!AR$6:AR$7)</f>
        <v>458.25</v>
      </c>
      <c r="AS39" s="17">
        <f>'Total Sunday-Holiday Boardings'!AS39/SUM('Service Days per Month'!AS$6:AS$7)</f>
        <v>594.33333333333337</v>
      </c>
      <c r="AT39" s="18">
        <f>'Total Sunday-Holiday Boardings'!AT39/SUM('Service Days per Month'!AT$6:AT$7)</f>
        <v>516.5</v>
      </c>
      <c r="AU39" s="18">
        <f>'Total Sunday-Holiday Boardings'!AU39/SUM('Service Days per Month'!AU$6:AU$7)</f>
        <v>529</v>
      </c>
      <c r="AV39" s="18">
        <f>'Total Sunday-Holiday Boardings'!AV39/SUM('Service Days per Month'!AV$6:AV$7)</f>
        <v>560</v>
      </c>
      <c r="AW39" s="18">
        <f>'Total Sunday-Holiday Boardings'!AW39/SUM('Service Days per Month'!AW$6:AW$7)</f>
        <v>424.14285714285717</v>
      </c>
      <c r="AX39" s="18">
        <f>'Total Sunday-Holiday Boardings'!AX39/SUM('Service Days per Month'!AX$6:AX$7)</f>
        <v>393.14285714285717</v>
      </c>
      <c r="AY39" s="18">
        <f>'Total Sunday-Holiday Boardings'!AY39/SUM('Service Days per Month'!AY$6:AY$7)</f>
        <v>552.5</v>
      </c>
      <c r="AZ39" s="18">
        <f>'Total Sunday-Holiday Boardings'!AZ39/SUM('Service Days per Month'!AZ$6:AZ$7)</f>
        <v>609.79999999999995</v>
      </c>
      <c r="BA39" s="18">
        <f>'Total Sunday-Holiday Boardings'!BA39/SUM('Service Days per Month'!BA$6:BA$7)</f>
        <v>623</v>
      </c>
      <c r="BB39" s="18">
        <f>'Total Sunday-Holiday Boardings'!BB39/SUM('Service Days per Month'!BB$6:BB$7)</f>
        <v>580.5</v>
      </c>
      <c r="BC39" s="18">
        <f>'Total Sunday-Holiday Boardings'!BC39/SUM('Service Days per Month'!BC$6:BC$7)</f>
        <v>536</v>
      </c>
      <c r="BD39" s="19">
        <f>'Total Sunday-Holiday Boardings'!BD39/SUM('Service Days per Month'!BD$6:BD$7)</f>
        <v>451.2</v>
      </c>
      <c r="BE39" s="17">
        <f>'Total Sunday-Holiday Boardings'!BE39/SUM('Service Days per Month'!BE$6:BE$7)</f>
        <v>601.6</v>
      </c>
      <c r="BF39" s="18">
        <f>'Total Sunday-Holiday Boardings'!BF39/SUM('Service Days per Month'!BF$6:BF$7)</f>
        <v>476.75</v>
      </c>
      <c r="BG39" s="18">
        <f>'Total Sunday-Holiday Boardings'!BG39/SUM('Service Days per Month'!BG$6:BG$7)</f>
        <v>523</v>
      </c>
      <c r="BH39" s="18">
        <f>'Total Sunday-Holiday Boardings'!BH39/SUM('Service Days per Month'!BH$6:BH$7)</f>
        <v>577.5</v>
      </c>
      <c r="BI39" s="18">
        <f>'Total Sunday-Holiday Boardings'!BI39/SUM('Service Days per Month'!BI$6:BI$7)</f>
        <v>460.81688498731228</v>
      </c>
      <c r="BJ39" s="18">
        <f>'Total Sunday-Holiday Boardings'!BJ39/SUM('Service Days per Month'!BJ$6:BJ$7)</f>
        <v>506.28571428571428</v>
      </c>
      <c r="BK39" s="18">
        <f>'Total Sunday-Holiday Boardings'!BK39/SUM('Service Days per Month'!BK$6:BK$7)</f>
        <v>640.33333333333337</v>
      </c>
      <c r="BL39" s="18">
        <f>'Total Sunday-Holiday Boardings'!BL39/SUM('Service Days per Month'!BL$6:BL$7)</f>
        <v>667.4</v>
      </c>
      <c r="BM39" s="18">
        <f>'Total Sunday-Holiday Boardings'!BM39/SUM('Service Days per Month'!BM$6:BM$7)</f>
        <v>614.79999999999995</v>
      </c>
      <c r="BN39" s="18">
        <f>'Total Sunday-Holiday Boardings'!BN39/SUM('Service Days per Month'!BN$6:BN$7)</f>
        <v>591</v>
      </c>
      <c r="BO39" s="18">
        <f>'Total Sunday-Holiday Boardings'!BO39/SUM('Service Days per Month'!BO$6:BO$7)</f>
        <v>561.4</v>
      </c>
      <c r="BP39" s="19">
        <f>'Total Sunday-Holiday Boardings'!BP39/SUM('Service Days per Month'!BP$6:BP$7)</f>
        <v>507</v>
      </c>
      <c r="BQ39" s="17">
        <f>'Total Sunday-Holiday Boardings'!BQ39/SUM('Service Days per Month'!BQ$6:BQ$7)</f>
        <v>576.6</v>
      </c>
      <c r="BR39" s="18">
        <f>'Total Sunday-Holiday Boardings'!BR39/SUM('Service Days per Month'!BR$6:BR$7)</f>
        <v>556.4</v>
      </c>
      <c r="BS39" s="18">
        <f>'Total Sunday-Holiday Boardings'!BS39/SUM('Service Days per Month'!BS$6:BS$7)</f>
        <v>610.4</v>
      </c>
      <c r="BT39" s="18">
        <f>'Total Sunday-Holiday Boardings'!BT39/SUM('Service Days per Month'!BT$6:BT$7)</f>
        <v>637.75</v>
      </c>
      <c r="BU39" s="18">
        <f>'Total Sunday-Holiday Boardings'!BU39/SUM('Service Days per Month'!BU$6:BU$7)</f>
        <v>606.625</v>
      </c>
      <c r="BV39" s="18">
        <f>'Total Sunday-Holiday Boardings'!BV39/SUM('Service Days per Month'!BV$6:BV$7)</f>
        <v>486.33333333333331</v>
      </c>
      <c r="BW39" s="18">
        <f>'Total Sunday-Holiday Boardings'!BW39/SUM('Service Days per Month'!BW$6:BW$7)</f>
        <v>607.83333333333337</v>
      </c>
      <c r="BX39" s="18">
        <f>'Total Sunday-Holiday Boardings'!BX39/SUM('Service Days per Month'!BX$6:BX$7)</f>
        <v>713.4</v>
      </c>
      <c r="BY39" s="18">
        <f>'Total Sunday-Holiday Boardings'!BY39/SUM('Service Days per Month'!BY$6:BY$7)</f>
        <v>606.6</v>
      </c>
      <c r="BZ39" s="18">
        <f>'Total Sunday-Holiday Boardings'!BZ39/SUM('Service Days per Month'!BZ$6:BZ$7)</f>
        <v>552.5</v>
      </c>
      <c r="CA39" s="18">
        <f>'Total Sunday-Holiday Boardings'!CA39/SUM('Service Days per Month'!CA$6:CA$7)</f>
        <v>506.83333333333331</v>
      </c>
      <c r="CB39" s="19">
        <f>'Total Sunday-Holiday Boardings'!CB39/SUM('Service Days per Month'!CB$6:CB$7)</f>
        <v>430.75</v>
      </c>
      <c r="CC39" s="20">
        <f>'Total Sunday-Holiday Boardings'!CC39/SUM('Service Days per Month'!CC$6:CC$7)</f>
        <v>449</v>
      </c>
      <c r="CD39" s="18">
        <f>'Total Sunday-Holiday Boardings'!CD39/SUM('Service Days per Month'!CD$6:CD$7)</f>
        <v>449.2</v>
      </c>
      <c r="CE39" s="18">
        <f>'Total Sunday-Holiday Boardings'!CE39/SUM('Service Days per Month'!CE$6:CE$7)</f>
        <v>588.6</v>
      </c>
      <c r="CF39" s="18">
        <f>'Total Sunday-Holiday Boardings'!CF39/SUM('Service Days per Month'!CF$6:CF$7)</f>
        <v>587.75</v>
      </c>
      <c r="CG39" s="18">
        <f>'Total Sunday-Holiday Boardings'!CG39/SUM('Service Days per Month'!CG$6:CG$7)</f>
        <v>539.5</v>
      </c>
      <c r="CH39" s="18">
        <f>'Total Sunday-Holiday Boardings'!CH39/SUM('Service Days per Month'!CH$6:CH$7)</f>
        <v>474.83333333333331</v>
      </c>
      <c r="CI39" s="18">
        <f>'Total Sunday-Holiday Boardings'!CI39/SUM('Service Days per Month'!CI$6:CI$7)</f>
        <v>582.14285714285711</v>
      </c>
      <c r="CJ39" s="18">
        <f>'Total Sunday-Holiday Boardings'!CJ39/SUM('Service Days per Month'!CJ$6:CJ$7)</f>
        <v>583.6</v>
      </c>
      <c r="CK39" s="18">
        <f>'Total Sunday-Holiday Boardings'!CK39/SUM('Service Days per Month'!CK$6:CK$7)</f>
        <v>491.25</v>
      </c>
      <c r="CL39" s="18">
        <f>'Total Sunday-Holiday Boardings'!CL39/SUM('Service Days per Month'!CL$6:CL$7)</f>
        <v>579.5</v>
      </c>
      <c r="CM39" s="18">
        <f>'Total Sunday-Holiday Boardings'!CM39/SUM('Service Days per Month'!CM$6:CM$7)</f>
        <v>496.66666666666669</v>
      </c>
      <c r="CN39" s="21">
        <f>'Total Sunday-Holiday Boardings'!CN39/SUM('Service Days per Month'!CN$6:CN$7)</f>
        <v>502.75</v>
      </c>
      <c r="CO39" s="17">
        <f>'Total Sunday-Holiday Boardings'!CO39/SUM('Service Days per Month'!CO$6:CO$7)</f>
        <v>561.33333333333337</v>
      </c>
      <c r="CP39" s="18">
        <f>'Total Sunday-Holiday Boardings'!CP39/SUM('Service Days per Month'!CP$6:CP$7)</f>
        <v>544.75</v>
      </c>
      <c r="CQ39" s="18">
        <f>'Total Sunday-Holiday Boardings'!CQ39/SUM('Service Days per Month'!CQ$6:CQ$7)</f>
        <v>521.6</v>
      </c>
      <c r="CR39" s="18">
        <f>'Total Sunday-Holiday Boardings'!CR39/SUM('Service Days per Month'!CR$6:CR$7)</f>
        <v>534.20000000000005</v>
      </c>
      <c r="CS39" s="18">
        <f>'Total Sunday-Holiday Boardings'!CS39/SUM('Service Days per Month'!CS$6:CS$7)</f>
        <v>618.14285714285711</v>
      </c>
      <c r="CT39" s="18">
        <f>'Total Sunday-Holiday Boardings'!CT39/SUM('Service Days per Month'!CT$6:CT$7)</f>
        <v>554.5</v>
      </c>
      <c r="CU39" s="18">
        <f>'Total Sunday-Holiday Boardings'!CU39/SUM('Service Days per Month'!CU$6:CU$7)</f>
        <v>532.42857142857144</v>
      </c>
      <c r="CV39" s="18">
        <f>'Total Sunday-Holiday Boardings'!CV39/SUM('Service Days per Month'!CV$6:CV$7)</f>
        <v>559.4</v>
      </c>
      <c r="CW39" s="18">
        <f>'Total Sunday-Holiday Boardings'!CW39/SUM('Service Days per Month'!CW$6:CW$7)</f>
        <v>508</v>
      </c>
      <c r="CX39" s="18">
        <f>'Total Sunday-Holiday Boardings'!CX39/SUM('Service Days per Month'!CX$6:CX$7)</f>
        <v>676.8</v>
      </c>
      <c r="CY39" s="18">
        <f>'Total Sunday-Holiday Boardings'!CY39/SUM('Service Days per Month'!CY$6:CY$7)</f>
        <v>466.8</v>
      </c>
      <c r="CZ39" s="19">
        <f>'Total Sunday-Holiday Boardings'!CZ39/SUM('Service Days per Month'!CZ$6:CZ$7)</f>
        <v>448.75</v>
      </c>
      <c r="DA39" s="17">
        <f>'Total Sunday-Holiday Boardings'!DA39/SUM('Service Days per Month'!DA$6:DA$7)</f>
        <v>520</v>
      </c>
      <c r="DB39" s="18">
        <f>'Total Sunday-Holiday Boardings'!DB39/SUM('Service Days per Month'!DB$6:DB$7)</f>
        <v>491</v>
      </c>
      <c r="DC39" s="18">
        <f>'Total Sunday-Holiday Boardings'!DC39/SUM('Service Days per Month'!DC$6:DC$7)</f>
        <v>479.8</v>
      </c>
      <c r="DD39" s="18">
        <f>'Total Sunday-Holiday Boardings'!DD39/SUM('Service Days per Month'!DD$6:DD$7)</f>
        <v>574.6</v>
      </c>
      <c r="DE39" s="18">
        <f>'Total Sunday-Holiday Boardings'!DE39/SUM('Service Days per Month'!DE$6:DE$7)</f>
        <v>531.28571428571433</v>
      </c>
      <c r="DF39" s="18">
        <f>'Total Sunday-Holiday Boardings'!DF39/SUM('Service Days per Month'!DF$6:DF$7)</f>
        <v>472.16666666666669</v>
      </c>
      <c r="DG39" s="18">
        <f>'Total Sunday-Holiday Boardings'!DG39/SUM('Service Days per Month'!DG$6:DG$7)</f>
        <v>497.16666666666669</v>
      </c>
      <c r="DH39" s="18">
        <f>'Total Sunday-Holiday Boardings'!DH39/SUM('Service Days per Month'!DH$6:DH$7)</f>
        <v>559.6</v>
      </c>
      <c r="DI39" s="18">
        <f>'Total Sunday-Holiday Boardings'!DI39/SUM('Service Days per Month'!DI$6:DI$7)</f>
        <v>529.75</v>
      </c>
      <c r="DJ39" s="18">
        <f>'Total Sunday-Holiday Boardings'!DJ39/SUM('Service Days per Month'!DJ$6:DJ$7)</f>
        <v>475.6</v>
      </c>
      <c r="DK39" s="18">
        <f>'Total Sunday-Holiday Boardings'!DK39/SUM('Service Days per Month'!DK$6:DK$7)</f>
        <v>481.2</v>
      </c>
      <c r="DL39" s="19">
        <f>'Total Sunday-Holiday Boardings'!DL39/SUM('Service Days per Month'!DL$6:DL$7)</f>
        <v>444</v>
      </c>
      <c r="DM39" s="17">
        <f>'Total Sunday-Holiday Boardings'!DM39/('Service Days per Month'!DM$6+'Service Days per Month'!DM$7)</f>
        <v>495.83333333333331</v>
      </c>
      <c r="DN39" s="18">
        <f>'Total Sunday-Holiday Boardings'!DN39/('Service Days per Month'!DN$6+'Service Days per Month'!DN$7)</f>
        <v>446</v>
      </c>
      <c r="DO39" s="18">
        <f>'Total Sunday-Holiday Boardings'!DO39/('Service Days per Month'!DO$6+'Service Days per Month'!DO$7)</f>
        <v>486.16666666666669</v>
      </c>
      <c r="DP39" s="18">
        <f>'Total Sunday-Holiday Boardings'!DP39/('Service Days per Month'!DP$6+'Service Days per Month'!DP$7)</f>
        <v>481.75</v>
      </c>
      <c r="DQ39" s="18">
        <f>'Total Sunday-Holiday Boardings'!DQ39/('Service Days per Month'!DQ$6+'Service Days per Month'!DQ$7)</f>
        <v>468</v>
      </c>
      <c r="DR39" s="18">
        <f>'Total Sunday-Holiday Boardings'!DR39/('Service Days per Month'!DR$6+'Service Days per Month'!DR$7)</f>
        <v>387.5</v>
      </c>
      <c r="DS39" s="18">
        <f>'Total Sunday-Holiday Boardings'!DS39/('Service Days per Month'!DS$6+'Service Days per Month'!DS$7)</f>
        <v>473.8</v>
      </c>
      <c r="DT39" s="18">
        <f>'Total Sunday-Holiday Boardings'!DT39/('Service Days per Month'!DT$6+'Service Days per Month'!DT$7)</f>
        <v>517.75</v>
      </c>
      <c r="DU39" s="18">
        <f>'Total Sunday-Holiday Boardings'!DU39/('Service Days per Month'!DU$6+'Service Days per Month'!DU$7)</f>
        <v>529.4</v>
      </c>
      <c r="DV39" s="18">
        <f>'Total Sunday-Holiday Boardings'!DV39/('Service Days per Month'!DV$6+'Service Days per Month'!DV$7)</f>
        <v>456.25</v>
      </c>
      <c r="DW39" s="18">
        <f>'Total Sunday-Holiday Boardings'!DW39/('Service Days per Month'!DW$6+'Service Days per Month'!DW$7)</f>
        <v>449.8</v>
      </c>
      <c r="DX39" s="18">
        <f>'Total Sunday-Holiday Boardings'!DX39/('Service Days per Month'!DX$6+'Service Days per Month'!DX$7)</f>
        <v>405.6</v>
      </c>
      <c r="DY39" s="17">
        <f>'Total Sunday-Holiday Boardings'!DY39/('Service Days per Month'!DY$6+'Service Days per Month'!DY$7)</f>
        <v>442</v>
      </c>
      <c r="DZ39" s="18">
        <f>'Total Sunday-Holiday Boardings'!DZ39/('Service Days per Month'!DZ$6+'Service Days per Month'!DZ$7)</f>
        <v>440.25</v>
      </c>
      <c r="EA39" s="18">
        <f>'Total Sunday-Holiday Boardings'!EA39/('Service Days per Month'!EA$6+'Service Days per Month'!EA$7)</f>
        <v>461.5</v>
      </c>
      <c r="EB39" s="18">
        <f>'Total Sunday-Holiday Boardings'!EB39/('Service Days per Month'!EB$6+'Service Days per Month'!EB$7)</f>
        <v>518.25</v>
      </c>
      <c r="EC39" s="18">
        <f>'Total Sunday-Holiday Boardings'!EC39/('Service Days per Month'!EC$6+'Service Days per Month'!EC$7)</f>
        <v>490.8</v>
      </c>
      <c r="ED39" s="18">
        <f>'Total Sunday-Holiday Boardings'!ED39/('Service Days per Month'!ED$6+'Service Days per Month'!ED$7)</f>
        <v>451.66666666666669</v>
      </c>
      <c r="EE39" s="18">
        <f>'Total Sunday-Holiday Boardings'!EE39/('Service Days per Month'!EE$6+'Service Days per Month'!EE$7)</f>
        <v>603.25</v>
      </c>
      <c r="EF39" s="18">
        <f>'Total Sunday-Holiday Boardings'!EF39/('Service Days per Month'!EF$6+'Service Days per Month'!EF$7)</f>
        <v>507.5</v>
      </c>
      <c r="EG39" s="18">
        <f>'Total Sunday-Holiday Boardings'!EG39/('Service Days per Month'!EG$6+'Service Days per Month'!EG$7)</f>
        <v>450.2</v>
      </c>
      <c r="EH39" s="18">
        <f>'Total Sunday-Holiday Boardings'!EH39/('Service Days per Month'!EH$6+'Service Days per Month'!EH$7)</f>
        <v>301.5</v>
      </c>
      <c r="EI39" s="18">
        <f>'Total Sunday-Holiday Boardings'!EI39/('Service Days per Month'!EI$6+'Service Days per Month'!EI$7)</f>
        <v>295</v>
      </c>
      <c r="EJ39" s="18">
        <f>'Total Sunday-Holiday Boardings'!EJ39/('Service Days per Month'!EJ$6+'Service Days per Month'!EJ$7)</f>
        <v>278</v>
      </c>
      <c r="EK39" s="17">
        <f>'Total Sunday-Holiday Boardings'!EK39/('Service Days per Month'!EK$6+'Service Days per Month'!EK$7)</f>
        <v>286.8</v>
      </c>
      <c r="EL39" s="18">
        <f>'Total Sunday-Holiday Boardings'!EL39/('Service Days per Month'!EL$6+'Service Days per Month'!EL$7)</f>
        <v>276.60000000000002</v>
      </c>
      <c r="EM39" s="18">
        <f>'Total Sunday-Holiday Boardings'!EM39/('Service Days per Month'!EM$6+'Service Days per Month'!EM$7)</f>
        <v>298</v>
      </c>
      <c r="EN39" s="18">
        <f>'Total Sunday-Holiday Boardings'!EN39/('Service Days per Month'!EN$6+'Service Days per Month'!EN$7)</f>
        <v>289.25</v>
      </c>
      <c r="EO39" s="18">
        <f>'Total Sunday-Holiday Boardings'!EO39/('Service Days per Month'!EO$6+'Service Days per Month'!EO$7)</f>
        <v>154.16666666666666</v>
      </c>
      <c r="EP39" s="18">
        <f>'Total Sunday-Holiday Boardings'!EP39/('Service Days per Month'!EP$6+'Service Days per Month'!EP$7)</f>
        <v>187</v>
      </c>
      <c r="EQ39" s="18">
        <f>'Total Sunday-Holiday Boardings'!EQ39/('Service Days per Month'!EQ$6+'Service Days per Month'!EQ$7)</f>
        <v>127.6</v>
      </c>
      <c r="ER39" s="18">
        <f>'Total Sunday-Holiday Boardings'!ER39/('Service Days per Month'!ER$6+'Service Days per Month'!ER$7)</f>
        <v>264.5</v>
      </c>
      <c r="ES39" s="18">
        <f>'Total Sunday-Holiday Boardings'!ES39/('Service Days per Month'!ES$6+'Service Days per Month'!ES$7)</f>
        <v>259.5</v>
      </c>
      <c r="ET39" s="18">
        <f>'Total Sunday-Holiday Boardings'!ET39/('Service Days per Month'!ET$6+'Service Days per Month'!ET$7)</f>
        <v>240.25</v>
      </c>
      <c r="EU39" s="18">
        <f>'Total Sunday-Holiday Boardings'!EU39/('Service Days per Month'!EU$6+'Service Days per Month'!EU$7)</f>
        <v>227.5</v>
      </c>
      <c r="EV39" s="18">
        <f>'Total Sunday-Holiday Boardings'!EV39/('Service Days per Month'!EV$6+'Service Days per Month'!EV$7)</f>
        <v>273.75</v>
      </c>
      <c r="EW39" s="17">
        <f>'Total Sunday-Holiday Boardings'!EW39/('Service Days per Month'!EW$6+'Service Days per Month'!EW$7)</f>
        <v>242.4</v>
      </c>
      <c r="EX39" s="18">
        <f>'Total Sunday-Holiday Boardings'!EX39/('Service Days per Month'!EX$6+'Service Days per Month'!EX$7)</f>
        <v>375.4</v>
      </c>
      <c r="EY39" s="18">
        <f>'Total Sunday-Holiday Boardings'!EY39/('Service Days per Month'!EY$6+'Service Days per Month'!EY$7)</f>
        <v>287.39999999999998</v>
      </c>
      <c r="EZ39" s="18">
        <f>'Total Sunday-Holiday Boardings'!EZ39/('Service Days per Month'!EZ$6+'Service Days per Month'!EZ$7)</f>
        <v>274.60000000000002</v>
      </c>
      <c r="FA39" s="18">
        <f>'Total Sunday-Holiday Boardings'!FA39/('Service Days per Month'!FA$6+'Service Days per Month'!FA$7)</f>
        <v>246</v>
      </c>
      <c r="FB39" s="18">
        <f>'Total Sunday-Holiday Boardings'!FB39/('Service Days per Month'!FB$6+'Service Days per Month'!FB$7)</f>
        <v>295.8</v>
      </c>
      <c r="FC39" s="18">
        <f>'Total Sunday-Holiday Boardings'!FC39/('Service Days per Month'!FC$6+'Service Days per Month'!FC$7)</f>
        <v>217.6</v>
      </c>
      <c r="FD39" s="18">
        <f>'Total Sunday-Holiday Boardings'!FD39/('Service Days per Month'!FD$6+'Service Days per Month'!FD$7)</f>
        <v>294.75</v>
      </c>
      <c r="FE39" s="18">
        <f>'Total Sunday-Holiday Boardings'!FE39/('Service Days per Month'!FE$6+'Service Days per Month'!FE$7)</f>
        <v>326.25</v>
      </c>
      <c r="FF39" s="18">
        <f>'Total Sunday-Holiday Boardings'!FF39/('Service Days per Month'!FF$6+'Service Days per Month'!FF$7)</f>
        <v>292</v>
      </c>
      <c r="FG39" s="18">
        <f>'Total Sunday-Holiday Boardings'!FG39/('Service Days per Month'!FG$6+'Service Days per Month'!FG$7)</f>
        <v>127.33333333333333</v>
      </c>
      <c r="FH39" s="18">
        <f>'Total Sunday-Holiday Boardings'!FH39/('Service Days per Month'!FH$6+'Service Days per Month'!FH$7)</f>
        <v>240.75</v>
      </c>
      <c r="FI39" s="17">
        <v>268.83333333333331</v>
      </c>
      <c r="FJ39" s="18">
        <v>536.25</v>
      </c>
      <c r="FK39" s="18">
        <v>621.20000000000005</v>
      </c>
      <c r="FL39" s="18">
        <v>633.79999999999995</v>
      </c>
      <c r="FM39" s="18">
        <v>552.20000000000005</v>
      </c>
      <c r="FN39" s="18">
        <v>537</v>
      </c>
      <c r="FO39" s="18">
        <v>719.4</v>
      </c>
      <c r="FP39" s="18">
        <v>364.75</v>
      </c>
      <c r="FQ39" s="18">
        <v>761.25</v>
      </c>
      <c r="FR39" s="18">
        <f>'Total Sunday-Holiday Boardings'!FR39/5</f>
        <v>693.6</v>
      </c>
      <c r="FS39" s="18">
        <f>'Total Sunday-Holiday Boardings'!FS39/5</f>
        <v>650.6</v>
      </c>
      <c r="FT39" s="21">
        <f>'Total Sunday-Holiday Boardings'!FT39/4</f>
        <v>601.75</v>
      </c>
      <c r="FU39" s="18">
        <f>'Total Sunday-Holiday Boardings'!FU39/5</f>
        <v>680.4</v>
      </c>
      <c r="FV39" s="18">
        <f>'Total Sunday-Holiday Boardings'!FV39/4</f>
        <v>902</v>
      </c>
      <c r="FW39" s="18">
        <f>'Total Sunday-Holiday Boardings'!FW39/4</f>
        <v>882.5</v>
      </c>
      <c r="FX39" s="18">
        <f>'Total Sunday-Holiday Boardings'!FX39/5</f>
        <v>759.4</v>
      </c>
      <c r="FY39" s="18">
        <f>'Total Sunday-Holiday Boardings'!FY39/4</f>
        <v>830</v>
      </c>
      <c r="FZ39" s="18">
        <f>'Total Sunday-Holiday Boardings'!FZ39/5</f>
        <v>738.6</v>
      </c>
      <c r="GA39" s="18">
        <f>'Total Sunday-Holiday Boardings'!GA39/4</f>
        <v>1112</v>
      </c>
      <c r="GB39" s="18">
        <f>'Total Sunday-Holiday Boardings'!GB39/4</f>
        <v>803.5</v>
      </c>
      <c r="GC39" s="18">
        <f>'Total Sunday-Holiday Boardings'!GC39/5</f>
        <v>725.8</v>
      </c>
      <c r="GD39" s="18">
        <f>'Total Sunday-Holiday Boardings'!GD39/4</f>
        <v>715</v>
      </c>
      <c r="GE39" s="18">
        <f>'Total Sunday-Holiday Boardings'!GE39/4</f>
        <v>787</v>
      </c>
      <c r="GF39" s="18">
        <f>'Total Sunday-Holiday Boardings'!GF39/5</f>
        <v>587</v>
      </c>
      <c r="GG39" s="18">
        <f>'Total Sunday-Holiday Boardings'!GG39/4</f>
        <v>612</v>
      </c>
      <c r="GH39" s="18">
        <f>'Total Sunday-Holiday Boardings'!GH39/4</f>
        <v>580.25</v>
      </c>
      <c r="GI39" s="18">
        <f>'Total Sunday-Holiday Boardings'!GI39/5</f>
        <v>784.4</v>
      </c>
      <c r="GJ39" s="18">
        <f>'Total Sunday-Holiday Boardings'!GJ39/4</f>
        <v>661.25</v>
      </c>
      <c r="GK39" s="18">
        <f>'Total Sunday-Holiday Boardings'!GK39/4</f>
        <v>723.75</v>
      </c>
      <c r="GL39" s="18">
        <f>'Total Sunday-Holiday Boardings'!GL39/5</f>
        <v>670.8</v>
      </c>
    </row>
    <row r="40" spans="1:194" x14ac:dyDescent="0.3">
      <c r="A40" s="3" t="s">
        <v>22</v>
      </c>
      <c r="B40" s="17"/>
      <c r="C40" s="18">
        <f>'Total Sunday-Holiday Boardings'!C40/SUM('Service Days per Month'!C$6:C$7)</f>
        <v>946.8</v>
      </c>
      <c r="D40" s="18">
        <f>'Total Sunday-Holiday Boardings'!D40/SUM('Service Days per Month'!D$6:D$7)</f>
        <v>680.25</v>
      </c>
      <c r="E40" s="18">
        <f>'Total Sunday-Holiday Boardings'!E40/SUM('Service Days per Month'!E$6:E$7)</f>
        <v>590.79999999999995</v>
      </c>
      <c r="F40" s="18">
        <f>'Total Sunday-Holiday Boardings'!F40/SUM('Service Days per Month'!F$6:F$7)</f>
        <v>485</v>
      </c>
      <c r="G40" s="18">
        <f>'Total Sunday-Holiday Boardings'!G40/SUM('Service Days per Month'!G$6:G$7)</f>
        <v>518.5</v>
      </c>
      <c r="H40" s="19">
        <f>'Total Sunday-Holiday Boardings'!H40/SUM('Service Days per Month'!H$6:H$7)</f>
        <v>408</v>
      </c>
      <c r="I40" s="17">
        <f>'Total Sunday-Holiday Boardings'!I40/SUM('Service Days per Month'!I$6:I$7)</f>
        <v>604.20000000000005</v>
      </c>
      <c r="J40" s="18">
        <f>'Total Sunday-Holiday Boardings'!J40/SUM('Service Days per Month'!J$6:J$7)</f>
        <v>374.8</v>
      </c>
      <c r="K40" s="18">
        <f>'Total Sunday-Holiday Boardings'!K40/SUM('Service Days per Month'!K$6:K$7)</f>
        <v>502.4</v>
      </c>
      <c r="L40" s="18">
        <f>'Total Sunday-Holiday Boardings'!L40/SUM('Service Days per Month'!L$6:L$7)</f>
        <v>477.25</v>
      </c>
      <c r="M40" s="18">
        <f>'Total Sunday-Holiday Boardings'!M40/SUM('Service Days per Month'!M$6:M$7)</f>
        <v>787.66666666666663</v>
      </c>
      <c r="N40" s="18">
        <f>'Total Sunday-Holiday Boardings'!N40/SUM('Service Days per Month'!N$6:N$7)</f>
        <v>402.8</v>
      </c>
      <c r="O40" s="79">
        <f>'Total Sunday-Holiday Boardings'!O40/SUM('Service Days per Month'!O$6:O$7)</f>
        <v>533.66666666666663</v>
      </c>
      <c r="P40" s="79">
        <f>'Total Sunday-Holiday Boardings'!P40/SUM('Service Days per Month'!P$6:P$7)</f>
        <v>741</v>
      </c>
      <c r="Q40" s="79">
        <f>'Total Sunday-Holiday Boardings'!Q40/SUM('Service Days per Month'!Q$6:Q$7)</f>
        <v>684.5</v>
      </c>
      <c r="R40" s="79">
        <f>'Total Sunday-Holiday Boardings'!R40/SUM('Service Days per Month'!R$6:R$7)</f>
        <v>575.5</v>
      </c>
      <c r="S40" s="79">
        <f>'Total Sunday-Holiday Boardings'!S40/SUM('Service Days per Month'!S$6:S$7)</f>
        <v>550.83333333333337</v>
      </c>
      <c r="T40" s="80">
        <f>'Total Sunday-Holiday Boardings'!T40/SUM('Service Days per Month'!T$6:T$7)</f>
        <v>457.25</v>
      </c>
      <c r="U40" s="81">
        <f>'Total Sunday-Holiday Boardings'!U40/SUM('Service Days per Month'!U$6:U$7)</f>
        <v>545.4</v>
      </c>
      <c r="V40" s="79">
        <f>'Total Sunday-Holiday Boardings'!V40/SUM('Service Days per Month'!V$6:V$7)</f>
        <v>460.2</v>
      </c>
      <c r="W40" s="79">
        <f>'Total Sunday-Holiday Boardings'!W40/SUM('Service Days per Month'!W$6:W$7)</f>
        <v>625.6</v>
      </c>
      <c r="X40" s="79">
        <f>'Total Sunday-Holiday Boardings'!X40/SUM('Service Days per Month'!X$6:X$7)</f>
        <v>575.4</v>
      </c>
      <c r="Y40" s="79">
        <f>'Total Sunday-Holiday Boardings'!Y40/SUM('Service Days per Month'!Y$6:Y$7)</f>
        <v>692.42857142857144</v>
      </c>
      <c r="Z40" s="79">
        <f>'Total Sunday-Holiday Boardings'!Z40/SUM('Service Days per Month'!Z$6:Z$7)</f>
        <v>340.71428571428572</v>
      </c>
      <c r="AA40" s="18">
        <f>'Total Sunday-Holiday Boardings'!AA40/SUM('Service Days per Month'!AA$6:AA$7)</f>
        <v>564.83333333333337</v>
      </c>
      <c r="AB40" s="18">
        <f>'Total Sunday-Holiday Boardings'!AB40/SUM('Service Days per Month'!AB$6:AB$7)</f>
        <v>795</v>
      </c>
      <c r="AC40" s="18">
        <f>'Total Sunday-Holiday Boardings'!AC40/SUM('Service Days per Month'!AC$6:AC$7)</f>
        <v>769.5</v>
      </c>
      <c r="AD40" s="18">
        <f>'Total Sunday-Holiday Boardings'!AD40/SUM('Service Days per Month'!AD$6:AD$7)</f>
        <v>668.25</v>
      </c>
      <c r="AE40" s="18">
        <f>'Total Sunday-Holiday Boardings'!AE40/SUM('Service Days per Month'!AE$6:AE$7)</f>
        <v>634</v>
      </c>
      <c r="AF40" s="19">
        <f>'Total Sunday-Holiday Boardings'!AF40/SUM('Service Days per Month'!AF$6:AF$7)</f>
        <v>490.5</v>
      </c>
      <c r="AG40" s="17">
        <f>'Total Sunday-Holiday Boardings'!AG40/SUM('Service Days per Month'!AG$6:AG$7)</f>
        <v>746.83333333333337</v>
      </c>
      <c r="AH40" s="18">
        <f>'Total Sunday-Holiday Boardings'!AH40/SUM('Service Days per Month'!AH$6:AH$7)</f>
        <v>610.75</v>
      </c>
      <c r="AI40" s="18">
        <f>'Total Sunday-Holiday Boardings'!AI40/SUM('Service Days per Month'!AI$6:AI$7)</f>
        <v>633.4</v>
      </c>
      <c r="AJ40" s="18">
        <f>'Total Sunday-Holiday Boardings'!AJ40/SUM('Service Days per Month'!AJ$6:AJ$7)</f>
        <v>765</v>
      </c>
      <c r="AK40" s="18">
        <f>'Total Sunday-Holiday Boardings'!AK40/SUM('Service Days per Month'!AK$6:AK$7)</f>
        <v>722.71428571428567</v>
      </c>
      <c r="AL40" s="18">
        <f>'Total Sunday-Holiday Boardings'!AL40/SUM('Service Days per Month'!AL$6:AL$7)</f>
        <v>469.33333333333331</v>
      </c>
      <c r="AM40" s="18">
        <f>'Total Sunday-Holiday Boardings'!AM40/SUM('Service Days per Month'!AM$6:AM$7)</f>
        <v>796.42857142857144</v>
      </c>
      <c r="AN40" s="18">
        <f>'Total Sunday-Holiday Boardings'!AN40/SUM('Service Days per Month'!AN$6:AN$7)</f>
        <v>979.4</v>
      </c>
      <c r="AO40" s="18">
        <f>'Total Sunday-Holiday Boardings'!AO40/SUM('Service Days per Month'!AO$6:AO$7)</f>
        <v>744.5</v>
      </c>
      <c r="AP40" s="18">
        <f>'Total Sunday-Holiday Boardings'!AP40/SUM('Service Days per Month'!AP$6:AP$7)</f>
        <v>820.4</v>
      </c>
      <c r="AQ40" s="18">
        <f>'Total Sunday-Holiday Boardings'!AQ40/SUM('Service Days per Month'!AQ$6:AQ$7)</f>
        <v>704.8</v>
      </c>
      <c r="AR40" s="19">
        <f>'Total Sunday-Holiday Boardings'!AR40/SUM('Service Days per Month'!AR$6:AR$7)</f>
        <v>629.25</v>
      </c>
      <c r="AS40" s="17">
        <f>'Total Sunday-Holiday Boardings'!AS40/SUM('Service Days per Month'!AS$6:AS$7)</f>
        <v>781.33333333333337</v>
      </c>
      <c r="AT40" s="18">
        <f>'Total Sunday-Holiday Boardings'!AT40/SUM('Service Days per Month'!AT$6:AT$7)</f>
        <v>660.25</v>
      </c>
      <c r="AU40" s="18">
        <f>'Total Sunday-Holiday Boardings'!AU40/SUM('Service Days per Month'!AU$6:AU$7)</f>
        <v>775</v>
      </c>
      <c r="AV40" s="18">
        <f>'Total Sunday-Holiday Boardings'!AV40/SUM('Service Days per Month'!AV$6:AV$7)</f>
        <v>864.25</v>
      </c>
      <c r="AW40" s="18">
        <f>'Total Sunday-Holiday Boardings'!AW40/SUM('Service Days per Month'!AW$6:AW$7)</f>
        <v>645</v>
      </c>
      <c r="AX40" s="18">
        <f>'Total Sunday-Holiday Boardings'!AX40/SUM('Service Days per Month'!AX$6:AX$7)</f>
        <v>641.42857142857144</v>
      </c>
      <c r="AY40" s="18">
        <f>'Total Sunday-Holiday Boardings'!AY40/SUM('Service Days per Month'!AY$6:AY$7)</f>
        <v>846.33333333333337</v>
      </c>
      <c r="AZ40" s="18">
        <f>'Total Sunday-Holiday Boardings'!AZ40/SUM('Service Days per Month'!AZ$6:AZ$7)</f>
        <v>964</v>
      </c>
      <c r="BA40" s="18">
        <f>'Total Sunday-Holiday Boardings'!BA40/SUM('Service Days per Month'!BA$6:BA$7)</f>
        <v>874.2</v>
      </c>
      <c r="BB40" s="18">
        <f>'Total Sunday-Holiday Boardings'!BB40/SUM('Service Days per Month'!BB$6:BB$7)</f>
        <v>921.75</v>
      </c>
      <c r="BC40" s="18">
        <f>'Total Sunday-Holiday Boardings'!BC40/SUM('Service Days per Month'!BC$6:BC$7)</f>
        <v>796.8</v>
      </c>
      <c r="BD40" s="19">
        <f>'Total Sunday-Holiday Boardings'!BD40/SUM('Service Days per Month'!BD$6:BD$7)</f>
        <v>664.4</v>
      </c>
      <c r="BE40" s="17">
        <f>'Total Sunday-Holiday Boardings'!BE40/SUM('Service Days per Month'!BE$6:BE$7)</f>
        <v>825</v>
      </c>
      <c r="BF40" s="18">
        <f>'Total Sunday-Holiday Boardings'!BF40/SUM('Service Days per Month'!BF$6:BF$7)</f>
        <v>593.75</v>
      </c>
      <c r="BG40" s="18">
        <f>'Total Sunday-Holiday Boardings'!BG40/SUM('Service Days per Month'!BG$6:BG$7)</f>
        <v>752.66666666666663</v>
      </c>
      <c r="BH40" s="18">
        <f>'Total Sunday-Holiday Boardings'!BH40/SUM('Service Days per Month'!BH$6:BH$7)</f>
        <v>836.75</v>
      </c>
      <c r="BI40" s="18">
        <f>'Total Sunday-Holiday Boardings'!BI40/SUM('Service Days per Month'!BI$6:BI$7)</f>
        <v>701.21809203758312</v>
      </c>
      <c r="BJ40" s="18">
        <f>'Total Sunday-Holiday Boardings'!BJ40/SUM('Service Days per Month'!BJ$6:BJ$7)</f>
        <v>731.71428571428567</v>
      </c>
      <c r="BK40" s="18">
        <f>'Total Sunday-Holiday Boardings'!BK40/SUM('Service Days per Month'!BK$6:BK$7)</f>
        <v>857.5</v>
      </c>
      <c r="BL40" s="18">
        <f>'Total Sunday-Holiday Boardings'!BL40/SUM('Service Days per Month'!BL$6:BL$7)</f>
        <v>974</v>
      </c>
      <c r="BM40" s="18">
        <f>'Total Sunday-Holiday Boardings'!BM40/SUM('Service Days per Month'!BM$6:BM$7)</f>
        <v>914</v>
      </c>
      <c r="BN40" s="18">
        <f>'Total Sunday-Holiday Boardings'!BN40/SUM('Service Days per Month'!BN$6:BN$7)</f>
        <v>842.5</v>
      </c>
      <c r="BO40" s="18">
        <f>'Total Sunday-Holiday Boardings'!BO40/SUM('Service Days per Month'!BO$6:BO$7)</f>
        <v>759</v>
      </c>
      <c r="BP40" s="19">
        <f>'Total Sunday-Holiday Boardings'!BP40/SUM('Service Days per Month'!BP$6:BP$7)</f>
        <v>761.8</v>
      </c>
      <c r="BQ40" s="17">
        <f>'Total Sunday-Holiday Boardings'!BQ40/SUM('Service Days per Month'!BQ$6:BQ$7)</f>
        <v>796.6</v>
      </c>
      <c r="BR40" s="18">
        <f>'Total Sunday-Holiday Boardings'!BR40/SUM('Service Days per Month'!BR$6:BR$7)</f>
        <v>764.2</v>
      </c>
      <c r="BS40" s="18">
        <f>'Total Sunday-Holiday Boardings'!BS40/SUM('Service Days per Month'!BS$6:BS$7)</f>
        <v>806.8</v>
      </c>
      <c r="BT40" s="18">
        <f>'Total Sunday-Holiday Boardings'!BT40/SUM('Service Days per Month'!BT$6:BT$7)</f>
        <v>854.5</v>
      </c>
      <c r="BU40" s="18">
        <f>'Total Sunday-Holiday Boardings'!BU40/SUM('Service Days per Month'!BU$6:BU$7)</f>
        <v>871.5</v>
      </c>
      <c r="BV40" s="18">
        <f>'Total Sunday-Holiday Boardings'!BV40/SUM('Service Days per Month'!BV$6:BV$7)</f>
        <v>724.66666666666663</v>
      </c>
      <c r="BW40" s="18">
        <f>'Total Sunday-Holiday Boardings'!BW40/SUM('Service Days per Month'!BW$6:BW$7)</f>
        <v>885.66666666666663</v>
      </c>
      <c r="BX40" s="18">
        <f>'Total Sunday-Holiday Boardings'!BX40/SUM('Service Days per Month'!BX$6:BX$7)</f>
        <v>1052.5999999999999</v>
      </c>
      <c r="BY40" s="18">
        <f>'Total Sunday-Holiday Boardings'!BY40/SUM('Service Days per Month'!BY$6:BY$7)</f>
        <v>869.8</v>
      </c>
      <c r="BZ40" s="18">
        <f>'Total Sunday-Holiday Boardings'!BZ40/SUM('Service Days per Month'!BZ$6:BZ$7)</f>
        <v>791.75</v>
      </c>
      <c r="CA40" s="18">
        <f>'Total Sunday-Holiday Boardings'!CA40/SUM('Service Days per Month'!CA$6:CA$7)</f>
        <v>774.66666666666663</v>
      </c>
      <c r="CB40" s="19">
        <f>'Total Sunday-Holiday Boardings'!CB40/SUM('Service Days per Month'!CB$6:CB$7)</f>
        <v>689.75</v>
      </c>
      <c r="CC40" s="20">
        <f>'Total Sunday-Holiday Boardings'!CC40/SUM('Service Days per Month'!CC$6:CC$7)</f>
        <v>694.8</v>
      </c>
      <c r="CD40" s="18">
        <f>'Total Sunday-Holiday Boardings'!CD40/SUM('Service Days per Month'!CD$6:CD$7)</f>
        <v>723.8</v>
      </c>
      <c r="CE40" s="18">
        <f>'Total Sunday-Holiday Boardings'!CE40/SUM('Service Days per Month'!CE$6:CE$7)</f>
        <v>966.2</v>
      </c>
      <c r="CF40" s="18">
        <f>'Total Sunday-Holiday Boardings'!CF40/SUM('Service Days per Month'!CF$6:CF$7)</f>
        <v>892.25</v>
      </c>
      <c r="CG40" s="18">
        <f>'Total Sunday-Holiday Boardings'!CG40/SUM('Service Days per Month'!CG$6:CG$7)</f>
        <v>883</v>
      </c>
      <c r="CH40" s="18">
        <f>'Total Sunday-Holiday Boardings'!CH40/SUM('Service Days per Month'!CH$6:CH$7)</f>
        <v>790.5</v>
      </c>
      <c r="CI40" s="18">
        <f>'Total Sunday-Holiday Boardings'!CI40/SUM('Service Days per Month'!CI$6:CI$7)</f>
        <v>884.14285714285711</v>
      </c>
      <c r="CJ40" s="18">
        <f>'Total Sunday-Holiday Boardings'!CJ40/SUM('Service Days per Month'!CJ$6:CJ$7)</f>
        <v>1026.2</v>
      </c>
      <c r="CK40" s="18">
        <f>'Total Sunday-Holiday Boardings'!CK40/SUM('Service Days per Month'!CK$6:CK$7)</f>
        <v>865.75</v>
      </c>
      <c r="CL40" s="18">
        <f>'Total Sunday-Holiday Boardings'!CL40/SUM('Service Days per Month'!CL$6:CL$7)</f>
        <v>970.5</v>
      </c>
      <c r="CM40" s="18">
        <f>'Total Sunday-Holiday Boardings'!CM40/SUM('Service Days per Month'!CM$6:CM$7)</f>
        <v>857.5</v>
      </c>
      <c r="CN40" s="21">
        <f>'Total Sunday-Holiday Boardings'!CN40/SUM('Service Days per Month'!CN$6:CN$7)</f>
        <v>775.25</v>
      </c>
      <c r="CO40" s="17">
        <f>'Total Sunday-Holiday Boardings'!CO40/SUM('Service Days per Month'!CO$6:CO$7)</f>
        <v>802.5</v>
      </c>
      <c r="CP40" s="18">
        <f>'Total Sunday-Holiday Boardings'!CP40/SUM('Service Days per Month'!CP$6:CP$7)</f>
        <v>844.25</v>
      </c>
      <c r="CQ40" s="18">
        <f>'Total Sunday-Holiday Boardings'!CQ40/SUM('Service Days per Month'!CQ$6:CQ$7)</f>
        <v>794</v>
      </c>
      <c r="CR40" s="18">
        <f>'Total Sunday-Holiday Boardings'!CR40/SUM('Service Days per Month'!CR$6:CR$7)</f>
        <v>818.8</v>
      </c>
      <c r="CS40" s="18">
        <f>'Total Sunday-Holiday Boardings'!CS40/SUM('Service Days per Month'!CS$6:CS$7)</f>
        <v>1059.7142857142858</v>
      </c>
      <c r="CT40" s="18">
        <f>'Total Sunday-Holiday Boardings'!CT40/SUM('Service Days per Month'!CT$6:CT$7)</f>
        <v>928.5</v>
      </c>
      <c r="CU40" s="18">
        <f>'Total Sunday-Holiday Boardings'!CU40/SUM('Service Days per Month'!CU$6:CU$7)</f>
        <v>879.42857142857144</v>
      </c>
      <c r="CV40" s="18">
        <f>'Total Sunday-Holiday Boardings'!CV40/SUM('Service Days per Month'!CV$6:CV$7)</f>
        <v>975.2</v>
      </c>
      <c r="CW40" s="18">
        <f>'Total Sunday-Holiday Boardings'!CW40/SUM('Service Days per Month'!CW$6:CW$7)</f>
        <v>849</v>
      </c>
      <c r="CX40" s="18">
        <f>'Total Sunday-Holiday Boardings'!CX40/SUM('Service Days per Month'!CX$6:CX$7)</f>
        <v>1097.2</v>
      </c>
      <c r="CY40" s="18">
        <f>'Total Sunday-Holiday Boardings'!CY40/SUM('Service Days per Month'!CY$6:CY$7)</f>
        <v>812.6</v>
      </c>
      <c r="CZ40" s="19">
        <f>'Total Sunday-Holiday Boardings'!CZ40/SUM('Service Days per Month'!CZ$6:CZ$7)</f>
        <v>727.25</v>
      </c>
      <c r="DA40" s="17">
        <f>'Total Sunday-Holiday Boardings'!DA40/SUM('Service Days per Month'!DA$6:DA$7)</f>
        <v>758.16666666666663</v>
      </c>
      <c r="DB40" s="18">
        <f>'Total Sunday-Holiday Boardings'!DB40/SUM('Service Days per Month'!DB$6:DB$7)</f>
        <v>803.25</v>
      </c>
      <c r="DC40" s="18">
        <f>'Total Sunday-Holiday Boardings'!DC40/SUM('Service Days per Month'!DC$6:DC$7)</f>
        <v>784.2</v>
      </c>
      <c r="DD40" s="18">
        <f>'Total Sunday-Holiday Boardings'!DD40/SUM('Service Days per Month'!DD$6:DD$7)</f>
        <v>792.6</v>
      </c>
      <c r="DE40" s="18">
        <f>'Total Sunday-Holiday Boardings'!DE40/SUM('Service Days per Month'!DE$6:DE$7)</f>
        <v>840.14285714285711</v>
      </c>
      <c r="DF40" s="18">
        <f>'Total Sunday-Holiday Boardings'!DF40/SUM('Service Days per Month'!DF$6:DF$7)</f>
        <v>724</v>
      </c>
      <c r="DG40" s="18">
        <f>'Total Sunday-Holiday Boardings'!DG40/SUM('Service Days per Month'!DG$6:DG$7)</f>
        <v>808.33333333333337</v>
      </c>
      <c r="DH40" s="18">
        <f>'Total Sunday-Holiday Boardings'!DH40/SUM('Service Days per Month'!DH$6:DH$7)</f>
        <v>863.4</v>
      </c>
      <c r="DI40" s="18">
        <f>'Total Sunday-Holiday Boardings'!DI40/SUM('Service Days per Month'!DI$6:DI$7)</f>
        <v>843.5</v>
      </c>
      <c r="DJ40" s="18">
        <f>'Total Sunday-Holiday Boardings'!DJ40/SUM('Service Days per Month'!DJ$6:DJ$7)</f>
        <v>757.6</v>
      </c>
      <c r="DK40" s="18">
        <f>'Total Sunday-Holiday Boardings'!DK40/SUM('Service Days per Month'!DK$6:DK$7)</f>
        <v>775.8</v>
      </c>
      <c r="DL40" s="19">
        <f>'Total Sunday-Holiday Boardings'!DL40/SUM('Service Days per Month'!DL$6:DL$7)</f>
        <v>701.75</v>
      </c>
      <c r="DM40" s="17">
        <f>'Total Sunday-Holiday Boardings'!DM40/('Service Days per Month'!DM$6+'Service Days per Month'!DM$7)</f>
        <v>731.66666666666663</v>
      </c>
      <c r="DN40" s="18">
        <f>'Total Sunday-Holiday Boardings'!DN40/('Service Days per Month'!DN$6+'Service Days per Month'!DN$7)</f>
        <v>700</v>
      </c>
      <c r="DO40" s="18">
        <f>'Total Sunday-Holiday Boardings'!DO40/('Service Days per Month'!DO$6+'Service Days per Month'!DO$7)</f>
        <v>733.5</v>
      </c>
      <c r="DP40" s="18">
        <f>'Total Sunday-Holiday Boardings'!DP40/('Service Days per Month'!DP$6+'Service Days per Month'!DP$7)</f>
        <v>774.25</v>
      </c>
      <c r="DQ40" s="18">
        <f>'Total Sunday-Holiday Boardings'!DQ40/('Service Days per Month'!DQ$6+'Service Days per Month'!DQ$7)</f>
        <v>699</v>
      </c>
      <c r="DR40" s="18">
        <f>'Total Sunday-Holiday Boardings'!DR40/('Service Days per Month'!DR$6+'Service Days per Month'!DR$7)</f>
        <v>649</v>
      </c>
      <c r="DS40" s="18">
        <f>'Total Sunday-Holiday Boardings'!DS40/('Service Days per Month'!DS$6+'Service Days per Month'!DS$7)</f>
        <v>691.4</v>
      </c>
      <c r="DT40" s="18">
        <f>'Total Sunday-Holiday Boardings'!DT40/('Service Days per Month'!DT$6+'Service Days per Month'!DT$7)</f>
        <v>741.75</v>
      </c>
      <c r="DU40" s="18">
        <f>'Total Sunday-Holiday Boardings'!DU40/('Service Days per Month'!DU$6+'Service Days per Month'!DU$7)</f>
        <v>813.4</v>
      </c>
      <c r="DV40" s="18">
        <f>'Total Sunday-Holiday Boardings'!DV40/('Service Days per Month'!DV$6+'Service Days per Month'!DV$7)</f>
        <v>794.5</v>
      </c>
      <c r="DW40" s="18">
        <f>'Total Sunday-Holiday Boardings'!DW40/('Service Days per Month'!DW$6+'Service Days per Month'!DW$7)</f>
        <v>703.2</v>
      </c>
      <c r="DX40" s="18">
        <f>'Total Sunday-Holiday Boardings'!DX40/('Service Days per Month'!DX$6+'Service Days per Month'!DX$7)</f>
        <v>621</v>
      </c>
      <c r="DY40" s="17">
        <f>'Total Sunday-Holiday Boardings'!DY40/('Service Days per Month'!DY$6+'Service Days per Month'!DY$7)</f>
        <v>714</v>
      </c>
      <c r="DZ40" s="18">
        <f>'Total Sunday-Holiday Boardings'!DZ40/('Service Days per Month'!DZ$6+'Service Days per Month'!DZ$7)</f>
        <v>650.5</v>
      </c>
      <c r="EA40" s="18">
        <f>'Total Sunday-Holiday Boardings'!EA40/('Service Days per Month'!EA$6+'Service Days per Month'!EA$7)</f>
        <v>719</v>
      </c>
      <c r="EB40" s="18">
        <f>'Total Sunday-Holiday Boardings'!EB40/('Service Days per Month'!EB$6+'Service Days per Month'!EB$7)</f>
        <v>752</v>
      </c>
      <c r="EC40" s="18">
        <f>'Total Sunday-Holiday Boardings'!EC40/('Service Days per Month'!EC$6+'Service Days per Month'!EC$7)</f>
        <v>741.6</v>
      </c>
      <c r="ED40" s="18">
        <f>'Total Sunday-Holiday Boardings'!ED40/('Service Days per Month'!ED$6+'Service Days per Month'!ED$7)</f>
        <v>605.5</v>
      </c>
      <c r="EE40" s="18">
        <f>'Total Sunday-Holiday Boardings'!EE40/('Service Days per Month'!EE$6+'Service Days per Month'!EE$7)</f>
        <v>851</v>
      </c>
      <c r="EF40" s="18">
        <f>'Total Sunday-Holiday Boardings'!EF40/('Service Days per Month'!EF$6+'Service Days per Month'!EF$7)</f>
        <v>771.5</v>
      </c>
      <c r="EG40" s="18">
        <f>'Total Sunday-Holiday Boardings'!EG40/('Service Days per Month'!EG$6+'Service Days per Month'!EG$7)</f>
        <v>645.20000000000005</v>
      </c>
      <c r="EH40" s="18">
        <f>'Total Sunday-Holiday Boardings'!EH40/('Service Days per Month'!EH$6+'Service Days per Month'!EH$7)</f>
        <v>377.75</v>
      </c>
      <c r="EI40" s="18">
        <f>'Total Sunday-Holiday Boardings'!EI40/('Service Days per Month'!EI$6+'Service Days per Month'!EI$7)</f>
        <v>376.33333333333331</v>
      </c>
      <c r="EJ40" s="18">
        <f>'Total Sunday-Holiday Boardings'!EJ40/('Service Days per Month'!EJ$6+'Service Days per Month'!EJ$7)</f>
        <v>373</v>
      </c>
      <c r="EK40" s="17">
        <f>'Total Sunday-Holiday Boardings'!EK40/('Service Days per Month'!EK$6+'Service Days per Month'!EK$7)</f>
        <v>360.4</v>
      </c>
      <c r="EL40" s="18">
        <f>'Total Sunday-Holiday Boardings'!EL40/('Service Days per Month'!EL$6+'Service Days per Month'!EL$7)</f>
        <v>342.6</v>
      </c>
      <c r="EM40" s="18">
        <f>'Total Sunday-Holiday Boardings'!EM40/('Service Days per Month'!EM$6+'Service Days per Month'!EM$7)</f>
        <v>377.4</v>
      </c>
      <c r="EN40" s="18">
        <f>'Total Sunday-Holiday Boardings'!EN40/('Service Days per Month'!EN$6+'Service Days per Month'!EN$7)</f>
        <v>406.25</v>
      </c>
      <c r="EO40" s="18">
        <f>'Total Sunday-Holiday Boardings'!EO40/('Service Days per Month'!EO$6+'Service Days per Month'!EO$7)</f>
        <v>246.16666666666666</v>
      </c>
      <c r="EP40" s="18">
        <f>'Total Sunday-Holiday Boardings'!EP40/('Service Days per Month'!EP$6+'Service Days per Month'!EP$7)</f>
        <v>272.8</v>
      </c>
      <c r="EQ40" s="18">
        <f>'Total Sunday-Holiday Boardings'!EQ40/('Service Days per Month'!EQ$6+'Service Days per Month'!EQ$7)</f>
        <v>191.6</v>
      </c>
      <c r="ER40" s="18">
        <f>'Total Sunday-Holiday Boardings'!ER40/('Service Days per Month'!ER$6+'Service Days per Month'!ER$7)</f>
        <v>412</v>
      </c>
      <c r="ES40" s="18">
        <f>'Total Sunday-Holiday Boardings'!ES40/('Service Days per Month'!ES$6+'Service Days per Month'!ES$7)</f>
        <v>366.75</v>
      </c>
      <c r="ET40" s="18">
        <f>'Total Sunday-Holiday Boardings'!ET40/('Service Days per Month'!ET$6+'Service Days per Month'!ET$7)</f>
        <v>376</v>
      </c>
      <c r="EU40" s="18">
        <f>'Total Sunday-Holiday Boardings'!EU40/('Service Days per Month'!EU$6+'Service Days per Month'!EU$7)</f>
        <v>317.66666666666669</v>
      </c>
      <c r="EV40" s="18">
        <f>'Total Sunday-Holiday Boardings'!EV40/('Service Days per Month'!EV$6+'Service Days per Month'!EV$7)</f>
        <v>389.75</v>
      </c>
      <c r="EW40" s="17">
        <f>'Total Sunday-Holiday Boardings'!EW40/('Service Days per Month'!EW$6+'Service Days per Month'!EW$7)</f>
        <v>373</v>
      </c>
      <c r="EX40" s="18">
        <f>'Total Sunday-Holiday Boardings'!EX40/('Service Days per Month'!EX$6+'Service Days per Month'!EX$7)</f>
        <v>456.2</v>
      </c>
      <c r="EY40" s="18">
        <f>'Total Sunday-Holiday Boardings'!EY40/('Service Days per Month'!EY$6+'Service Days per Month'!EY$7)</f>
        <v>421.4</v>
      </c>
      <c r="EZ40" s="18">
        <f>'Total Sunday-Holiday Boardings'!EZ40/('Service Days per Month'!EZ$6+'Service Days per Month'!EZ$7)</f>
        <v>421.2</v>
      </c>
      <c r="FA40" s="18">
        <f>'Total Sunday-Holiday Boardings'!FA40/('Service Days per Month'!FA$6+'Service Days per Month'!FA$7)</f>
        <v>394.6</v>
      </c>
      <c r="FB40" s="18">
        <f>'Total Sunday-Holiday Boardings'!FB40/('Service Days per Month'!FB$6+'Service Days per Month'!FB$7)</f>
        <v>516.20000000000005</v>
      </c>
      <c r="FC40" s="18">
        <f>'Total Sunday-Holiday Boardings'!FC40/('Service Days per Month'!FC$6+'Service Days per Month'!FC$7)</f>
        <v>380.8</v>
      </c>
      <c r="FD40" s="18">
        <f>'Total Sunday-Holiday Boardings'!FD40/('Service Days per Month'!FD$6+'Service Days per Month'!FD$7)</f>
        <v>547.25</v>
      </c>
      <c r="FE40" s="18">
        <f>'Total Sunday-Holiday Boardings'!FE40/('Service Days per Month'!FE$6+'Service Days per Month'!FE$7)</f>
        <v>538.5</v>
      </c>
      <c r="FF40" s="18">
        <f>'Total Sunday-Holiday Boardings'!FF40/('Service Days per Month'!FF$6+'Service Days per Month'!FF$7)</f>
        <v>534</v>
      </c>
      <c r="FG40" s="18">
        <f>'Total Sunday-Holiday Boardings'!FG40/('Service Days per Month'!FG$6+'Service Days per Month'!FG$7)</f>
        <v>509.33333333333331</v>
      </c>
      <c r="FH40" s="18">
        <f>'Total Sunday-Holiday Boardings'!FH40/('Service Days per Month'!FH$6+'Service Days per Month'!FH$7)</f>
        <v>457.5</v>
      </c>
      <c r="FI40" s="17">
        <v>448.83333333333331</v>
      </c>
      <c r="FJ40" s="18">
        <v>498</v>
      </c>
      <c r="FK40" s="18">
        <v>598.6</v>
      </c>
      <c r="FL40" s="18">
        <v>572.6</v>
      </c>
      <c r="FM40" s="18">
        <v>518.6</v>
      </c>
      <c r="FN40" s="18">
        <v>522.79999999999995</v>
      </c>
      <c r="FO40" s="18">
        <v>703.6</v>
      </c>
      <c r="FP40" s="18">
        <v>582.25</v>
      </c>
      <c r="FQ40" s="18">
        <v>613.75</v>
      </c>
      <c r="FR40" s="18">
        <f>'Total Sunday-Holiday Boardings'!FR40/5</f>
        <v>627.4</v>
      </c>
      <c r="FS40" s="18">
        <f>'Total Sunday-Holiday Boardings'!FS40/5</f>
        <v>556.79999999999995</v>
      </c>
      <c r="FT40" s="21">
        <f>'Total Sunday-Holiday Boardings'!FT40/4</f>
        <v>536.25</v>
      </c>
      <c r="FU40" s="18">
        <f>'Total Sunday-Holiday Boardings'!FU40/5</f>
        <v>602.4</v>
      </c>
      <c r="FV40" s="18">
        <f>'Total Sunday-Holiday Boardings'!FV40/4</f>
        <v>703.25</v>
      </c>
      <c r="FW40" s="18">
        <f>'Total Sunday-Holiday Boardings'!FW40/4</f>
        <v>676.25</v>
      </c>
      <c r="FX40" s="18">
        <f>'Total Sunday-Holiday Boardings'!FX40/5</f>
        <v>588.79999999999995</v>
      </c>
      <c r="FY40" s="18">
        <f>'Total Sunday-Holiday Boardings'!FY40/4</f>
        <v>670</v>
      </c>
      <c r="FZ40" s="18">
        <f>'Total Sunday-Holiday Boardings'!FZ40/5</f>
        <v>609.6</v>
      </c>
      <c r="GA40" s="18">
        <f>'Total Sunday-Holiday Boardings'!GA40/4</f>
        <v>889</v>
      </c>
      <c r="GB40" s="18">
        <f>'Total Sunday-Holiday Boardings'!GB40/4</f>
        <v>674.25</v>
      </c>
      <c r="GC40" s="18">
        <f>'Total Sunday-Holiday Boardings'!GC40/5</f>
        <v>626.79999999999995</v>
      </c>
      <c r="GD40" s="18">
        <f>'Total Sunday-Holiday Boardings'!GD40/4</f>
        <v>600.5</v>
      </c>
      <c r="GE40" s="18">
        <f>'Total Sunday-Holiday Boardings'!GE40/4</f>
        <v>693.25</v>
      </c>
      <c r="GF40" s="18">
        <f>'Total Sunday-Holiday Boardings'!GF40/5</f>
        <v>482.2</v>
      </c>
      <c r="GG40" s="18">
        <f>'Total Sunday-Holiday Boardings'!GG40/4</f>
        <v>560.25</v>
      </c>
      <c r="GH40" s="18">
        <f>'Total Sunday-Holiday Boardings'!GH40/4</f>
        <v>507.75</v>
      </c>
      <c r="GI40" s="18">
        <f>'Total Sunday-Holiday Boardings'!GI40/5</f>
        <v>684.2</v>
      </c>
      <c r="GJ40" s="18">
        <f>'Total Sunday-Holiday Boardings'!GJ40/4</f>
        <v>557.5</v>
      </c>
      <c r="GK40" s="18">
        <f>'Total Sunday-Holiday Boardings'!GK40/4</f>
        <v>639.25</v>
      </c>
      <c r="GL40" s="18">
        <f>'Total Sunday-Holiday Boardings'!GL40/5</f>
        <v>588.79999999999995</v>
      </c>
    </row>
    <row r="41" spans="1:194" x14ac:dyDescent="0.3">
      <c r="A41" s="3" t="s">
        <v>23</v>
      </c>
      <c r="B41" s="17"/>
      <c r="C41" s="18">
        <f>'Total Sunday-Holiday Boardings'!C41/SUM('Service Days per Month'!C$6:C$7)</f>
        <v>268.8</v>
      </c>
      <c r="D41" s="18">
        <f>'Total Sunday-Holiday Boardings'!D41/SUM('Service Days per Month'!D$6:D$7)</f>
        <v>209.75</v>
      </c>
      <c r="E41" s="18">
        <f>'Total Sunday-Holiday Boardings'!E41/SUM('Service Days per Month'!E$6:E$7)</f>
        <v>211</v>
      </c>
      <c r="F41" s="18">
        <f>'Total Sunday-Holiday Boardings'!F41/SUM('Service Days per Month'!F$6:F$7)</f>
        <v>181.8</v>
      </c>
      <c r="G41" s="18">
        <f>'Total Sunday-Holiday Boardings'!G41/SUM('Service Days per Month'!G$6:G$7)</f>
        <v>202</v>
      </c>
      <c r="H41" s="19">
        <f>'Total Sunday-Holiday Boardings'!H41/SUM('Service Days per Month'!H$6:H$7)</f>
        <v>169</v>
      </c>
      <c r="I41" s="17">
        <f>'Total Sunday-Holiday Boardings'!I41/SUM('Service Days per Month'!I$6:I$7)</f>
        <v>271.8</v>
      </c>
      <c r="J41" s="18">
        <f>'Total Sunday-Holiday Boardings'!J41/SUM('Service Days per Month'!J$6:J$7)</f>
        <v>200.8</v>
      </c>
      <c r="K41" s="18">
        <f>'Total Sunday-Holiday Boardings'!K41/SUM('Service Days per Month'!K$6:K$7)</f>
        <v>192</v>
      </c>
      <c r="L41" s="18">
        <f>'Total Sunday-Holiday Boardings'!L41/SUM('Service Days per Month'!L$6:L$7)</f>
        <v>223.25</v>
      </c>
      <c r="M41" s="18">
        <f>'Total Sunday-Holiday Boardings'!M41/SUM('Service Days per Month'!M$6:M$7)</f>
        <v>346.66666666666669</v>
      </c>
      <c r="N41" s="18">
        <f>'Total Sunday-Holiday Boardings'!N41/SUM('Service Days per Month'!N$6:N$7)</f>
        <v>252.2</v>
      </c>
      <c r="O41" s="79">
        <f>'Total Sunday-Holiday Boardings'!O41/SUM('Service Days per Month'!O$6:O$7)</f>
        <v>310.33333333333331</v>
      </c>
      <c r="P41" s="79">
        <f>'Total Sunday-Holiday Boardings'!P41/SUM('Service Days per Month'!P$6:P$7)</f>
        <v>342.5</v>
      </c>
      <c r="Q41" s="79">
        <f>'Total Sunday-Holiday Boardings'!Q41/SUM('Service Days per Month'!Q$6:Q$7)</f>
        <v>316.75</v>
      </c>
      <c r="R41" s="79">
        <f>'Total Sunday-Holiday Boardings'!R41/SUM('Service Days per Month'!R$6:R$7)</f>
        <v>285</v>
      </c>
      <c r="S41" s="79">
        <f>'Total Sunday-Holiday Boardings'!S41/SUM('Service Days per Month'!S$6:S$7)</f>
        <v>272</v>
      </c>
      <c r="T41" s="80">
        <f>'Total Sunday-Holiday Boardings'!T41/SUM('Service Days per Month'!T$6:T$7)</f>
        <v>225.25</v>
      </c>
      <c r="U41" s="81">
        <f>'Total Sunday-Holiday Boardings'!U41/SUM('Service Days per Month'!U$6:U$7)</f>
        <v>217.6</v>
      </c>
      <c r="V41" s="79">
        <f>'Total Sunday-Holiday Boardings'!V41/SUM('Service Days per Month'!V$6:V$7)</f>
        <v>231.2</v>
      </c>
      <c r="W41" s="79">
        <f>'Total Sunday-Holiday Boardings'!W41/SUM('Service Days per Month'!W$6:W$7)</f>
        <v>276.60000000000002</v>
      </c>
      <c r="X41" s="79">
        <f>'Total Sunday-Holiday Boardings'!X41/SUM('Service Days per Month'!X$6:X$7)</f>
        <v>296.39999999999998</v>
      </c>
      <c r="Y41" s="79">
        <f>'Total Sunday-Holiday Boardings'!Y41/SUM('Service Days per Month'!Y$6:Y$7)</f>
        <v>274.71428571428572</v>
      </c>
      <c r="Z41" s="79">
        <f>'Total Sunday-Holiday Boardings'!Z41/SUM('Service Days per Month'!Z$6:Z$7)</f>
        <v>153.14285714285714</v>
      </c>
      <c r="AA41" s="18">
        <f>'Total Sunday-Holiday Boardings'!AA41/SUM('Service Days per Month'!AA$6:AA$7)</f>
        <v>265.66666666666669</v>
      </c>
      <c r="AB41" s="18">
        <f>'Total Sunday-Holiday Boardings'!AB41/SUM('Service Days per Month'!AB$6:AB$7)</f>
        <v>258.39999999999998</v>
      </c>
      <c r="AC41" s="18">
        <f>'Total Sunday-Holiday Boardings'!AC41/SUM('Service Days per Month'!AC$6:AC$7)</f>
        <v>283</v>
      </c>
      <c r="AD41" s="18">
        <f>'Total Sunday-Holiday Boardings'!AD41/SUM('Service Days per Month'!AD$6:AD$7)</f>
        <v>301.5</v>
      </c>
      <c r="AE41" s="18">
        <f>'Total Sunday-Holiday Boardings'!AE41/SUM('Service Days per Month'!AE$6:AE$7)</f>
        <v>260.33333333333331</v>
      </c>
      <c r="AF41" s="19">
        <f>'Total Sunday-Holiday Boardings'!AF41/SUM('Service Days per Month'!AF$6:AF$7)</f>
        <v>212.5</v>
      </c>
      <c r="AG41" s="17">
        <f>'Total Sunday-Holiday Boardings'!AG41/SUM('Service Days per Month'!AG$6:AG$7)</f>
        <v>296.83333333333331</v>
      </c>
      <c r="AH41" s="18">
        <f>'Total Sunday-Holiday Boardings'!AH41/SUM('Service Days per Month'!AH$6:AH$7)</f>
        <v>283.75</v>
      </c>
      <c r="AI41" s="18">
        <f>'Total Sunday-Holiday Boardings'!AI41/SUM('Service Days per Month'!AI$6:AI$7)</f>
        <v>294.2</v>
      </c>
      <c r="AJ41" s="18">
        <f>'Total Sunday-Holiday Boardings'!AJ41/SUM('Service Days per Month'!AJ$6:AJ$7)</f>
        <v>341.4</v>
      </c>
      <c r="AK41" s="18">
        <f>'Total Sunday-Holiday Boardings'!AK41/SUM('Service Days per Month'!AK$6:AK$7)</f>
        <v>293.42857142857144</v>
      </c>
      <c r="AL41" s="18">
        <f>'Total Sunday-Holiday Boardings'!AL41/SUM('Service Days per Month'!AL$6:AL$7)</f>
        <v>220.83333333333334</v>
      </c>
      <c r="AM41" s="18">
        <f>'Total Sunday-Holiday Boardings'!AM41/SUM('Service Days per Month'!AM$6:AM$7)</f>
        <v>367.14285714285717</v>
      </c>
      <c r="AN41" s="18">
        <f>'Total Sunday-Holiday Boardings'!AN41/SUM('Service Days per Month'!AN$6:AN$7)</f>
        <v>355.2</v>
      </c>
      <c r="AO41" s="18">
        <f>'Total Sunday-Holiday Boardings'!AO41/SUM('Service Days per Month'!AO$6:AO$7)</f>
        <v>306.5</v>
      </c>
      <c r="AP41" s="18">
        <f>'Total Sunday-Holiday Boardings'!AP41/SUM('Service Days per Month'!AP$6:AP$7)</f>
        <v>348.8</v>
      </c>
      <c r="AQ41" s="18">
        <f>'Total Sunday-Holiday Boardings'!AQ41/SUM('Service Days per Month'!AQ$6:AQ$7)</f>
        <v>277.60000000000002</v>
      </c>
      <c r="AR41" s="19">
        <f>'Total Sunday-Holiday Boardings'!AR41/SUM('Service Days per Month'!AR$6:AR$7)</f>
        <v>311.25</v>
      </c>
      <c r="AS41" s="17">
        <f>'Total Sunday-Holiday Boardings'!AS41/SUM('Service Days per Month'!AS$6:AS$7)</f>
        <v>352.16666666666669</v>
      </c>
      <c r="AT41" s="18">
        <f>'Total Sunday-Holiday Boardings'!AT41/SUM('Service Days per Month'!AT$6:AT$7)</f>
        <v>310.75</v>
      </c>
      <c r="AU41" s="18">
        <f>'Total Sunday-Holiday Boardings'!AU41/SUM('Service Days per Month'!AU$6:AU$7)</f>
        <v>337.66666666666669</v>
      </c>
      <c r="AV41" s="18">
        <f>'Total Sunday-Holiday Boardings'!AV41/SUM('Service Days per Month'!AV$6:AV$7)</f>
        <v>364</v>
      </c>
      <c r="AW41" s="18">
        <f>'Total Sunday-Holiday Boardings'!AW41/SUM('Service Days per Month'!AW$6:AW$7)</f>
        <v>311.57142857142856</v>
      </c>
      <c r="AX41" s="18">
        <f>'Total Sunday-Holiday Boardings'!AX41/SUM('Service Days per Month'!AX$6:AX$7)</f>
        <v>305</v>
      </c>
      <c r="AY41" s="18">
        <f>'Total Sunday-Holiday Boardings'!AY41/SUM('Service Days per Month'!AY$6:AY$7)</f>
        <v>386.16666666666669</v>
      </c>
      <c r="AZ41" s="18">
        <f>'Total Sunday-Holiday Boardings'!AZ41/SUM('Service Days per Month'!AZ$6:AZ$7)</f>
        <v>413</v>
      </c>
      <c r="BA41" s="18">
        <f>'Total Sunday-Holiday Boardings'!BA41/SUM('Service Days per Month'!BA$6:BA$7)</f>
        <v>383</v>
      </c>
      <c r="BB41" s="18">
        <f>'Total Sunday-Holiday Boardings'!BB41/SUM('Service Days per Month'!BB$6:BB$7)</f>
        <v>365.5</v>
      </c>
      <c r="BC41" s="18">
        <f>'Total Sunday-Holiday Boardings'!BC41/SUM('Service Days per Month'!BC$6:BC$7)</f>
        <v>345.4</v>
      </c>
      <c r="BD41" s="19">
        <f>'Total Sunday-Holiday Boardings'!BD41/SUM('Service Days per Month'!BD$6:BD$7)</f>
        <v>333</v>
      </c>
      <c r="BE41" s="17">
        <f>'Total Sunday-Holiday Boardings'!BE41/SUM('Service Days per Month'!BE$6:BE$7)</f>
        <v>372.4</v>
      </c>
      <c r="BF41" s="18">
        <f>'Total Sunday-Holiday Boardings'!BF41/SUM('Service Days per Month'!BF$6:BF$7)</f>
        <v>350.25</v>
      </c>
      <c r="BG41" s="18">
        <f>'Total Sunday-Holiday Boardings'!BG41/SUM('Service Days per Month'!BG$6:BG$7)</f>
        <v>376.66666666666669</v>
      </c>
      <c r="BH41" s="18">
        <f>'Total Sunday-Holiday Boardings'!BH41/SUM('Service Days per Month'!BH$6:BH$7)</f>
        <v>395</v>
      </c>
      <c r="BI41" s="18">
        <f>'Total Sunday-Holiday Boardings'!BI41/SUM('Service Days per Month'!BI$6:BI$7)</f>
        <v>339.79390988272411</v>
      </c>
      <c r="BJ41" s="18">
        <f>'Total Sunday-Holiday Boardings'!BJ41/SUM('Service Days per Month'!BJ$6:BJ$7)</f>
        <v>346.85714285714283</v>
      </c>
      <c r="BK41" s="18">
        <f>'Total Sunday-Holiday Boardings'!BK41/SUM('Service Days per Month'!BK$6:BK$7)</f>
        <v>418.33333333333331</v>
      </c>
      <c r="BL41" s="18">
        <f>'Total Sunday-Holiday Boardings'!BL41/SUM('Service Days per Month'!BL$6:BL$7)</f>
        <v>467.2</v>
      </c>
      <c r="BM41" s="18">
        <f>'Total Sunday-Holiday Boardings'!BM41/SUM('Service Days per Month'!BM$6:BM$7)</f>
        <v>425.6</v>
      </c>
      <c r="BN41" s="18">
        <f>'Total Sunday-Holiday Boardings'!BN41/SUM('Service Days per Month'!BN$6:BN$7)</f>
        <v>417.25</v>
      </c>
      <c r="BO41" s="18">
        <f>'Total Sunday-Holiday Boardings'!BO41/SUM('Service Days per Month'!BO$6:BO$7)</f>
        <v>378</v>
      </c>
      <c r="BP41" s="19">
        <f>'Total Sunday-Holiday Boardings'!BP41/SUM('Service Days per Month'!BP$6:BP$7)</f>
        <v>338.6</v>
      </c>
      <c r="BQ41" s="17">
        <f>'Total Sunday-Holiday Boardings'!BQ41/SUM('Service Days per Month'!BQ$6:BQ$7)</f>
        <v>328.6</v>
      </c>
      <c r="BR41" s="18">
        <f>'Total Sunday-Holiday Boardings'!BR41/SUM('Service Days per Month'!BR$6:BR$7)</f>
        <v>352</v>
      </c>
      <c r="BS41" s="18">
        <f>'Total Sunday-Holiday Boardings'!BS41/SUM('Service Days per Month'!BS$6:BS$7)</f>
        <v>411.2</v>
      </c>
      <c r="BT41" s="18">
        <f>'Total Sunday-Holiday Boardings'!BT41/SUM('Service Days per Month'!BT$6:BT$7)</f>
        <v>417</v>
      </c>
      <c r="BU41" s="18">
        <f>'Total Sunday-Holiday Boardings'!BU41/SUM('Service Days per Month'!BU$6:BU$7)</f>
        <v>387.75</v>
      </c>
      <c r="BV41" s="18">
        <f>'Total Sunday-Holiday Boardings'!BV41/SUM('Service Days per Month'!BV$6:BV$7)</f>
        <v>329.83333333333331</v>
      </c>
      <c r="BW41" s="18">
        <f>'Total Sunday-Holiday Boardings'!BW41/SUM('Service Days per Month'!BW$6:BW$7)</f>
        <v>385.33333333333331</v>
      </c>
      <c r="BX41" s="18">
        <f>'Total Sunday-Holiday Boardings'!BX41/SUM('Service Days per Month'!BX$6:BX$7)</f>
        <v>410.2</v>
      </c>
      <c r="BY41" s="18">
        <f>'Total Sunday-Holiday Boardings'!BY41/SUM('Service Days per Month'!BY$6:BY$7)</f>
        <v>371</v>
      </c>
      <c r="BZ41" s="18">
        <f>'Total Sunday-Holiday Boardings'!BZ41/SUM('Service Days per Month'!BZ$6:BZ$7)</f>
        <v>369.25</v>
      </c>
      <c r="CA41" s="18">
        <f>'Total Sunday-Holiday Boardings'!CA41/SUM('Service Days per Month'!CA$6:CA$7)</f>
        <v>348.83333333333331</v>
      </c>
      <c r="CB41" s="19">
        <f>'Total Sunday-Holiday Boardings'!CB41/SUM('Service Days per Month'!CB$6:CB$7)</f>
        <v>326.25</v>
      </c>
      <c r="CC41" s="20">
        <f>'Total Sunday-Holiday Boardings'!CC41/SUM('Service Days per Month'!CC$6:CC$7)</f>
        <v>329.4</v>
      </c>
      <c r="CD41" s="18">
        <f>'Total Sunday-Holiday Boardings'!CD41/SUM('Service Days per Month'!CD$6:CD$7)</f>
        <v>327</v>
      </c>
      <c r="CE41" s="18">
        <f>'Total Sunday-Holiday Boardings'!CE41/SUM('Service Days per Month'!CE$6:CE$7)</f>
        <v>387</v>
      </c>
      <c r="CF41" s="18">
        <f>'Total Sunday-Holiday Boardings'!CF41/SUM('Service Days per Month'!CF$6:CF$7)</f>
        <v>360</v>
      </c>
      <c r="CG41" s="18">
        <f>'Total Sunday-Holiday Boardings'!CG41/SUM('Service Days per Month'!CG$6:CG$7)</f>
        <v>351.5</v>
      </c>
      <c r="CH41" s="18">
        <f>'Total Sunday-Holiday Boardings'!CH41/SUM('Service Days per Month'!CH$6:CH$7)</f>
        <v>322.83333333333331</v>
      </c>
      <c r="CI41" s="18">
        <f>'Total Sunday-Holiday Boardings'!CI41/SUM('Service Days per Month'!CI$6:CI$7)</f>
        <v>329.14285714285717</v>
      </c>
      <c r="CJ41" s="18">
        <f>'Total Sunday-Holiday Boardings'!CJ41/SUM('Service Days per Month'!CJ$6:CJ$7)</f>
        <v>344.8</v>
      </c>
      <c r="CK41" s="18">
        <f>'Total Sunday-Holiday Boardings'!CK41/SUM('Service Days per Month'!CK$6:CK$7)</f>
        <v>326.75</v>
      </c>
      <c r="CL41" s="18">
        <f>'Total Sunday-Holiday Boardings'!CL41/SUM('Service Days per Month'!CL$6:CL$7)</f>
        <v>330.75</v>
      </c>
      <c r="CM41" s="18">
        <f>'Total Sunday-Holiday Boardings'!CM41/SUM('Service Days per Month'!CM$6:CM$7)</f>
        <v>322.83333333333331</v>
      </c>
      <c r="CN41" s="21">
        <f>'Total Sunday-Holiday Boardings'!CN41/SUM('Service Days per Month'!CN$6:CN$7)</f>
        <v>304.75</v>
      </c>
      <c r="CO41" s="17">
        <f>'Total Sunday-Holiday Boardings'!CO41/SUM('Service Days per Month'!CO$6:CO$7)</f>
        <v>302.33333333333331</v>
      </c>
      <c r="CP41" s="18">
        <f>'Total Sunday-Holiday Boardings'!CP41/SUM('Service Days per Month'!CP$6:CP$7)</f>
        <v>333.25</v>
      </c>
      <c r="CQ41" s="18">
        <f>'Total Sunday-Holiday Boardings'!CQ41/SUM('Service Days per Month'!CQ$6:CQ$7)</f>
        <v>307.60000000000002</v>
      </c>
      <c r="CR41" s="18">
        <f>'Total Sunday-Holiday Boardings'!CR41/SUM('Service Days per Month'!CR$6:CR$7)</f>
        <v>319.39999999999998</v>
      </c>
      <c r="CS41" s="18">
        <f>'Total Sunday-Holiday Boardings'!CS41/SUM('Service Days per Month'!CS$6:CS$7)</f>
        <v>393</v>
      </c>
      <c r="CT41" s="18">
        <f>'Total Sunday-Holiday Boardings'!CT41/SUM('Service Days per Month'!CT$6:CT$7)</f>
        <v>373.5</v>
      </c>
      <c r="CU41" s="18">
        <f>'Total Sunday-Holiday Boardings'!CU41/SUM('Service Days per Month'!CU$6:CU$7)</f>
        <v>340.42857142857144</v>
      </c>
      <c r="CV41" s="18">
        <f>'Total Sunday-Holiday Boardings'!CV41/SUM('Service Days per Month'!CV$6:CV$7)</f>
        <v>358</v>
      </c>
      <c r="CW41" s="18">
        <f>'Total Sunday-Holiday Boardings'!CW41/SUM('Service Days per Month'!CW$6:CW$7)</f>
        <v>332</v>
      </c>
      <c r="CX41" s="18">
        <f>'Total Sunday-Holiday Boardings'!CX41/SUM('Service Days per Month'!CX$6:CX$7)</f>
        <v>335.8</v>
      </c>
      <c r="CY41" s="18">
        <f>'Total Sunday-Holiday Boardings'!CY41/SUM('Service Days per Month'!CY$6:CY$7)</f>
        <v>301.8</v>
      </c>
      <c r="CZ41" s="19">
        <f>'Total Sunday-Holiday Boardings'!CZ41/SUM('Service Days per Month'!CZ$6:CZ$7)</f>
        <v>281.75</v>
      </c>
      <c r="DA41" s="17">
        <f>'Total Sunday-Holiday Boardings'!DA41/SUM('Service Days per Month'!DA$6:DA$7)</f>
        <v>284.33333333333331</v>
      </c>
      <c r="DB41" s="18">
        <f>'Total Sunday-Holiday Boardings'!DB41/SUM('Service Days per Month'!DB$6:DB$7)</f>
        <v>311.5</v>
      </c>
      <c r="DC41" s="18">
        <f>'Total Sunday-Holiday Boardings'!DC41/SUM('Service Days per Month'!DC$6:DC$7)</f>
        <v>346.2</v>
      </c>
      <c r="DD41" s="18">
        <f>'Total Sunday-Holiday Boardings'!DD41/SUM('Service Days per Month'!DD$6:DD$7)</f>
        <v>324.39999999999998</v>
      </c>
      <c r="DE41" s="18">
        <f>'Total Sunday-Holiday Boardings'!DE41/SUM('Service Days per Month'!DE$6:DE$7)</f>
        <v>342.28571428571428</v>
      </c>
      <c r="DF41" s="18">
        <f>'Total Sunday-Holiday Boardings'!DF41/SUM('Service Days per Month'!DF$6:DF$7)</f>
        <v>299.16666666666669</v>
      </c>
      <c r="DG41" s="18">
        <f>'Total Sunday-Holiday Boardings'!DG41/SUM('Service Days per Month'!DG$6:DG$7)</f>
        <v>335.83333333333331</v>
      </c>
      <c r="DH41" s="18">
        <f>'Total Sunday-Holiday Boardings'!DH41/SUM('Service Days per Month'!DH$6:DH$7)</f>
        <v>344.2</v>
      </c>
      <c r="DI41" s="18">
        <f>'Total Sunday-Holiday Boardings'!DI41/SUM('Service Days per Month'!DI$6:DI$7)</f>
        <v>323.5</v>
      </c>
      <c r="DJ41" s="18">
        <f>'Total Sunday-Holiday Boardings'!DJ41/SUM('Service Days per Month'!DJ$6:DJ$7)</f>
        <v>295</v>
      </c>
      <c r="DK41" s="18">
        <f>'Total Sunday-Holiday Boardings'!DK41/SUM('Service Days per Month'!DK$6:DK$7)</f>
        <v>291.8</v>
      </c>
      <c r="DL41" s="19">
        <f>'Total Sunday-Holiday Boardings'!DL41/SUM('Service Days per Month'!DL$6:DL$7)</f>
        <v>284</v>
      </c>
      <c r="DM41" s="17">
        <f>'Total Sunday-Holiday Boardings'!DM41/('Service Days per Month'!DM$6+'Service Days per Month'!DM$7)</f>
        <v>290.5</v>
      </c>
      <c r="DN41" s="18">
        <f>'Total Sunday-Holiday Boardings'!DN41/('Service Days per Month'!DN$6+'Service Days per Month'!DN$7)</f>
        <v>299.75</v>
      </c>
      <c r="DO41" s="18">
        <f>'Total Sunday-Holiday Boardings'!DO41/('Service Days per Month'!DO$6+'Service Days per Month'!DO$7)</f>
        <v>306.33333333333331</v>
      </c>
      <c r="DP41" s="18">
        <f>'Total Sunday-Holiday Boardings'!DP41/('Service Days per Month'!DP$6+'Service Days per Month'!DP$7)</f>
        <v>285.25</v>
      </c>
      <c r="DQ41" s="18">
        <f>'Total Sunday-Holiday Boardings'!DQ41/('Service Days per Month'!DQ$6+'Service Days per Month'!DQ$7)</f>
        <v>273.60000000000002</v>
      </c>
      <c r="DR41" s="18">
        <f>'Total Sunday-Holiday Boardings'!DR41/('Service Days per Month'!DR$6+'Service Days per Month'!DR$7)</f>
        <v>268.5</v>
      </c>
      <c r="DS41" s="18">
        <f>'Total Sunday-Holiday Boardings'!DS41/('Service Days per Month'!DS$6+'Service Days per Month'!DS$7)</f>
        <v>305.2</v>
      </c>
      <c r="DT41" s="18">
        <f>'Total Sunday-Holiday Boardings'!DT41/('Service Days per Month'!DT$6+'Service Days per Month'!DT$7)</f>
        <v>284.5</v>
      </c>
      <c r="DU41" s="18">
        <f>'Total Sunday-Holiday Boardings'!DU41/('Service Days per Month'!DU$6+'Service Days per Month'!DU$7)</f>
        <v>311.60000000000002</v>
      </c>
      <c r="DV41" s="18">
        <f>'Total Sunday-Holiday Boardings'!DV41/('Service Days per Month'!DV$6+'Service Days per Month'!DV$7)</f>
        <v>63</v>
      </c>
      <c r="DW41" s="18">
        <f>'Total Sunday-Holiday Boardings'!DW41/('Service Days per Month'!DW$6+'Service Days per Month'!DW$7)</f>
        <v>264.39999999999998</v>
      </c>
      <c r="DX41" s="18">
        <f>'Total Sunday-Holiday Boardings'!DX41/('Service Days per Month'!DX$6+'Service Days per Month'!DX$7)</f>
        <v>256.60000000000002</v>
      </c>
      <c r="DY41" s="17">
        <f>'Total Sunday-Holiday Boardings'!DY41/('Service Days per Month'!DY$6+'Service Days per Month'!DY$7)</f>
        <v>245.6</v>
      </c>
      <c r="DZ41" s="18">
        <f>'Total Sunday-Holiday Boardings'!DZ41/('Service Days per Month'!DZ$6+'Service Days per Month'!DZ$7)</f>
        <v>282.5</v>
      </c>
      <c r="EA41" s="18">
        <f>'Total Sunday-Holiday Boardings'!EA41/('Service Days per Month'!EA$6+'Service Days per Month'!EA$7)</f>
        <v>313.33333333333331</v>
      </c>
      <c r="EB41" s="18">
        <f>'Total Sunday-Holiday Boardings'!EB41/('Service Days per Month'!EB$6+'Service Days per Month'!EB$7)</f>
        <v>374.25</v>
      </c>
      <c r="EC41" s="18">
        <f>'Total Sunday-Holiday Boardings'!EC41/('Service Days per Month'!EC$6+'Service Days per Month'!EC$7)</f>
        <v>355.6</v>
      </c>
      <c r="ED41" s="18">
        <f>'Total Sunday-Holiday Boardings'!ED41/('Service Days per Month'!ED$6+'Service Days per Month'!ED$7)</f>
        <v>277.16666666666669</v>
      </c>
      <c r="EE41" s="18">
        <f>'Total Sunday-Holiday Boardings'!EE41/('Service Days per Month'!EE$6+'Service Days per Month'!EE$7)</f>
        <v>377.25</v>
      </c>
      <c r="EF41" s="18">
        <f>'Total Sunday-Holiday Boardings'!EF41/('Service Days per Month'!EF$6+'Service Days per Month'!EF$7)</f>
        <v>311.25</v>
      </c>
      <c r="EG41" s="18">
        <f>'Total Sunday-Holiday Boardings'!EG41/('Service Days per Month'!EG$6+'Service Days per Month'!EG$7)</f>
        <v>287.60000000000002</v>
      </c>
      <c r="EH41" s="18">
        <f>'Total Sunday-Holiday Boardings'!EH41/('Service Days per Month'!EH$6+'Service Days per Month'!EH$7)</f>
        <v>216.5</v>
      </c>
      <c r="EI41" s="18">
        <f>'Total Sunday-Holiday Boardings'!EI41/('Service Days per Month'!EI$6+'Service Days per Month'!EI$7)</f>
        <v>239.16666666666666</v>
      </c>
      <c r="EJ41" s="18">
        <f>'Total Sunday-Holiday Boardings'!EJ41/('Service Days per Month'!EJ$6+'Service Days per Month'!EJ$7)</f>
        <v>233</v>
      </c>
      <c r="EK41" s="17">
        <f>'Total Sunday-Holiday Boardings'!EK41/('Service Days per Month'!EK$6+'Service Days per Month'!EK$7)</f>
        <v>216.4</v>
      </c>
      <c r="EL41" s="18">
        <f>'Total Sunday-Holiday Boardings'!EL41/('Service Days per Month'!EL$6+'Service Days per Month'!EL$7)</f>
        <v>230.6</v>
      </c>
      <c r="EM41" s="18">
        <f>'Total Sunday-Holiday Boardings'!EM41/('Service Days per Month'!EM$6+'Service Days per Month'!EM$7)</f>
        <v>244.6</v>
      </c>
      <c r="EN41" s="18">
        <f>'Total Sunday-Holiday Boardings'!EN41/('Service Days per Month'!EN$6+'Service Days per Month'!EN$7)</f>
        <v>226.75</v>
      </c>
      <c r="EO41" s="18">
        <f>'Total Sunday-Holiday Boardings'!EO41/('Service Days per Month'!EO$6+'Service Days per Month'!EO$7)</f>
        <v>104.33333333333333</v>
      </c>
      <c r="EP41" s="18">
        <f>'Total Sunday-Holiday Boardings'!EP41/('Service Days per Month'!EP$6+'Service Days per Month'!EP$7)</f>
        <v>148.80000000000001</v>
      </c>
      <c r="EQ41" s="18">
        <f>'Total Sunday-Holiday Boardings'!EQ41/('Service Days per Month'!EQ$6+'Service Days per Month'!EQ$7)</f>
        <v>98</v>
      </c>
      <c r="ER41" s="18">
        <f>'Total Sunday-Holiday Boardings'!ER41/('Service Days per Month'!ER$6+'Service Days per Month'!ER$7)</f>
        <v>168</v>
      </c>
      <c r="ES41" s="18">
        <f>'Total Sunday-Holiday Boardings'!ES41/('Service Days per Month'!ES$6+'Service Days per Month'!ES$7)</f>
        <v>175.5</v>
      </c>
      <c r="ET41" s="18">
        <f>'Total Sunday-Holiday Boardings'!ET41/('Service Days per Month'!ET$6+'Service Days per Month'!ET$7)</f>
        <v>177</v>
      </c>
      <c r="EU41" s="18">
        <f>'Total Sunday-Holiday Boardings'!EU41/('Service Days per Month'!EU$6+'Service Days per Month'!EU$7)</f>
        <v>129.5</v>
      </c>
      <c r="EV41" s="18">
        <f>'Total Sunday-Holiday Boardings'!EV41/('Service Days per Month'!EV$6+'Service Days per Month'!EV$7)</f>
        <v>166.25</v>
      </c>
      <c r="EW41" s="17">
        <f>'Total Sunday-Holiday Boardings'!EW41/('Service Days per Month'!EW$6+'Service Days per Month'!EW$7)</f>
        <v>159.4</v>
      </c>
      <c r="EX41" s="18">
        <f>'Total Sunday-Holiday Boardings'!EX41/('Service Days per Month'!EX$6+'Service Days per Month'!EX$7)</f>
        <v>198.2</v>
      </c>
      <c r="EY41" s="18">
        <f>'Total Sunday-Holiday Boardings'!EY41/('Service Days per Month'!EY$6+'Service Days per Month'!EY$7)</f>
        <v>165</v>
      </c>
      <c r="EZ41" s="18">
        <f>'Total Sunday-Holiday Boardings'!EZ41/('Service Days per Month'!EZ$6+'Service Days per Month'!EZ$7)</f>
        <v>175.8</v>
      </c>
      <c r="FA41" s="18">
        <f>'Total Sunday-Holiday Boardings'!FA41/('Service Days per Month'!FA$6+'Service Days per Month'!FA$7)</f>
        <v>170</v>
      </c>
      <c r="FB41" s="18">
        <f>'Total Sunday-Holiday Boardings'!FB41/('Service Days per Month'!FB$6+'Service Days per Month'!FB$7)</f>
        <v>218</v>
      </c>
      <c r="FC41" s="18">
        <f>'Total Sunday-Holiday Boardings'!FC41/('Service Days per Month'!FC$6+'Service Days per Month'!FC$7)</f>
        <v>176.8</v>
      </c>
      <c r="FD41" s="18">
        <f>'Total Sunday-Holiday Boardings'!FD41/('Service Days per Month'!FD$6+'Service Days per Month'!FD$7)</f>
        <v>197.25</v>
      </c>
      <c r="FE41" s="18">
        <f>'Total Sunday-Holiday Boardings'!FE41/('Service Days per Month'!FE$6+'Service Days per Month'!FE$7)</f>
        <v>209.5</v>
      </c>
      <c r="FF41" s="18">
        <f>'Total Sunday-Holiday Boardings'!FF41/('Service Days per Month'!FF$6+'Service Days per Month'!FF$7)</f>
        <v>219.75</v>
      </c>
      <c r="FG41" s="18">
        <f>'Total Sunday-Holiday Boardings'!FG41/('Service Days per Month'!FG$6+'Service Days per Month'!FG$7)</f>
        <v>221.33333333333334</v>
      </c>
      <c r="FH41" s="18">
        <f>'Total Sunday-Holiday Boardings'!FH41/('Service Days per Month'!FH$6+'Service Days per Month'!FH$7)</f>
        <v>184.25</v>
      </c>
      <c r="FI41" s="17">
        <v>179.33333333333334</v>
      </c>
      <c r="FJ41" s="18">
        <v>184.5</v>
      </c>
      <c r="FK41" s="18">
        <v>202</v>
      </c>
      <c r="FL41" s="18">
        <v>205.4</v>
      </c>
      <c r="FM41" s="18">
        <v>175</v>
      </c>
      <c r="FN41" s="18">
        <v>183.6</v>
      </c>
      <c r="FO41" s="18">
        <v>256.39999999999998</v>
      </c>
      <c r="FP41" s="18">
        <v>212.5</v>
      </c>
      <c r="FQ41" s="18">
        <v>231.25</v>
      </c>
      <c r="FR41" s="18">
        <f>'Total Sunday-Holiday Boardings'!FR41/5</f>
        <v>213.8</v>
      </c>
      <c r="FS41" s="18">
        <f>'Total Sunday-Holiday Boardings'!FS41/5</f>
        <v>209.8</v>
      </c>
      <c r="FT41" s="21">
        <f>'Total Sunday-Holiday Boardings'!FT41/4</f>
        <v>198.5</v>
      </c>
      <c r="FU41" s="18">
        <f>'Total Sunday-Holiday Boardings'!FU41/5</f>
        <v>221.6</v>
      </c>
      <c r="FV41" s="18">
        <f>'Total Sunday-Holiday Boardings'!FV41/4</f>
        <v>253</v>
      </c>
      <c r="FW41" s="18">
        <f>'Total Sunday-Holiday Boardings'!FW41/4</f>
        <v>248.5</v>
      </c>
      <c r="FX41" s="18">
        <f>'Total Sunday-Holiday Boardings'!FX41/5</f>
        <v>195.2</v>
      </c>
      <c r="FY41" s="18">
        <f>'Total Sunday-Holiday Boardings'!FY41/4</f>
        <v>246.25</v>
      </c>
      <c r="FZ41" s="18">
        <f>'Total Sunday-Holiday Boardings'!FZ41/5</f>
        <v>227.4</v>
      </c>
      <c r="GA41" s="18">
        <f>'Total Sunday-Holiday Boardings'!GA41/4</f>
        <v>315.5</v>
      </c>
      <c r="GB41" s="18">
        <f>'Total Sunday-Holiday Boardings'!GB41/4</f>
        <v>258.25</v>
      </c>
      <c r="GC41" s="18">
        <f>'Total Sunday-Holiday Boardings'!GC41/5</f>
        <v>233</v>
      </c>
      <c r="GD41" s="18">
        <f>'Total Sunday-Holiday Boardings'!GD41/4</f>
        <v>216.75</v>
      </c>
      <c r="GE41" s="18">
        <f>'Total Sunday-Holiday Boardings'!GE41/4</f>
        <v>258.5</v>
      </c>
      <c r="GF41" s="18">
        <f>'Total Sunday-Holiday Boardings'!GF41/5</f>
        <v>190.2</v>
      </c>
      <c r="GG41" s="18">
        <f>'Total Sunday-Holiday Boardings'!GG41/4</f>
        <v>229.25</v>
      </c>
      <c r="GH41" s="18">
        <f>'Total Sunday-Holiday Boardings'!GH41/4</f>
        <v>240.5</v>
      </c>
      <c r="GI41" s="18">
        <f>'Total Sunday-Holiday Boardings'!GI41/5</f>
        <v>284.2</v>
      </c>
      <c r="GJ41" s="18">
        <f>'Total Sunday-Holiday Boardings'!GJ41/4</f>
        <v>233.25</v>
      </c>
      <c r="GK41" s="18">
        <f>'Total Sunday-Holiday Boardings'!GK41/4</f>
        <v>272.5</v>
      </c>
      <c r="GL41" s="18">
        <f>'Total Sunday-Holiday Boardings'!GL41/5</f>
        <v>277</v>
      </c>
    </row>
    <row r="42" spans="1:194" x14ac:dyDescent="0.3">
      <c r="A42" s="3" t="s">
        <v>24</v>
      </c>
      <c r="B42" s="17"/>
      <c r="C42" s="18">
        <f>'Total Sunday-Holiday Boardings'!C42/SUM('Service Days per Month'!C$6:C$7)</f>
        <v>708.2</v>
      </c>
      <c r="D42" s="18">
        <f>'Total Sunday-Holiday Boardings'!D42/SUM('Service Days per Month'!D$6:D$7)</f>
        <v>686.25</v>
      </c>
      <c r="E42" s="18">
        <f>'Total Sunday-Holiday Boardings'!E42/SUM('Service Days per Month'!E$6:E$7)</f>
        <v>536.4</v>
      </c>
      <c r="F42" s="18">
        <f>'Total Sunday-Holiday Boardings'!F42/SUM('Service Days per Month'!F$6:F$7)</f>
        <v>441.8</v>
      </c>
      <c r="G42" s="18">
        <f>'Total Sunday-Holiday Boardings'!G42/SUM('Service Days per Month'!G$6:G$7)</f>
        <v>486</v>
      </c>
      <c r="H42" s="19">
        <f>'Total Sunday-Holiday Boardings'!H42/SUM('Service Days per Month'!H$6:H$7)</f>
        <v>384</v>
      </c>
      <c r="I42" s="17">
        <f>'Total Sunday-Holiday Boardings'!I42/SUM('Service Days per Month'!I$6:I$7)</f>
        <v>609.79999999999995</v>
      </c>
      <c r="J42" s="18">
        <f>'Total Sunday-Holiday Boardings'!J42/SUM('Service Days per Month'!J$6:J$7)</f>
        <v>368.6</v>
      </c>
      <c r="K42" s="18">
        <f>'Total Sunday-Holiday Boardings'!K42/SUM('Service Days per Month'!K$6:K$7)</f>
        <v>537</v>
      </c>
      <c r="L42" s="18">
        <f>'Total Sunday-Holiday Boardings'!L42/SUM('Service Days per Month'!L$6:L$7)</f>
        <v>433.25</v>
      </c>
      <c r="M42" s="18">
        <f>'Total Sunday-Holiday Boardings'!M42/SUM('Service Days per Month'!M$6:M$7)</f>
        <v>684.5</v>
      </c>
      <c r="N42" s="18">
        <f>'Total Sunday-Holiday Boardings'!N42/SUM('Service Days per Month'!N$6:N$7)</f>
        <v>330</v>
      </c>
      <c r="O42" s="79">
        <f>'Total Sunday-Holiday Boardings'!O42/SUM('Service Days per Month'!O$6:O$7)</f>
        <v>545</v>
      </c>
      <c r="P42" s="79">
        <f>'Total Sunday-Holiday Boardings'!P42/SUM('Service Days per Month'!P$6:P$7)</f>
        <v>715.75</v>
      </c>
      <c r="Q42" s="79">
        <f>'Total Sunday-Holiday Boardings'!Q42/SUM('Service Days per Month'!Q$6:Q$7)</f>
        <v>629.75</v>
      </c>
      <c r="R42" s="79">
        <f>'Total Sunday-Holiday Boardings'!R42/SUM('Service Days per Month'!R$6:R$7)</f>
        <v>573.5</v>
      </c>
      <c r="S42" s="79">
        <f>'Total Sunday-Holiday Boardings'!S42/SUM('Service Days per Month'!S$6:S$7)</f>
        <v>453.5</v>
      </c>
      <c r="T42" s="80">
        <f>'Total Sunday-Holiday Boardings'!T42/SUM('Service Days per Month'!T$6:T$7)</f>
        <v>383.25</v>
      </c>
      <c r="U42" s="81">
        <f>'Total Sunday-Holiday Boardings'!U42/SUM('Service Days per Month'!U$6:U$7)</f>
        <v>526.79999999999995</v>
      </c>
      <c r="V42" s="79">
        <f>'Total Sunday-Holiday Boardings'!V42/SUM('Service Days per Month'!V$6:V$7)</f>
        <v>373.2</v>
      </c>
      <c r="W42" s="79">
        <f>'Total Sunday-Holiday Boardings'!W42/SUM('Service Days per Month'!W$6:W$7)</f>
        <v>506.6</v>
      </c>
      <c r="X42" s="79">
        <f>'Total Sunday-Holiday Boardings'!X42/SUM('Service Days per Month'!X$6:X$7)</f>
        <v>485.2</v>
      </c>
      <c r="Y42" s="79">
        <f>'Total Sunday-Holiday Boardings'!Y42/SUM('Service Days per Month'!Y$6:Y$7)</f>
        <v>627.85714285714289</v>
      </c>
      <c r="Z42" s="79">
        <f>'Total Sunday-Holiday Boardings'!Z42/SUM('Service Days per Month'!Z$6:Z$7)</f>
        <v>278.85714285714283</v>
      </c>
      <c r="AA42" s="18">
        <f>'Total Sunday-Holiday Boardings'!AA42/SUM('Service Days per Month'!AA$6:AA$7)</f>
        <v>527</v>
      </c>
      <c r="AB42" s="18">
        <f>'Total Sunday-Holiday Boardings'!AB42/SUM('Service Days per Month'!AB$6:AB$7)</f>
        <v>620.20000000000005</v>
      </c>
      <c r="AC42" s="18">
        <f>'Total Sunday-Holiday Boardings'!AC42/SUM('Service Days per Month'!AC$6:AC$7)</f>
        <v>683.5</v>
      </c>
      <c r="AD42" s="18">
        <f>'Total Sunday-Holiday Boardings'!AD42/SUM('Service Days per Month'!AD$6:AD$7)</f>
        <v>485</v>
      </c>
      <c r="AE42" s="18">
        <f>'Total Sunday-Holiday Boardings'!AE42/SUM('Service Days per Month'!AE$6:AE$7)</f>
        <v>521.66666666666663</v>
      </c>
      <c r="AF42" s="19">
        <f>'Total Sunday-Holiday Boardings'!AF42/SUM('Service Days per Month'!AF$6:AF$7)</f>
        <v>427</v>
      </c>
      <c r="AG42" s="17">
        <f>'Total Sunday-Holiday Boardings'!AG42/SUM('Service Days per Month'!AG$6:AG$7)</f>
        <v>661.83333333333337</v>
      </c>
      <c r="AH42" s="18">
        <f>'Total Sunday-Holiday Boardings'!AH42/SUM('Service Days per Month'!AH$6:AH$7)</f>
        <v>502</v>
      </c>
      <c r="AI42" s="18">
        <f>'Total Sunday-Holiday Boardings'!AI42/SUM('Service Days per Month'!AI$6:AI$7)</f>
        <v>512</v>
      </c>
      <c r="AJ42" s="18">
        <f>'Total Sunday-Holiday Boardings'!AJ42/SUM('Service Days per Month'!AJ$6:AJ$7)</f>
        <v>536.4</v>
      </c>
      <c r="AK42" s="18">
        <f>'Total Sunday-Holiday Boardings'!AK42/SUM('Service Days per Month'!AK$6:AK$7)</f>
        <v>547.85714285714289</v>
      </c>
      <c r="AL42" s="18">
        <f>'Total Sunday-Holiday Boardings'!AL42/SUM('Service Days per Month'!AL$6:AL$7)</f>
        <v>352</v>
      </c>
      <c r="AM42" s="18">
        <f>'Total Sunday-Holiday Boardings'!AM42/SUM('Service Days per Month'!AM$6:AM$7)</f>
        <v>523.42857142857144</v>
      </c>
      <c r="AN42" s="18">
        <f>'Total Sunday-Holiday Boardings'!AN42/SUM('Service Days per Month'!AN$6:AN$7)</f>
        <v>655.20000000000005</v>
      </c>
      <c r="AO42" s="18">
        <f>'Total Sunday-Holiday Boardings'!AO42/SUM('Service Days per Month'!AO$6:AO$7)</f>
        <v>511.5</v>
      </c>
      <c r="AP42" s="18">
        <f>'Total Sunday-Holiday Boardings'!AP42/SUM('Service Days per Month'!AP$6:AP$7)</f>
        <v>665.4</v>
      </c>
      <c r="AQ42" s="18">
        <f>'Total Sunday-Holiday Boardings'!AQ42/SUM('Service Days per Month'!AQ$6:AQ$7)</f>
        <v>535.4</v>
      </c>
      <c r="AR42" s="19">
        <f>'Total Sunday-Holiday Boardings'!AR42/SUM('Service Days per Month'!AR$6:AR$7)</f>
        <v>494.75</v>
      </c>
      <c r="AS42" s="17">
        <f>'Total Sunday-Holiday Boardings'!AS42/SUM('Service Days per Month'!AS$6:AS$7)</f>
        <v>719.33333333333337</v>
      </c>
      <c r="AT42" s="18">
        <f>'Total Sunday-Holiday Boardings'!AT42/SUM('Service Days per Month'!AT$6:AT$7)</f>
        <v>478.75</v>
      </c>
      <c r="AU42" s="18">
        <f>'Total Sunday-Holiday Boardings'!AU42/SUM('Service Days per Month'!AU$6:AU$7)</f>
        <v>507.33333333333331</v>
      </c>
      <c r="AV42" s="18">
        <f>'Total Sunday-Holiday Boardings'!AV42/SUM('Service Days per Month'!AV$6:AV$7)</f>
        <v>542.5</v>
      </c>
      <c r="AW42" s="18">
        <f>'Total Sunday-Holiday Boardings'!AW42/SUM('Service Days per Month'!AW$6:AW$7)</f>
        <v>424.85714285714283</v>
      </c>
      <c r="AX42" s="18">
        <f>'Total Sunday-Holiday Boardings'!AX42/SUM('Service Days per Month'!AX$6:AX$7)</f>
        <v>413.57142857142856</v>
      </c>
      <c r="AY42" s="18">
        <f>'Total Sunday-Holiday Boardings'!AY42/SUM('Service Days per Month'!AY$6:AY$7)</f>
        <v>600.5</v>
      </c>
      <c r="AZ42" s="18">
        <f>'Total Sunday-Holiday Boardings'!AZ42/SUM('Service Days per Month'!AZ$6:AZ$7)</f>
        <v>680.8</v>
      </c>
      <c r="BA42" s="18">
        <f>'Total Sunday-Holiday Boardings'!BA42/SUM('Service Days per Month'!BA$6:BA$7)</f>
        <v>623.79999999999995</v>
      </c>
      <c r="BB42" s="18">
        <f>'Total Sunday-Holiday Boardings'!BB42/SUM('Service Days per Month'!BB$6:BB$7)</f>
        <v>725.25</v>
      </c>
      <c r="BC42" s="18">
        <f>'Total Sunday-Holiday Boardings'!BC42/SUM('Service Days per Month'!BC$6:BC$7)</f>
        <v>666.2</v>
      </c>
      <c r="BD42" s="19">
        <f>'Total Sunday-Holiday Boardings'!BD42/SUM('Service Days per Month'!BD$6:BD$7)</f>
        <v>458</v>
      </c>
      <c r="BE42" s="17">
        <f>'Total Sunday-Holiday Boardings'!BE42/SUM('Service Days per Month'!BE$6:BE$7)</f>
        <v>739</v>
      </c>
      <c r="BF42" s="18">
        <f>'Total Sunday-Holiday Boardings'!BF42/SUM('Service Days per Month'!BF$6:BF$7)</f>
        <v>407.25</v>
      </c>
      <c r="BG42" s="18">
        <f>'Total Sunday-Holiday Boardings'!BG42/SUM('Service Days per Month'!BG$6:BG$7)</f>
        <v>542.83333333333337</v>
      </c>
      <c r="BH42" s="18">
        <f>'Total Sunday-Holiday Boardings'!BH42/SUM('Service Days per Month'!BH$6:BH$7)</f>
        <v>510</v>
      </c>
      <c r="BI42" s="18">
        <f>'Total Sunday-Holiday Boardings'!BI42/SUM('Service Days per Month'!BI$6:BI$7)</f>
        <v>432.25187572868799</v>
      </c>
      <c r="BJ42" s="18">
        <f>'Total Sunday-Holiday Boardings'!BJ42/SUM('Service Days per Month'!BJ$6:BJ$7)</f>
        <v>486.14285714285717</v>
      </c>
      <c r="BK42" s="18">
        <f>'Total Sunday-Holiday Boardings'!BK42/SUM('Service Days per Month'!BK$6:BK$7)</f>
        <v>653.16666666666663</v>
      </c>
      <c r="BL42" s="18">
        <f>'Total Sunday-Holiday Boardings'!BL42/SUM('Service Days per Month'!BL$6:BL$7)</f>
        <v>691.6</v>
      </c>
      <c r="BM42" s="18">
        <f>'Total Sunday-Holiday Boardings'!BM42/SUM('Service Days per Month'!BM$6:BM$7)</f>
        <v>605.79999999999995</v>
      </c>
      <c r="BN42" s="18">
        <f>'Total Sunday-Holiday Boardings'!BN42/SUM('Service Days per Month'!BN$6:BN$7)</f>
        <v>599.25</v>
      </c>
      <c r="BO42" s="18">
        <f>'Total Sunday-Holiday Boardings'!BO42/SUM('Service Days per Month'!BO$6:BO$7)</f>
        <v>529.6</v>
      </c>
      <c r="BP42" s="19">
        <f>'Total Sunday-Holiday Boardings'!BP42/SUM('Service Days per Month'!BP$6:BP$7)</f>
        <v>662.6</v>
      </c>
      <c r="BQ42" s="17">
        <f>'Total Sunday-Holiday Boardings'!BQ42/SUM('Service Days per Month'!BQ$6:BQ$7)</f>
        <v>670</v>
      </c>
      <c r="BR42" s="18">
        <f>'Total Sunday-Holiday Boardings'!BR42/SUM('Service Days per Month'!BR$6:BR$7)</f>
        <v>570.20000000000005</v>
      </c>
      <c r="BS42" s="18">
        <f>'Total Sunday-Holiday Boardings'!BS42/SUM('Service Days per Month'!BS$6:BS$7)</f>
        <v>541.79999999999995</v>
      </c>
      <c r="BT42" s="18">
        <f>'Total Sunday-Holiday Boardings'!BT42/SUM('Service Days per Month'!BT$6:BT$7)</f>
        <v>568</v>
      </c>
      <c r="BU42" s="18">
        <f>'Total Sunday-Holiday Boardings'!BU42/SUM('Service Days per Month'!BU$6:BU$7)</f>
        <v>570.875</v>
      </c>
      <c r="BV42" s="18">
        <f>'Total Sunday-Holiday Boardings'!BV42/SUM('Service Days per Month'!BV$6:BV$7)</f>
        <v>492.5</v>
      </c>
      <c r="BW42" s="18">
        <f>'Total Sunday-Holiday Boardings'!BW42/SUM('Service Days per Month'!BW$6:BW$7)</f>
        <v>1069.1666666666667</v>
      </c>
      <c r="BX42" s="18">
        <f>'Total Sunday-Holiday Boardings'!BX42/SUM('Service Days per Month'!BX$6:BX$7)</f>
        <v>796</v>
      </c>
      <c r="BY42" s="18">
        <f>'Total Sunday-Holiday Boardings'!BY42/SUM('Service Days per Month'!BY$6:BY$7)</f>
        <v>632.4</v>
      </c>
      <c r="BZ42" s="18">
        <f>'Total Sunday-Holiday Boardings'!BZ42/SUM('Service Days per Month'!BZ$6:BZ$7)</f>
        <v>541</v>
      </c>
      <c r="CA42" s="18">
        <f>'Total Sunday-Holiday Boardings'!CA42/SUM('Service Days per Month'!CA$6:CA$7)</f>
        <v>565</v>
      </c>
      <c r="CB42" s="19">
        <f>'Total Sunday-Holiday Boardings'!CB42/SUM('Service Days per Month'!CB$6:CB$7)</f>
        <v>478.5</v>
      </c>
      <c r="CC42" s="20">
        <f>'Total Sunday-Holiday Boardings'!CC42/SUM('Service Days per Month'!CC$6:CC$7)</f>
        <v>492.4</v>
      </c>
      <c r="CD42" s="18">
        <f>'Total Sunday-Holiday Boardings'!CD42/SUM('Service Days per Month'!CD$6:CD$7)</f>
        <v>445.8</v>
      </c>
      <c r="CE42" s="18">
        <f>'Total Sunday-Holiday Boardings'!CE42/SUM('Service Days per Month'!CE$6:CE$7)</f>
        <v>596</v>
      </c>
      <c r="CF42" s="18">
        <f>'Total Sunday-Holiday Boardings'!CF42/SUM('Service Days per Month'!CF$6:CF$7)</f>
        <v>570.5</v>
      </c>
      <c r="CG42" s="18">
        <f>'Total Sunday-Holiday Boardings'!CG42/SUM('Service Days per Month'!CG$6:CG$7)</f>
        <v>599.875</v>
      </c>
      <c r="CH42" s="18">
        <f>'Total Sunday-Holiday Boardings'!CH42/SUM('Service Days per Month'!CH$6:CH$7)</f>
        <v>551.66666666666663</v>
      </c>
      <c r="CI42" s="18">
        <f>'Total Sunday-Holiday Boardings'!CI42/SUM('Service Days per Month'!CI$6:CI$7)</f>
        <v>685.85714285714289</v>
      </c>
      <c r="CJ42" s="18">
        <f>'Total Sunday-Holiday Boardings'!CJ42/SUM('Service Days per Month'!CJ$6:CJ$7)</f>
        <v>691.8</v>
      </c>
      <c r="CK42" s="18">
        <f>'Total Sunday-Holiday Boardings'!CK42/SUM('Service Days per Month'!CK$6:CK$7)</f>
        <v>584.75</v>
      </c>
      <c r="CL42" s="18">
        <f>'Total Sunday-Holiday Boardings'!CL42/SUM('Service Days per Month'!CL$6:CL$7)</f>
        <v>665</v>
      </c>
      <c r="CM42" s="18">
        <f>'Total Sunday-Holiday Boardings'!CM42/SUM('Service Days per Month'!CM$6:CM$7)</f>
        <v>571.33333333333337</v>
      </c>
      <c r="CN42" s="21">
        <f>'Total Sunday-Holiday Boardings'!CN42/SUM('Service Days per Month'!CN$6:CN$7)</f>
        <v>554.75</v>
      </c>
      <c r="CO42" s="17">
        <f>'Total Sunday-Holiday Boardings'!CO42/SUM('Service Days per Month'!CO$6:CO$7)</f>
        <v>640.83333333333337</v>
      </c>
      <c r="CP42" s="18">
        <f>'Total Sunday-Holiday Boardings'!CP42/SUM('Service Days per Month'!CP$6:CP$7)</f>
        <v>560.25</v>
      </c>
      <c r="CQ42" s="18">
        <f>'Total Sunday-Holiday Boardings'!CQ42/SUM('Service Days per Month'!CQ$6:CQ$7)</f>
        <v>504</v>
      </c>
      <c r="CR42" s="18">
        <f>'Total Sunday-Holiday Boardings'!CR42/SUM('Service Days per Month'!CR$6:CR$7)</f>
        <v>520.20000000000005</v>
      </c>
      <c r="CS42" s="18">
        <f>'Total Sunday-Holiday Boardings'!CS42/SUM('Service Days per Month'!CS$6:CS$7)</f>
        <v>683</v>
      </c>
      <c r="CT42" s="18">
        <f>'Total Sunday-Holiday Boardings'!CT42/SUM('Service Days per Month'!CT$6:CT$7)</f>
        <v>633.66666666666663</v>
      </c>
      <c r="CU42" s="18">
        <f>'Total Sunday-Holiday Boardings'!CU42/SUM('Service Days per Month'!CU$6:CU$7)</f>
        <v>633.14285714285711</v>
      </c>
      <c r="CV42" s="18">
        <f>'Total Sunday-Holiday Boardings'!CV42/SUM('Service Days per Month'!CV$6:CV$7)</f>
        <v>697</v>
      </c>
      <c r="CW42" s="18">
        <f>'Total Sunday-Holiday Boardings'!CW42/SUM('Service Days per Month'!CW$6:CW$7)</f>
        <v>583.5</v>
      </c>
      <c r="CX42" s="18">
        <f>'Total Sunday-Holiday Boardings'!CX42/SUM('Service Days per Month'!CX$6:CX$7)</f>
        <v>977</v>
      </c>
      <c r="CY42" s="18">
        <f>'Total Sunday-Holiday Boardings'!CY42/SUM('Service Days per Month'!CY$6:CY$7)</f>
        <v>571.79999999999995</v>
      </c>
      <c r="CZ42" s="19">
        <f>'Total Sunday-Holiday Boardings'!CZ42/SUM('Service Days per Month'!CZ$6:CZ$7)</f>
        <v>522.5</v>
      </c>
      <c r="DA42" s="17">
        <f>'Total Sunday-Holiday Boardings'!DA42/SUM('Service Days per Month'!DA$6:DA$7)</f>
        <v>578</v>
      </c>
      <c r="DB42" s="18">
        <f>'Total Sunday-Holiday Boardings'!DB42/SUM('Service Days per Month'!DB$6:DB$7)</f>
        <v>564</v>
      </c>
      <c r="DC42" s="18">
        <f>'Total Sunday-Holiday Boardings'!DC42/SUM('Service Days per Month'!DC$6:DC$7)</f>
        <v>567.4</v>
      </c>
      <c r="DD42" s="18">
        <f>'Total Sunday-Holiday Boardings'!DD42/SUM('Service Days per Month'!DD$6:DD$7)</f>
        <v>579.20000000000005</v>
      </c>
      <c r="DE42" s="18">
        <f>'Total Sunday-Holiday Boardings'!DE42/SUM('Service Days per Month'!DE$6:DE$7)</f>
        <v>668.85714285714289</v>
      </c>
      <c r="DF42" s="18">
        <f>'Total Sunday-Holiday Boardings'!DF42/SUM('Service Days per Month'!DF$6:DF$7)</f>
        <v>550.5</v>
      </c>
      <c r="DG42" s="18">
        <f>'Total Sunday-Holiday Boardings'!DG42/SUM('Service Days per Month'!DG$6:DG$7)</f>
        <v>649.66666666666663</v>
      </c>
      <c r="DH42" s="18">
        <f>'Total Sunday-Holiday Boardings'!DH42/SUM('Service Days per Month'!DH$6:DH$7)</f>
        <v>632.79999999999995</v>
      </c>
      <c r="DI42" s="18">
        <f>'Total Sunday-Holiday Boardings'!DI42/SUM('Service Days per Month'!DI$6:DI$7)</f>
        <v>687</v>
      </c>
      <c r="DJ42" s="18">
        <f>'Total Sunday-Holiday Boardings'!DJ42/SUM('Service Days per Month'!DJ$6:DJ$7)</f>
        <v>541.20000000000005</v>
      </c>
      <c r="DK42" s="18">
        <f>'Total Sunday-Holiday Boardings'!DK42/SUM('Service Days per Month'!DK$6:DK$7)</f>
        <v>598.6</v>
      </c>
      <c r="DL42" s="19">
        <f>'Total Sunday-Holiday Boardings'!DL42/SUM('Service Days per Month'!DL$6:DL$7)</f>
        <v>490.25</v>
      </c>
      <c r="DM42" s="17">
        <f>'Total Sunday-Holiday Boardings'!DM42/('Service Days per Month'!DM$6+'Service Days per Month'!DM$7)</f>
        <v>572</v>
      </c>
      <c r="DN42" s="18">
        <f>'Total Sunday-Holiday Boardings'!DN42/('Service Days per Month'!DN$6+'Service Days per Month'!DN$7)</f>
        <v>505</v>
      </c>
      <c r="DO42" s="18">
        <f>'Total Sunday-Holiday Boardings'!DO42/('Service Days per Month'!DO$6+'Service Days per Month'!DO$7)</f>
        <v>474.16666666666669</v>
      </c>
      <c r="DP42" s="18">
        <f>'Total Sunday-Holiday Boardings'!DP42/('Service Days per Month'!DP$6+'Service Days per Month'!DP$7)</f>
        <v>515</v>
      </c>
      <c r="DQ42" s="18">
        <f>'Total Sunday-Holiday Boardings'!DQ42/('Service Days per Month'!DQ$6+'Service Days per Month'!DQ$7)</f>
        <v>481.4</v>
      </c>
      <c r="DR42" s="18">
        <f>'Total Sunday-Holiday Boardings'!DR42/('Service Days per Month'!DR$6+'Service Days per Month'!DR$7)</f>
        <v>473.66666666666669</v>
      </c>
      <c r="DS42" s="18">
        <f>'Total Sunday-Holiday Boardings'!DS42/('Service Days per Month'!DS$6+'Service Days per Month'!DS$7)</f>
        <v>557.4</v>
      </c>
      <c r="DT42" s="18">
        <f>'Total Sunday-Holiday Boardings'!DT42/('Service Days per Month'!DT$6+'Service Days per Month'!DT$7)</f>
        <v>529</v>
      </c>
      <c r="DU42" s="18">
        <f>'Total Sunday-Holiday Boardings'!DU42/('Service Days per Month'!DU$6+'Service Days per Month'!DU$7)</f>
        <v>658.8</v>
      </c>
      <c r="DV42" s="18">
        <f>'Total Sunday-Holiday Boardings'!DV42/('Service Days per Month'!DV$6+'Service Days per Month'!DV$7)</f>
        <v>526.5</v>
      </c>
      <c r="DW42" s="18">
        <f>'Total Sunday-Holiday Boardings'!DW42/('Service Days per Month'!DW$6+'Service Days per Month'!DW$7)</f>
        <v>486.6</v>
      </c>
      <c r="DX42" s="18">
        <f>'Total Sunday-Holiday Boardings'!DX42/('Service Days per Month'!DX$6+'Service Days per Month'!DX$7)</f>
        <v>427.6</v>
      </c>
      <c r="DY42" s="17">
        <f>'Total Sunday-Holiday Boardings'!DY42/('Service Days per Month'!DY$6+'Service Days per Month'!DY$7)</f>
        <v>475.8</v>
      </c>
      <c r="DZ42" s="18">
        <f>'Total Sunday-Holiday Boardings'!DZ42/('Service Days per Month'!DZ$6+'Service Days per Month'!DZ$7)</f>
        <v>421.25</v>
      </c>
      <c r="EA42" s="18">
        <f>'Total Sunday-Holiday Boardings'!EA42/('Service Days per Month'!EA$6+'Service Days per Month'!EA$7)</f>
        <v>444.5</v>
      </c>
      <c r="EB42" s="18">
        <f>'Total Sunday-Holiday Boardings'!EB42/('Service Days per Month'!EB$6+'Service Days per Month'!EB$7)</f>
        <v>516.5</v>
      </c>
      <c r="EC42" s="18">
        <f>'Total Sunday-Holiday Boardings'!EC42/('Service Days per Month'!EC$6+'Service Days per Month'!EC$7)</f>
        <v>509.2</v>
      </c>
      <c r="ED42" s="18">
        <f>'Total Sunday-Holiday Boardings'!ED42/('Service Days per Month'!ED$6+'Service Days per Month'!ED$7)</f>
        <v>485.33333333333331</v>
      </c>
      <c r="EE42" s="18">
        <f>'Total Sunday-Holiday Boardings'!EE42/('Service Days per Month'!EE$6+'Service Days per Month'!EE$7)</f>
        <v>666.5</v>
      </c>
      <c r="EF42" s="18">
        <f>'Total Sunday-Holiday Boardings'!EF42/('Service Days per Month'!EF$6+'Service Days per Month'!EF$7)</f>
        <v>496.75</v>
      </c>
      <c r="EG42" s="18">
        <f>'Total Sunday-Holiday Boardings'!EG42/('Service Days per Month'!EG$6+'Service Days per Month'!EG$7)</f>
        <v>466.2</v>
      </c>
      <c r="EH42" s="18">
        <f>'Total Sunday-Holiday Boardings'!EH42/('Service Days per Month'!EH$6+'Service Days per Month'!EH$7)</f>
        <v>282.5</v>
      </c>
      <c r="EI42" s="18">
        <f>'Total Sunday-Holiday Boardings'!EI42/('Service Days per Month'!EI$6+'Service Days per Month'!EI$7)</f>
        <v>270.33333333333331</v>
      </c>
      <c r="EJ42" s="18">
        <f>'Total Sunday-Holiday Boardings'!EJ42/('Service Days per Month'!EJ$6+'Service Days per Month'!EJ$7)</f>
        <v>268.25</v>
      </c>
      <c r="EK42" s="17">
        <f>'Total Sunday-Holiday Boardings'!EK42/('Service Days per Month'!EK$6+'Service Days per Month'!EK$7)</f>
        <v>271.2</v>
      </c>
      <c r="EL42" s="18">
        <f>'Total Sunday-Holiday Boardings'!EL42/('Service Days per Month'!EL$6+'Service Days per Month'!EL$7)</f>
        <v>257.39999999999998</v>
      </c>
      <c r="EM42" s="18">
        <f>'Total Sunday-Holiday Boardings'!EM42/('Service Days per Month'!EM$6+'Service Days per Month'!EM$7)</f>
        <v>325.2</v>
      </c>
      <c r="EN42" s="18">
        <f>'Total Sunday-Holiday Boardings'!EN42/('Service Days per Month'!EN$6+'Service Days per Month'!EN$7)</f>
        <v>291.25</v>
      </c>
      <c r="EO42" s="18">
        <f>'Total Sunday-Holiday Boardings'!EO42/('Service Days per Month'!EO$6+'Service Days per Month'!EO$7)</f>
        <v>171.83333333333334</v>
      </c>
      <c r="EP42" s="18">
        <f>'Total Sunday-Holiday Boardings'!EP42/('Service Days per Month'!EP$6+'Service Days per Month'!EP$7)</f>
        <v>203.2</v>
      </c>
      <c r="EQ42" s="18">
        <f>'Total Sunday-Holiday Boardings'!EQ42/('Service Days per Month'!EQ$6+'Service Days per Month'!EQ$7)</f>
        <v>140.80000000000001</v>
      </c>
      <c r="ER42" s="18">
        <f>'Total Sunday-Holiday Boardings'!ER42/('Service Days per Month'!ER$6+'Service Days per Month'!ER$7)</f>
        <v>266.25</v>
      </c>
      <c r="ES42" s="18">
        <f>'Total Sunday-Holiday Boardings'!ES42/('Service Days per Month'!ES$6+'Service Days per Month'!ES$7)</f>
        <v>262.5</v>
      </c>
      <c r="ET42" s="18">
        <f>'Total Sunday-Holiday Boardings'!ET42/('Service Days per Month'!ET$6+'Service Days per Month'!ET$7)</f>
        <v>273</v>
      </c>
      <c r="EU42" s="18">
        <f>'Total Sunday-Holiday Boardings'!EU42/('Service Days per Month'!EU$6+'Service Days per Month'!EU$7)</f>
        <v>214.16666666666666</v>
      </c>
      <c r="EV42" s="18">
        <f>'Total Sunday-Holiday Boardings'!EV42/('Service Days per Month'!EV$6+'Service Days per Month'!EV$7)</f>
        <v>268.25</v>
      </c>
      <c r="EW42" s="17">
        <f>'Total Sunday-Holiday Boardings'!EW42/('Service Days per Month'!EW$6+'Service Days per Month'!EW$7)</f>
        <v>263</v>
      </c>
      <c r="EX42" s="18">
        <f>'Total Sunday-Holiday Boardings'!EX42/('Service Days per Month'!EX$6+'Service Days per Month'!EX$7)</f>
        <v>313.39999999999998</v>
      </c>
      <c r="EY42" s="18">
        <f>'Total Sunday-Holiday Boardings'!EY42/('Service Days per Month'!EY$6+'Service Days per Month'!EY$7)</f>
        <v>271.60000000000002</v>
      </c>
      <c r="EZ42" s="18">
        <f>'Total Sunday-Holiday Boardings'!EZ42/('Service Days per Month'!EZ$6+'Service Days per Month'!EZ$7)</f>
        <v>282.8</v>
      </c>
      <c r="FA42" s="18">
        <f>'Total Sunday-Holiday Boardings'!FA42/('Service Days per Month'!FA$6+'Service Days per Month'!FA$7)</f>
        <v>257.8</v>
      </c>
      <c r="FB42" s="18">
        <f>'Total Sunday-Holiday Boardings'!FB42/('Service Days per Month'!FB$6+'Service Days per Month'!FB$7)</f>
        <v>367.8</v>
      </c>
      <c r="FC42" s="18">
        <f>'Total Sunday-Holiday Boardings'!FC42/('Service Days per Month'!FC$6+'Service Days per Month'!FC$7)</f>
        <v>246.8</v>
      </c>
      <c r="FD42" s="18">
        <f>'Total Sunday-Holiday Boardings'!FD42/('Service Days per Month'!FD$6+'Service Days per Month'!FD$7)</f>
        <v>301.75</v>
      </c>
      <c r="FE42" s="18">
        <f>'Total Sunday-Holiday Boardings'!FE42/('Service Days per Month'!FE$6+'Service Days per Month'!FE$7)</f>
        <v>396.75</v>
      </c>
      <c r="FF42" s="18">
        <f>'Total Sunday-Holiday Boardings'!FF42/('Service Days per Month'!FF$6+'Service Days per Month'!FF$7)</f>
        <v>357.75</v>
      </c>
      <c r="FG42" s="18">
        <f>'Total Sunday-Holiday Boardings'!FG42/('Service Days per Month'!FG$6+'Service Days per Month'!FG$7)</f>
        <v>334.33333333333331</v>
      </c>
      <c r="FH42" s="18">
        <f>'Total Sunday-Holiday Boardings'!FH42/('Service Days per Month'!FH$6+'Service Days per Month'!FH$7)</f>
        <v>224.25</v>
      </c>
      <c r="FI42" s="17">
        <v>265.16666666666669</v>
      </c>
      <c r="FJ42" s="18">
        <v>277.25</v>
      </c>
      <c r="FK42" s="18">
        <v>334.8</v>
      </c>
      <c r="FL42" s="18">
        <v>297.60000000000002</v>
      </c>
      <c r="FM42" s="18">
        <v>296.8</v>
      </c>
      <c r="FN42" s="18">
        <v>302.39999999999998</v>
      </c>
      <c r="FO42" s="18">
        <v>376.8</v>
      </c>
      <c r="FP42" s="18">
        <v>383.5</v>
      </c>
      <c r="FQ42" s="18">
        <v>365.5</v>
      </c>
      <c r="FR42" s="18">
        <f>'Total Sunday-Holiday Boardings'!FR42/5</f>
        <v>376.2</v>
      </c>
      <c r="FS42" s="18">
        <f>'Total Sunday-Holiday Boardings'!FS42/5</f>
        <v>331.6</v>
      </c>
      <c r="FT42" s="21">
        <f>'Total Sunday-Holiday Boardings'!FT42/4</f>
        <v>370</v>
      </c>
      <c r="FU42" s="18">
        <f>'Total Sunday-Holiday Boardings'!FU42/5</f>
        <v>394</v>
      </c>
      <c r="FV42" s="18">
        <f>'Total Sunday-Holiday Boardings'!FV42/4</f>
        <v>407.75</v>
      </c>
      <c r="FW42" s="18">
        <f>'Total Sunday-Holiday Boardings'!FW42/4</f>
        <v>382.25</v>
      </c>
      <c r="FX42" s="18">
        <f>'Total Sunday-Holiday Boardings'!FX42/5</f>
        <v>333.8</v>
      </c>
      <c r="FY42" s="18">
        <f>'Total Sunday-Holiday Boardings'!FY42/4</f>
        <v>391.75</v>
      </c>
      <c r="FZ42" s="18">
        <f>'Total Sunday-Holiday Boardings'!FZ42/5</f>
        <v>391.8</v>
      </c>
      <c r="GA42" s="18">
        <f>'Total Sunday-Holiday Boardings'!GA42/4</f>
        <v>529</v>
      </c>
      <c r="GB42" s="18">
        <f>'Total Sunday-Holiday Boardings'!GB42/4</f>
        <v>385</v>
      </c>
      <c r="GC42" s="18">
        <f>'Total Sunday-Holiday Boardings'!GC42/5</f>
        <v>418.8</v>
      </c>
      <c r="GD42" s="18">
        <f>'Total Sunday-Holiday Boardings'!GD42/4</f>
        <v>402.25</v>
      </c>
      <c r="GE42" s="18">
        <f>'Total Sunday-Holiday Boardings'!GE42/4</f>
        <v>496</v>
      </c>
      <c r="GF42" s="18">
        <f>'Total Sunday-Holiday Boardings'!GF42/5</f>
        <v>312.60000000000002</v>
      </c>
      <c r="GG42" s="18">
        <f>'Total Sunday-Holiday Boardings'!GG42/4</f>
        <v>392.25</v>
      </c>
      <c r="GH42" s="18">
        <f>'Total Sunday-Holiday Boardings'!GH42/4</f>
        <v>346.75</v>
      </c>
      <c r="GI42" s="18">
        <f>'Total Sunday-Holiday Boardings'!GI42/5</f>
        <v>478</v>
      </c>
      <c r="GJ42" s="18">
        <f>'Total Sunday-Holiday Boardings'!GJ42/4</f>
        <v>368</v>
      </c>
      <c r="GK42" s="18">
        <f>'Total Sunday-Holiday Boardings'!GK42/4</f>
        <v>423.5</v>
      </c>
      <c r="GL42" s="18">
        <f>'Total Sunday-Holiday Boardings'!GL42/5</f>
        <v>403.6</v>
      </c>
    </row>
    <row r="43" spans="1:194" ht="15" thickBot="1" x14ac:dyDescent="0.35">
      <c r="A43" s="9" t="s">
        <v>25</v>
      </c>
      <c r="B43" s="22"/>
      <c r="C43" s="23">
        <f>'Total Sunday-Holiday Boardings'!C43/SUM('Service Days per Month'!C$6:C$7)</f>
        <v>2893.4</v>
      </c>
      <c r="D43" s="23">
        <f>'Total Sunday-Holiday Boardings'!D43/SUM('Service Days per Month'!D$6:D$7)</f>
        <v>3196.25</v>
      </c>
      <c r="E43" s="23">
        <f>'Total Sunday-Holiday Boardings'!E43/SUM('Service Days per Month'!E$6:E$7)</f>
        <v>2963</v>
      </c>
      <c r="F43" s="23">
        <f>'Total Sunday-Holiday Boardings'!F43/SUM('Service Days per Month'!F$6:F$7)</f>
        <v>2189.6</v>
      </c>
      <c r="G43" s="23">
        <f>'Total Sunday-Holiday Boardings'!G43/SUM('Service Days per Month'!G$6:G$7)</f>
        <v>2252.1666666666665</v>
      </c>
      <c r="H43" s="24">
        <f>'Total Sunday-Holiday Boardings'!H43/SUM('Service Days per Month'!H$6:H$7)</f>
        <v>1668.5</v>
      </c>
      <c r="I43" s="22">
        <f>'Total Sunday-Holiday Boardings'!I43/SUM('Service Days per Month'!I$6:I$7)</f>
        <v>2214.6</v>
      </c>
      <c r="J43" s="23">
        <f>'Total Sunday-Holiday Boardings'!J43/SUM('Service Days per Month'!J$6:J$7)</f>
        <v>1364.4</v>
      </c>
      <c r="K43" s="23">
        <f>'Total Sunday-Holiday Boardings'!K43/SUM('Service Days per Month'!K$6:K$7)</f>
        <v>1959.2</v>
      </c>
      <c r="L43" s="23">
        <f>'Total Sunday-Holiday Boardings'!L43/SUM('Service Days per Month'!L$6:L$7)</f>
        <v>1807</v>
      </c>
      <c r="M43" s="23">
        <f>'Total Sunday-Holiday Boardings'!M43/SUM('Service Days per Month'!M$6:M$7)</f>
        <v>2711</v>
      </c>
      <c r="N43" s="23">
        <f>'Total Sunday-Holiday Boardings'!N43/SUM('Service Days per Month'!N$6:N$7)</f>
        <v>1458.2</v>
      </c>
      <c r="O43" s="82">
        <f>'Total Sunday-Holiday Boardings'!O43/SUM('Service Days per Month'!O$6:O$7)</f>
        <v>2124.5</v>
      </c>
      <c r="P43" s="82">
        <f>'Total Sunday-Holiday Boardings'!P43/SUM('Service Days per Month'!P$6:P$7)</f>
        <v>2563</v>
      </c>
      <c r="Q43" s="82">
        <f>'Total Sunday-Holiday Boardings'!Q43/SUM('Service Days per Month'!Q$6:Q$7)</f>
        <v>2916</v>
      </c>
      <c r="R43" s="82">
        <f>'Total Sunday-Holiday Boardings'!R43/SUM('Service Days per Month'!R$6:R$7)</f>
        <v>1977.75</v>
      </c>
      <c r="S43" s="82">
        <f>'Total Sunday-Holiday Boardings'!S43/SUM('Service Days per Month'!S$6:S$7)</f>
        <v>1941.1666666666667</v>
      </c>
      <c r="T43" s="83">
        <f>'Total Sunday-Holiday Boardings'!T43/SUM('Service Days per Month'!T$6:T$7)</f>
        <v>1648.5</v>
      </c>
      <c r="U43" s="84">
        <f>'Total Sunday-Holiday Boardings'!U43/SUM('Service Days per Month'!U$6:U$7)</f>
        <v>1803.2</v>
      </c>
      <c r="V43" s="82">
        <f>'Total Sunday-Holiday Boardings'!V43/SUM('Service Days per Month'!V$6:V$7)</f>
        <v>1637.2</v>
      </c>
      <c r="W43" s="82">
        <f>'Total Sunday-Holiday Boardings'!W43/SUM('Service Days per Month'!W$6:W$7)</f>
        <v>2004.2</v>
      </c>
      <c r="X43" s="82">
        <f>'Total Sunday-Holiday Boardings'!X43/SUM('Service Days per Month'!X$6:X$7)</f>
        <v>2024</v>
      </c>
      <c r="Y43" s="82">
        <f>'Total Sunday-Holiday Boardings'!Y43/SUM('Service Days per Month'!Y$6:Y$7)</f>
        <v>2356.7142857142858</v>
      </c>
      <c r="Z43" s="82">
        <f>'Total Sunday-Holiday Boardings'!Z43/SUM('Service Days per Month'!Z$6:Z$7)</f>
        <v>1203.2857142857142</v>
      </c>
      <c r="AA43" s="23">
        <f>'Total Sunday-Holiday Boardings'!AA43/SUM('Service Days per Month'!AA$6:AA$7)</f>
        <v>2023.5</v>
      </c>
      <c r="AB43" s="23">
        <f>'Total Sunday-Holiday Boardings'!AB43/SUM('Service Days per Month'!AB$6:AB$7)</f>
        <v>2079.6</v>
      </c>
      <c r="AC43" s="23">
        <f>'Total Sunday-Holiday Boardings'!AC43/SUM('Service Days per Month'!AC$6:AC$7)</f>
        <v>2628.75</v>
      </c>
      <c r="AD43" s="23">
        <f>'Total Sunday-Holiday Boardings'!AD43/SUM('Service Days per Month'!AD$6:AD$7)</f>
        <v>2265.5</v>
      </c>
      <c r="AE43" s="23">
        <f>'Total Sunday-Holiday Boardings'!AE43/SUM('Service Days per Month'!AE$6:AE$7)</f>
        <v>2031.1666666666667</v>
      </c>
      <c r="AF43" s="24">
        <f>'Total Sunday-Holiday Boardings'!AF43/SUM('Service Days per Month'!AF$6:AF$7)</f>
        <v>1961</v>
      </c>
      <c r="AG43" s="22">
        <f>'Total Sunday-Holiday Boardings'!AG43/SUM('Service Days per Month'!AG$6:AG$7)</f>
        <v>2437</v>
      </c>
      <c r="AH43" s="23">
        <f>'Total Sunday-Holiday Boardings'!AH43/SUM('Service Days per Month'!AH$6:AH$7)</f>
        <v>2049.75</v>
      </c>
      <c r="AI43" s="23">
        <f>'Total Sunday-Holiday Boardings'!AI43/SUM('Service Days per Month'!AI$6:AI$7)</f>
        <v>1956.6</v>
      </c>
      <c r="AJ43" s="23">
        <f>'Total Sunday-Holiday Boardings'!AJ43/SUM('Service Days per Month'!AJ$6:AJ$7)</f>
        <v>2063.8000000000002</v>
      </c>
      <c r="AK43" s="23">
        <f>'Total Sunday-Holiday Boardings'!AK43/SUM('Service Days per Month'!AK$6:AK$7)</f>
        <v>2105.8571428571427</v>
      </c>
      <c r="AL43" s="23">
        <f>'Total Sunday-Holiday Boardings'!AL43/SUM('Service Days per Month'!AL$6:AL$7)</f>
        <v>1569.6666666666667</v>
      </c>
      <c r="AM43" s="23">
        <f>'Total Sunday-Holiday Boardings'!AM43/SUM('Service Days per Month'!AM$6:AM$7)</f>
        <v>2261.2857142857142</v>
      </c>
      <c r="AN43" s="23">
        <f>'Total Sunday-Holiday Boardings'!AN43/SUM('Service Days per Month'!AN$6:AN$7)</f>
        <v>2393</v>
      </c>
      <c r="AO43" s="23">
        <f>'Total Sunday-Holiday Boardings'!AO43/SUM('Service Days per Month'!AO$6:AO$7)</f>
        <v>2343.75</v>
      </c>
      <c r="AP43" s="23">
        <f>'Total Sunday-Holiday Boardings'!AP43/SUM('Service Days per Month'!AP$6:AP$7)</f>
        <v>2397.4</v>
      </c>
      <c r="AQ43" s="23">
        <f>'Total Sunday-Holiday Boardings'!AQ43/SUM('Service Days per Month'!AQ$6:AQ$7)</f>
        <v>2127.6</v>
      </c>
      <c r="AR43" s="24">
        <f>'Total Sunday-Holiday Boardings'!AR43/SUM('Service Days per Month'!AR$6:AR$7)</f>
        <v>2015.25</v>
      </c>
      <c r="AS43" s="22">
        <f>'Total Sunday-Holiday Boardings'!AS43/SUM('Service Days per Month'!AS$6:AS$7)</f>
        <v>2596.1666666666665</v>
      </c>
      <c r="AT43" s="23">
        <f>'Total Sunday-Holiday Boardings'!AT43/SUM('Service Days per Month'!AT$6:AT$7)</f>
        <v>2071</v>
      </c>
      <c r="AU43" s="23">
        <f>'Total Sunday-Holiday Boardings'!AU43/SUM('Service Days per Month'!AU$6:AU$7)</f>
        <v>2031</v>
      </c>
      <c r="AV43" s="23">
        <f>'Total Sunday-Holiday Boardings'!AV43/SUM('Service Days per Month'!AV$6:AV$7)</f>
        <v>2384</v>
      </c>
      <c r="AW43" s="23">
        <f>'Total Sunday-Holiday Boardings'!AW43/SUM('Service Days per Month'!AW$6:AW$7)</f>
        <v>1912</v>
      </c>
      <c r="AX43" s="23">
        <f>'Total Sunday-Holiday Boardings'!AX43/SUM('Service Days per Month'!AX$6:AX$7)</f>
        <v>1828.8571428571429</v>
      </c>
      <c r="AY43" s="23">
        <f>'Total Sunday-Holiday Boardings'!AY43/SUM('Service Days per Month'!AY$6:AY$7)</f>
        <v>2316.5</v>
      </c>
      <c r="AZ43" s="23">
        <f>'Total Sunday-Holiday Boardings'!AZ43/SUM('Service Days per Month'!AZ$6:AZ$7)</f>
        <v>2539.8000000000002</v>
      </c>
      <c r="BA43" s="23">
        <f>'Total Sunday-Holiday Boardings'!BA43/SUM('Service Days per Month'!BA$6:BA$7)</f>
        <v>2683.8</v>
      </c>
      <c r="BB43" s="23">
        <f>'Total Sunday-Holiday Boardings'!BB43/SUM('Service Days per Month'!BB$6:BB$7)</f>
        <v>2654.5</v>
      </c>
      <c r="BC43" s="23">
        <f>'Total Sunday-Holiday Boardings'!BC43/SUM('Service Days per Month'!BC$6:BC$7)</f>
        <v>2572.6</v>
      </c>
      <c r="BD43" s="24">
        <f>'Total Sunday-Holiday Boardings'!BD43/SUM('Service Days per Month'!BD$6:BD$7)</f>
        <v>2088.8000000000002</v>
      </c>
      <c r="BE43" s="22">
        <f>'Total Sunday-Holiday Boardings'!BE43/SUM('Service Days per Month'!BE$6:BE$7)</f>
        <v>2519.8000000000002</v>
      </c>
      <c r="BF43" s="23">
        <f>'Total Sunday-Holiday Boardings'!BF43/SUM('Service Days per Month'!BF$6:BF$7)</f>
        <v>1743.5</v>
      </c>
      <c r="BG43" s="23">
        <f>'Total Sunday-Holiday Boardings'!BG43/SUM('Service Days per Month'!BG$6:BG$7)</f>
        <v>2134.8333333333335</v>
      </c>
      <c r="BH43" s="23">
        <f>'Total Sunday-Holiday Boardings'!BH43/SUM('Service Days per Month'!BH$6:BH$7)</f>
        <v>2078.5</v>
      </c>
      <c r="BI43" s="23">
        <f>'Total Sunday-Holiday Boardings'!BI43/SUM('Service Days per Month'!BI$6:BI$7)</f>
        <v>1836.6762361977915</v>
      </c>
      <c r="BJ43" s="23">
        <f>'Total Sunday-Holiday Boardings'!BJ43/SUM('Service Days per Month'!BJ$6:BJ$7)</f>
        <v>2039.7142857142858</v>
      </c>
      <c r="BK43" s="23">
        <f>'Total Sunday-Holiday Boardings'!BK43/SUM('Service Days per Month'!BK$6:BK$7)</f>
        <v>2458.6666666666665</v>
      </c>
      <c r="BL43" s="23">
        <f>'Total Sunday-Holiday Boardings'!BL43/SUM('Service Days per Month'!BL$6:BL$7)</f>
        <v>2490.4</v>
      </c>
      <c r="BM43" s="23">
        <f>'Total Sunday-Holiday Boardings'!BM43/SUM('Service Days per Month'!BM$6:BM$7)</f>
        <v>2620.1999999999998</v>
      </c>
      <c r="BN43" s="23">
        <f>'Total Sunday-Holiday Boardings'!BN43/SUM('Service Days per Month'!BN$6:BN$7)</f>
        <v>2351</v>
      </c>
      <c r="BO43" s="23">
        <f>'Total Sunday-Holiday Boardings'!BO43/SUM('Service Days per Month'!BO$6:BO$7)</f>
        <v>2161.8000000000002</v>
      </c>
      <c r="BP43" s="24">
        <f>'Total Sunday-Holiday Boardings'!BP43/SUM('Service Days per Month'!BP$6:BP$7)</f>
        <v>2100.1999999999998</v>
      </c>
      <c r="BQ43" s="22">
        <f>'Total Sunday-Holiday Boardings'!BQ43/SUM('Service Days per Month'!BQ$6:BQ$7)</f>
        <v>2264.4</v>
      </c>
      <c r="BR43" s="23">
        <f>'Total Sunday-Holiday Boardings'!BR43/SUM('Service Days per Month'!BR$6:BR$7)</f>
        <v>2175.6</v>
      </c>
      <c r="BS43" s="23">
        <f>'Total Sunday-Holiday Boardings'!BS43/SUM('Service Days per Month'!BS$6:BS$7)</f>
        <v>2198.4</v>
      </c>
      <c r="BT43" s="23">
        <f>'Total Sunday-Holiday Boardings'!BT43/SUM('Service Days per Month'!BT$6:BT$7)</f>
        <v>2104.75</v>
      </c>
      <c r="BU43" s="23">
        <f>'Total Sunday-Holiday Boardings'!BU43/SUM('Service Days per Month'!BU$6:BU$7)</f>
        <v>2255</v>
      </c>
      <c r="BV43" s="23">
        <f>'Total Sunday-Holiday Boardings'!BV43/SUM('Service Days per Month'!BV$6:BV$7)</f>
        <v>2089.8333333333335</v>
      </c>
      <c r="BW43" s="23">
        <f>'Total Sunday-Holiday Boardings'!BW43/SUM('Service Days per Month'!BW$6:BW$7)</f>
        <v>2086.3333333333335</v>
      </c>
      <c r="BX43" s="23">
        <f>'Total Sunday-Holiday Boardings'!BX43/SUM('Service Days per Month'!BX$6:BX$7)</f>
        <v>2887</v>
      </c>
      <c r="BY43" s="23">
        <f>'Total Sunday-Holiday Boardings'!BY43/SUM('Service Days per Month'!BY$6:BY$7)</f>
        <v>2347.4</v>
      </c>
      <c r="BZ43" s="23">
        <f>'Total Sunday-Holiday Boardings'!BZ43/SUM('Service Days per Month'!BZ$6:BZ$7)</f>
        <v>2212.75</v>
      </c>
      <c r="CA43" s="23">
        <f>'Total Sunday-Holiday Boardings'!CA43/SUM('Service Days per Month'!CA$6:CA$7)</f>
        <v>2189.8333333333335</v>
      </c>
      <c r="CB43" s="24">
        <f>'Total Sunday-Holiday Boardings'!CB43/SUM('Service Days per Month'!CB$6:CB$7)</f>
        <v>2148.25</v>
      </c>
      <c r="CC43" s="25">
        <f>'Total Sunday-Holiday Boardings'!CC43/SUM('Service Days per Month'!CC$6:CC$7)</f>
        <v>2164.1999999999998</v>
      </c>
      <c r="CD43" s="23">
        <f>'Total Sunday-Holiday Boardings'!CD43/SUM('Service Days per Month'!CD$6:CD$7)</f>
        <v>1728.2</v>
      </c>
      <c r="CE43" s="23">
        <f>'Total Sunday-Holiday Boardings'!CE43/SUM('Service Days per Month'!CE$6:CE$7)</f>
        <v>1095.8</v>
      </c>
      <c r="CF43" s="23">
        <f>'Total Sunday-Holiday Boardings'!CF43/SUM('Service Days per Month'!CF$6:CF$7)</f>
        <v>1132.75</v>
      </c>
      <c r="CG43" s="23">
        <f>'Total Sunday-Holiday Boardings'!CG43/SUM('Service Days per Month'!CG$6:CG$7)</f>
        <v>1051.875</v>
      </c>
      <c r="CH43" s="23">
        <f>'Total Sunday-Holiday Boardings'!CH43/SUM('Service Days per Month'!CH$6:CH$7)</f>
        <v>974.83333333333337</v>
      </c>
      <c r="CI43" s="23">
        <f>'Total Sunday-Holiday Boardings'!CI43/SUM('Service Days per Month'!CI$6:CI$7)</f>
        <v>1075.4285714285713</v>
      </c>
      <c r="CJ43" s="23">
        <f>'Total Sunday-Holiday Boardings'!CJ43/SUM('Service Days per Month'!CJ$6:CJ$7)</f>
        <v>1077.8</v>
      </c>
      <c r="CK43" s="23">
        <f>'Total Sunday-Holiday Boardings'!CK43/SUM('Service Days per Month'!CK$6:CK$7)</f>
        <v>981</v>
      </c>
      <c r="CL43" s="23">
        <f>'Total Sunday-Holiday Boardings'!CL43/SUM('Service Days per Month'!CL$6:CL$7)</f>
        <v>1047.5</v>
      </c>
      <c r="CM43" s="23">
        <f>'Total Sunday-Holiday Boardings'!CM43/SUM('Service Days per Month'!CM$6:CM$7)</f>
        <v>959.5</v>
      </c>
      <c r="CN43" s="26">
        <f>'Total Sunday-Holiday Boardings'!CN43/SUM('Service Days per Month'!CN$6:CN$7)</f>
        <v>945.5</v>
      </c>
      <c r="CO43" s="22">
        <f>'Total Sunday-Holiday Boardings'!CO43/SUM('Service Days per Month'!CO$6:CO$7)</f>
        <v>961</v>
      </c>
      <c r="CP43" s="23">
        <f>'Total Sunday-Holiday Boardings'!CP43/SUM('Service Days per Month'!CP$6:CP$7)</f>
        <v>916</v>
      </c>
      <c r="CQ43" s="23">
        <f>'Total Sunday-Holiday Boardings'!CQ43/SUM('Service Days per Month'!CQ$6:CQ$7)</f>
        <v>813.8</v>
      </c>
      <c r="CR43" s="23">
        <f>'Total Sunday-Holiday Boardings'!CR43/SUM('Service Days per Month'!CR$6:CR$7)</f>
        <v>909.4</v>
      </c>
      <c r="CS43" s="23">
        <f>'Total Sunday-Holiday Boardings'!CS43/SUM('Service Days per Month'!CS$6:CS$7)</f>
        <v>1165.2857142857142</v>
      </c>
      <c r="CT43" s="23">
        <f>'Total Sunday-Holiday Boardings'!CT43/SUM('Service Days per Month'!CT$6:CT$7)</f>
        <v>1152.8333333333333</v>
      </c>
      <c r="CU43" s="23">
        <f>'Total Sunday-Holiday Boardings'!CU43/SUM('Service Days per Month'!CU$6:CU$7)</f>
        <v>958</v>
      </c>
      <c r="CV43" s="23">
        <f>'Total Sunday-Holiday Boardings'!CV43/SUM('Service Days per Month'!CV$6:CV$7)</f>
        <v>1000.8</v>
      </c>
      <c r="CW43" s="23">
        <f>'Total Sunday-Holiday Boardings'!CW43/SUM('Service Days per Month'!CW$6:CW$7)</f>
        <v>929.75</v>
      </c>
      <c r="CX43" s="23">
        <f>'Total Sunday-Holiday Boardings'!CX43/SUM('Service Days per Month'!CX$6:CX$7)</f>
        <v>1237.8</v>
      </c>
      <c r="CY43" s="23">
        <f>'Total Sunday-Holiday Boardings'!CY43/SUM('Service Days per Month'!CY$6:CY$7)</f>
        <v>950</v>
      </c>
      <c r="CZ43" s="24">
        <f>'Total Sunday-Holiday Boardings'!CZ43/SUM('Service Days per Month'!CZ$6:CZ$7)</f>
        <v>905.5</v>
      </c>
      <c r="DA43" s="22">
        <f>'Total Sunday-Holiday Boardings'!DA43/SUM('Service Days per Month'!DA$6:DA$7)</f>
        <v>931.83333333333337</v>
      </c>
      <c r="DB43" s="23">
        <f>'Total Sunday-Holiday Boardings'!DB43/SUM('Service Days per Month'!DB$6:DB$7)</f>
        <v>877.5</v>
      </c>
      <c r="DC43" s="23">
        <f>'Total Sunday-Holiday Boardings'!DC43/SUM('Service Days per Month'!DC$6:DC$7)</f>
        <v>842</v>
      </c>
      <c r="DD43" s="23">
        <f>'Total Sunday-Holiday Boardings'!DD43/SUM('Service Days per Month'!DD$6:DD$7)</f>
        <v>890.4</v>
      </c>
      <c r="DE43" s="23">
        <f>'Total Sunday-Holiday Boardings'!DE43/SUM('Service Days per Month'!DE$6:DE$7)</f>
        <v>976</v>
      </c>
      <c r="DF43" s="23">
        <f>'Total Sunday-Holiday Boardings'!DF43/SUM('Service Days per Month'!DF$6:DF$7)</f>
        <v>849.16666666666663</v>
      </c>
      <c r="DG43" s="23">
        <f>'Total Sunday-Holiday Boardings'!DG43/SUM('Service Days per Month'!DG$6:DG$7)</f>
        <v>941.66666666666663</v>
      </c>
      <c r="DH43" s="23">
        <f>'Total Sunday-Holiday Boardings'!DH43/SUM('Service Days per Month'!DH$6:DH$7)</f>
        <v>954.8</v>
      </c>
      <c r="DI43" s="23">
        <f>'Total Sunday-Holiday Boardings'!DI43/SUM('Service Days per Month'!DI$6:DI$7)</f>
        <v>970</v>
      </c>
      <c r="DJ43" s="23">
        <f>'Total Sunday-Holiday Boardings'!DJ43/SUM('Service Days per Month'!DJ$6:DJ$7)</f>
        <v>924.4</v>
      </c>
      <c r="DK43" s="23">
        <f>'Total Sunday-Holiday Boardings'!DK43/SUM('Service Days per Month'!DK$6:DK$7)</f>
        <v>864.8</v>
      </c>
      <c r="DL43" s="24">
        <f>'Total Sunday-Holiday Boardings'!DL43/SUM('Service Days per Month'!DL$6:DL$7)</f>
        <v>768.25</v>
      </c>
      <c r="DM43" s="22">
        <f>'Total Sunday-Holiday Boardings'!DM43/('Service Days per Month'!DM$6+'Service Days per Month'!DM$7)</f>
        <v>824.33333333333337</v>
      </c>
      <c r="DN43" s="23">
        <f>'Total Sunday-Holiday Boardings'!DN43/('Service Days per Month'!DN$6+'Service Days per Month'!DN$7)</f>
        <v>796.25</v>
      </c>
      <c r="DO43" s="23">
        <f>'Total Sunday-Holiday Boardings'!DO43/('Service Days per Month'!DO$6+'Service Days per Month'!DO$7)</f>
        <v>786</v>
      </c>
      <c r="DP43" s="23">
        <f>'Total Sunday-Holiday Boardings'!DP43/('Service Days per Month'!DP$6+'Service Days per Month'!DP$7)</f>
        <v>839.25</v>
      </c>
      <c r="DQ43" s="23">
        <f>'Total Sunday-Holiday Boardings'!DQ43/('Service Days per Month'!DQ$6+'Service Days per Month'!DQ$7)</f>
        <v>826.4</v>
      </c>
      <c r="DR43" s="23">
        <f>'Total Sunday-Holiday Boardings'!DR43/('Service Days per Month'!DR$6+'Service Days per Month'!DR$7)</f>
        <v>766</v>
      </c>
      <c r="DS43" s="23">
        <f>'Total Sunday-Holiday Boardings'!DS43/('Service Days per Month'!DS$6+'Service Days per Month'!DS$7)</f>
        <v>798.4</v>
      </c>
      <c r="DT43" s="23">
        <f>'Total Sunday-Holiday Boardings'!DT43/('Service Days per Month'!DT$6+'Service Days per Month'!DT$7)</f>
        <v>847.25</v>
      </c>
      <c r="DU43" s="23">
        <f>'Total Sunday-Holiday Boardings'!DU43/('Service Days per Month'!DU$6+'Service Days per Month'!DU$7)</f>
        <v>905.4</v>
      </c>
      <c r="DV43" s="23">
        <f>'Total Sunday-Holiday Boardings'!DV43/('Service Days per Month'!DV$6+'Service Days per Month'!DV$7)</f>
        <v>853.5</v>
      </c>
      <c r="DW43" s="23">
        <f>'Total Sunday-Holiday Boardings'!DW43/('Service Days per Month'!DW$6+'Service Days per Month'!DW$7)</f>
        <v>812</v>
      </c>
      <c r="DX43" s="23">
        <f>'Total Sunday-Holiday Boardings'!DX43/('Service Days per Month'!DX$6+'Service Days per Month'!DX$7)</f>
        <v>701.4</v>
      </c>
      <c r="DY43" s="22">
        <f>'Total Sunday-Holiday Boardings'!DY43/('Service Days per Month'!DY$6+'Service Days per Month'!DY$7)</f>
        <v>743.6</v>
      </c>
      <c r="DZ43" s="23">
        <f>'Total Sunday-Holiday Boardings'!DZ43/('Service Days per Month'!DZ$6+'Service Days per Month'!DZ$7)</f>
        <v>727.5</v>
      </c>
      <c r="EA43" s="23">
        <f>'Total Sunday-Holiday Boardings'!EA43/('Service Days per Month'!EA$6+'Service Days per Month'!EA$7)</f>
        <v>761.66666666666663</v>
      </c>
      <c r="EB43" s="23">
        <f>'Total Sunday-Holiday Boardings'!EB43/('Service Days per Month'!EB$6+'Service Days per Month'!EB$7)</f>
        <v>828.5</v>
      </c>
      <c r="EC43" s="23">
        <f>'Total Sunday-Holiday Boardings'!EC43/('Service Days per Month'!EC$6+'Service Days per Month'!EC$7)</f>
        <v>801.8</v>
      </c>
      <c r="ED43" s="23">
        <f>'Total Sunday-Holiday Boardings'!ED43/('Service Days per Month'!ED$6+'Service Days per Month'!ED$7)</f>
        <v>771.5</v>
      </c>
      <c r="EE43" s="23">
        <f>'Total Sunday-Holiday Boardings'!EE43/('Service Days per Month'!EE$6+'Service Days per Month'!EE$7)</f>
        <v>995.5</v>
      </c>
      <c r="EF43" s="23">
        <f>'Total Sunday-Holiday Boardings'!EF43/('Service Days per Month'!EF$6+'Service Days per Month'!EF$7)</f>
        <v>823.25</v>
      </c>
      <c r="EG43" s="23">
        <f>'Total Sunday-Holiday Boardings'!EG43/('Service Days per Month'!EG$6+'Service Days per Month'!EG$7)</f>
        <v>737.2</v>
      </c>
      <c r="EH43" s="23">
        <f>'Total Sunday-Holiday Boardings'!EH43/('Service Days per Month'!EH$6+'Service Days per Month'!EH$7)</f>
        <v>519</v>
      </c>
      <c r="EI43" s="23">
        <f>'Total Sunday-Holiday Boardings'!EI43/('Service Days per Month'!EI$6+'Service Days per Month'!EI$7)</f>
        <v>527.83333333333337</v>
      </c>
      <c r="EJ43" s="23">
        <f>'Total Sunday-Holiday Boardings'!EJ43/('Service Days per Month'!EJ$6+'Service Days per Month'!EJ$7)</f>
        <v>480.5</v>
      </c>
      <c r="EK43" s="22">
        <f>'Total Sunday-Holiday Boardings'!EK43/('Service Days per Month'!EK$6+'Service Days per Month'!EK$7)</f>
        <v>432.2</v>
      </c>
      <c r="EL43" s="23">
        <f>'Total Sunday-Holiday Boardings'!EL43/('Service Days per Month'!EL$6+'Service Days per Month'!EL$7)</f>
        <v>453.8</v>
      </c>
      <c r="EM43" s="23">
        <f>'Total Sunday-Holiday Boardings'!EM43/('Service Days per Month'!EM$6+'Service Days per Month'!EM$7)</f>
        <v>462.4</v>
      </c>
      <c r="EN43" s="23">
        <f>'Total Sunday-Holiday Boardings'!EN43/('Service Days per Month'!EN$6+'Service Days per Month'!EN$7)</f>
        <v>481.25</v>
      </c>
      <c r="EO43" s="23">
        <f>'Total Sunday-Holiday Boardings'!EO43/('Service Days per Month'!EO$6+'Service Days per Month'!EO$7)</f>
        <v>322</v>
      </c>
      <c r="EP43" s="23">
        <f>'Total Sunday-Holiday Boardings'!EP43/('Service Days per Month'!EP$6+'Service Days per Month'!EP$7)</f>
        <v>323.39999999999998</v>
      </c>
      <c r="EQ43" s="23">
        <f>'Total Sunday-Holiday Boardings'!EQ43/('Service Days per Month'!EQ$6+'Service Days per Month'!EQ$7)</f>
        <v>217.6</v>
      </c>
      <c r="ER43" s="23">
        <f>'Total Sunday-Holiday Boardings'!ER43/('Service Days per Month'!ER$6+'Service Days per Month'!ER$7)</f>
        <v>475.75</v>
      </c>
      <c r="ES43" s="23">
        <f>'Total Sunday-Holiday Boardings'!ES43/('Service Days per Month'!ES$6+'Service Days per Month'!ES$7)</f>
        <v>469.75</v>
      </c>
      <c r="ET43" s="23">
        <f>'Total Sunday-Holiday Boardings'!ET43/('Service Days per Month'!ET$6+'Service Days per Month'!ET$7)</f>
        <v>457.75</v>
      </c>
      <c r="EU43" s="23">
        <f>'Total Sunday-Holiday Boardings'!EU43/('Service Days per Month'!EU$6+'Service Days per Month'!EU$7)</f>
        <v>409.83333333333331</v>
      </c>
      <c r="EV43" s="23">
        <f>'Total Sunday-Holiday Boardings'!EV43/('Service Days per Month'!EV$6+'Service Days per Month'!EV$7)</f>
        <v>477.25</v>
      </c>
      <c r="EW43" s="22">
        <f>'Total Sunday-Holiday Boardings'!EW43/('Service Days per Month'!EW$6+'Service Days per Month'!EW$7)</f>
        <v>474.8</v>
      </c>
      <c r="EX43" s="23">
        <f>'Total Sunday-Holiday Boardings'!EX43/('Service Days per Month'!EX$6+'Service Days per Month'!EX$7)</f>
        <v>603.79999999999995</v>
      </c>
      <c r="EY43" s="23">
        <f>'Total Sunday-Holiday Boardings'!EY43/('Service Days per Month'!EY$6+'Service Days per Month'!EY$7)</f>
        <v>521.4</v>
      </c>
      <c r="EZ43" s="23">
        <f>'Total Sunday-Holiday Boardings'!EZ43/('Service Days per Month'!EZ$6+'Service Days per Month'!EZ$7)</f>
        <v>522</v>
      </c>
      <c r="FA43" s="23">
        <f>'Total Sunday-Holiday Boardings'!FA43/('Service Days per Month'!FA$6+'Service Days per Month'!FA$7)</f>
        <v>505.8</v>
      </c>
      <c r="FB43" s="23">
        <f>'Total Sunday-Holiday Boardings'!FB43/('Service Days per Month'!FB$6+'Service Days per Month'!FB$7)</f>
        <v>632</v>
      </c>
      <c r="FC43" s="23">
        <f>'Total Sunday-Holiday Boardings'!FC43/('Service Days per Month'!FC$6+'Service Days per Month'!FC$7)</f>
        <v>497</v>
      </c>
      <c r="FD43" s="23">
        <f>'Total Sunday-Holiday Boardings'!FD43/('Service Days per Month'!FD$6+'Service Days per Month'!FD$7)</f>
        <v>612.75</v>
      </c>
      <c r="FE43" s="23">
        <f>'Total Sunday-Holiday Boardings'!FE43/('Service Days per Month'!FE$6+'Service Days per Month'!FE$7)</f>
        <v>669.5</v>
      </c>
      <c r="FF43" s="23">
        <f>'Total Sunday-Holiday Boardings'!FF43/('Service Days per Month'!FF$6+'Service Days per Month'!FF$7)</f>
        <v>638.75</v>
      </c>
      <c r="FG43" s="23">
        <f>'Total Sunday-Holiday Boardings'!FG43/('Service Days per Month'!FG$6+'Service Days per Month'!FG$7)</f>
        <v>576.5</v>
      </c>
      <c r="FH43" s="23">
        <f>'Total Sunday-Holiday Boardings'!FH43/('Service Days per Month'!FH$6+'Service Days per Month'!FH$7)</f>
        <v>500.75</v>
      </c>
      <c r="FI43" s="22">
        <v>537.66666666666663</v>
      </c>
      <c r="FJ43" s="23">
        <v>538.5</v>
      </c>
      <c r="FK43" s="23">
        <v>575.4</v>
      </c>
      <c r="FL43" s="23">
        <v>573.6</v>
      </c>
      <c r="FM43" s="23">
        <v>495.8</v>
      </c>
      <c r="FN43" s="23">
        <v>562.79999999999995</v>
      </c>
      <c r="FO43" s="23">
        <v>667.8</v>
      </c>
      <c r="FP43" s="23">
        <v>603</v>
      </c>
      <c r="FQ43" s="23">
        <v>684.75</v>
      </c>
      <c r="FR43" s="23">
        <f>'Total Sunday-Holiday Boardings'!FR43/5</f>
        <v>633.6</v>
      </c>
      <c r="FS43" s="23">
        <f>'Total Sunday-Holiday Boardings'!FS43/5</f>
        <v>583.79999999999995</v>
      </c>
      <c r="FT43" s="26">
        <f>'Total Sunday-Holiday Boardings'!FT43/4</f>
        <v>609</v>
      </c>
      <c r="FU43" s="18">
        <f>'Total Sunday-Holiday Boardings'!FU43/5</f>
        <v>690.6</v>
      </c>
      <c r="FV43" s="18">
        <f>'Total Sunday-Holiday Boardings'!FV43/4</f>
        <v>771.5</v>
      </c>
      <c r="FW43" s="18">
        <f>'Total Sunday-Holiday Boardings'!FW43/4</f>
        <v>708.75</v>
      </c>
      <c r="FX43" s="18">
        <f>'Total Sunday-Holiday Boardings'!FX43/5</f>
        <v>588.6</v>
      </c>
      <c r="FY43" s="18">
        <f>'Total Sunday-Holiday Boardings'!FY43/4</f>
        <v>695.75</v>
      </c>
      <c r="FZ43" s="18">
        <f>'Total Sunday-Holiday Boardings'!FZ43/5</f>
        <v>688.6</v>
      </c>
      <c r="GA43" s="18">
        <f>'Total Sunday-Holiday Boardings'!GA43/4</f>
        <v>849.5</v>
      </c>
      <c r="GB43" s="18">
        <f>'Total Sunday-Holiday Boardings'!GB43/4</f>
        <v>695.25</v>
      </c>
      <c r="GC43" s="18">
        <f>'Total Sunday-Holiday Boardings'!GC43/5</f>
        <v>647</v>
      </c>
      <c r="GD43" s="18">
        <f>'Total Sunday-Holiday Boardings'!GD43/4</f>
        <v>637</v>
      </c>
      <c r="GE43" s="18">
        <f>'Total Sunday-Holiday Boardings'!GE43/4</f>
        <v>766.5</v>
      </c>
      <c r="GF43" s="18">
        <f>'Total Sunday-Holiday Boardings'!GF43/5</f>
        <v>597.79999999999995</v>
      </c>
      <c r="GG43" s="18">
        <f>'Total Sunday-Holiday Boardings'!GG43/4</f>
        <v>712.25</v>
      </c>
      <c r="GH43" s="18">
        <f>'Total Sunday-Holiday Boardings'!GH43/4</f>
        <v>614.25</v>
      </c>
      <c r="GI43" s="18">
        <f>'Total Sunday-Holiday Boardings'!GI43/5</f>
        <v>730.4</v>
      </c>
      <c r="GJ43" s="18">
        <f>'Total Sunday-Holiday Boardings'!GJ43/4</f>
        <v>602.75</v>
      </c>
      <c r="GK43" s="18">
        <f>'Total Sunday-Holiday Boardings'!GK43/4</f>
        <v>898.25</v>
      </c>
      <c r="GL43" s="18">
        <f>'Total Sunday-Holiday Boardings'!GL43/5</f>
        <v>646.6</v>
      </c>
    </row>
    <row r="44" spans="1:194" x14ac:dyDescent="0.3">
      <c r="A44" s="10" t="s">
        <v>26</v>
      </c>
      <c r="B44" s="12"/>
      <c r="C44" s="13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4"/>
      <c r="AG44" s="12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2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4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4"/>
      <c r="BQ44" s="12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4"/>
      <c r="CC44" s="15"/>
      <c r="CD44" s="13">
        <f>'Total Sunday-Holiday Boardings'!CD44/SUM('Service Days per Month'!CD$10:CD$11)</f>
        <v>473</v>
      </c>
      <c r="CE44" s="13">
        <f>'Total Sunday-Holiday Boardings'!CE44/SUM('Service Days per Month'!CE$6:CE$7)</f>
        <v>563.6</v>
      </c>
      <c r="CF44" s="13">
        <f>'Total Sunday-Holiday Boardings'!CF44/SUM('Service Days per Month'!CF$6:CF$7)</f>
        <v>617.25</v>
      </c>
      <c r="CG44" s="13">
        <f>'Total Sunday-Holiday Boardings'!CG44/SUM('Service Days per Month'!CG$6:CG$7)</f>
        <v>698.75</v>
      </c>
      <c r="CH44" s="13">
        <f>'Total Sunday-Holiday Boardings'!CH44/SUM('Service Days per Month'!CH$6:CH$7)</f>
        <v>721</v>
      </c>
      <c r="CI44" s="13">
        <f>'Total Sunday-Holiday Boardings'!CI44/SUM('Service Days per Month'!CI$6:CI$7)</f>
        <v>740.85714285714289</v>
      </c>
      <c r="CJ44" s="13">
        <f>'Total Sunday-Holiday Boardings'!CJ44/SUM('Service Days per Month'!CJ$6:CJ$7)</f>
        <v>768.2</v>
      </c>
      <c r="CK44" s="13">
        <f>'Total Sunday-Holiday Boardings'!CK44/SUM('Service Days per Month'!CK$6:CK$7)</f>
        <v>729.75</v>
      </c>
      <c r="CL44" s="13">
        <f>'Total Sunday-Holiday Boardings'!CL44/SUM('Service Days per Month'!CL$6:CL$7)</f>
        <v>738</v>
      </c>
      <c r="CM44" s="13">
        <f>'Total Sunday-Holiday Boardings'!CM44/SUM('Service Days per Month'!CM$6:CM$7)</f>
        <v>715.5</v>
      </c>
      <c r="CN44" s="16">
        <f>'Total Sunday-Holiday Boardings'!CN44/SUM('Service Days per Month'!CN$6:CN$7)</f>
        <v>721.25</v>
      </c>
      <c r="CO44" s="12">
        <f>'Total Sunday-Holiday Boardings'!CO44/SUM('Service Days per Month'!CO$6:CO$7)</f>
        <v>773.16666666666663</v>
      </c>
      <c r="CP44" s="13">
        <f>'Total Sunday-Holiday Boardings'!CP44/SUM('Service Days per Month'!CP$6:CP$7)</f>
        <v>753.75</v>
      </c>
      <c r="CQ44" s="13">
        <f>'Total Sunday-Holiday Boardings'!CQ44/SUM('Service Days per Month'!CQ$6:CQ$7)</f>
        <v>759</v>
      </c>
      <c r="CR44" s="13">
        <f>'Total Sunday-Holiday Boardings'!CR44/SUM('Service Days per Month'!CR$6:CR$7)</f>
        <v>778.2</v>
      </c>
      <c r="CS44" s="13">
        <f>'Total Sunday-Holiday Boardings'!CS44/SUM('Service Days per Month'!CS$6:CS$7)</f>
        <v>980.57142857142856</v>
      </c>
      <c r="CT44" s="13">
        <f>'Total Sunday-Holiday Boardings'!CT44/SUM('Service Days per Month'!CT$6:CT$7)</f>
        <v>1057.1666666666667</v>
      </c>
      <c r="CU44" s="13">
        <f>'Total Sunday-Holiday Boardings'!CU44/SUM('Service Days per Month'!CU$6:CU$7)</f>
        <v>834.28571428571433</v>
      </c>
      <c r="CV44" s="13">
        <f>'Total Sunday-Holiday Boardings'!CV44/SUM('Service Days per Month'!CV$6:CV$7)</f>
        <v>862</v>
      </c>
      <c r="CW44" s="13">
        <f>'Total Sunday-Holiday Boardings'!CW44/SUM('Service Days per Month'!CW$6:CW$7)</f>
        <v>804</v>
      </c>
      <c r="CX44" s="13">
        <f>'Total Sunday-Holiday Boardings'!CX44/SUM('Service Days per Month'!CX$6:CX$7)</f>
        <v>830.2</v>
      </c>
      <c r="CY44" s="13">
        <f>'Total Sunday-Holiday Boardings'!CY44/SUM('Service Days per Month'!CY$6:CY$7)</f>
        <v>786.6</v>
      </c>
      <c r="CZ44" s="14">
        <f>'Total Sunday-Holiday Boardings'!CZ44/SUM('Service Days per Month'!CZ$6:CZ$7)</f>
        <v>796.25</v>
      </c>
      <c r="DA44" s="12">
        <f>'Total Sunday-Holiday Boardings'!DA44/SUM('Service Days per Month'!DA$6:DA$7)</f>
        <v>845.16666666666663</v>
      </c>
      <c r="DB44" s="13">
        <f>'Total Sunday-Holiday Boardings'!DB44/SUM('Service Days per Month'!DB$6:DB$7)</f>
        <v>823.25</v>
      </c>
      <c r="DC44" s="13">
        <f>'Total Sunday-Holiday Boardings'!DC44/SUM('Service Days per Month'!DC$6:DC$7)</f>
        <v>783.8</v>
      </c>
      <c r="DD44" s="13">
        <f>'Total Sunday-Holiday Boardings'!DD44/SUM('Service Days per Month'!DD$6:DD$7)</f>
        <v>804</v>
      </c>
      <c r="DE44" s="13">
        <f>'Total Sunday-Holiday Boardings'!DE44/SUM('Service Days per Month'!DE$6:DE$7)</f>
        <v>828.14285714285711</v>
      </c>
      <c r="DF44" s="13">
        <f>'Total Sunday-Holiday Boardings'!DF44/SUM('Service Days per Month'!DF$6:DF$7)</f>
        <v>771.83333333333337</v>
      </c>
      <c r="DG44" s="13">
        <f>'Total Sunday-Holiday Boardings'!DG44/SUM('Service Days per Month'!DG$6:DG$7)</f>
        <v>848.33333333333337</v>
      </c>
      <c r="DH44" s="13">
        <f>'Total Sunday-Holiday Boardings'!DH44/SUM('Service Days per Month'!DH$6:DH$7)</f>
        <v>874.2</v>
      </c>
      <c r="DI44" s="13">
        <f>'Total Sunday-Holiday Boardings'!DI44/SUM('Service Days per Month'!DI$6:DI$7)</f>
        <v>797.25</v>
      </c>
      <c r="DJ44" s="13">
        <f>'Total Sunday-Holiday Boardings'!DJ44/SUM('Service Days per Month'!DJ$6:DJ$7)</f>
        <v>753.6</v>
      </c>
      <c r="DK44" s="13">
        <f>'Total Sunday-Holiday Boardings'!DK44/SUM('Service Days per Month'!DK$6:DK$7)</f>
        <v>738.6</v>
      </c>
      <c r="DL44" s="14">
        <f>'Total Sunday-Holiday Boardings'!DL44/SUM('Service Days per Month'!DL$6:DL$7)</f>
        <v>814.5</v>
      </c>
      <c r="DM44" s="12">
        <f>'Total Sunday-Holiday Boardings'!DM44/('Service Days per Month'!DM$6+'Service Days per Month'!DM$7)</f>
        <v>829.83333333333337</v>
      </c>
      <c r="DN44" s="13">
        <f>'Total Sunday-Holiday Boardings'!DN44/('Service Days per Month'!DN$6+'Service Days per Month'!DN$7)</f>
        <v>773.25</v>
      </c>
      <c r="DO44" s="13">
        <f>'Total Sunday-Holiday Boardings'!DO44/('Service Days per Month'!DO$6+'Service Days per Month'!DO$7)</f>
        <v>805.33333333333337</v>
      </c>
      <c r="DP44" s="13">
        <f>'Total Sunday-Holiday Boardings'!DP44/('Service Days per Month'!DP$6+'Service Days per Month'!DP$7)</f>
        <v>814.5</v>
      </c>
      <c r="DQ44" s="13">
        <f>'Total Sunday-Holiday Boardings'!DQ44/('Service Days per Month'!DQ$6+'Service Days per Month'!DQ$7)</f>
        <v>801.6</v>
      </c>
      <c r="DR44" s="13">
        <f>'Total Sunday-Holiday Boardings'!DR44/('Service Days per Month'!DR$6+'Service Days per Month'!DR$7)</f>
        <v>749.83333333333337</v>
      </c>
      <c r="DS44" s="13">
        <f>'Total Sunday-Holiday Boardings'!DS44/('Service Days per Month'!DS$6+'Service Days per Month'!DS$7)</f>
        <v>784</v>
      </c>
      <c r="DT44" s="13">
        <f>'Total Sunday-Holiday Boardings'!DT44/('Service Days per Month'!DT$6+'Service Days per Month'!DT$7)</f>
        <v>776.75</v>
      </c>
      <c r="DU44" s="13">
        <f>'Total Sunday-Holiday Boardings'!DU44/('Service Days per Month'!DU$6+'Service Days per Month'!DU$7)</f>
        <v>821.2</v>
      </c>
      <c r="DV44" s="13">
        <f>'Total Sunday-Holiday Boardings'!DV44/('Service Days per Month'!DV$6+'Service Days per Month'!DV$7)</f>
        <v>742</v>
      </c>
      <c r="DW44" s="13">
        <f>'Total Sunday-Holiday Boardings'!DW44/('Service Days per Month'!DW$6+'Service Days per Month'!DW$7)</f>
        <v>885.4</v>
      </c>
      <c r="DX44" s="13">
        <f>'Total Sunday-Holiday Boardings'!DX44/('Service Days per Month'!DX$6+'Service Days per Month'!DX$7)</f>
        <v>725.6</v>
      </c>
      <c r="DY44" s="12">
        <f>'Total Sunday-Holiday Boardings'!DY44/('Service Days per Month'!DY$6+'Service Days per Month'!DY$7)</f>
        <v>734.6</v>
      </c>
      <c r="DZ44" s="13">
        <f>'Total Sunday-Holiday Boardings'!DZ44/('Service Days per Month'!DZ$6+'Service Days per Month'!DZ$7)</f>
        <v>716.5</v>
      </c>
      <c r="EA44" s="13">
        <f>'Total Sunday-Holiday Boardings'!EA44/('Service Days per Month'!EA$6+'Service Days per Month'!EA$7)</f>
        <v>783</v>
      </c>
      <c r="EB44" s="13">
        <f>'Total Sunday-Holiday Boardings'!EB44/('Service Days per Month'!EB$6+'Service Days per Month'!EB$7)</f>
        <v>893.5</v>
      </c>
      <c r="EC44" s="13">
        <f>'Total Sunday-Holiday Boardings'!EC44/('Service Days per Month'!EC$6+'Service Days per Month'!EC$7)</f>
        <v>829.2</v>
      </c>
      <c r="ED44" s="13">
        <f>'Total Sunday-Holiday Boardings'!ED44/('Service Days per Month'!ED$6+'Service Days per Month'!ED$7)</f>
        <v>749.33333333333337</v>
      </c>
      <c r="EE44" s="13">
        <f>'Total Sunday-Holiday Boardings'!EE44/('Service Days per Month'!EE$6+'Service Days per Month'!EE$7)</f>
        <v>1033.25</v>
      </c>
      <c r="EF44" s="13">
        <f>'Total Sunday-Holiday Boardings'!EF44/('Service Days per Month'!EF$6+'Service Days per Month'!EF$7)</f>
        <v>867.5</v>
      </c>
      <c r="EG44" s="13">
        <f>'Total Sunday-Holiday Boardings'!EG44/('Service Days per Month'!EG$6+'Service Days per Month'!EG$7)</f>
        <v>763.6</v>
      </c>
      <c r="EH44" s="13">
        <f>'Total Sunday-Holiday Boardings'!EH44/('Service Days per Month'!EH$6+'Service Days per Month'!EH$7)</f>
        <v>607.5</v>
      </c>
      <c r="EI44" s="13">
        <f>'Total Sunday-Holiday Boardings'!EI44/('Service Days per Month'!EI$6+'Service Days per Month'!EI$7)</f>
        <v>636.5</v>
      </c>
      <c r="EJ44" s="13">
        <f>'Total Sunday-Holiday Boardings'!EJ44/('Service Days per Month'!EJ$6+'Service Days per Month'!EJ$7)</f>
        <v>528.5</v>
      </c>
      <c r="EK44" s="12">
        <f>'Total Sunday-Holiday Boardings'!EK44/('Service Days per Month'!EK$6+'Service Days per Month'!EK$7)</f>
        <v>511</v>
      </c>
      <c r="EL44" s="13">
        <f>'Total Sunday-Holiday Boardings'!EL44/('Service Days per Month'!EL$6+'Service Days per Month'!EL$7)</f>
        <v>511.4</v>
      </c>
      <c r="EM44" s="13">
        <f>'Total Sunday-Holiday Boardings'!EM44/('Service Days per Month'!EM$6+'Service Days per Month'!EM$7)</f>
        <v>494</v>
      </c>
      <c r="EN44" s="13">
        <f>'Total Sunday-Holiday Boardings'!EN44/('Service Days per Month'!EN$6+'Service Days per Month'!EN$7)</f>
        <v>512.75</v>
      </c>
      <c r="EO44" s="13">
        <f>'Total Sunday-Holiday Boardings'!EO44/('Service Days per Month'!EO$6+'Service Days per Month'!EO$7)</f>
        <v>321.5</v>
      </c>
      <c r="EP44" s="13">
        <f>'Total Sunday-Holiday Boardings'!EP44/('Service Days per Month'!EP$6+'Service Days per Month'!EP$7)</f>
        <v>325</v>
      </c>
      <c r="EQ44" s="13">
        <f>'Total Sunday-Holiday Boardings'!EQ44/('Service Days per Month'!EQ$6+'Service Days per Month'!EQ$7)</f>
        <v>219.4</v>
      </c>
      <c r="ER44" s="13">
        <f>'Total Sunday-Holiday Boardings'!ER44/('Service Days per Month'!ER$6+'Service Days per Month'!ER$7)</f>
        <v>449.25</v>
      </c>
      <c r="ES44" s="13">
        <f>'Total Sunday-Holiday Boardings'!ES44/('Service Days per Month'!ES$6+'Service Days per Month'!ES$7)</f>
        <v>441.75</v>
      </c>
      <c r="ET44" s="13">
        <f>'Total Sunday-Holiday Boardings'!ET44/('Service Days per Month'!ET$6+'Service Days per Month'!ET$7)</f>
        <v>468.25</v>
      </c>
      <c r="EU44" s="13">
        <f>'Total Sunday-Holiday Boardings'!EU44/('Service Days per Month'!EU$6+'Service Days per Month'!EU$7)</f>
        <v>379.66666666666669</v>
      </c>
      <c r="EV44" s="13">
        <f>'Total Sunday-Holiday Boardings'!EV44/('Service Days per Month'!EV$6+'Service Days per Month'!EV$7)</f>
        <v>459</v>
      </c>
      <c r="EW44" s="12">
        <f>'Total Sunday-Holiday Boardings'!EW44/('Service Days per Month'!EW$6+'Service Days per Month'!EW$7)</f>
        <v>468.4</v>
      </c>
      <c r="EX44" s="13">
        <f>'Total Sunday-Holiday Boardings'!EX44/('Service Days per Month'!EX$6+'Service Days per Month'!EX$7)</f>
        <v>604.20000000000005</v>
      </c>
      <c r="EY44" s="13">
        <f>'Total Sunday-Holiday Boardings'!EY44/('Service Days per Month'!EY$6+'Service Days per Month'!EY$7)</f>
        <v>502.6</v>
      </c>
      <c r="EZ44" s="13">
        <f>'Total Sunday-Holiday Boardings'!EZ44/('Service Days per Month'!EZ$6+'Service Days per Month'!EZ$7)</f>
        <v>518.20000000000005</v>
      </c>
      <c r="FA44" s="13">
        <f>'Total Sunday-Holiday Boardings'!FA44/('Service Days per Month'!FA$6+'Service Days per Month'!FA$7)</f>
        <v>481.6</v>
      </c>
      <c r="FB44" s="13">
        <f>'Total Sunday-Holiday Boardings'!FB44/('Service Days per Month'!FB$6+'Service Days per Month'!FB$7)</f>
        <v>586</v>
      </c>
      <c r="FC44" s="13">
        <f>'Total Sunday-Holiday Boardings'!FC44/('Service Days per Month'!FC$6+'Service Days per Month'!FC$7)</f>
        <v>481.8</v>
      </c>
      <c r="FD44" s="13">
        <f>'Total Sunday-Holiday Boardings'!FD44/('Service Days per Month'!FD$6+'Service Days per Month'!FD$7)</f>
        <v>583.25</v>
      </c>
      <c r="FE44" s="13">
        <f>'Total Sunday-Holiday Boardings'!FE44/('Service Days per Month'!FE$6+'Service Days per Month'!FE$7)</f>
        <v>650.25</v>
      </c>
      <c r="FF44" s="13">
        <f>'Total Sunday-Holiday Boardings'!FF44/('Service Days per Month'!FF$6+'Service Days per Month'!FF$7)</f>
        <v>625.75</v>
      </c>
      <c r="FG44" s="13">
        <f>'Total Sunday-Holiday Boardings'!FG44/('Service Days per Month'!FG$6+'Service Days per Month'!FG$7)</f>
        <v>637.33333333333337</v>
      </c>
      <c r="FH44" s="13">
        <f>'Total Sunday-Holiday Boardings'!FH44/('Service Days per Month'!FH$6+'Service Days per Month'!FH$7)</f>
        <v>603.5</v>
      </c>
      <c r="FI44" s="12">
        <v>638.33333333333337</v>
      </c>
      <c r="FJ44" s="13">
        <v>592</v>
      </c>
      <c r="FK44" s="13">
        <v>619.20000000000005</v>
      </c>
      <c r="FL44" s="13">
        <v>566.79999999999995</v>
      </c>
      <c r="FM44" s="13">
        <v>486.2</v>
      </c>
      <c r="FN44" s="13">
        <v>547.79999999999995</v>
      </c>
      <c r="FO44" s="13">
        <v>649</v>
      </c>
      <c r="FP44" s="13">
        <v>529.5</v>
      </c>
      <c r="FQ44" s="13">
        <v>578</v>
      </c>
      <c r="FR44" s="13">
        <f>'Total Sunday-Holiday Boardings'!FR44/5</f>
        <v>553.6</v>
      </c>
      <c r="FS44" s="13">
        <f>'Total Sunday-Holiday Boardings'!FS44/5</f>
        <v>554.20000000000005</v>
      </c>
      <c r="FT44" s="16">
        <f>'Total Sunday-Holiday Boardings'!FT44/4</f>
        <v>537</v>
      </c>
      <c r="FU44" s="18">
        <f>'Total Sunday-Holiday Boardings'!FU44/5</f>
        <v>634.79999999999995</v>
      </c>
      <c r="FV44" s="18">
        <f>'Total Sunday-Holiday Boardings'!FV44/4</f>
        <v>729</v>
      </c>
      <c r="FW44" s="18">
        <f>'Total Sunday-Holiday Boardings'!FW44/4</f>
        <v>629.25</v>
      </c>
      <c r="FX44" s="18">
        <f>'Total Sunday-Holiday Boardings'!FX44/5</f>
        <v>545.79999999999995</v>
      </c>
      <c r="FY44" s="18">
        <f>'Total Sunday-Holiday Boardings'!FY44/4</f>
        <v>680.5</v>
      </c>
      <c r="FZ44" s="18">
        <f>'Total Sunday-Holiday Boardings'!FZ44/5</f>
        <v>664.8</v>
      </c>
      <c r="GA44" s="18">
        <f>'Total Sunday-Holiday Boardings'!GA44/4</f>
        <v>771.5</v>
      </c>
      <c r="GB44" s="18">
        <f>'Total Sunday-Holiday Boardings'!GB44/4</f>
        <v>613.5</v>
      </c>
      <c r="GC44" s="18">
        <f>'Total Sunday-Holiday Boardings'!GC44/5</f>
        <v>591.79999999999995</v>
      </c>
      <c r="GD44" s="18">
        <f>'Total Sunday-Holiday Boardings'!GD44/4</f>
        <v>553.25</v>
      </c>
      <c r="GE44" s="18">
        <f>'Total Sunday-Holiday Boardings'!GE44/4</f>
        <v>683.25</v>
      </c>
      <c r="GF44" s="18">
        <f>'Total Sunday-Holiday Boardings'!GF44/5</f>
        <v>592.4</v>
      </c>
      <c r="GG44" s="18">
        <f>'Total Sunday-Holiday Boardings'!GG44/4</f>
        <v>698</v>
      </c>
      <c r="GH44" s="18">
        <f>'Total Sunday-Holiday Boardings'!GH44/4</f>
        <v>554.75</v>
      </c>
      <c r="GI44" s="18">
        <f>'Total Sunday-Holiday Boardings'!GI44/5</f>
        <v>622.4</v>
      </c>
      <c r="GJ44" s="18">
        <f>'Total Sunday-Holiday Boardings'!GJ44/4</f>
        <v>568.75</v>
      </c>
      <c r="GK44" s="18">
        <f>'Total Sunday-Holiday Boardings'!GK44/4</f>
        <v>498.5</v>
      </c>
      <c r="GL44" s="18">
        <f>'Total Sunday-Holiday Boardings'!GL44/5</f>
        <v>565.4</v>
      </c>
    </row>
    <row r="45" spans="1:194" x14ac:dyDescent="0.3">
      <c r="A45" s="4" t="s">
        <v>27</v>
      </c>
      <c r="B45" s="17"/>
      <c r="C45" s="18"/>
      <c r="D45" s="18"/>
      <c r="E45" s="18"/>
      <c r="F45" s="18"/>
      <c r="G45" s="18"/>
      <c r="H45" s="19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9"/>
      <c r="U45" s="17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9"/>
      <c r="AG45" s="17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9"/>
      <c r="AS45" s="17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9"/>
      <c r="BE45" s="17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9"/>
      <c r="BQ45" s="17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9"/>
      <c r="CC45" s="20"/>
      <c r="CD45" s="18">
        <f>'Total Sunday-Holiday Boardings'!CD45/SUM('Service Days per Month'!CD$10:CD$11)</f>
        <v>542.5</v>
      </c>
      <c r="CE45" s="18">
        <f>'Total Sunday-Holiday Boardings'!CE45/SUM('Service Days per Month'!CE$6:CE$7)</f>
        <v>627.6</v>
      </c>
      <c r="CF45" s="18">
        <f>'Total Sunday-Holiday Boardings'!CF45/SUM('Service Days per Month'!CF$6:CF$7)</f>
        <v>706.25</v>
      </c>
      <c r="CG45" s="18">
        <f>'Total Sunday-Holiday Boardings'!CG45/SUM('Service Days per Month'!CG$6:CG$7)</f>
        <v>749.25</v>
      </c>
      <c r="CH45" s="18">
        <f>'Total Sunday-Holiday Boardings'!CH45/SUM('Service Days per Month'!CH$6:CH$7)</f>
        <v>731.83333333333337</v>
      </c>
      <c r="CI45" s="18">
        <f>'Total Sunday-Holiday Boardings'!CI45/SUM('Service Days per Month'!CI$6:CI$7)</f>
        <v>768.85714285714289</v>
      </c>
      <c r="CJ45" s="18">
        <f>'Total Sunday-Holiday Boardings'!CJ45/SUM('Service Days per Month'!CJ$6:CJ$7)</f>
        <v>813</v>
      </c>
      <c r="CK45" s="18">
        <f>'Total Sunday-Holiday Boardings'!CK45/SUM('Service Days per Month'!CK$6:CK$7)</f>
        <v>752</v>
      </c>
      <c r="CL45" s="18">
        <f>'Total Sunday-Holiday Boardings'!CL45/SUM('Service Days per Month'!CL$6:CL$7)</f>
        <v>759.5</v>
      </c>
      <c r="CM45" s="18">
        <f>'Total Sunday-Holiday Boardings'!CM45/SUM('Service Days per Month'!CM$6:CM$7)</f>
        <v>684.83333333333337</v>
      </c>
      <c r="CN45" s="21">
        <f>'Total Sunday-Holiday Boardings'!CN45/SUM('Service Days per Month'!CN$6:CN$7)</f>
        <v>671</v>
      </c>
      <c r="CO45" s="17">
        <f>'Total Sunday-Holiday Boardings'!CO45/SUM('Service Days per Month'!CO$6:CO$7)</f>
        <v>725</v>
      </c>
      <c r="CP45" s="18">
        <f>'Total Sunday-Holiday Boardings'!CP45/SUM('Service Days per Month'!CP$6:CP$7)</f>
        <v>756</v>
      </c>
      <c r="CQ45" s="18">
        <f>'Total Sunday-Holiday Boardings'!CQ45/SUM('Service Days per Month'!CQ$6:CQ$7)</f>
        <v>709.8</v>
      </c>
      <c r="CR45" s="18">
        <f>'Total Sunday-Holiday Boardings'!CR45/SUM('Service Days per Month'!CR$6:CR$7)</f>
        <v>755.2</v>
      </c>
      <c r="CS45" s="18">
        <f>'Total Sunday-Holiday Boardings'!CS45/SUM('Service Days per Month'!CS$6:CS$7)</f>
        <v>981.28571428571433</v>
      </c>
      <c r="CT45" s="18">
        <f>'Total Sunday-Holiday Boardings'!CT45/SUM('Service Days per Month'!CT$6:CT$7)</f>
        <v>1031.1666666666667</v>
      </c>
      <c r="CU45" s="18">
        <f>'Total Sunday-Holiday Boardings'!CU45/SUM('Service Days per Month'!CU$6:CU$7)</f>
        <v>824.85714285714289</v>
      </c>
      <c r="CV45" s="18">
        <f>'Total Sunday-Holiday Boardings'!CV45/SUM('Service Days per Month'!CV$6:CV$7)</f>
        <v>831</v>
      </c>
      <c r="CW45" s="18">
        <f>'Total Sunday-Holiday Boardings'!CW45/SUM('Service Days per Month'!CW$6:CW$7)</f>
        <v>799.5</v>
      </c>
      <c r="CX45" s="18">
        <f>'Total Sunday-Holiday Boardings'!CX45/SUM('Service Days per Month'!CX$6:CX$7)</f>
        <v>888.8</v>
      </c>
      <c r="CY45" s="18">
        <f>'Total Sunday-Holiday Boardings'!CY45/SUM('Service Days per Month'!CY$6:CY$7)</f>
        <v>822.2</v>
      </c>
      <c r="CZ45" s="19">
        <f>'Total Sunday-Holiday Boardings'!CZ45/SUM('Service Days per Month'!CZ$6:CZ$7)</f>
        <v>821.5</v>
      </c>
      <c r="DA45" s="17">
        <f>'Total Sunday-Holiday Boardings'!DA45/SUM('Service Days per Month'!DA$6:DA$7)</f>
        <v>792</v>
      </c>
      <c r="DB45" s="18">
        <f>'Total Sunday-Holiday Boardings'!DB45/SUM('Service Days per Month'!DB$6:DB$7)</f>
        <v>780.5</v>
      </c>
      <c r="DC45" s="18">
        <f>'Total Sunday-Holiday Boardings'!DC45/SUM('Service Days per Month'!DC$6:DC$7)</f>
        <v>812</v>
      </c>
      <c r="DD45" s="18">
        <f>'Total Sunday-Holiday Boardings'!DD45/SUM('Service Days per Month'!DD$6:DD$7)</f>
        <v>790.4</v>
      </c>
      <c r="DE45" s="18">
        <f>'Total Sunday-Holiday Boardings'!DE45/SUM('Service Days per Month'!DE$6:DE$7)</f>
        <v>868.85714285714289</v>
      </c>
      <c r="DF45" s="18">
        <f>'Total Sunday-Holiday Boardings'!DF45/SUM('Service Days per Month'!DF$6:DF$7)</f>
        <v>765.5</v>
      </c>
      <c r="DG45" s="18">
        <f>'Total Sunday-Holiday Boardings'!DG45/SUM('Service Days per Month'!DG$6:DG$7)</f>
        <v>866.33333333333337</v>
      </c>
      <c r="DH45" s="18">
        <f>'Total Sunday-Holiday Boardings'!DH45/SUM('Service Days per Month'!DH$6:DH$7)</f>
        <v>896.8</v>
      </c>
      <c r="DI45" s="18">
        <f>'Total Sunday-Holiday Boardings'!DI45/SUM('Service Days per Month'!DI$6:DI$7)</f>
        <v>815.25</v>
      </c>
      <c r="DJ45" s="18">
        <f>'Total Sunday-Holiday Boardings'!DJ45/SUM('Service Days per Month'!DJ$6:DJ$7)</f>
        <v>776.6</v>
      </c>
      <c r="DK45" s="18">
        <f>'Total Sunday-Holiday Boardings'!DK45/SUM('Service Days per Month'!DK$6:DK$7)</f>
        <v>760.8</v>
      </c>
      <c r="DL45" s="19">
        <f>'Total Sunday-Holiday Boardings'!DL45/SUM('Service Days per Month'!DL$6:DL$7)</f>
        <v>763</v>
      </c>
      <c r="DM45" s="17">
        <f>'Total Sunday-Holiday Boardings'!DM45/('Service Days per Month'!DM$6+'Service Days per Month'!DM$7)</f>
        <v>801.5</v>
      </c>
      <c r="DN45" s="18">
        <f>'Total Sunday-Holiday Boardings'!DN45/('Service Days per Month'!DN$6+'Service Days per Month'!DN$7)</f>
        <v>824.25</v>
      </c>
      <c r="DO45" s="18">
        <f>'Total Sunday-Holiday Boardings'!DO45/('Service Days per Month'!DO$6+'Service Days per Month'!DO$7)</f>
        <v>821.66666666666663</v>
      </c>
      <c r="DP45" s="18">
        <f>'Total Sunday-Holiday Boardings'!DP45/('Service Days per Month'!DP$6+'Service Days per Month'!DP$7)</f>
        <v>821.75</v>
      </c>
      <c r="DQ45" s="18">
        <f>'Total Sunday-Holiday Boardings'!DQ45/('Service Days per Month'!DQ$6+'Service Days per Month'!DQ$7)</f>
        <v>824</v>
      </c>
      <c r="DR45" s="18">
        <f>'Total Sunday-Holiday Boardings'!DR45/('Service Days per Month'!DR$6+'Service Days per Month'!DR$7)</f>
        <v>753.66666666666663</v>
      </c>
      <c r="DS45" s="18">
        <f>'Total Sunday-Holiday Boardings'!DS45/('Service Days per Month'!DS$6+'Service Days per Month'!DS$7)</f>
        <v>814.8</v>
      </c>
      <c r="DT45" s="18">
        <f>'Total Sunday-Holiday Boardings'!DT45/('Service Days per Month'!DT$6+'Service Days per Month'!DT$7)</f>
        <v>776.75</v>
      </c>
      <c r="DU45" s="18">
        <f>'Total Sunday-Holiday Boardings'!DU45/('Service Days per Month'!DU$6+'Service Days per Month'!DU$7)</f>
        <v>811</v>
      </c>
      <c r="DV45" s="18">
        <f>'Total Sunday-Holiday Boardings'!DV45/('Service Days per Month'!DV$6+'Service Days per Month'!DV$7)</f>
        <v>718.5</v>
      </c>
      <c r="DW45" s="18">
        <f>'Total Sunday-Holiday Boardings'!DW45/('Service Days per Month'!DW$6+'Service Days per Month'!DW$7)</f>
        <v>756.8</v>
      </c>
      <c r="DX45" s="18">
        <f>'Total Sunday-Holiday Boardings'!DX45/('Service Days per Month'!DX$6+'Service Days per Month'!DX$7)</f>
        <v>767.2</v>
      </c>
      <c r="DY45" s="17">
        <f>'Total Sunday-Holiday Boardings'!DY45/('Service Days per Month'!DY$6+'Service Days per Month'!DY$7)</f>
        <v>753.2</v>
      </c>
      <c r="DZ45" s="18">
        <f>'Total Sunday-Holiday Boardings'!DZ45/('Service Days per Month'!DZ$6+'Service Days per Month'!DZ$7)</f>
        <v>718.75</v>
      </c>
      <c r="EA45" s="18">
        <f>'Total Sunday-Holiday Boardings'!EA45/('Service Days per Month'!EA$6+'Service Days per Month'!EA$7)</f>
        <v>757.33333333333337</v>
      </c>
      <c r="EB45" s="18">
        <f>'Total Sunday-Holiday Boardings'!EB45/('Service Days per Month'!EB$6+'Service Days per Month'!EB$7)</f>
        <v>835</v>
      </c>
      <c r="EC45" s="18">
        <f>'Total Sunday-Holiday Boardings'!EC45/('Service Days per Month'!EC$6+'Service Days per Month'!EC$7)</f>
        <v>848</v>
      </c>
      <c r="ED45" s="18">
        <f>'Total Sunday-Holiday Boardings'!ED45/('Service Days per Month'!ED$6+'Service Days per Month'!ED$7)</f>
        <v>732.83333333333337</v>
      </c>
      <c r="EE45" s="18">
        <f>'Total Sunday-Holiday Boardings'!EE45/('Service Days per Month'!EE$6+'Service Days per Month'!EE$7)</f>
        <v>954.75</v>
      </c>
      <c r="EF45" s="18">
        <f>'Total Sunday-Holiday Boardings'!EF45/('Service Days per Month'!EF$6+'Service Days per Month'!EF$7)</f>
        <v>850</v>
      </c>
      <c r="EG45" s="18">
        <f>'Total Sunday-Holiday Boardings'!EG45/('Service Days per Month'!EG$6+'Service Days per Month'!EG$7)</f>
        <v>752.2</v>
      </c>
      <c r="EH45" s="18">
        <f>'Total Sunday-Holiday Boardings'!EH45/('Service Days per Month'!EH$6+'Service Days per Month'!EH$7)</f>
        <v>570</v>
      </c>
      <c r="EI45" s="18">
        <f>'Total Sunday-Holiday Boardings'!EI45/('Service Days per Month'!EI$6+'Service Days per Month'!EI$7)</f>
        <v>557.66666666666663</v>
      </c>
      <c r="EJ45" s="18">
        <f>'Total Sunday-Holiday Boardings'!EJ45/('Service Days per Month'!EJ$6+'Service Days per Month'!EJ$7)</f>
        <v>474.75</v>
      </c>
      <c r="EK45" s="17">
        <f>'Total Sunday-Holiday Boardings'!EK45/('Service Days per Month'!EK$6+'Service Days per Month'!EK$7)</f>
        <v>465.2</v>
      </c>
      <c r="EL45" s="18">
        <f>'Total Sunday-Holiday Boardings'!EL45/('Service Days per Month'!EL$6+'Service Days per Month'!EL$7)</f>
        <v>455.2</v>
      </c>
      <c r="EM45" s="18">
        <f>'Total Sunday-Holiday Boardings'!EM45/('Service Days per Month'!EM$6+'Service Days per Month'!EM$7)</f>
        <v>454.8</v>
      </c>
      <c r="EN45" s="18">
        <f>'Total Sunday-Holiday Boardings'!EN45/('Service Days per Month'!EN$6+'Service Days per Month'!EN$7)</f>
        <v>471.5</v>
      </c>
      <c r="EO45" s="18">
        <f>'Total Sunday-Holiday Boardings'!EO45/('Service Days per Month'!EO$6+'Service Days per Month'!EO$7)</f>
        <v>285.83333333333331</v>
      </c>
      <c r="EP45" s="18">
        <f>'Total Sunday-Holiday Boardings'!EP45/('Service Days per Month'!EP$6+'Service Days per Month'!EP$7)</f>
        <v>297.39999999999998</v>
      </c>
      <c r="EQ45" s="18">
        <f>'Total Sunday-Holiday Boardings'!EQ45/('Service Days per Month'!EQ$6+'Service Days per Month'!EQ$7)</f>
        <v>183.6</v>
      </c>
      <c r="ER45" s="18">
        <f>'Total Sunday-Holiday Boardings'!ER45/('Service Days per Month'!ER$6+'Service Days per Month'!ER$7)</f>
        <v>401.75</v>
      </c>
      <c r="ES45" s="18">
        <f>'Total Sunday-Holiday Boardings'!ES45/('Service Days per Month'!ES$6+'Service Days per Month'!ES$7)</f>
        <v>399</v>
      </c>
      <c r="ET45" s="18">
        <f>'Total Sunday-Holiday Boardings'!ET45/('Service Days per Month'!ET$6+'Service Days per Month'!ET$7)</f>
        <v>439.75</v>
      </c>
      <c r="EU45" s="18">
        <f>'Total Sunday-Holiday Boardings'!EU45/('Service Days per Month'!EU$6+'Service Days per Month'!EU$7)</f>
        <v>380.83333333333331</v>
      </c>
      <c r="EV45" s="18">
        <f>'Total Sunday-Holiday Boardings'!EV45/('Service Days per Month'!EV$6+'Service Days per Month'!EV$7)</f>
        <v>421.75</v>
      </c>
      <c r="EW45" s="17">
        <f>'Total Sunday-Holiday Boardings'!EW45/('Service Days per Month'!EW$6+'Service Days per Month'!EW$7)</f>
        <v>427.6</v>
      </c>
      <c r="EX45" s="18">
        <f>'Total Sunday-Holiday Boardings'!EX45/('Service Days per Month'!EX$6+'Service Days per Month'!EX$7)</f>
        <v>539.79999999999995</v>
      </c>
      <c r="EY45" s="18">
        <f>'Total Sunday-Holiday Boardings'!EY45/('Service Days per Month'!EY$6+'Service Days per Month'!EY$7)</f>
        <v>466.8</v>
      </c>
      <c r="EZ45" s="18">
        <f>'Total Sunday-Holiday Boardings'!EZ45/('Service Days per Month'!EZ$6+'Service Days per Month'!EZ$7)</f>
        <v>467.2</v>
      </c>
      <c r="FA45" s="18">
        <f>'Total Sunday-Holiday Boardings'!FA45/('Service Days per Month'!FA$6+'Service Days per Month'!FA$7)</f>
        <v>429.8</v>
      </c>
      <c r="FB45" s="18">
        <f>'Total Sunday-Holiday Boardings'!FB45/('Service Days per Month'!FB$6+'Service Days per Month'!FB$7)</f>
        <v>524.6</v>
      </c>
      <c r="FC45" s="18">
        <f>'Total Sunday-Holiday Boardings'!FC45/('Service Days per Month'!FC$6+'Service Days per Month'!FC$7)</f>
        <v>406.2</v>
      </c>
      <c r="FD45" s="18">
        <f>'Total Sunday-Holiday Boardings'!FD45/('Service Days per Month'!FD$6+'Service Days per Month'!FD$7)</f>
        <v>509.5</v>
      </c>
      <c r="FE45" s="18">
        <f>'Total Sunday-Holiday Boardings'!FE45/('Service Days per Month'!FE$6+'Service Days per Month'!FE$7)</f>
        <v>550.25</v>
      </c>
      <c r="FF45" s="18">
        <f>'Total Sunday-Holiday Boardings'!FF45/('Service Days per Month'!FF$6+'Service Days per Month'!FF$7)</f>
        <v>549</v>
      </c>
      <c r="FG45" s="18">
        <f>'Total Sunday-Holiday Boardings'!FG45/('Service Days per Month'!FG$6+'Service Days per Month'!FG$7)</f>
        <v>561.16666666666663</v>
      </c>
      <c r="FH45" s="18">
        <f>'Total Sunday-Holiday Boardings'!FH45/('Service Days per Month'!FH$6+'Service Days per Month'!FH$7)</f>
        <v>494.75</v>
      </c>
      <c r="FI45" s="17">
        <v>468.16666666666669</v>
      </c>
      <c r="FJ45" s="18">
        <v>442.75</v>
      </c>
      <c r="FK45" s="18">
        <v>484.8</v>
      </c>
      <c r="FL45" s="18">
        <v>511.8</v>
      </c>
      <c r="FM45" s="18">
        <v>392.8</v>
      </c>
      <c r="FN45" s="18">
        <v>461.6</v>
      </c>
      <c r="FO45" s="18">
        <v>547.6</v>
      </c>
      <c r="FP45" s="18">
        <v>484.75</v>
      </c>
      <c r="FQ45" s="18">
        <v>557.5</v>
      </c>
      <c r="FR45" s="18">
        <f>'Total Sunday-Holiday Boardings'!FR45/5</f>
        <v>549.79999999999995</v>
      </c>
      <c r="FS45" s="18">
        <f>'Total Sunday-Holiday Boardings'!FS45/5</f>
        <v>497.6</v>
      </c>
      <c r="FT45" s="21">
        <f>'Total Sunday-Holiday Boardings'!FT45/4</f>
        <v>497.5</v>
      </c>
      <c r="FU45" s="18">
        <f>'Total Sunday-Holiday Boardings'!FU45/5</f>
        <v>567.4</v>
      </c>
      <c r="FV45" s="18">
        <f>'Total Sunday-Holiday Boardings'!FV45/4</f>
        <v>677.75</v>
      </c>
      <c r="FW45" s="18">
        <f>'Total Sunday-Holiday Boardings'!FW45/4</f>
        <v>589</v>
      </c>
      <c r="FX45" s="18">
        <f>'Total Sunday-Holiday Boardings'!FX45/5</f>
        <v>499.4</v>
      </c>
      <c r="FY45" s="18">
        <f>'Total Sunday-Holiday Boardings'!FY45/4</f>
        <v>612.25</v>
      </c>
      <c r="FZ45" s="18">
        <f>'Total Sunday-Holiday Boardings'!FZ45/5</f>
        <v>589.4</v>
      </c>
      <c r="GA45" s="18">
        <f>'Total Sunday-Holiday Boardings'!GA45/4</f>
        <v>718.75</v>
      </c>
      <c r="GB45" s="18">
        <f>'Total Sunday-Holiday Boardings'!GB45/4</f>
        <v>549</v>
      </c>
      <c r="GC45" s="18">
        <f>'Total Sunday-Holiday Boardings'!GC45/5</f>
        <v>475</v>
      </c>
      <c r="GD45" s="18">
        <f>'Total Sunday-Holiday Boardings'!GD45/4</f>
        <v>490</v>
      </c>
      <c r="GE45" s="18">
        <f>'Total Sunday-Holiday Boardings'!GE45/4</f>
        <v>593</v>
      </c>
      <c r="GF45" s="18">
        <f>'Total Sunday-Holiday Boardings'!GF45/5</f>
        <v>497.2</v>
      </c>
      <c r="GG45" s="18">
        <f>'Total Sunday-Holiday Boardings'!GG45/4</f>
        <v>554</v>
      </c>
      <c r="GH45" s="18">
        <f>'Total Sunday-Holiday Boardings'!GH45/4</f>
        <v>459</v>
      </c>
      <c r="GI45" s="18">
        <f>'Total Sunday-Holiday Boardings'!GI45/5</f>
        <v>570</v>
      </c>
      <c r="GJ45" s="18">
        <f>'Total Sunday-Holiday Boardings'!GJ45/4</f>
        <v>496.25</v>
      </c>
      <c r="GK45" s="18">
        <f>'Total Sunday-Holiday Boardings'!GK45/4</f>
        <v>447.25</v>
      </c>
      <c r="GL45" s="18">
        <f>'Total Sunday-Holiday Boardings'!GL45/5</f>
        <v>509</v>
      </c>
    </row>
    <row r="46" spans="1:194" x14ac:dyDescent="0.3">
      <c r="A46" s="4" t="s">
        <v>28</v>
      </c>
      <c r="B46" s="17"/>
      <c r="C46" s="18"/>
      <c r="D46" s="18"/>
      <c r="E46" s="18"/>
      <c r="F46" s="18"/>
      <c r="G46" s="18"/>
      <c r="H46" s="19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  <c r="U46" s="17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9"/>
      <c r="AG46" s="17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9"/>
      <c r="AS46" s="17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9"/>
      <c r="BE46" s="17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9"/>
      <c r="BQ46" s="17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9"/>
      <c r="CC46" s="20"/>
      <c r="CD46" s="18">
        <f>'Total Sunday-Holiday Boardings'!CD46/SUM('Service Days per Month'!CD$10:CD$11)</f>
        <v>155</v>
      </c>
      <c r="CE46" s="18">
        <f>'Total Sunday-Holiday Boardings'!CE46/SUM('Service Days per Month'!CE$6:CE$7)</f>
        <v>203.2</v>
      </c>
      <c r="CF46" s="18">
        <f>'Total Sunday-Holiday Boardings'!CF46/SUM('Service Days per Month'!CF$6:CF$7)</f>
        <v>254.25</v>
      </c>
      <c r="CG46" s="18">
        <f>'Total Sunday-Holiday Boardings'!CG46/SUM('Service Days per Month'!CG$6:CG$7)</f>
        <v>312.875</v>
      </c>
      <c r="CH46" s="18">
        <f>'Total Sunday-Holiday Boardings'!CH46/SUM('Service Days per Month'!CH$6:CH$7)</f>
        <v>265.33333333333331</v>
      </c>
      <c r="CI46" s="18">
        <f>'Total Sunday-Holiday Boardings'!CI46/SUM('Service Days per Month'!CI$6:CI$7)</f>
        <v>276.85714285714283</v>
      </c>
      <c r="CJ46" s="18">
        <f>'Total Sunday-Holiday Boardings'!CJ46/SUM('Service Days per Month'!CJ$6:CJ$7)</f>
        <v>240.6</v>
      </c>
      <c r="CK46" s="18">
        <f>'Total Sunday-Holiday Boardings'!CK46/SUM('Service Days per Month'!CK$6:CK$7)</f>
        <v>260</v>
      </c>
      <c r="CL46" s="18">
        <f>'Total Sunday-Holiday Boardings'!CL46/SUM('Service Days per Month'!CL$6:CL$7)</f>
        <v>224.5</v>
      </c>
      <c r="CM46" s="18">
        <f>'Total Sunday-Holiday Boardings'!CM46/SUM('Service Days per Month'!CM$6:CM$7)</f>
        <v>220.33333333333334</v>
      </c>
      <c r="CN46" s="21">
        <f>'Total Sunday-Holiday Boardings'!CN46/SUM('Service Days per Month'!CN$6:CN$7)</f>
        <v>228.75</v>
      </c>
      <c r="CO46" s="17">
        <f>'Total Sunday-Holiday Boardings'!CO46/SUM('Service Days per Month'!CO$6:CO$7)</f>
        <v>250.5</v>
      </c>
      <c r="CP46" s="18">
        <f>'Total Sunday-Holiday Boardings'!CP46/SUM('Service Days per Month'!CP$6:CP$7)</f>
        <v>237</v>
      </c>
      <c r="CQ46" s="18">
        <f>'Total Sunday-Holiday Boardings'!CQ46/SUM('Service Days per Month'!CQ$6:CQ$7)</f>
        <v>205.2</v>
      </c>
      <c r="CR46" s="18">
        <f>'Total Sunday-Holiday Boardings'!CR46/SUM('Service Days per Month'!CR$6:CR$7)</f>
        <v>251.8</v>
      </c>
      <c r="CS46" s="18">
        <f>'Total Sunday-Holiday Boardings'!CS46/SUM('Service Days per Month'!CS$6:CS$7)</f>
        <v>392.28571428571428</v>
      </c>
      <c r="CT46" s="18">
        <f>'Total Sunday-Holiday Boardings'!CT46/SUM('Service Days per Month'!CT$6:CT$7)</f>
        <v>342.5</v>
      </c>
      <c r="CU46" s="18">
        <f>'Total Sunday-Holiday Boardings'!CU46/SUM('Service Days per Month'!CU$6:CU$7)</f>
        <v>302.28571428571428</v>
      </c>
      <c r="CV46" s="18">
        <f>'Total Sunday-Holiday Boardings'!CV46/SUM('Service Days per Month'!CV$6:CV$7)</f>
        <v>261.39999999999998</v>
      </c>
      <c r="CW46" s="18">
        <f>'Total Sunday-Holiday Boardings'!CW46/SUM('Service Days per Month'!CW$6:CW$7)</f>
        <v>262.25</v>
      </c>
      <c r="CX46" s="18">
        <f>'Total Sunday-Holiday Boardings'!CX46/SUM('Service Days per Month'!CX$6:CX$7)</f>
        <v>319.60000000000002</v>
      </c>
      <c r="CY46" s="18">
        <f>'Total Sunday-Holiday Boardings'!CY46/SUM('Service Days per Month'!CY$6:CY$7)</f>
        <v>269.60000000000002</v>
      </c>
      <c r="CZ46" s="19">
        <f>'Total Sunday-Holiday Boardings'!CZ46/SUM('Service Days per Month'!CZ$6:CZ$7)</f>
        <v>255.75</v>
      </c>
      <c r="DA46" s="17">
        <f>'Total Sunday-Holiday Boardings'!DA46/SUM('Service Days per Month'!DA$6:DA$7)</f>
        <v>306.83333333333331</v>
      </c>
      <c r="DB46" s="18">
        <f>'Total Sunday-Holiday Boardings'!DB46/SUM('Service Days per Month'!DB$6:DB$7)</f>
        <v>259.75</v>
      </c>
      <c r="DC46" s="18">
        <f>'Total Sunday-Holiday Boardings'!DC46/SUM('Service Days per Month'!DC$6:DC$7)</f>
        <v>234.8</v>
      </c>
      <c r="DD46" s="18">
        <f>'Total Sunday-Holiday Boardings'!DD46/SUM('Service Days per Month'!DD$6:DD$7)</f>
        <v>292.39999999999998</v>
      </c>
      <c r="DE46" s="18">
        <f>'Total Sunday-Holiday Boardings'!DE46/SUM('Service Days per Month'!DE$6:DE$7)</f>
        <v>346.42857142857144</v>
      </c>
      <c r="DF46" s="18">
        <f>'Total Sunday-Holiday Boardings'!DF46/SUM('Service Days per Month'!DF$6:DF$7)</f>
        <v>273.83333333333331</v>
      </c>
      <c r="DG46" s="18">
        <f>'Total Sunday-Holiday Boardings'!DG46/SUM('Service Days per Month'!DG$6:DG$7)</f>
        <v>291</v>
      </c>
      <c r="DH46" s="18">
        <f>'Total Sunday-Holiday Boardings'!DH46/SUM('Service Days per Month'!DH$6:DH$7)</f>
        <v>293.8</v>
      </c>
      <c r="DI46" s="18">
        <f>'Total Sunday-Holiday Boardings'!DI46/SUM('Service Days per Month'!DI$6:DI$7)</f>
        <v>308.5</v>
      </c>
      <c r="DJ46" s="18">
        <f>'Total Sunday-Holiday Boardings'!DJ46/SUM('Service Days per Month'!DJ$6:DJ$7)</f>
        <v>245.8</v>
      </c>
      <c r="DK46" s="18">
        <f>'Total Sunday-Holiday Boardings'!DK46/SUM('Service Days per Month'!DK$6:DK$7)</f>
        <v>252</v>
      </c>
      <c r="DL46" s="19">
        <f>'Total Sunday-Holiday Boardings'!DL46/SUM('Service Days per Month'!DL$6:DL$7)</f>
        <v>241.25</v>
      </c>
      <c r="DM46" s="17">
        <f>'Total Sunday-Holiday Boardings'!DM46/('Service Days per Month'!DM$6+'Service Days per Month'!DM$7)</f>
        <v>298.33333333333331</v>
      </c>
      <c r="DN46" s="18">
        <f>'Total Sunday-Holiday Boardings'!DN46/('Service Days per Month'!DN$6+'Service Days per Month'!DN$7)</f>
        <v>267.75</v>
      </c>
      <c r="DO46" s="18">
        <f>'Total Sunday-Holiday Boardings'!DO46/('Service Days per Month'!DO$6+'Service Days per Month'!DO$7)</f>
        <v>274.5</v>
      </c>
      <c r="DP46" s="18">
        <f>'Total Sunday-Holiday Boardings'!DP46/('Service Days per Month'!DP$6+'Service Days per Month'!DP$7)</f>
        <v>318.25</v>
      </c>
      <c r="DQ46" s="18">
        <f>'Total Sunday-Holiday Boardings'!DQ46/('Service Days per Month'!DQ$6+'Service Days per Month'!DQ$7)</f>
        <v>257.60000000000002</v>
      </c>
      <c r="DR46" s="18">
        <f>'Total Sunday-Holiday Boardings'!DR46/('Service Days per Month'!DR$6+'Service Days per Month'!DR$7)</f>
        <v>252.33333333333334</v>
      </c>
      <c r="DS46" s="18">
        <f>'Total Sunday-Holiday Boardings'!DS46/('Service Days per Month'!DS$6+'Service Days per Month'!DS$7)</f>
        <v>269.39999999999998</v>
      </c>
      <c r="DT46" s="18">
        <f>'Total Sunday-Holiday Boardings'!DT46/('Service Days per Month'!DT$6+'Service Days per Month'!DT$7)</f>
        <v>252.75</v>
      </c>
      <c r="DU46" s="18">
        <f>'Total Sunday-Holiday Boardings'!DU46/('Service Days per Month'!DU$6+'Service Days per Month'!DU$7)</f>
        <v>265.8</v>
      </c>
      <c r="DV46" s="18">
        <f>'Total Sunday-Holiday Boardings'!DV46/('Service Days per Month'!DV$6+'Service Days per Month'!DV$7)</f>
        <v>249.75</v>
      </c>
      <c r="DW46" s="18">
        <f>'Total Sunday-Holiday Boardings'!DW46/('Service Days per Month'!DW$6+'Service Days per Month'!DW$7)</f>
        <v>238.4</v>
      </c>
      <c r="DX46" s="18">
        <f>'Total Sunday-Holiday Boardings'!DX46/('Service Days per Month'!DX$6+'Service Days per Month'!DX$7)</f>
        <v>262.60000000000002</v>
      </c>
      <c r="DY46" s="17">
        <f>'Total Sunday-Holiday Boardings'!DY46/('Service Days per Month'!DY$6+'Service Days per Month'!DY$7)</f>
        <v>336.2</v>
      </c>
      <c r="DZ46" s="18">
        <f>'Total Sunday-Holiday Boardings'!DZ46/('Service Days per Month'!DZ$6+'Service Days per Month'!DZ$7)</f>
        <v>288.25</v>
      </c>
      <c r="EA46" s="18">
        <f>'Total Sunday-Holiday Boardings'!EA46/('Service Days per Month'!EA$6+'Service Days per Month'!EA$7)</f>
        <v>332.5</v>
      </c>
      <c r="EB46" s="18">
        <f>'Total Sunday-Holiday Boardings'!EB46/('Service Days per Month'!EB$6+'Service Days per Month'!EB$7)</f>
        <v>386.25</v>
      </c>
      <c r="EC46" s="18">
        <f>'Total Sunday-Holiday Boardings'!EC46/('Service Days per Month'!EC$6+'Service Days per Month'!EC$7)</f>
        <v>327.2</v>
      </c>
      <c r="ED46" s="18">
        <f>'Total Sunday-Holiday Boardings'!ED46/('Service Days per Month'!ED$6+'Service Days per Month'!ED$7)</f>
        <v>320.5</v>
      </c>
      <c r="EE46" s="18">
        <f>'Total Sunday-Holiday Boardings'!EE46/('Service Days per Month'!EE$6+'Service Days per Month'!EE$7)</f>
        <v>397.5</v>
      </c>
      <c r="EF46" s="18">
        <f>'Total Sunday-Holiday Boardings'!EF46/('Service Days per Month'!EF$6+'Service Days per Month'!EF$7)</f>
        <v>356.5</v>
      </c>
      <c r="EG46" s="18">
        <f>'Total Sunday-Holiday Boardings'!EG46/('Service Days per Month'!EG$6+'Service Days per Month'!EG$7)</f>
        <v>315.8</v>
      </c>
      <c r="EH46" s="18">
        <f>'Total Sunday-Holiday Boardings'!EH46/('Service Days per Month'!EH$6+'Service Days per Month'!EH$7)</f>
        <v>212.75</v>
      </c>
      <c r="EI46" s="18">
        <f>'Total Sunday-Holiday Boardings'!EI46/('Service Days per Month'!EI$6+'Service Days per Month'!EI$7)</f>
        <v>205.33333333333334</v>
      </c>
      <c r="EJ46" s="18">
        <f>'Total Sunday-Holiday Boardings'!EJ46/('Service Days per Month'!EJ$6+'Service Days per Month'!EJ$7)</f>
        <v>168</v>
      </c>
      <c r="EK46" s="17">
        <f>'Total Sunday-Holiday Boardings'!EK46/('Service Days per Month'!EK$6+'Service Days per Month'!EK$7)</f>
        <v>162.80000000000001</v>
      </c>
      <c r="EL46" s="18">
        <f>'Total Sunday-Holiday Boardings'!EL46/('Service Days per Month'!EL$6+'Service Days per Month'!EL$7)</f>
        <v>174.2</v>
      </c>
      <c r="EM46" s="18">
        <f>'Total Sunday-Holiday Boardings'!EM46/('Service Days per Month'!EM$6+'Service Days per Month'!EM$7)</f>
        <v>175</v>
      </c>
      <c r="EN46" s="18">
        <f>'Total Sunday-Holiday Boardings'!EN46/('Service Days per Month'!EN$6+'Service Days per Month'!EN$7)</f>
        <v>191.5</v>
      </c>
      <c r="EO46" s="18">
        <f>'Total Sunday-Holiday Boardings'!EO46/('Service Days per Month'!EO$6+'Service Days per Month'!EO$7)</f>
        <v>107.66666666666667</v>
      </c>
      <c r="EP46" s="18">
        <f>'Total Sunday-Holiday Boardings'!EP46/('Service Days per Month'!EP$6+'Service Days per Month'!EP$7)</f>
        <v>123</v>
      </c>
      <c r="EQ46" s="18">
        <f>'Total Sunday-Holiday Boardings'!EQ46/('Service Days per Month'!EQ$6+'Service Days per Month'!EQ$7)</f>
        <v>82.4</v>
      </c>
      <c r="ER46" s="18">
        <f>'Total Sunday-Holiday Boardings'!ER46/('Service Days per Month'!ER$6+'Service Days per Month'!ER$7)</f>
        <v>177.75</v>
      </c>
      <c r="ES46" s="18">
        <f>'Total Sunday-Holiday Boardings'!ES46/('Service Days per Month'!ES$6+'Service Days per Month'!ES$7)</f>
        <v>192.5</v>
      </c>
      <c r="ET46" s="18">
        <f>'Total Sunday-Holiday Boardings'!ET46/('Service Days per Month'!ET$6+'Service Days per Month'!ET$7)</f>
        <v>175.5</v>
      </c>
      <c r="EU46" s="18">
        <f>'Total Sunday-Holiday Boardings'!EU46/('Service Days per Month'!EU$6+'Service Days per Month'!EU$7)</f>
        <v>140.16666666666666</v>
      </c>
      <c r="EV46" s="18">
        <f>'Total Sunday-Holiday Boardings'!EV46/('Service Days per Month'!EV$6+'Service Days per Month'!EV$7)</f>
        <v>168.75</v>
      </c>
      <c r="EW46" s="17">
        <f>'Total Sunday-Holiday Boardings'!EW46/('Service Days per Month'!EW$6+'Service Days per Month'!EW$7)</f>
        <v>168.4</v>
      </c>
      <c r="EX46" s="18">
        <f>'Total Sunday-Holiday Boardings'!EX46/('Service Days per Month'!EX$6+'Service Days per Month'!EX$7)</f>
        <v>197.8</v>
      </c>
      <c r="EY46" s="18">
        <f>'Total Sunday-Holiday Boardings'!EY46/('Service Days per Month'!EY$6+'Service Days per Month'!EY$7)</f>
        <v>157.80000000000001</v>
      </c>
      <c r="EZ46" s="18">
        <f>'Total Sunday-Holiday Boardings'!EZ46/('Service Days per Month'!EZ$6+'Service Days per Month'!EZ$7)</f>
        <v>191.4</v>
      </c>
      <c r="FA46" s="18">
        <f>'Total Sunday-Holiday Boardings'!FA46/('Service Days per Month'!FA$6+'Service Days per Month'!FA$7)</f>
        <v>156.19999999999999</v>
      </c>
      <c r="FB46" s="18">
        <f>'Total Sunday-Holiday Boardings'!FB46/('Service Days per Month'!FB$6+'Service Days per Month'!FB$7)</f>
        <v>220.2</v>
      </c>
      <c r="FC46" s="18">
        <f>'Total Sunday-Holiday Boardings'!FC46/('Service Days per Month'!FC$6+'Service Days per Month'!FC$7)</f>
        <v>155</v>
      </c>
      <c r="FD46" s="18">
        <f>'Total Sunday-Holiday Boardings'!FD46/('Service Days per Month'!FD$6+'Service Days per Month'!FD$7)</f>
        <v>186</v>
      </c>
      <c r="FE46" s="18">
        <f>'Total Sunday-Holiday Boardings'!FE46/('Service Days per Month'!FE$6+'Service Days per Month'!FE$7)</f>
        <v>230</v>
      </c>
      <c r="FF46" s="18">
        <f>'Total Sunday-Holiday Boardings'!FF46/('Service Days per Month'!FF$6+'Service Days per Month'!FF$7)</f>
        <v>192</v>
      </c>
      <c r="FG46" s="18">
        <f>'Total Sunday-Holiday Boardings'!FG46/('Service Days per Month'!FG$6+'Service Days per Month'!FG$7)</f>
        <v>205.5</v>
      </c>
      <c r="FH46" s="18">
        <f>'Total Sunday-Holiday Boardings'!FH46/('Service Days per Month'!FH$6+'Service Days per Month'!FH$7)</f>
        <v>185.25</v>
      </c>
      <c r="FI46" s="17">
        <v>227.66666666666666</v>
      </c>
      <c r="FJ46" s="18">
        <v>188.5</v>
      </c>
      <c r="FK46" s="18">
        <v>191.4</v>
      </c>
      <c r="FL46" s="18">
        <v>231.2</v>
      </c>
      <c r="FM46" s="18">
        <v>170.6</v>
      </c>
      <c r="FN46" s="18">
        <v>186.4</v>
      </c>
      <c r="FO46" s="18">
        <v>235.6</v>
      </c>
      <c r="FP46" s="18">
        <v>190.75</v>
      </c>
      <c r="FQ46" s="18">
        <v>212.25</v>
      </c>
      <c r="FR46" s="18">
        <f>'Total Sunday-Holiday Boardings'!FR46/5</f>
        <v>235</v>
      </c>
      <c r="FS46" s="18">
        <f>'Total Sunday-Holiday Boardings'!FS46/5</f>
        <v>240.8</v>
      </c>
      <c r="FT46" s="21">
        <f>'Total Sunday-Holiday Boardings'!FT46/4</f>
        <v>212</v>
      </c>
      <c r="FU46" s="18">
        <f>'Total Sunday-Holiday Boardings'!FU46/5</f>
        <v>284.39999999999998</v>
      </c>
      <c r="FV46" s="18">
        <f>'Total Sunday-Holiday Boardings'!FV46/4</f>
        <v>274</v>
      </c>
      <c r="FW46" s="18">
        <f>'Total Sunday-Holiday Boardings'!FW46/4</f>
        <v>246</v>
      </c>
      <c r="FX46" s="18">
        <f>'Total Sunday-Holiday Boardings'!FX46/5</f>
        <v>244.4</v>
      </c>
      <c r="FY46" s="18">
        <f>'Total Sunday-Holiday Boardings'!FY46/4</f>
        <v>258.25</v>
      </c>
      <c r="FZ46" s="18">
        <f>'Total Sunday-Holiday Boardings'!FZ46/5</f>
        <v>244.6</v>
      </c>
      <c r="GA46" s="18">
        <f>'Total Sunday-Holiday Boardings'!GA46/4</f>
        <v>308.5</v>
      </c>
      <c r="GB46" s="18">
        <f>'Total Sunday-Holiday Boardings'!GB46/4</f>
        <v>243.75</v>
      </c>
      <c r="GC46" s="18">
        <f>'Total Sunday-Holiday Boardings'!GC46/5</f>
        <v>221.6</v>
      </c>
      <c r="GD46" s="18">
        <f>'Total Sunday-Holiday Boardings'!GD46/4</f>
        <v>218</v>
      </c>
      <c r="GE46" s="18">
        <f>'Total Sunday-Holiday Boardings'!GE46/4</f>
        <v>272</v>
      </c>
      <c r="GF46" s="18">
        <f>'Total Sunday-Holiday Boardings'!GF46/5</f>
        <v>205.6</v>
      </c>
      <c r="GG46" s="18">
        <f>'Total Sunday-Holiday Boardings'!GG46/4</f>
        <v>355.25</v>
      </c>
      <c r="GH46" s="18">
        <f>'Total Sunday-Holiday Boardings'!GH46/4</f>
        <v>220.5</v>
      </c>
      <c r="GI46" s="18">
        <f>'Total Sunday-Holiday Boardings'!GI46/5</f>
        <v>271.2</v>
      </c>
      <c r="GJ46" s="18">
        <f>'Total Sunday-Holiday Boardings'!GJ46/4</f>
        <v>269.5</v>
      </c>
      <c r="GK46" s="18">
        <f>'Total Sunday-Holiday Boardings'!GK46/4</f>
        <v>223.5</v>
      </c>
      <c r="GL46" s="18">
        <f>'Total Sunday-Holiday Boardings'!GL46/5</f>
        <v>280.60000000000002</v>
      </c>
    </row>
    <row r="47" spans="1:194" ht="15" thickBot="1" x14ac:dyDescent="0.35">
      <c r="A47" s="11" t="s">
        <v>29</v>
      </c>
      <c r="B47" s="27"/>
      <c r="C47" s="28"/>
      <c r="D47" s="28"/>
      <c r="E47" s="28"/>
      <c r="F47" s="28"/>
      <c r="G47" s="28"/>
      <c r="H47" s="29"/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9"/>
      <c r="U47" s="27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9"/>
      <c r="AG47" s="27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9"/>
      <c r="AS47" s="27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9"/>
      <c r="BE47" s="27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9"/>
      <c r="BQ47" s="27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9"/>
      <c r="CC47" s="30"/>
      <c r="CD47" s="28">
        <f>'Total Sunday-Holiday Boardings'!CD47/SUM('Service Days per Month'!CD$10:CD$11)</f>
        <v>1304.5</v>
      </c>
      <c r="CE47" s="28">
        <f>'Total Sunday-Holiday Boardings'!CE47/SUM('Service Days per Month'!CE$6:CE$7)</f>
        <v>1365.6</v>
      </c>
      <c r="CF47" s="28">
        <f>'Total Sunday-Holiday Boardings'!CF47/SUM('Service Days per Month'!CF$6:CF$7)</f>
        <v>1314</v>
      </c>
      <c r="CG47" s="28">
        <f>'Total Sunday-Holiday Boardings'!CG47/SUM('Service Days per Month'!CG$6:CG$7)</f>
        <v>1398.875</v>
      </c>
      <c r="CH47" s="28">
        <f>'Total Sunday-Holiday Boardings'!CH47/SUM('Service Days per Month'!CH$6:CH$7)</f>
        <v>1346.1666666666667</v>
      </c>
      <c r="CI47" s="28">
        <f>'Total Sunday-Holiday Boardings'!CI47/SUM('Service Days per Month'!CI$6:CI$7)</f>
        <v>1580.4285714285713</v>
      </c>
      <c r="CJ47" s="28">
        <f>'Total Sunday-Holiday Boardings'!CJ47/SUM('Service Days per Month'!CJ$6:CJ$7)</f>
        <v>1577.8</v>
      </c>
      <c r="CK47" s="28">
        <f>'Total Sunday-Holiday Boardings'!CK47/SUM('Service Days per Month'!CK$6:CK$7)</f>
        <v>1533.25</v>
      </c>
      <c r="CL47" s="28">
        <f>'Total Sunday-Holiday Boardings'!CL47/SUM('Service Days per Month'!CL$6:CL$7)</f>
        <v>1652.75</v>
      </c>
      <c r="CM47" s="28">
        <f>'Total Sunday-Holiday Boardings'!CM47/SUM('Service Days per Month'!CM$6:CM$7)</f>
        <v>1430.1666666666667</v>
      </c>
      <c r="CN47" s="31">
        <f>'Total Sunday-Holiday Boardings'!CN47/SUM('Service Days per Month'!CN$6:CN$7)</f>
        <v>1520</v>
      </c>
      <c r="CO47" s="27">
        <f>'Total Sunday-Holiday Boardings'!CO47/SUM('Service Days per Month'!CO$6:CO$7)</f>
        <v>1575.8333333333333</v>
      </c>
      <c r="CP47" s="28">
        <f>'Total Sunday-Holiday Boardings'!CP47/SUM('Service Days per Month'!CP$6:CP$7)</f>
        <v>1544.25</v>
      </c>
      <c r="CQ47" s="28">
        <f>'Total Sunday-Holiday Boardings'!CQ47/SUM('Service Days per Month'!CQ$6:CQ$7)</f>
        <v>1377.2</v>
      </c>
      <c r="CR47" s="28">
        <f>'Total Sunday-Holiday Boardings'!CR47/SUM('Service Days per Month'!CR$6:CR$7)</f>
        <v>1382</v>
      </c>
      <c r="CS47" s="28">
        <f>'Total Sunday-Holiday Boardings'!CS47/SUM('Service Days per Month'!CS$6:CS$7)</f>
        <v>1851.5714285714287</v>
      </c>
      <c r="CT47" s="28">
        <f>'Total Sunday-Holiday Boardings'!CT47/SUM('Service Days per Month'!CT$6:CT$7)</f>
        <v>1907.8333333333333</v>
      </c>
      <c r="CU47" s="28">
        <f>'Total Sunday-Holiday Boardings'!CU47/SUM('Service Days per Month'!CU$6:CU$7)</f>
        <v>1593.4285714285713</v>
      </c>
      <c r="CV47" s="28">
        <f>'Total Sunday-Holiday Boardings'!CV47/SUM('Service Days per Month'!CV$6:CV$7)</f>
        <v>1662</v>
      </c>
      <c r="CW47" s="28">
        <f>'Total Sunday-Holiday Boardings'!CW47/SUM('Service Days per Month'!CW$6:CW$7)</f>
        <v>1634.75</v>
      </c>
      <c r="CX47" s="28">
        <f>'Total Sunday-Holiday Boardings'!CX47/SUM('Service Days per Month'!CX$6:CX$7)</f>
        <v>2128.6</v>
      </c>
      <c r="CY47" s="28">
        <f>'Total Sunday-Holiday Boardings'!CY47/SUM('Service Days per Month'!CY$6:CY$7)</f>
        <v>1666</v>
      </c>
      <c r="CZ47" s="29">
        <f>'Total Sunday-Holiday Boardings'!CZ47/SUM('Service Days per Month'!CZ$6:CZ$7)</f>
        <v>1442.25</v>
      </c>
      <c r="DA47" s="27">
        <f>'Total Sunday-Holiday Boardings'!DA47/SUM('Service Days per Month'!DA$6:DA$7)</f>
        <v>1619.8333333333333</v>
      </c>
      <c r="DB47" s="28">
        <f>'Total Sunday-Holiday Boardings'!DB47/SUM('Service Days per Month'!DB$6:DB$7)</f>
        <v>1600</v>
      </c>
      <c r="DC47" s="28">
        <f>'Total Sunday-Holiday Boardings'!DC47/SUM('Service Days per Month'!DC$6:DC$7)</f>
        <v>1531.6</v>
      </c>
      <c r="DD47" s="28">
        <f>'Total Sunday-Holiday Boardings'!DD47/SUM('Service Days per Month'!DD$6:DD$7)</f>
        <v>1457.4</v>
      </c>
      <c r="DE47" s="28">
        <f>'Total Sunday-Holiday Boardings'!DE47/SUM('Service Days per Month'!DE$6:DE$7)</f>
        <v>1597.4285714285713</v>
      </c>
      <c r="DF47" s="28">
        <f>'Total Sunday-Holiday Boardings'!DF47/SUM('Service Days per Month'!DF$6:DF$7)</f>
        <v>1538.5</v>
      </c>
      <c r="DG47" s="28">
        <f>'Total Sunday-Holiday Boardings'!DG47/SUM('Service Days per Month'!DG$6:DG$7)</f>
        <v>1623.1666666666667</v>
      </c>
      <c r="DH47" s="28">
        <f>'Total Sunday-Holiday Boardings'!DH47/SUM('Service Days per Month'!DH$6:DH$7)</f>
        <v>1664.2</v>
      </c>
      <c r="DI47" s="28">
        <f>'Total Sunday-Holiday Boardings'!DI47/SUM('Service Days per Month'!DI$6:DI$7)</f>
        <v>1758.25</v>
      </c>
      <c r="DJ47" s="28">
        <f>'Total Sunday-Holiday Boardings'!DJ47/SUM('Service Days per Month'!DJ$6:DJ$7)</f>
        <v>1471.4</v>
      </c>
      <c r="DK47" s="28">
        <f>'Total Sunday-Holiday Boardings'!DK47/SUM('Service Days per Month'!DK$6:DK$7)</f>
        <v>1583.2</v>
      </c>
      <c r="DL47" s="29">
        <f>'Total Sunday-Holiday Boardings'!DL47/SUM('Service Days per Month'!DL$6:DL$7)</f>
        <v>1461</v>
      </c>
      <c r="DM47" s="27">
        <f>'Total Sunday-Holiday Boardings'!DM47/('Service Days per Month'!DM$6+'Service Days per Month'!DM$7)</f>
        <v>1682.6666666666667</v>
      </c>
      <c r="DN47" s="28">
        <f>'Total Sunday-Holiday Boardings'!DN47/('Service Days per Month'!DN$6+'Service Days per Month'!DN$7)</f>
        <v>1552</v>
      </c>
      <c r="DO47" s="28">
        <f>'Total Sunday-Holiday Boardings'!DO47/('Service Days per Month'!DO$6+'Service Days per Month'!DO$7)</f>
        <v>1485.8333333333333</v>
      </c>
      <c r="DP47" s="28">
        <f>'Total Sunday-Holiday Boardings'!DP47/('Service Days per Month'!DP$6+'Service Days per Month'!DP$7)</f>
        <v>1548.25</v>
      </c>
      <c r="DQ47" s="28">
        <f>'Total Sunday-Holiday Boardings'!DQ47/('Service Days per Month'!DQ$6+'Service Days per Month'!DQ$7)</f>
        <v>1459.8</v>
      </c>
      <c r="DR47" s="28">
        <f>'Total Sunday-Holiday Boardings'!DR47/('Service Days per Month'!DR$6+'Service Days per Month'!DR$7)</f>
        <v>1461.3333333333333</v>
      </c>
      <c r="DS47" s="28">
        <f>'Total Sunday-Holiday Boardings'!DS47/('Service Days per Month'!DS$6+'Service Days per Month'!DS$7)</f>
        <v>1739.4</v>
      </c>
      <c r="DT47" s="28">
        <f>'Total Sunday-Holiday Boardings'!DT47/('Service Days per Month'!DT$6+'Service Days per Month'!DT$7)</f>
        <v>1759.5</v>
      </c>
      <c r="DU47" s="28">
        <f>'Total Sunday-Holiday Boardings'!DU47/('Service Days per Month'!DU$6+'Service Days per Month'!DU$7)</f>
        <v>1834</v>
      </c>
      <c r="DV47" s="28">
        <f>'Total Sunday-Holiday Boardings'!DV47/('Service Days per Month'!DV$6+'Service Days per Month'!DV$7)</f>
        <v>1886</v>
      </c>
      <c r="DW47" s="28">
        <f>'Total Sunday-Holiday Boardings'!DW47/('Service Days per Month'!DW$6+'Service Days per Month'!DW$7)</f>
        <v>1024.2</v>
      </c>
      <c r="DX47" s="28">
        <f>'Total Sunday-Holiday Boardings'!DX47/('Service Days per Month'!DX$6+'Service Days per Month'!DX$7)</f>
        <v>535.79999999999995</v>
      </c>
      <c r="DY47" s="27">
        <f>'Total Sunday-Holiday Boardings'!DY47/('Service Days per Month'!DY$6+'Service Days per Month'!DY$7)</f>
        <v>509</v>
      </c>
      <c r="DZ47" s="28">
        <f>'Total Sunday-Holiday Boardings'!DZ47/('Service Days per Month'!DZ$6+'Service Days per Month'!DZ$7)</f>
        <v>548.5</v>
      </c>
      <c r="EA47" s="28">
        <f>'Total Sunday-Holiday Boardings'!EA47/('Service Days per Month'!EA$6+'Service Days per Month'!EA$7)</f>
        <v>554.83333333333337</v>
      </c>
      <c r="EB47" s="28">
        <f>'Total Sunday-Holiday Boardings'!EB47/('Service Days per Month'!EB$6+'Service Days per Month'!EB$7)</f>
        <v>617.5</v>
      </c>
      <c r="EC47" s="28">
        <f>'Total Sunday-Holiday Boardings'!EC47/('Service Days per Month'!EC$6+'Service Days per Month'!EC$7)</f>
        <v>549.6</v>
      </c>
      <c r="ED47" s="28">
        <f>'Total Sunday-Holiday Boardings'!ED47/('Service Days per Month'!ED$6+'Service Days per Month'!ED$7)</f>
        <v>559.5</v>
      </c>
      <c r="EE47" s="28">
        <f>'Total Sunday-Holiday Boardings'!EE47/('Service Days per Month'!EE$6+'Service Days per Month'!EE$7)</f>
        <v>641.25</v>
      </c>
      <c r="EF47" s="28">
        <f>'Total Sunday-Holiday Boardings'!EF47/('Service Days per Month'!EF$6+'Service Days per Month'!EF$7)</f>
        <v>579</v>
      </c>
      <c r="EG47" s="28">
        <f>'Total Sunday-Holiday Boardings'!EG47/('Service Days per Month'!EG$6+'Service Days per Month'!EG$7)</f>
        <v>522.20000000000005</v>
      </c>
      <c r="EH47" s="28">
        <f>'Total Sunday-Holiday Boardings'!EH47/('Service Days per Month'!EH$6+'Service Days per Month'!EH$7)</f>
        <v>320</v>
      </c>
      <c r="EI47" s="28">
        <f>'Total Sunday-Holiday Boardings'!EI47/('Service Days per Month'!EI$6+'Service Days per Month'!EI$7)</f>
        <v>334.66666666666669</v>
      </c>
      <c r="EJ47" s="28">
        <f>'Total Sunday-Holiday Boardings'!EJ47/('Service Days per Month'!EJ$6+'Service Days per Month'!EJ$7)</f>
        <v>274.25</v>
      </c>
      <c r="EK47" s="27">
        <f>'Total Sunday-Holiday Boardings'!EK47/('Service Days per Month'!EK$6+'Service Days per Month'!EK$7)</f>
        <v>293</v>
      </c>
      <c r="EL47" s="28">
        <f>'Total Sunday-Holiday Boardings'!EL47/('Service Days per Month'!EL$6+'Service Days per Month'!EL$7)</f>
        <v>285.2</v>
      </c>
      <c r="EM47" s="28">
        <f>'Total Sunday-Holiday Boardings'!EM47/('Service Days per Month'!EM$6+'Service Days per Month'!EM$7)</f>
        <v>302.60000000000002</v>
      </c>
      <c r="EN47" s="28">
        <f>'Total Sunday-Holiday Boardings'!EN47/('Service Days per Month'!EN$6+'Service Days per Month'!EN$7)</f>
        <v>340.5</v>
      </c>
      <c r="EO47" s="28">
        <f>'Total Sunday-Holiday Boardings'!EO47/('Service Days per Month'!EO$6+'Service Days per Month'!EO$7)</f>
        <v>199.5</v>
      </c>
      <c r="EP47" s="28">
        <f>'Total Sunday-Holiday Boardings'!EP47/('Service Days per Month'!EP$6+'Service Days per Month'!EP$7)</f>
        <v>214.6</v>
      </c>
      <c r="EQ47" s="28">
        <f>'Total Sunday-Holiday Boardings'!EQ47/('Service Days per Month'!EQ$6+'Service Days per Month'!EQ$7)</f>
        <v>130</v>
      </c>
      <c r="ER47" s="28">
        <f>'Total Sunday-Holiday Boardings'!ER47/('Service Days per Month'!ER$6+'Service Days per Month'!ER$7)</f>
        <v>252</v>
      </c>
      <c r="ES47" s="28">
        <f>'Total Sunday-Holiday Boardings'!ES47/('Service Days per Month'!ES$6+'Service Days per Month'!ES$7)</f>
        <v>297.75</v>
      </c>
      <c r="ET47" s="28">
        <f>'Total Sunday-Holiday Boardings'!ET47/('Service Days per Month'!ET$6+'Service Days per Month'!ET$7)</f>
        <v>274.25</v>
      </c>
      <c r="EU47" s="28">
        <f>'Total Sunday-Holiday Boardings'!EU47/('Service Days per Month'!EU$6+'Service Days per Month'!EU$7)</f>
        <v>227.33333333333334</v>
      </c>
      <c r="EV47" s="28">
        <f>'Total Sunday-Holiday Boardings'!EV47/('Service Days per Month'!EV$6+'Service Days per Month'!EV$7)</f>
        <v>288.75</v>
      </c>
      <c r="EW47" s="27">
        <f>'Total Sunday-Holiday Boardings'!EW47/('Service Days per Month'!EW$6+'Service Days per Month'!EW$7)</f>
        <v>299.2</v>
      </c>
      <c r="EX47" s="28">
        <f>'Total Sunday-Holiday Boardings'!EX47/('Service Days per Month'!EX$6+'Service Days per Month'!EX$7)</f>
        <v>353.4</v>
      </c>
      <c r="EY47" s="28">
        <f>'Total Sunday-Holiday Boardings'!EY47/('Service Days per Month'!EY$6+'Service Days per Month'!EY$7)</f>
        <v>282.39999999999998</v>
      </c>
      <c r="EZ47" s="28">
        <f>'Total Sunday-Holiday Boardings'!EZ47/('Service Days per Month'!EZ$6+'Service Days per Month'!EZ$7)</f>
        <v>325</v>
      </c>
      <c r="FA47" s="28">
        <f>'Total Sunday-Holiday Boardings'!FA47/('Service Days per Month'!FA$6+'Service Days per Month'!FA$7)</f>
        <v>283</v>
      </c>
      <c r="FB47" s="28">
        <f>'Total Sunday-Holiday Boardings'!FB47/('Service Days per Month'!FB$6+'Service Days per Month'!FB$7)</f>
        <v>371.2</v>
      </c>
      <c r="FC47" s="28">
        <f>'Total Sunday-Holiday Boardings'!FC47/('Service Days per Month'!FC$6+'Service Days per Month'!FC$7)</f>
        <v>287</v>
      </c>
      <c r="FD47" s="28">
        <f>'Total Sunday-Holiday Boardings'!FD47/('Service Days per Month'!FD$6+'Service Days per Month'!FD$7)</f>
        <v>358.5</v>
      </c>
      <c r="FE47" s="28">
        <f>'Total Sunday-Holiday Boardings'!FE47/('Service Days per Month'!FE$6+'Service Days per Month'!FE$7)</f>
        <v>423.75</v>
      </c>
      <c r="FF47" s="28">
        <f>'Total Sunday-Holiday Boardings'!FF47/('Service Days per Month'!FF$6+'Service Days per Month'!FF$7)</f>
        <v>405.5</v>
      </c>
      <c r="FG47" s="28">
        <f>'Total Sunday-Holiday Boardings'!FG47/('Service Days per Month'!FG$6+'Service Days per Month'!FG$7)</f>
        <v>392.33333333333331</v>
      </c>
      <c r="FH47" s="28">
        <f>'Total Sunday-Holiday Boardings'!FH47/('Service Days per Month'!FH$6+'Service Days per Month'!FH$7)</f>
        <v>340.25</v>
      </c>
      <c r="FI47" s="27">
        <v>395.5</v>
      </c>
      <c r="FJ47" s="28">
        <v>372</v>
      </c>
      <c r="FK47" s="28">
        <v>381.8</v>
      </c>
      <c r="FL47" s="28">
        <v>370.6</v>
      </c>
      <c r="FM47" s="28">
        <v>330.4</v>
      </c>
      <c r="FN47" s="28">
        <v>383.4</v>
      </c>
      <c r="FO47" s="28">
        <v>457</v>
      </c>
      <c r="FP47" s="28">
        <v>366.5</v>
      </c>
      <c r="FQ47" s="28">
        <v>410.5</v>
      </c>
      <c r="FR47" s="28">
        <f>'Total Sunday-Holiday Boardings'!FR47/5</f>
        <v>410.8</v>
      </c>
      <c r="FS47" s="28">
        <f>'Total Sunday-Holiday Boardings'!FS47/5</f>
        <v>406</v>
      </c>
      <c r="FT47" s="31">
        <f>'Total Sunday-Holiday Boardings'!FT47/4</f>
        <v>367</v>
      </c>
      <c r="FU47" s="18">
        <f>'Total Sunday-Holiday Boardings'!FU47/5</f>
        <v>447</v>
      </c>
      <c r="FV47" s="18">
        <f>'Total Sunday-Holiday Boardings'!FV47/4</f>
        <v>514</v>
      </c>
      <c r="FW47" s="18">
        <f>'Total Sunday-Holiday Boardings'!FW47/4</f>
        <v>452.75</v>
      </c>
      <c r="FX47" s="18">
        <f>'Total Sunday-Holiday Boardings'!FX47/5</f>
        <v>370.6</v>
      </c>
      <c r="FY47" s="18">
        <f>'Total Sunday-Holiday Boardings'!FY47/4</f>
        <v>414.25</v>
      </c>
      <c r="FZ47" s="18">
        <f>'Total Sunday-Holiday Boardings'!FZ47/5</f>
        <v>468</v>
      </c>
      <c r="GA47" s="18">
        <f>'Total Sunday-Holiday Boardings'!GA47/4</f>
        <v>506.75</v>
      </c>
      <c r="GB47" s="18">
        <f>'Total Sunday-Holiday Boardings'!GB47/4</f>
        <v>395.5</v>
      </c>
      <c r="GC47" s="18">
        <f>'Total Sunday-Holiday Boardings'!GC47/5</f>
        <v>408.8</v>
      </c>
      <c r="GD47" s="18">
        <f>'Total Sunday-Holiday Boardings'!GD47/4</f>
        <v>364.25</v>
      </c>
      <c r="GE47" s="18">
        <f>'Total Sunday-Holiday Boardings'!GE47/4</f>
        <v>459.5</v>
      </c>
      <c r="GF47" s="18">
        <f>'Total Sunday-Holiday Boardings'!GF47/5</f>
        <v>351.8</v>
      </c>
      <c r="GG47" s="18">
        <f>'Total Sunday-Holiday Boardings'!GG47/4</f>
        <v>438.5</v>
      </c>
      <c r="GH47" s="18">
        <f>'Total Sunday-Holiday Boardings'!GH47/4</f>
        <v>344</v>
      </c>
      <c r="GI47" s="18">
        <f>'Total Sunday-Holiday Boardings'!GI47/5</f>
        <v>415.8</v>
      </c>
      <c r="GJ47" s="18">
        <f>'Total Sunday-Holiday Boardings'!GJ47/4</f>
        <v>341.5</v>
      </c>
      <c r="GK47" s="18">
        <f>'Total Sunday-Holiday Boardings'!GK47/4</f>
        <v>303</v>
      </c>
      <c r="GL47" s="18">
        <f>'Total Sunday-Holiday Boardings'!GL47/5</f>
        <v>1000.2</v>
      </c>
    </row>
    <row r="48" spans="1:194" x14ac:dyDescent="0.3">
      <c r="A48" s="93" t="s">
        <v>69</v>
      </c>
      <c r="B48" s="12"/>
      <c r="C48" s="13"/>
      <c r="D48" s="13"/>
      <c r="E48" s="13"/>
      <c r="F48" s="13"/>
      <c r="G48" s="13"/>
      <c r="H48" s="14"/>
      <c r="I48" s="1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6"/>
      <c r="U48" s="12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4"/>
      <c r="AS48" s="15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6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4"/>
      <c r="BQ48" s="15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6"/>
      <c r="CC48" s="12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4"/>
      <c r="CO48" s="15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4"/>
      <c r="DA48" s="12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4"/>
      <c r="DM48" s="12"/>
      <c r="DN48" s="13"/>
      <c r="DO48" s="13"/>
      <c r="DP48" s="13"/>
      <c r="DQ48" s="13"/>
      <c r="DR48" s="13"/>
      <c r="DS48" s="13"/>
      <c r="DT48" s="13"/>
      <c r="DU48" s="13"/>
      <c r="DV48" s="13"/>
      <c r="DW48" s="13">
        <f>'Total Sunday-Holiday Boardings'!DW48/('Service Days per Month'!DW$10+'Service Days per Month'!DW$11)</f>
        <v>247.66666666666666</v>
      </c>
      <c r="DX48" s="14">
        <f>'Total Sunday-Holiday Boardings'!DX48/('Service Days per Month'!DX$6+'Service Days per Month'!DX$7)</f>
        <v>313.60000000000002</v>
      </c>
      <c r="DY48" s="12">
        <f>'Total Sunday-Holiday Boardings'!DY48/('Service Days per Month'!DY$6+'Service Days per Month'!DY$7)</f>
        <v>350.6</v>
      </c>
      <c r="DZ48" s="33">
        <f>'Total Sunday-Holiday Boardings'!DZ48/('Service Days per Month'!DZ$6+'Service Days per Month'!DZ$7)</f>
        <v>333.75</v>
      </c>
      <c r="EA48" s="33">
        <f>'Total Sunday-Holiday Boardings'!EA48/('Service Days per Month'!EA$6+'Service Days per Month'!EA$7)</f>
        <v>336.66666666666669</v>
      </c>
      <c r="EB48" s="33">
        <f>'Total Sunday-Holiday Boardings'!EB48/('Service Days per Month'!EB$6+'Service Days per Month'!EB$7)</f>
        <v>406.25</v>
      </c>
      <c r="EC48" s="33">
        <f>'Total Sunday-Holiday Boardings'!EC48/('Service Days per Month'!EC$6+'Service Days per Month'!EC$7)</f>
        <v>401</v>
      </c>
      <c r="ED48" s="33">
        <f>'Total Sunday-Holiday Boardings'!ED48/('Service Days per Month'!ED$6+'Service Days per Month'!ED$7)</f>
        <v>340.33333333333331</v>
      </c>
      <c r="EE48" s="33">
        <f>'Total Sunday-Holiday Boardings'!EE48/('Service Days per Month'!EE$6+'Service Days per Month'!EE$7)</f>
        <v>479</v>
      </c>
      <c r="EF48" s="33">
        <f>'Total Sunday-Holiday Boardings'!EF48/('Service Days per Month'!EF$6+'Service Days per Month'!EF$7)</f>
        <v>434.25</v>
      </c>
      <c r="EG48" s="33">
        <f>'Total Sunday-Holiday Boardings'!EG48/('Service Days per Month'!EG$6+'Service Days per Month'!EG$7)</f>
        <v>407</v>
      </c>
      <c r="EH48" s="33">
        <f>'Total Sunday-Holiday Boardings'!EH48/('Service Days per Month'!EH$6+'Service Days per Month'!EH$7)</f>
        <v>287.75</v>
      </c>
      <c r="EI48" s="33">
        <f>'Total Sunday-Holiday Boardings'!EI48/('Service Days per Month'!EI$6+'Service Days per Month'!EI$7)</f>
        <v>284.33333333333331</v>
      </c>
      <c r="EJ48" s="34">
        <f>'Total Sunday-Holiday Boardings'!EJ48/('Service Days per Month'!EJ$6+'Service Days per Month'!EJ$7)</f>
        <v>257</v>
      </c>
      <c r="EK48" s="32">
        <f>'Total Sunday-Holiday Boardings'!EK48/('Service Days per Month'!EK$6+'Service Days per Month'!EK$7)</f>
        <v>235.8</v>
      </c>
      <c r="EL48" s="33">
        <f>'Total Sunday-Holiday Boardings'!EL48/('Service Days per Month'!EL$6+'Service Days per Month'!EL$7)</f>
        <v>246.6</v>
      </c>
      <c r="EM48" s="33">
        <f>'Total Sunday-Holiday Boardings'!EM48/('Service Days per Month'!EM$6+'Service Days per Month'!EM$7)</f>
        <v>263</v>
      </c>
      <c r="EN48" s="33">
        <f>'Total Sunday-Holiday Boardings'!EN48/('Service Days per Month'!EN$6+'Service Days per Month'!EN$7)</f>
        <v>257.75</v>
      </c>
      <c r="EO48" s="33">
        <f>'Total Sunday-Holiday Boardings'!EO48/('Service Days per Month'!EO$6+'Service Days per Month'!EO$7)</f>
        <v>147.66666666666666</v>
      </c>
      <c r="EP48" s="33">
        <f>'Total Sunday-Holiday Boardings'!EP48/('Service Days per Month'!EP$6+'Service Days per Month'!EP$7)</f>
        <v>163.80000000000001</v>
      </c>
      <c r="EQ48" s="33">
        <f>'Total Sunday-Holiday Boardings'!EQ48/('Service Days per Month'!EQ$6+'Service Days per Month'!EQ$7)</f>
        <v>112.4</v>
      </c>
      <c r="ER48" s="33">
        <f>'Total Sunday-Holiday Boardings'!ER48/('Service Days per Month'!ER$6+'Service Days per Month'!ER$7)</f>
        <v>246</v>
      </c>
      <c r="ES48" s="33">
        <f>'Total Sunday-Holiday Boardings'!ES48/('Service Days per Month'!ES$6+'Service Days per Month'!ES$7)</f>
        <v>98.5</v>
      </c>
      <c r="ET48" s="33">
        <f>'Total Sunday-Holiday Boardings'!ET48/('Service Days per Month'!ET$6+'Service Days per Month'!ET$7)</f>
        <v>242</v>
      </c>
      <c r="EU48" s="33">
        <f>'Total Sunday-Holiday Boardings'!EU48/('Service Days per Month'!EU$6+'Service Days per Month'!EU$7)</f>
        <v>204.66666666666666</v>
      </c>
      <c r="EV48" s="34">
        <f>'Total Sunday-Holiday Boardings'!EV48/('Service Days per Month'!EV$6+'Service Days per Month'!EV$7)</f>
        <v>242</v>
      </c>
      <c r="EW48" s="32">
        <f>'Total Sunday-Holiday Boardings'!EW48/('Service Days per Month'!EW$6+'Service Days per Month'!EW$7)</f>
        <v>225.8</v>
      </c>
      <c r="EX48" s="33">
        <f>'Total Sunday-Holiday Boardings'!EX48/('Service Days per Month'!EX$6+'Service Days per Month'!EX$7)</f>
        <v>313.60000000000002</v>
      </c>
      <c r="EY48" s="33">
        <f>'Total Sunday-Holiday Boardings'!EY48/('Service Days per Month'!EY$6+'Service Days per Month'!EY$7)</f>
        <v>277.39999999999998</v>
      </c>
      <c r="EZ48" s="33">
        <f>'Total Sunday-Holiday Boardings'!EZ48/('Service Days per Month'!EZ$6+'Service Days per Month'!EZ$7)</f>
        <v>307</v>
      </c>
      <c r="FA48" s="33">
        <f>'Total Sunday-Holiday Boardings'!FA48/('Service Days per Month'!FA$6+'Service Days per Month'!FA$7)</f>
        <v>261.8</v>
      </c>
      <c r="FB48" s="33">
        <f>'Total Sunday-Holiday Boardings'!FB48/('Service Days per Month'!FB$6+'Service Days per Month'!FB$7)</f>
        <v>356.8</v>
      </c>
      <c r="FC48" s="33">
        <f>'Total Sunday-Holiday Boardings'!FC48/('Service Days per Month'!FC$6+'Service Days per Month'!FC$7)</f>
        <v>283</v>
      </c>
      <c r="FD48" s="33">
        <f>'Total Sunday-Holiday Boardings'!FD48/('Service Days per Month'!FD$6+'Service Days per Month'!FD$7)</f>
        <v>351.5</v>
      </c>
      <c r="FE48" s="33">
        <f>'Total Sunday-Holiday Boardings'!FE48/('Service Days per Month'!FE$6+'Service Days per Month'!FE$7)</f>
        <v>398</v>
      </c>
      <c r="FF48" s="33">
        <f>'Total Sunday-Holiday Boardings'!FF48/('Service Days per Month'!FF$6+'Service Days per Month'!FF$7)</f>
        <v>389.75</v>
      </c>
      <c r="FG48" s="33">
        <f>'Total Sunday-Holiday Boardings'!FG48/('Service Days per Month'!FG$6+'Service Days per Month'!FG$7)</f>
        <v>332</v>
      </c>
      <c r="FH48" s="34">
        <f>'Total Sunday-Holiday Boardings'!FH48/('Service Days per Month'!FH$6+'Service Days per Month'!FH$7)</f>
        <v>318.25</v>
      </c>
      <c r="FI48" s="32">
        <v>293.5</v>
      </c>
      <c r="FJ48" s="33">
        <v>301</v>
      </c>
      <c r="FK48" s="33">
        <v>313.39999999999998</v>
      </c>
      <c r="FL48" s="33">
        <v>284.8</v>
      </c>
      <c r="FM48" s="33">
        <v>265.8</v>
      </c>
      <c r="FN48" s="33">
        <v>294.8</v>
      </c>
      <c r="FO48" s="33">
        <v>396.2</v>
      </c>
      <c r="FP48" s="33">
        <v>329</v>
      </c>
      <c r="FQ48" s="33">
        <v>362</v>
      </c>
      <c r="FR48" s="33">
        <f>'Total Sunday-Holiday Boardings'!FR48/5</f>
        <v>353.6</v>
      </c>
      <c r="FS48" s="33">
        <f>'Total Sunday-Holiday Boardings'!FS48/5</f>
        <v>353.2</v>
      </c>
      <c r="FT48" s="36">
        <f>'Total Sunday-Holiday Boardings'!FT48/4</f>
        <v>334.25</v>
      </c>
      <c r="FU48" s="18">
        <f>'Total Sunday-Holiday Boardings'!FU48/5</f>
        <v>433.2</v>
      </c>
      <c r="FV48" s="18">
        <f>'Total Sunday-Holiday Boardings'!FV48/4</f>
        <v>501</v>
      </c>
      <c r="FW48" s="18">
        <f>'Total Sunday-Holiday Boardings'!FW48/4</f>
        <v>423.5</v>
      </c>
      <c r="FX48" s="18">
        <f>'Total Sunday-Holiday Boardings'!FX48/5</f>
        <v>337.4</v>
      </c>
      <c r="FY48" s="18">
        <f>'Total Sunday-Holiday Boardings'!FY48/4</f>
        <v>371.25</v>
      </c>
      <c r="FZ48" s="18">
        <f>'Total Sunday-Holiday Boardings'!FZ48/5</f>
        <v>333.2</v>
      </c>
      <c r="GA48" s="18">
        <f>'Total Sunday-Holiday Boardings'!GA48/4</f>
        <v>442</v>
      </c>
      <c r="GB48" s="18">
        <f>'Total Sunday-Holiday Boardings'!GB48/4</f>
        <v>334.75</v>
      </c>
      <c r="GC48" s="18">
        <f>'Total Sunday-Holiday Boardings'!GC48/5</f>
        <v>318.2</v>
      </c>
      <c r="GD48" s="18">
        <f>'Total Sunday-Holiday Boardings'!GD48/4</f>
        <v>321.75</v>
      </c>
      <c r="GE48" s="18">
        <f>'Total Sunday-Holiday Boardings'!GE48/4</f>
        <v>393.75</v>
      </c>
      <c r="GF48" s="18">
        <f>'Total Sunday-Holiday Boardings'!GF48/5</f>
        <v>326.60000000000002</v>
      </c>
      <c r="GG48" s="18">
        <f>'Total Sunday-Holiday Boardings'!GG48/4</f>
        <v>419.25</v>
      </c>
      <c r="GH48" s="18">
        <f>'Total Sunday-Holiday Boardings'!GH48/4</f>
        <v>316.5</v>
      </c>
      <c r="GI48" s="18">
        <f>'Total Sunday-Holiday Boardings'!GI48/5</f>
        <v>386.8</v>
      </c>
      <c r="GJ48" s="18">
        <f>'Total Sunday-Holiday Boardings'!GJ48/4</f>
        <v>333.5</v>
      </c>
      <c r="GK48" s="18">
        <f>'Total Sunday-Holiday Boardings'!GK48/4</f>
        <v>314.25</v>
      </c>
      <c r="GL48" s="18">
        <f>'Total Sunday-Holiday Boardings'!GL48/5</f>
        <v>336.6</v>
      </c>
    </row>
    <row r="49" spans="1:194" ht="15" thickBot="1" x14ac:dyDescent="0.35">
      <c r="A49" s="94" t="s">
        <v>70</v>
      </c>
      <c r="B49" s="27"/>
      <c r="C49" s="28"/>
      <c r="D49" s="28"/>
      <c r="E49" s="28"/>
      <c r="F49" s="28"/>
      <c r="G49" s="28"/>
      <c r="H49" s="29"/>
      <c r="I49" s="30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27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9"/>
      <c r="AS49" s="30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31"/>
      <c r="BE49" s="27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9"/>
      <c r="BQ49" s="30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31"/>
      <c r="CC49" s="27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9"/>
      <c r="CO49" s="30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9"/>
      <c r="DA49" s="27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9"/>
      <c r="DM49" s="27"/>
      <c r="DN49" s="28"/>
      <c r="DO49" s="28"/>
      <c r="DP49" s="28"/>
      <c r="DQ49" s="28"/>
      <c r="DR49" s="28"/>
      <c r="DS49" s="28"/>
      <c r="DT49" s="23"/>
      <c r="DU49" s="23"/>
      <c r="DV49" s="23"/>
      <c r="DW49" s="23">
        <f>'Total Sunday-Holiday Boardings'!DW49/('Service Days per Month'!DW$10+'Service Days per Month'!DW$11)</f>
        <v>1347</v>
      </c>
      <c r="DX49" s="24">
        <f>'Total Sunday-Holiday Boardings'!DX49/('Service Days per Month'!DX$6+'Service Days per Month'!DX$7)</f>
        <v>1259.4000000000001</v>
      </c>
      <c r="DY49" s="22">
        <f>'Total Sunday-Holiday Boardings'!DY49/('Service Days per Month'!DY$6+'Service Days per Month'!DY$7)</f>
        <v>1520.2</v>
      </c>
      <c r="DZ49" s="23">
        <f>'Total Sunday-Holiday Boardings'!DZ49/('Service Days per Month'!DZ$6+'Service Days per Month'!DZ$7)</f>
        <v>1345</v>
      </c>
      <c r="EA49" s="23">
        <f>'Total Sunday-Holiday Boardings'!EA49/('Service Days per Month'!EA$6+'Service Days per Month'!EA$7)</f>
        <v>1283.5</v>
      </c>
      <c r="EB49" s="23">
        <f>'Total Sunday-Holiday Boardings'!EB49/('Service Days per Month'!EB$6+'Service Days per Month'!EB$7)</f>
        <v>1305.5</v>
      </c>
      <c r="EC49" s="23">
        <f>'Total Sunday-Holiday Boardings'!EC49/('Service Days per Month'!EC$6+'Service Days per Month'!EC$7)</f>
        <v>1373.8</v>
      </c>
      <c r="ED49" s="23">
        <f>'Total Sunday-Holiday Boardings'!ED49/('Service Days per Month'!ED$6+'Service Days per Month'!ED$7)</f>
        <v>1472.3333333333333</v>
      </c>
      <c r="EE49" s="23">
        <f>'Total Sunday-Holiday Boardings'!EE49/('Service Days per Month'!EE$6+'Service Days per Month'!EE$7)</f>
        <v>2097.75</v>
      </c>
      <c r="EF49" s="23">
        <f>'Total Sunday-Holiday Boardings'!EF49/('Service Days per Month'!EF$6+'Service Days per Month'!EF$7)</f>
        <v>1649.75</v>
      </c>
      <c r="EG49" s="23">
        <f>'Total Sunday-Holiday Boardings'!EG49/('Service Days per Month'!EG$6+'Service Days per Month'!EG$7)</f>
        <v>722.6</v>
      </c>
      <c r="EH49" s="23">
        <f>'Total Sunday-Holiday Boardings'!EH49/('Service Days per Month'!EH$6+'Service Days per Month'!EH$7)</f>
        <v>510.25</v>
      </c>
      <c r="EI49" s="23">
        <f>'Total Sunday-Holiday Boardings'!EI49/('Service Days per Month'!EI$6+'Service Days per Month'!EI$7)</f>
        <v>510.33333333333331</v>
      </c>
      <c r="EJ49" s="24">
        <f>'Total Sunday-Holiday Boardings'!EJ49/('Service Days per Month'!EJ$6+'Service Days per Month'!EJ$7)</f>
        <v>544</v>
      </c>
      <c r="EK49" s="22">
        <f>'Total Sunday-Holiday Boardings'!EK49/('Service Days per Month'!EK$6+'Service Days per Month'!EK$7)</f>
        <v>443.8</v>
      </c>
      <c r="EL49" s="23">
        <f>'Total Sunday-Holiday Boardings'!EL49/('Service Days per Month'!EL$6+'Service Days per Month'!EL$7)</f>
        <v>513</v>
      </c>
      <c r="EM49" s="23">
        <f>'Total Sunday-Holiday Boardings'!EM49/('Service Days per Month'!EM$6+'Service Days per Month'!EM$7)</f>
        <v>467.6</v>
      </c>
      <c r="EN49" s="23">
        <f>'Total Sunday-Holiday Boardings'!EN49/('Service Days per Month'!EN$6+'Service Days per Month'!EN$7)</f>
        <v>384</v>
      </c>
      <c r="EO49" s="23">
        <f>'Total Sunday-Holiday Boardings'!EO49/('Service Days per Month'!EO$6+'Service Days per Month'!EO$7)</f>
        <v>612</v>
      </c>
      <c r="EP49" s="23">
        <f>'Total Sunday-Holiday Boardings'!EP49/('Service Days per Month'!EP$6+'Service Days per Month'!EP$7)</f>
        <v>162.80000000000001</v>
      </c>
      <c r="EQ49" s="23">
        <f>'Total Sunday-Holiday Boardings'!EQ49/('Service Days per Month'!EQ$6+'Service Days per Month'!EQ$7)</f>
        <v>203.6</v>
      </c>
      <c r="ER49" s="23">
        <f>'Total Sunday-Holiday Boardings'!ER49/('Service Days per Month'!ER$6+'Service Days per Month'!ER$7)</f>
        <v>429.5</v>
      </c>
      <c r="ES49" s="23">
        <f>'Total Sunday-Holiday Boardings'!ES49/('Service Days per Month'!ES$6+'Service Days per Month'!ES$7)</f>
        <v>340.75</v>
      </c>
      <c r="ET49" s="23">
        <f>'Total Sunday-Holiday Boardings'!ET49/('Service Days per Month'!ET$6+'Service Days per Month'!ET$7)</f>
        <v>852.25</v>
      </c>
      <c r="EU49" s="23">
        <f>'Total Sunday-Holiday Boardings'!EU49/('Service Days per Month'!EU$6+'Service Days per Month'!EU$7)</f>
        <v>720.83333333333337</v>
      </c>
      <c r="EV49" s="24">
        <f>'Total Sunday-Holiday Boardings'!EV49/('Service Days per Month'!EV$6+'Service Days per Month'!EV$7)</f>
        <v>950</v>
      </c>
      <c r="EW49" s="22">
        <f>'Total Sunday-Holiday Boardings'!EW49/('Service Days per Month'!EW$6+'Service Days per Month'!EW$7)</f>
        <v>952.2</v>
      </c>
      <c r="EX49" s="23">
        <f>'Total Sunday-Holiday Boardings'!EX49/('Service Days per Month'!EX$6+'Service Days per Month'!EX$7)</f>
        <v>1049</v>
      </c>
      <c r="EY49" s="23">
        <f>'Total Sunday-Holiday Boardings'!EY49/('Service Days per Month'!EY$6+'Service Days per Month'!EY$7)</f>
        <v>892.6</v>
      </c>
      <c r="EZ49" s="23">
        <f>'Total Sunday-Holiday Boardings'!EZ49/('Service Days per Month'!EZ$6+'Service Days per Month'!EZ$7)</f>
        <v>871.8</v>
      </c>
      <c r="FA49" s="23">
        <f>'Total Sunday-Holiday Boardings'!FA49/('Service Days per Month'!FA$6+'Service Days per Month'!FA$7)</f>
        <v>870.6</v>
      </c>
      <c r="FB49" s="23">
        <f>'Total Sunday-Holiday Boardings'!FB49/('Service Days per Month'!FB$6+'Service Days per Month'!FB$7)</f>
        <v>1259.2</v>
      </c>
      <c r="FC49" s="23">
        <f>'Total Sunday-Holiday Boardings'!FC49/('Service Days per Month'!FC$6+'Service Days per Month'!FC$7)</f>
        <v>966.6</v>
      </c>
      <c r="FD49" s="23">
        <f>'Total Sunday-Holiday Boardings'!FD49/('Service Days per Month'!FD$6+'Service Days per Month'!FD$7)</f>
        <v>1131.75</v>
      </c>
      <c r="FE49" s="23">
        <f>'Total Sunday-Holiday Boardings'!FE49/('Service Days per Month'!FE$6+'Service Days per Month'!FE$7)</f>
        <v>1362.75</v>
      </c>
      <c r="FF49" s="23">
        <f>'Total Sunday-Holiday Boardings'!FF49/('Service Days per Month'!FF$6+'Service Days per Month'!FF$7)</f>
        <v>1091</v>
      </c>
      <c r="FG49" s="23">
        <f>'Total Sunday-Holiday Boardings'!FG49/('Service Days per Month'!FG$6+'Service Days per Month'!FG$7)</f>
        <v>1181.1666666666667</v>
      </c>
      <c r="FH49" s="24">
        <f>'Total Sunday-Holiday Boardings'!FH49/('Service Days per Month'!FH$6+'Service Days per Month'!FH$7)</f>
        <v>1002</v>
      </c>
      <c r="FI49" s="22">
        <v>967.66666666666663</v>
      </c>
      <c r="FJ49" s="23">
        <v>928</v>
      </c>
      <c r="FK49" s="23">
        <v>1083.5999999999999</v>
      </c>
      <c r="FL49" s="23">
        <v>910</v>
      </c>
      <c r="FM49" s="23">
        <v>872.8</v>
      </c>
      <c r="FN49" s="23">
        <v>969.4</v>
      </c>
      <c r="FO49" s="23">
        <v>1219.4000000000001</v>
      </c>
      <c r="FP49" s="23">
        <v>140</v>
      </c>
      <c r="FQ49" s="23">
        <v>1221.75</v>
      </c>
      <c r="FR49" s="23">
        <f>'Total Sunday-Holiday Boardings'!FR49/5</f>
        <v>1204.8</v>
      </c>
      <c r="FS49" s="23">
        <f>'Total Sunday-Holiday Boardings'!FS49/5</f>
        <v>1269.5999999999999</v>
      </c>
      <c r="FT49" s="26">
        <f>'Total Sunday-Holiday Boardings'!FT49/4</f>
        <v>1209</v>
      </c>
      <c r="FU49" s="18">
        <f>'Total Sunday-Holiday Boardings'!FU49/5</f>
        <v>1406.6</v>
      </c>
      <c r="FV49" s="18">
        <f>'Total Sunday-Holiday Boardings'!FV49/4</f>
        <v>1456.75</v>
      </c>
      <c r="FW49" s="18">
        <f>'Total Sunday-Holiday Boardings'!FW49/4</f>
        <v>1444.75</v>
      </c>
      <c r="FX49" s="18">
        <f>'Total Sunday-Holiday Boardings'!FX49/5</f>
        <v>1158.2</v>
      </c>
      <c r="FY49" s="18">
        <f>'Total Sunday-Holiday Boardings'!FY49/4</f>
        <v>1486.5</v>
      </c>
      <c r="FZ49" s="18">
        <f>'Total Sunday-Holiday Boardings'!FZ49/5</f>
        <v>1508.8</v>
      </c>
      <c r="GA49" s="18">
        <f>'Total Sunday-Holiday Boardings'!GA49/4</f>
        <v>1690.25</v>
      </c>
      <c r="GB49" s="18">
        <f>'Total Sunday-Holiday Boardings'!GB49/4</f>
        <v>1234</v>
      </c>
      <c r="GC49" s="18">
        <f>'Total Sunday-Holiday Boardings'!GC49/5</f>
        <v>1190.4000000000001</v>
      </c>
      <c r="GD49" s="18">
        <f>'Total Sunday-Holiday Boardings'!GD49/4</f>
        <v>1290</v>
      </c>
      <c r="GE49" s="18">
        <f>'Total Sunday-Holiday Boardings'!GE49/4</f>
        <v>1717</v>
      </c>
      <c r="GF49" s="18">
        <f>'Total Sunday-Holiday Boardings'!GF49/5</f>
        <v>1242.5999999999999</v>
      </c>
      <c r="GG49" s="18">
        <f>'Total Sunday-Holiday Boardings'!GG49/4</f>
        <v>1788.25</v>
      </c>
      <c r="GH49" s="18">
        <f>'Total Sunday-Holiday Boardings'!GH49/4</f>
        <v>1350.5</v>
      </c>
      <c r="GI49" s="18">
        <f>'Total Sunday-Holiday Boardings'!GI49/5</f>
        <v>1573</v>
      </c>
      <c r="GJ49" s="18">
        <f>'Total Sunday-Holiday Boardings'!GJ49/4</f>
        <v>1341.75</v>
      </c>
      <c r="GK49" s="18">
        <f>'Total Sunday-Holiday Boardings'!GK49/4</f>
        <v>1431.5</v>
      </c>
      <c r="GL49" s="18">
        <f>'Total Sunday-Holiday Boardings'!GL49/5</f>
        <v>1409.2</v>
      </c>
    </row>
    <row r="50" spans="1:194" s="5" customFormat="1" x14ac:dyDescent="0.3">
      <c r="A50" s="45" t="s">
        <v>51</v>
      </c>
      <c r="B50" s="58"/>
      <c r="C50" s="59">
        <f t="shared" ref="C50:AH50" si="0">SUM(C10:C43)</f>
        <v>27409.4</v>
      </c>
      <c r="D50" s="59">
        <f t="shared" si="0"/>
        <v>27168.25</v>
      </c>
      <c r="E50" s="59">
        <f t="shared" si="0"/>
        <v>23184.199999999997</v>
      </c>
      <c r="F50" s="59">
        <f t="shared" si="0"/>
        <v>18653.399999999998</v>
      </c>
      <c r="G50" s="59">
        <f t="shared" si="0"/>
        <v>19659.666666666668</v>
      </c>
      <c r="H50" s="60">
        <f t="shared" si="0"/>
        <v>16224.25</v>
      </c>
      <c r="I50" s="47">
        <f t="shared" si="0"/>
        <v>21604</v>
      </c>
      <c r="J50" s="48">
        <f t="shared" si="0"/>
        <v>15423.999999999998</v>
      </c>
      <c r="K50" s="48">
        <f t="shared" si="0"/>
        <v>19016.999999999996</v>
      </c>
      <c r="L50" s="48">
        <f t="shared" si="0"/>
        <v>18929.5</v>
      </c>
      <c r="M50" s="48">
        <f t="shared" si="0"/>
        <v>29252.333333333332</v>
      </c>
      <c r="N50" s="48">
        <f t="shared" si="0"/>
        <v>15099.4</v>
      </c>
      <c r="O50" s="48">
        <f t="shared" si="0"/>
        <v>22606.499999999996</v>
      </c>
      <c r="P50" s="48">
        <f t="shared" si="0"/>
        <v>26109.5</v>
      </c>
      <c r="Q50" s="48">
        <f t="shared" si="0"/>
        <v>26169</v>
      </c>
      <c r="R50" s="48">
        <f t="shared" si="0"/>
        <v>21721.25</v>
      </c>
      <c r="S50" s="48">
        <f t="shared" si="0"/>
        <v>20743.166666666664</v>
      </c>
      <c r="T50" s="49">
        <f t="shared" si="0"/>
        <v>17952.25</v>
      </c>
      <c r="U50" s="47">
        <f t="shared" si="0"/>
        <v>18248</v>
      </c>
      <c r="V50" s="48">
        <f t="shared" si="0"/>
        <v>16579</v>
      </c>
      <c r="W50" s="48">
        <f t="shared" si="0"/>
        <v>20506.399999999994</v>
      </c>
      <c r="X50" s="48">
        <f t="shared" si="0"/>
        <v>20721.800000000007</v>
      </c>
      <c r="Y50" s="48">
        <f t="shared" si="0"/>
        <v>22967.714285714286</v>
      </c>
      <c r="Z50" s="48">
        <f t="shared" si="0"/>
        <v>11810.428571428569</v>
      </c>
      <c r="AA50" s="48">
        <f t="shared" si="0"/>
        <v>20269.833333333336</v>
      </c>
      <c r="AB50" s="48">
        <f t="shared" si="0"/>
        <v>21679.8</v>
      </c>
      <c r="AC50" s="48">
        <f t="shared" si="0"/>
        <v>25029.25</v>
      </c>
      <c r="AD50" s="48">
        <f t="shared" si="0"/>
        <v>21350.25</v>
      </c>
      <c r="AE50" s="48">
        <f t="shared" si="0"/>
        <v>20162.333333333332</v>
      </c>
      <c r="AF50" s="49">
        <f t="shared" si="0"/>
        <v>18808.25</v>
      </c>
      <c r="AG50" s="47">
        <f t="shared" si="0"/>
        <v>23802.666666666661</v>
      </c>
      <c r="AH50" s="48">
        <f t="shared" si="0"/>
        <v>19772.75</v>
      </c>
      <c r="AI50" s="48">
        <f t="shared" ref="AI50:BN50" si="1">SUM(AI10:AI43)</f>
        <v>19887</v>
      </c>
      <c r="AJ50" s="48">
        <f t="shared" si="1"/>
        <v>22376.200000000004</v>
      </c>
      <c r="AK50" s="48">
        <f t="shared" si="1"/>
        <v>20956.142857142859</v>
      </c>
      <c r="AL50" s="48">
        <f t="shared" si="1"/>
        <v>15187.666666666662</v>
      </c>
      <c r="AM50" s="48">
        <f t="shared" si="1"/>
        <v>23048.142857142866</v>
      </c>
      <c r="AN50" s="48">
        <f t="shared" si="1"/>
        <v>24262.800000000003</v>
      </c>
      <c r="AO50" s="48">
        <f t="shared" si="1"/>
        <v>22486</v>
      </c>
      <c r="AP50" s="48">
        <f t="shared" si="1"/>
        <v>23661.200000000004</v>
      </c>
      <c r="AQ50" s="48">
        <f t="shared" si="1"/>
        <v>22074.6</v>
      </c>
      <c r="AR50" s="49">
        <f t="shared" si="1"/>
        <v>20803.75</v>
      </c>
      <c r="AS50" s="47">
        <f t="shared" si="1"/>
        <v>25585.333333333332</v>
      </c>
      <c r="AT50" s="48">
        <f t="shared" si="1"/>
        <v>21138.25</v>
      </c>
      <c r="AU50" s="48">
        <f t="shared" si="1"/>
        <v>21808.333333333339</v>
      </c>
      <c r="AV50" s="48">
        <f t="shared" si="1"/>
        <v>25479.75</v>
      </c>
      <c r="AW50" s="48">
        <f t="shared" si="1"/>
        <v>20039.714285714286</v>
      </c>
      <c r="AX50" s="48">
        <f t="shared" si="1"/>
        <v>18347.714285714283</v>
      </c>
      <c r="AY50" s="48">
        <f t="shared" si="1"/>
        <v>24307.666666666668</v>
      </c>
      <c r="AZ50" s="48">
        <f t="shared" si="1"/>
        <v>26014</v>
      </c>
      <c r="BA50" s="48">
        <f t="shared" si="1"/>
        <v>26509.400000000005</v>
      </c>
      <c r="BB50" s="48">
        <f t="shared" si="1"/>
        <v>27347.75</v>
      </c>
      <c r="BC50" s="48">
        <f t="shared" si="1"/>
        <v>26738.199999999997</v>
      </c>
      <c r="BD50" s="49">
        <f t="shared" si="1"/>
        <v>21717.399999999998</v>
      </c>
      <c r="BE50" s="47">
        <f t="shared" si="1"/>
        <v>25605</v>
      </c>
      <c r="BF50" s="48">
        <f t="shared" si="1"/>
        <v>20329.75</v>
      </c>
      <c r="BG50" s="48">
        <f t="shared" si="1"/>
        <v>23079.166666666672</v>
      </c>
      <c r="BH50" s="48">
        <f t="shared" si="1"/>
        <v>23781.25</v>
      </c>
      <c r="BI50" s="48">
        <f t="shared" si="1"/>
        <v>20146.714285714286</v>
      </c>
      <c r="BJ50" s="48">
        <f t="shared" si="1"/>
        <v>21892</v>
      </c>
      <c r="BK50" s="48">
        <f t="shared" si="1"/>
        <v>26722.999999999996</v>
      </c>
      <c r="BL50" s="48">
        <f t="shared" si="1"/>
        <v>28050.400000000005</v>
      </c>
      <c r="BM50" s="48">
        <f t="shared" si="1"/>
        <v>27780.399999999998</v>
      </c>
      <c r="BN50" s="48">
        <f t="shared" si="1"/>
        <v>25183.25</v>
      </c>
      <c r="BO50" s="48">
        <f t="shared" ref="BO50:CC50" si="2">SUM(BO10:BO43)</f>
        <v>23255.4</v>
      </c>
      <c r="BP50" s="49">
        <f t="shared" si="2"/>
        <v>23645.199999999997</v>
      </c>
      <c r="BQ50" s="47">
        <f t="shared" si="2"/>
        <v>24772.199999999993</v>
      </c>
      <c r="BR50" s="48">
        <f t="shared" si="2"/>
        <v>23414.400000000001</v>
      </c>
      <c r="BS50" s="48">
        <f t="shared" si="2"/>
        <v>23834.600000000002</v>
      </c>
      <c r="BT50" s="48">
        <f t="shared" si="2"/>
        <v>24270.5</v>
      </c>
      <c r="BU50" s="48">
        <f t="shared" si="2"/>
        <v>24580.375</v>
      </c>
      <c r="BV50" s="48">
        <f t="shared" si="2"/>
        <v>21742.666666666664</v>
      </c>
      <c r="BW50" s="48">
        <f t="shared" si="2"/>
        <v>28015.666666666664</v>
      </c>
      <c r="BX50" s="48">
        <f t="shared" si="2"/>
        <v>31470.600000000002</v>
      </c>
      <c r="BY50" s="48">
        <f t="shared" si="2"/>
        <v>26091.4</v>
      </c>
      <c r="BZ50" s="48">
        <f t="shared" si="2"/>
        <v>24717.75</v>
      </c>
      <c r="CA50" s="48">
        <f t="shared" si="2"/>
        <v>24312.833333333332</v>
      </c>
      <c r="CB50" s="49">
        <f t="shared" si="2"/>
        <v>22440</v>
      </c>
      <c r="CC50" s="50">
        <f t="shared" si="2"/>
        <v>23736.2</v>
      </c>
      <c r="CD50" s="48">
        <f t="shared" ref="CD50:CJ50" si="3">SUM(CD10:CD47)</f>
        <v>23812.200000000004</v>
      </c>
      <c r="CE50" s="48">
        <f t="shared" si="3"/>
        <v>27022.599999999995</v>
      </c>
      <c r="CF50" s="48">
        <f t="shared" si="3"/>
        <v>28126.75</v>
      </c>
      <c r="CG50" s="48">
        <f t="shared" si="3"/>
        <v>27743.875</v>
      </c>
      <c r="CH50" s="48">
        <f t="shared" si="3"/>
        <v>24751.833333333328</v>
      </c>
      <c r="CI50" s="48">
        <f t="shared" si="3"/>
        <v>29864.857142857145</v>
      </c>
      <c r="CJ50" s="48">
        <f t="shared" si="3"/>
        <v>29050.799999999999</v>
      </c>
      <c r="CK50" s="48">
        <f t="shared" ref="CK50:DL50" si="4">SUM(CK7:CK47)</f>
        <v>29982</v>
      </c>
      <c r="CL50" s="48">
        <f t="shared" si="4"/>
        <v>32773.5</v>
      </c>
      <c r="CM50" s="48">
        <f t="shared" si="4"/>
        <v>29300.499999999996</v>
      </c>
      <c r="CN50" s="51">
        <f t="shared" si="4"/>
        <v>29177</v>
      </c>
      <c r="CO50" s="47">
        <f t="shared" si="4"/>
        <v>30370.5</v>
      </c>
      <c r="CP50" s="48">
        <f t="shared" si="4"/>
        <v>29116.25</v>
      </c>
      <c r="CQ50" s="48">
        <f t="shared" si="4"/>
        <v>28201.999999999996</v>
      </c>
      <c r="CR50" s="48">
        <f t="shared" si="4"/>
        <v>29116.400000000001</v>
      </c>
      <c r="CS50" s="48">
        <f t="shared" si="4"/>
        <v>36493.285714285717</v>
      </c>
      <c r="CT50" s="48">
        <f t="shared" si="4"/>
        <v>35109.333333333328</v>
      </c>
      <c r="CU50" s="48">
        <f t="shared" si="4"/>
        <v>31022.714285714294</v>
      </c>
      <c r="CV50" s="48">
        <f t="shared" si="4"/>
        <v>31496.799999999999</v>
      </c>
      <c r="CW50" s="48">
        <f t="shared" si="4"/>
        <v>30884.5</v>
      </c>
      <c r="CX50" s="48">
        <f t="shared" si="4"/>
        <v>41351.800000000003</v>
      </c>
      <c r="CY50" s="48">
        <f t="shared" si="4"/>
        <v>30099.199999999993</v>
      </c>
      <c r="CZ50" s="49">
        <f t="shared" si="4"/>
        <v>27170.25</v>
      </c>
      <c r="DA50" s="47">
        <f t="shared" si="4"/>
        <v>29650.666666666664</v>
      </c>
      <c r="DB50" s="48">
        <f t="shared" si="4"/>
        <v>28742.5</v>
      </c>
      <c r="DC50" s="48">
        <f t="shared" si="4"/>
        <v>28212.6</v>
      </c>
      <c r="DD50" s="48">
        <f t="shared" si="4"/>
        <v>30238.80000000001</v>
      </c>
      <c r="DE50" s="48">
        <f t="shared" si="4"/>
        <v>30428.857142857138</v>
      </c>
      <c r="DF50" s="48">
        <f t="shared" si="4"/>
        <v>26664.000000000004</v>
      </c>
      <c r="DG50" s="48">
        <f t="shared" si="4"/>
        <v>30427.833333333332</v>
      </c>
      <c r="DH50" s="48">
        <f t="shared" si="4"/>
        <v>30795.4</v>
      </c>
      <c r="DI50" s="48">
        <f t="shared" si="4"/>
        <v>30936</v>
      </c>
      <c r="DJ50" s="48">
        <f t="shared" si="4"/>
        <v>28025.599999999999</v>
      </c>
      <c r="DK50" s="48">
        <f t="shared" si="4"/>
        <v>29081.199999999993</v>
      </c>
      <c r="DL50" s="49">
        <f t="shared" si="4"/>
        <v>26340.25</v>
      </c>
      <c r="DM50" s="47">
        <f t="shared" ref="DM50:DV50" si="5">SUM(DM7:DM47)</f>
        <v>29253.833333333336</v>
      </c>
      <c r="DN50" s="48">
        <f t="shared" si="5"/>
        <v>27268.75</v>
      </c>
      <c r="DO50" s="48">
        <f t="shared" si="5"/>
        <v>27364.333333333332</v>
      </c>
      <c r="DP50" s="48">
        <f t="shared" si="5"/>
        <v>27555.75</v>
      </c>
      <c r="DQ50" s="48">
        <f t="shared" si="5"/>
        <v>26363.599999999995</v>
      </c>
      <c r="DR50" s="48">
        <f t="shared" si="5"/>
        <v>24908</v>
      </c>
      <c r="DS50" s="48">
        <f t="shared" si="5"/>
        <v>27549.200000000004</v>
      </c>
      <c r="DT50" s="59">
        <f t="shared" si="5"/>
        <v>27028</v>
      </c>
      <c r="DU50" s="59">
        <f t="shared" si="5"/>
        <v>30110.2</v>
      </c>
      <c r="DV50" s="59">
        <f t="shared" si="5"/>
        <v>26958.25</v>
      </c>
      <c r="DW50" s="59">
        <f t="shared" ref="DW50:EJ50" si="6">SUM(DW7:DW49)</f>
        <v>28216.866666666665</v>
      </c>
      <c r="DX50" s="60">
        <f t="shared" si="6"/>
        <v>25831.799999999988</v>
      </c>
      <c r="DY50" s="58">
        <f t="shared" si="6"/>
        <v>27300.799999999988</v>
      </c>
      <c r="DZ50" s="59">
        <f t="shared" si="6"/>
        <v>27783.25</v>
      </c>
      <c r="EA50" s="59">
        <f t="shared" si="6"/>
        <v>26943.666666666668</v>
      </c>
      <c r="EB50" s="59">
        <f t="shared" si="6"/>
        <v>28104.25</v>
      </c>
      <c r="EC50" s="59">
        <f t="shared" si="6"/>
        <v>27563.399999999994</v>
      </c>
      <c r="ED50" s="59">
        <f t="shared" si="6"/>
        <v>25369.833333333328</v>
      </c>
      <c r="EE50" s="59">
        <f t="shared" si="6"/>
        <v>34765.25</v>
      </c>
      <c r="EF50" s="59">
        <f t="shared" si="6"/>
        <v>29294.5</v>
      </c>
      <c r="EG50" s="59">
        <f t="shared" si="6"/>
        <v>23987</v>
      </c>
      <c r="EH50" s="59">
        <f t="shared" si="6"/>
        <v>15624.5</v>
      </c>
      <c r="EI50" s="59">
        <f t="shared" si="6"/>
        <v>15461.500000000004</v>
      </c>
      <c r="EJ50" s="60">
        <f t="shared" si="6"/>
        <v>14319.25</v>
      </c>
      <c r="EK50" s="58">
        <f t="shared" ref="EK50:EV50" si="7">SUM(EK7:EK49)</f>
        <v>13861.4</v>
      </c>
      <c r="EL50" s="59">
        <f t="shared" si="7"/>
        <v>14174.800000000001</v>
      </c>
      <c r="EM50" s="59">
        <f t="shared" si="7"/>
        <v>14640.599999999999</v>
      </c>
      <c r="EN50" s="59">
        <f t="shared" si="7"/>
        <v>14467.5</v>
      </c>
      <c r="EO50" s="59">
        <f t="shared" si="7"/>
        <v>10312.666666666666</v>
      </c>
      <c r="EP50" s="59">
        <f t="shared" si="7"/>
        <v>9588.7999999999975</v>
      </c>
      <c r="EQ50" s="59">
        <f t="shared" si="7"/>
        <v>6408.800000000002</v>
      </c>
      <c r="ER50" s="59">
        <f t="shared" si="7"/>
        <v>13417.5</v>
      </c>
      <c r="ES50" s="59">
        <f t="shared" si="7"/>
        <v>13833.5</v>
      </c>
      <c r="ET50" s="59">
        <f t="shared" si="7"/>
        <v>15047.5</v>
      </c>
      <c r="EU50" s="59">
        <f t="shared" si="7"/>
        <v>12302.166666666664</v>
      </c>
      <c r="EV50" s="60">
        <f t="shared" si="7"/>
        <v>15298.5</v>
      </c>
      <c r="EW50" s="58">
        <f t="shared" ref="EW50:FH50" si="8">SUM(EW7:EW49)</f>
        <v>15384.599999999995</v>
      </c>
      <c r="EX50" s="59">
        <f t="shared" si="8"/>
        <v>18730.599999999999</v>
      </c>
      <c r="EY50" s="59">
        <f t="shared" si="8"/>
        <v>15364.799999999997</v>
      </c>
      <c r="EZ50" s="59">
        <f t="shared" si="8"/>
        <v>15647.400000000001</v>
      </c>
      <c r="FA50" s="59">
        <f t="shared" si="8"/>
        <v>15373.400000000001</v>
      </c>
      <c r="FB50" s="59">
        <f t="shared" si="8"/>
        <v>20002.999999999996</v>
      </c>
      <c r="FC50" s="59">
        <f t="shared" si="8"/>
        <v>15458.599999999999</v>
      </c>
      <c r="FD50" s="59">
        <f t="shared" si="8"/>
        <v>18842.25</v>
      </c>
      <c r="FE50" s="59">
        <f t="shared" si="8"/>
        <v>21486.5</v>
      </c>
      <c r="FF50" s="59">
        <f t="shared" si="8"/>
        <v>20179.75</v>
      </c>
      <c r="FG50" s="59">
        <f t="shared" si="8"/>
        <v>19636</v>
      </c>
      <c r="FH50" s="60">
        <f t="shared" si="8"/>
        <v>16219.5</v>
      </c>
      <c r="FI50" s="58">
        <v>16855.999999999996</v>
      </c>
      <c r="FJ50" s="59">
        <v>16645.5</v>
      </c>
      <c r="FK50" s="59">
        <v>18932.199999999997</v>
      </c>
      <c r="FL50" s="59">
        <v>18675.999999999996</v>
      </c>
      <c r="FM50" s="59">
        <v>16332.999999999998</v>
      </c>
      <c r="FN50" s="59">
        <v>17394.600000000002</v>
      </c>
      <c r="FO50" s="59">
        <v>21445.799999999996</v>
      </c>
      <c r="FP50" s="59">
        <v>19042.5</v>
      </c>
      <c r="FQ50" s="59">
        <v>21805.5</v>
      </c>
      <c r="FR50" s="59">
        <v>21375.399999999991</v>
      </c>
      <c r="FS50" s="59">
        <v>21150.999999999993</v>
      </c>
      <c r="FT50" s="183">
        <v>20591.75</v>
      </c>
      <c r="FU50" s="180">
        <f>SUM(FU7:FU49)</f>
        <v>24239.800000000007</v>
      </c>
      <c r="FV50" s="180">
        <f t="shared" ref="FV50:GD50" si="9">SUM(FV7:FV49)</f>
        <v>27039.5</v>
      </c>
      <c r="FW50" s="180">
        <f t="shared" si="9"/>
        <v>25154.5</v>
      </c>
      <c r="FX50" s="180">
        <f t="shared" si="9"/>
        <v>20539.600000000002</v>
      </c>
      <c r="FY50" s="180">
        <f t="shared" si="9"/>
        <v>23310.25</v>
      </c>
      <c r="FZ50" s="180">
        <f t="shared" si="9"/>
        <v>23111.199999999997</v>
      </c>
      <c r="GA50" s="180">
        <f t="shared" si="9"/>
        <v>27898.75</v>
      </c>
      <c r="GB50" s="180">
        <f t="shared" si="9"/>
        <v>21894.75</v>
      </c>
      <c r="GC50" s="180">
        <f t="shared" si="9"/>
        <v>20584</v>
      </c>
      <c r="GD50" s="180">
        <f t="shared" si="9"/>
        <v>21938.25</v>
      </c>
      <c r="GE50" s="18">
        <f>'Total Sunday-Holiday Boardings'!GE50/4</f>
        <v>27078.5</v>
      </c>
      <c r="GF50" s="180">
        <f>SUM(GF4:GF49)</f>
        <v>20858.999999999993</v>
      </c>
      <c r="GG50" s="18">
        <f>'Total Sunday-Holiday Boardings'!GG50/4</f>
        <v>24456.75</v>
      </c>
      <c r="GH50" s="18">
        <f>'Total Sunday-Holiday Boardings'!GH50/4</f>
        <v>19991.75</v>
      </c>
      <c r="GI50" s="18">
        <f>'Total Sunday-Holiday Boardings'!GI50/5</f>
        <v>25468.6</v>
      </c>
      <c r="GJ50" s="18">
        <f>'Total Sunday-Holiday Boardings'!GJ50/4</f>
        <v>21214.5</v>
      </c>
      <c r="GK50" s="18">
        <f>'Total Sunday-Holiday Boardings'!GK50/4</f>
        <v>23170.5</v>
      </c>
      <c r="GL50" s="18">
        <f>'Total Sunday-Holiday Boardings'!GL50/5</f>
        <v>22552.6</v>
      </c>
    </row>
    <row r="51" spans="1:194" s="5" customFormat="1" x14ac:dyDescent="0.3">
      <c r="A51" s="45" t="s">
        <v>56</v>
      </c>
      <c r="B51" s="198">
        <f>AVERAGE(C50:H50)</f>
        <v>22049.861111111113</v>
      </c>
      <c r="C51" s="199"/>
      <c r="D51" s="199"/>
      <c r="E51" s="199"/>
      <c r="F51" s="199"/>
      <c r="G51" s="199"/>
      <c r="H51" s="200"/>
      <c r="I51" s="198">
        <f t="shared" ref="I51" si="10">AVERAGE(I50:T50)</f>
        <v>21218.991666666665</v>
      </c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200"/>
      <c r="U51" s="198">
        <f>AVERAGE(U50:AF50)</f>
        <v>19844.421626984127</v>
      </c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200"/>
      <c r="AG51" s="198">
        <f>AVERAGE(AG50:AR50)</f>
        <v>21526.576587301588</v>
      </c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200"/>
      <c r="AS51" s="198">
        <f>AVERAGE(AS50:BD50)</f>
        <v>23752.792658730159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200"/>
      <c r="BE51" s="198">
        <f>AVERAGE(BE50:BP50)</f>
        <v>24122.627579365082</v>
      </c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200"/>
      <c r="BQ51" s="198">
        <f>AVERAGE(BQ50:CB50)</f>
        <v>24971.915972222221</v>
      </c>
      <c r="BR51" s="199"/>
      <c r="BS51" s="199"/>
      <c r="BT51" s="199"/>
      <c r="BU51" s="199"/>
      <c r="BV51" s="199"/>
      <c r="BW51" s="199"/>
      <c r="BX51" s="199"/>
      <c r="BY51" s="199"/>
      <c r="BZ51" s="199"/>
      <c r="CA51" s="199"/>
      <c r="CB51" s="200"/>
      <c r="CC51" s="198">
        <f>AVERAGE(CC50:CN50)</f>
        <v>27945.176289682538</v>
      </c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200"/>
      <c r="CO51" s="198">
        <f>AVERAGE(CO50:CZ50)</f>
        <v>31702.752777777776</v>
      </c>
      <c r="CP51" s="199"/>
      <c r="CQ51" s="199"/>
      <c r="CR51" s="199"/>
      <c r="CS51" s="199"/>
      <c r="CT51" s="199"/>
      <c r="CU51" s="199"/>
      <c r="CV51" s="199"/>
      <c r="CW51" s="199"/>
      <c r="CX51" s="199"/>
      <c r="CY51" s="199"/>
      <c r="CZ51" s="200"/>
      <c r="DA51" s="198">
        <f>AVERAGE(DA50:DL50)</f>
        <v>29128.642261904763</v>
      </c>
      <c r="DB51" s="199"/>
      <c r="DC51" s="199"/>
      <c r="DD51" s="199"/>
      <c r="DE51" s="199"/>
      <c r="DF51" s="199"/>
      <c r="DG51" s="199"/>
      <c r="DH51" s="199"/>
      <c r="DI51" s="199"/>
      <c r="DJ51" s="199"/>
      <c r="DK51" s="199"/>
      <c r="DL51" s="200"/>
      <c r="DM51" s="198">
        <f>AVERAGE(DM50:DX50)</f>
        <v>27367.381944444442</v>
      </c>
      <c r="DN51" s="199"/>
      <c r="DO51" s="199"/>
      <c r="DP51" s="199"/>
      <c r="DQ51" s="199"/>
      <c r="DR51" s="199"/>
      <c r="DS51" s="199"/>
      <c r="DT51" s="199"/>
      <c r="DU51" s="199"/>
      <c r="DV51" s="199"/>
      <c r="DW51" s="199"/>
      <c r="DX51" s="200"/>
      <c r="DY51" s="198">
        <f>AVERAGE(DY50:EJ50)</f>
        <v>24709.766666666663</v>
      </c>
      <c r="DZ51" s="199"/>
      <c r="EA51" s="199"/>
      <c r="EB51" s="199"/>
      <c r="EC51" s="199"/>
      <c r="ED51" s="199"/>
      <c r="EE51" s="199"/>
      <c r="EF51" s="199"/>
      <c r="EG51" s="199"/>
      <c r="EH51" s="199"/>
      <c r="EI51" s="199"/>
      <c r="EJ51" s="200"/>
      <c r="EK51" s="198">
        <f>AVERAGE(EK50:EV50)</f>
        <v>12779.477777777778</v>
      </c>
      <c r="EL51" s="199"/>
      <c r="EM51" s="199"/>
      <c r="EN51" s="199"/>
      <c r="EO51" s="199"/>
      <c r="EP51" s="199"/>
      <c r="EQ51" s="199"/>
      <c r="ER51" s="199"/>
      <c r="ES51" s="199"/>
      <c r="ET51" s="199"/>
      <c r="EU51" s="199"/>
      <c r="EV51" s="200"/>
      <c r="EW51" s="198">
        <f>AVERAGE(EW50:FH50)</f>
        <v>17693.866666666665</v>
      </c>
      <c r="EX51" s="199"/>
      <c r="EY51" s="199"/>
      <c r="EZ51" s="199"/>
      <c r="FA51" s="199"/>
      <c r="FB51" s="199"/>
      <c r="FC51" s="199"/>
      <c r="FD51" s="199"/>
      <c r="FE51" s="199"/>
      <c r="FF51" s="199"/>
      <c r="FG51" s="199"/>
      <c r="FH51" s="200"/>
      <c r="FI51" s="198">
        <f>AVERAGE(FI50:FT50)</f>
        <v>19187.4375</v>
      </c>
      <c r="FJ51" s="199"/>
      <c r="FK51" s="199"/>
      <c r="FL51" s="199"/>
      <c r="FM51" s="199"/>
      <c r="FN51" s="199"/>
      <c r="FO51" s="199"/>
      <c r="FP51" s="199"/>
      <c r="FQ51" s="199"/>
      <c r="FR51" s="199"/>
      <c r="FS51" s="199"/>
      <c r="FT51" s="199"/>
      <c r="FU51" s="210">
        <f>AVERAGE(FU50:GA50)</f>
        <v>24470.514285714286</v>
      </c>
      <c r="FV51" s="210"/>
      <c r="FW51" s="210"/>
      <c r="FX51" s="210"/>
      <c r="FY51" s="210"/>
      <c r="FZ51" s="210"/>
      <c r="GA51" s="210"/>
      <c r="GB51" s="210"/>
      <c r="GC51" s="210"/>
      <c r="GD51" s="210"/>
      <c r="GE51" s="210"/>
      <c r="GF51" s="210"/>
    </row>
    <row r="52" spans="1:194" x14ac:dyDescent="0.3">
      <c r="DY52" s="135"/>
      <c r="DZ52" s="135"/>
      <c r="EA52" s="135"/>
      <c r="EB52" s="135"/>
      <c r="EC52" s="135"/>
      <c r="ED52" s="135"/>
      <c r="EE52" s="135"/>
      <c r="EF52" s="135"/>
      <c r="EG52" s="135"/>
      <c r="EH52" s="135"/>
      <c r="EI52" s="135"/>
      <c r="EJ52" s="135"/>
      <c r="EK52" s="135"/>
    </row>
    <row r="53" spans="1:194" x14ac:dyDescent="0.3">
      <c r="FG53" s="206"/>
      <c r="FH53" s="206"/>
      <c r="FI53" s="206" t="s">
        <v>79</v>
      </c>
      <c r="FJ53" s="206"/>
      <c r="FK53" s="206"/>
      <c r="FL53" s="206"/>
      <c r="FM53" s="206"/>
      <c r="FN53" s="206"/>
      <c r="FO53" s="206"/>
      <c r="FP53" s="206"/>
      <c r="FQ53" s="206"/>
      <c r="FR53" s="206"/>
      <c r="FS53" s="206"/>
      <c r="FT53" s="206"/>
    </row>
    <row r="54" spans="1:194" ht="15" thickBot="1" x14ac:dyDescent="0.35">
      <c r="DA54" s="89"/>
      <c r="FB54" s="151"/>
      <c r="FC54" s="151"/>
      <c r="FD54" s="151"/>
      <c r="FG54" s="152"/>
      <c r="FH54" s="152"/>
      <c r="FI54" s="152"/>
      <c r="FJ54" s="152"/>
      <c r="FK54" s="152"/>
      <c r="FL54" s="152"/>
      <c r="FM54" s="152"/>
      <c r="FN54" s="152"/>
      <c r="FO54" s="172">
        <v>44949</v>
      </c>
      <c r="FP54" s="172">
        <v>44980</v>
      </c>
      <c r="FQ54" s="172">
        <v>45008</v>
      </c>
      <c r="FR54" s="172">
        <v>45039</v>
      </c>
      <c r="FS54" s="172">
        <v>45069</v>
      </c>
      <c r="FT54" s="172">
        <v>45100</v>
      </c>
      <c r="FU54" s="173">
        <v>45130</v>
      </c>
      <c r="FV54" s="173">
        <v>45161</v>
      </c>
      <c r="FW54" s="173">
        <v>45192</v>
      </c>
      <c r="FX54" s="173">
        <v>45222</v>
      </c>
      <c r="FY54" s="173">
        <v>45253</v>
      </c>
      <c r="FZ54" s="173">
        <v>45283</v>
      </c>
      <c r="GA54" s="173">
        <v>45315</v>
      </c>
      <c r="GB54" s="173">
        <v>45345</v>
      </c>
      <c r="GC54" s="173">
        <v>45374</v>
      </c>
      <c r="GD54" s="173">
        <v>45405</v>
      </c>
      <c r="GE54" s="173">
        <v>45435</v>
      </c>
      <c r="GF54" s="173">
        <v>45466</v>
      </c>
      <c r="GG54" s="173">
        <v>45496</v>
      </c>
      <c r="GH54" s="173">
        <v>45527</v>
      </c>
      <c r="GI54" s="173">
        <v>45559</v>
      </c>
      <c r="GJ54" s="173">
        <v>45590</v>
      </c>
      <c r="GK54" s="173">
        <v>45622</v>
      </c>
      <c r="GL54" s="173">
        <v>45653</v>
      </c>
    </row>
    <row r="55" spans="1:194" x14ac:dyDescent="0.3">
      <c r="A55" s="156" t="s">
        <v>80</v>
      </c>
      <c r="DA55" s="90"/>
      <c r="FO55" s="174">
        <v>64</v>
      </c>
      <c r="FP55" s="174">
        <v>79</v>
      </c>
      <c r="FQ55" s="145">
        <v>142</v>
      </c>
      <c r="FR55" s="145">
        <v>105</v>
      </c>
      <c r="FS55" s="145">
        <v>132</v>
      </c>
      <c r="FT55" s="145">
        <v>132.25</v>
      </c>
      <c r="FU55" s="18">
        <f>'Total Sunday-Holiday Boardings'!FU56/5</f>
        <v>122.2</v>
      </c>
      <c r="FV55" s="18">
        <f>'Total Sunday-Holiday Boardings'!FV56/4</f>
        <v>137</v>
      </c>
      <c r="FW55" s="18">
        <f>'Total Sunday-Holiday Boardings'!FW56/4</f>
        <v>129.75</v>
      </c>
      <c r="FX55" s="18">
        <f>'Total Sunday-Holiday Boardings'!FX56/5</f>
        <v>107.4</v>
      </c>
      <c r="FY55" s="18">
        <f>'Total Sunday-Holiday Boardings'!FY56/4</f>
        <v>115.25</v>
      </c>
      <c r="FZ55" s="18">
        <f>'Total Sunday-Holiday Boardings'!FZ56/5</f>
        <v>117.6</v>
      </c>
      <c r="GA55" s="18">
        <f>'Total Sunday-Holiday Boardings'!GA56/4</f>
        <v>117.75</v>
      </c>
      <c r="GB55" s="18">
        <f>'Total Sunday-Holiday Boardings'!GB56/4</f>
        <v>94.75</v>
      </c>
      <c r="GC55" s="18">
        <f>'Total Sunday-Holiday Boardings'!GC56/5</f>
        <v>62.354391371340533</v>
      </c>
      <c r="GD55" s="18">
        <f>'Total Sunday-Holiday Boardings'!GD56/4</f>
        <v>112</v>
      </c>
      <c r="GE55" s="18">
        <f>'Total Sunday-Holiday Boardings'!GE56/4</f>
        <v>132.75</v>
      </c>
      <c r="GF55" s="18">
        <f>'Total Sunday-Holiday Boardings'!GF56/5</f>
        <v>96.4</v>
      </c>
      <c r="GG55" s="18">
        <f>'Total Sunday-Holiday Boardings'!GG56/4</f>
        <v>130.5</v>
      </c>
      <c r="GH55" s="18">
        <f>'Total Sunday-Holiday Boardings'!GH56/4</f>
        <v>83</v>
      </c>
      <c r="GI55" s="18">
        <f>'Total Sunday-Holiday Boardings'!GI56/5</f>
        <v>163.6</v>
      </c>
      <c r="GJ55" s="18">
        <f>'Total Sunday-Holiday Boardings'!GJ56/4</f>
        <v>120</v>
      </c>
      <c r="GK55" s="18">
        <f>'Total Sunday-Holiday Boardings'!GK56/4</f>
        <v>82.75</v>
      </c>
      <c r="GL55" s="18">
        <f>'Total Sunday-Holiday Boardings'!GL56/5</f>
        <v>92.8</v>
      </c>
    </row>
    <row r="56" spans="1:194" x14ac:dyDescent="0.3">
      <c r="A56" s="157" t="s">
        <v>81</v>
      </c>
      <c r="FO56" s="174">
        <v>29</v>
      </c>
      <c r="FP56" s="174">
        <v>49</v>
      </c>
      <c r="FQ56" s="145">
        <v>90</v>
      </c>
      <c r="FR56" s="145">
        <v>56.6</v>
      </c>
      <c r="FS56" s="145">
        <v>96.8</v>
      </c>
      <c r="FT56" s="145">
        <v>85.5</v>
      </c>
      <c r="FU56" s="18">
        <f>'Total Sunday-Holiday Boardings'!FU57/5</f>
        <v>92.4</v>
      </c>
      <c r="FV56" s="18">
        <f>'Total Sunday-Holiday Boardings'!FV57/4</f>
        <v>79.5</v>
      </c>
      <c r="FW56" s="18">
        <f>'Total Sunday-Holiday Boardings'!FW57/4</f>
        <v>83</v>
      </c>
      <c r="FX56" s="18">
        <f>'Total Sunday-Holiday Boardings'!FX57/5</f>
        <v>35.799999999999997</v>
      </c>
      <c r="FY56" s="18">
        <f>'Total Sunday-Holiday Boardings'!FY57/4</f>
        <v>30</v>
      </c>
      <c r="FZ56" s="18">
        <f>'Total Sunday-Holiday Boardings'!FZ57/5</f>
        <v>33</v>
      </c>
      <c r="GA56" s="18">
        <f>'Total Sunday-Holiday Boardings'!GA57/4</f>
        <v>26</v>
      </c>
      <c r="GB56" s="18">
        <f>'Total Sunday-Holiday Boardings'!GB57/4</f>
        <v>37</v>
      </c>
      <c r="GC56" s="18">
        <f>'Total Sunday-Holiday Boardings'!GC57/5</f>
        <v>32.622496147919875</v>
      </c>
      <c r="GD56" s="18">
        <f>'Total Sunday-Holiday Boardings'!GD57/4</f>
        <v>31</v>
      </c>
      <c r="GE56" s="18">
        <f>'Total Sunday-Holiday Boardings'!GE57/4</f>
        <v>47.25</v>
      </c>
      <c r="GF56" s="18">
        <f>'Total Sunday-Holiday Boardings'!GF57/4</f>
        <v>31.5</v>
      </c>
      <c r="GG56" s="18">
        <f>'Total Sunday-Holiday Boardings'!GG57/4</f>
        <v>41</v>
      </c>
      <c r="GH56" s="18">
        <f>'Total Sunday-Holiday Boardings'!GH57/4</f>
        <v>27.75</v>
      </c>
      <c r="GI56" s="18">
        <f>'Total Sunday-Holiday Boardings'!GI57/5</f>
        <v>40.200000000000003</v>
      </c>
      <c r="GJ56" s="18">
        <f>'Total Sunday-Holiday Boardings'!GJ57/4</f>
        <v>43.25</v>
      </c>
      <c r="GK56" s="18">
        <f>'Total Sunday-Holiday Boardings'!GK57/4</f>
        <v>22</v>
      </c>
      <c r="GL56" s="18">
        <f>'Total Sunday-Holiday Boardings'!GL57/5</f>
        <v>25.2</v>
      </c>
    </row>
    <row r="57" spans="1:194" x14ac:dyDescent="0.3">
      <c r="A57" s="157" t="s">
        <v>82</v>
      </c>
      <c r="DA57" s="89"/>
      <c r="FO57" s="174">
        <v>10</v>
      </c>
      <c r="FP57" s="174">
        <v>43</v>
      </c>
      <c r="FQ57" s="145">
        <v>58</v>
      </c>
      <c r="FR57" s="145">
        <v>32</v>
      </c>
      <c r="FS57" s="145">
        <v>43.8</v>
      </c>
      <c r="FT57" s="145">
        <v>38.75</v>
      </c>
      <c r="FU57" s="18">
        <f>'Total Sunday-Holiday Boardings'!FU58/5</f>
        <v>38.799999999999997</v>
      </c>
      <c r="FV57" s="18">
        <f>'Total Sunday-Holiday Boardings'!FV58/4</f>
        <v>37</v>
      </c>
      <c r="FW57" s="18">
        <f>'Total Sunday-Holiday Boardings'!FW58/4</f>
        <v>48.75</v>
      </c>
      <c r="FX57" s="18">
        <f>'Total Sunday-Holiday Boardings'!FX58/5</f>
        <v>31.6</v>
      </c>
      <c r="FY57" s="18">
        <f>'Total Sunday-Holiday Boardings'!FY58/4</f>
        <v>21.75</v>
      </c>
      <c r="FZ57" s="18">
        <f>'Total Sunday-Holiday Boardings'!FZ58/5</f>
        <v>25</v>
      </c>
      <c r="GA57" s="18">
        <f>'Total Sunday-Holiday Boardings'!GA58/4</f>
        <v>22.75</v>
      </c>
      <c r="GB57" s="18">
        <f>'Total Sunday-Holiday Boardings'!GB58/4</f>
        <v>30.25</v>
      </c>
      <c r="GC57" s="18">
        <f>'Total Sunday-Holiday Boardings'!GC58/5</f>
        <v>26.428351309707246</v>
      </c>
      <c r="GD57" s="18">
        <f>'Total Sunday-Holiday Boardings'!GD58/4</f>
        <v>32.5</v>
      </c>
      <c r="GE57" s="18">
        <f>'Total Sunday-Holiday Boardings'!GE58/4</f>
        <v>69.75</v>
      </c>
      <c r="GF57" s="18">
        <f>'Total Sunday-Holiday Boardings'!GF58/4</f>
        <v>23</v>
      </c>
      <c r="GG57" s="18">
        <f>'Total Sunday-Holiday Boardings'!GG58/4</f>
        <v>36</v>
      </c>
      <c r="GH57" s="18">
        <f>'Total Sunday-Holiday Boardings'!GH58/4</f>
        <v>29.75</v>
      </c>
      <c r="GI57" s="18">
        <f>'Total Sunday-Holiday Boardings'!GI58/5</f>
        <v>57.6</v>
      </c>
      <c r="GJ57" s="18">
        <f>'Total Sunday-Holiday Boardings'!GJ58/4</f>
        <v>49.5</v>
      </c>
      <c r="GK57" s="18">
        <f>'Total Sunday-Holiday Boardings'!GK58/4</f>
        <v>16.25</v>
      </c>
      <c r="GL57" s="18">
        <f>'Total Sunday-Holiday Boardings'!GL58/5</f>
        <v>22</v>
      </c>
    </row>
    <row r="58" spans="1:194" x14ac:dyDescent="0.3">
      <c r="A58" s="157" t="s">
        <v>83</v>
      </c>
      <c r="DA58" s="89"/>
      <c r="DD58" s="89"/>
      <c r="FO58" s="174">
        <v>11</v>
      </c>
      <c r="FP58" s="174">
        <v>18</v>
      </c>
      <c r="FQ58" s="145">
        <v>37</v>
      </c>
      <c r="FR58" s="145">
        <v>19</v>
      </c>
      <c r="FS58" s="145">
        <v>36.6</v>
      </c>
      <c r="FT58" s="145">
        <v>24.5</v>
      </c>
      <c r="FU58" s="18">
        <f>'Total Sunday-Holiday Boardings'!FU59/5</f>
        <v>31.8</v>
      </c>
      <c r="FV58" s="18">
        <f>'Total Sunday-Holiday Boardings'!FV59/4</f>
        <v>30.25</v>
      </c>
      <c r="FW58" s="18">
        <f>'Total Sunday-Holiday Boardings'!FW59/4</f>
        <v>46.5</v>
      </c>
      <c r="FX58" s="18">
        <f>'Total Sunday-Holiday Boardings'!FX59/5</f>
        <v>23.6</v>
      </c>
      <c r="FY58" s="18">
        <f>'Total Sunday-Holiday Boardings'!FY59/4</f>
        <v>20.25</v>
      </c>
      <c r="FZ58" s="18">
        <f>'Total Sunday-Holiday Boardings'!FZ59/5</f>
        <v>22.2</v>
      </c>
      <c r="GA58" s="18">
        <f>'Total Sunday-Holiday Boardings'!GA59/4</f>
        <v>21.25</v>
      </c>
      <c r="GB58" s="18">
        <f>'Total Sunday-Holiday Boardings'!GB59/4</f>
        <v>72.25</v>
      </c>
      <c r="GC58" s="18">
        <f>'Total Sunday-Holiday Boardings'!GC59/5</f>
        <v>22.092449922958401</v>
      </c>
      <c r="GD58" s="18">
        <f>'Total Sunday-Holiday Boardings'!GD59/4</f>
        <v>27.25</v>
      </c>
      <c r="GE58" s="18">
        <f>'Total Sunday-Holiday Boardings'!GE59/4</f>
        <v>10.5</v>
      </c>
      <c r="GF58" s="18">
        <f>'Total Sunday-Holiday Boardings'!GF59/4</f>
        <v>65</v>
      </c>
      <c r="GG58" s="18">
        <f>'Total Sunday-Holiday Boardings'!GG59/4</f>
        <v>225.75</v>
      </c>
      <c r="GH58" s="18">
        <f>'Total Sunday-Holiday Boardings'!GH59/4</f>
        <v>143.25</v>
      </c>
      <c r="GI58" s="18">
        <f>'Total Sunday-Holiday Boardings'!GI59/5</f>
        <v>179.4</v>
      </c>
      <c r="GJ58" s="18">
        <f>'Total Sunday-Holiday Boardings'!GJ59/4</f>
        <v>37.25</v>
      </c>
      <c r="GK58" s="18">
        <f>'Total Sunday-Holiday Boardings'!GK59/4</f>
        <v>31.75</v>
      </c>
      <c r="GL58" s="18">
        <f>'Total Sunday-Holiday Boardings'!GL59/5</f>
        <v>32.200000000000003</v>
      </c>
    </row>
    <row r="59" spans="1:194" x14ac:dyDescent="0.3">
      <c r="A59" s="157" t="s">
        <v>84</v>
      </c>
      <c r="FO59" s="174">
        <v>18</v>
      </c>
      <c r="FP59" s="174">
        <v>18</v>
      </c>
      <c r="FQ59" s="145">
        <v>48</v>
      </c>
      <c r="FR59" s="145">
        <v>29.2</v>
      </c>
      <c r="FS59" s="145">
        <v>44</v>
      </c>
      <c r="FT59" s="145">
        <v>42</v>
      </c>
      <c r="FU59" s="18">
        <f>'Total Sunday-Holiday Boardings'!FU60/5</f>
        <v>34.6</v>
      </c>
      <c r="FV59" s="18">
        <f>'Total Sunday-Holiday Boardings'!FV60/4</f>
        <v>55</v>
      </c>
      <c r="FW59" s="18">
        <f>'Total Sunday-Holiday Boardings'!FW60/4</f>
        <v>65.25</v>
      </c>
      <c r="FX59" s="18">
        <f>'Total Sunday-Holiday Boardings'!FX60/5</f>
        <v>40.799999999999997</v>
      </c>
      <c r="FY59" s="18">
        <f>'Total Sunday-Holiday Boardings'!FY60/4</f>
        <v>33.75</v>
      </c>
      <c r="FZ59" s="18">
        <f>'Total Sunday-Holiday Boardings'!FZ60/5</f>
        <v>24</v>
      </c>
      <c r="GA59" s="18">
        <f>'Total Sunday-Holiday Boardings'!GA60/4</f>
        <v>32.5</v>
      </c>
      <c r="GB59" s="18">
        <f>'Total Sunday-Holiday Boardings'!GB60/4</f>
        <v>45.5</v>
      </c>
      <c r="GC59" s="18">
        <f>'Total Sunday-Holiday Boardings'!GC60/5</f>
        <v>29.318952234206471</v>
      </c>
      <c r="GD59" s="18">
        <f>'Total Sunday-Holiday Boardings'!GD60/4</f>
        <v>41.75</v>
      </c>
      <c r="GE59" s="18">
        <f>'Total Sunday-Holiday Boardings'!GE60/4</f>
        <v>42</v>
      </c>
      <c r="GF59" s="18">
        <f>'Total Sunday-Holiday Boardings'!GF60/4</f>
        <v>28.25</v>
      </c>
      <c r="GG59" s="18">
        <f>'Total Sunday-Holiday Boardings'!GG60/4</f>
        <v>42.75</v>
      </c>
      <c r="GH59" s="18">
        <f>'Total Sunday-Holiday Boardings'!GH60/4</f>
        <v>35.25</v>
      </c>
      <c r="GI59" s="18">
        <f>'Total Sunday-Holiday Boardings'!GI60/5</f>
        <v>60</v>
      </c>
      <c r="GJ59" s="18">
        <f>'Total Sunday-Holiday Boardings'!GJ60/4</f>
        <v>49.5</v>
      </c>
      <c r="GK59" s="18">
        <f>'Total Sunday-Holiday Boardings'!GK60/4</f>
        <v>31.25</v>
      </c>
      <c r="GL59" s="18">
        <f>'Total Sunday-Holiday Boardings'!GL60/5</f>
        <v>21.4</v>
      </c>
    </row>
    <row r="60" spans="1:194" x14ac:dyDescent="0.3">
      <c r="A60" s="157" t="s">
        <v>85</v>
      </c>
      <c r="DA60" s="91"/>
      <c r="FO60" s="174">
        <v>27</v>
      </c>
      <c r="FP60" s="174">
        <v>34</v>
      </c>
      <c r="FQ60" s="145">
        <v>68</v>
      </c>
      <c r="FR60" s="145">
        <v>55.6</v>
      </c>
      <c r="FS60" s="145">
        <v>60.6</v>
      </c>
      <c r="FT60" s="145">
        <v>46.75</v>
      </c>
      <c r="FU60" s="18">
        <f>'Total Sunday-Holiday Boardings'!FU61/5</f>
        <v>59.6</v>
      </c>
      <c r="FV60" s="18">
        <f>'Total Sunday-Holiday Boardings'!FV61/4</f>
        <v>78.75</v>
      </c>
      <c r="FW60" s="18">
        <f>'Total Sunday-Holiday Boardings'!FW61/4</f>
        <v>84.25</v>
      </c>
      <c r="FX60" s="18">
        <f>'Total Sunday-Holiday Boardings'!FX61/5</f>
        <v>68</v>
      </c>
      <c r="FY60" s="18">
        <f>'Total Sunday-Holiday Boardings'!FY61/4</f>
        <v>53.5</v>
      </c>
      <c r="FZ60" s="18">
        <f>'Total Sunday-Holiday Boardings'!FZ61/5</f>
        <v>31</v>
      </c>
      <c r="GA60" s="18">
        <f>'Total Sunday-Holiday Boardings'!GA61/4</f>
        <v>45.5</v>
      </c>
      <c r="GB60" s="18">
        <f>'Total Sunday-Holiday Boardings'!GB61/4</f>
        <v>67</v>
      </c>
      <c r="GC60" s="18">
        <f>'Total Sunday-Holiday Boardings'!GC61/5</f>
        <v>103.6486902927581</v>
      </c>
      <c r="GD60" s="18">
        <f>'Total Sunday-Holiday Boardings'!GD61/4</f>
        <v>61</v>
      </c>
      <c r="GE60" s="18">
        <f>'Total Sunday-Holiday Boardings'!GE61/4</f>
        <v>59.5</v>
      </c>
      <c r="GF60" s="18">
        <f>'Total Sunday-Holiday Boardings'!GF61/4</f>
        <v>41.25</v>
      </c>
      <c r="GG60" s="18">
        <f>'Total Sunday-Holiday Boardings'!GG61/4</f>
        <v>38.75</v>
      </c>
      <c r="GH60" s="18">
        <f>'Total Sunday-Holiday Boardings'!GH61/4</f>
        <v>30</v>
      </c>
      <c r="GI60" s="18">
        <f>'Total Sunday-Holiday Boardings'!GI61/5</f>
        <v>75.599999999999994</v>
      </c>
      <c r="GJ60" s="18">
        <f>'Total Sunday-Holiday Boardings'!GJ61/4</f>
        <v>67.5</v>
      </c>
      <c r="GK60" s="18">
        <f>'Total Sunday-Holiday Boardings'!GK61/4</f>
        <v>38.75</v>
      </c>
      <c r="GL60" s="18">
        <f>'Total Sunday-Holiday Boardings'!GL61/5</f>
        <v>36.6</v>
      </c>
    </row>
    <row r="61" spans="1:194" x14ac:dyDescent="0.3">
      <c r="A61" s="157" t="s">
        <v>86</v>
      </c>
      <c r="FO61" s="174">
        <v>116</v>
      </c>
      <c r="FP61" s="174">
        <v>160</v>
      </c>
      <c r="FQ61" s="145">
        <v>189</v>
      </c>
      <c r="FR61" s="145">
        <v>279.39999999999998</v>
      </c>
      <c r="FS61" s="145">
        <v>147</v>
      </c>
      <c r="FT61" s="145">
        <v>141.25</v>
      </c>
      <c r="FU61" s="18">
        <f>'Total Sunday-Holiday Boardings'!FU62/5</f>
        <v>144.6</v>
      </c>
      <c r="FV61" s="18">
        <f>'Total Sunday-Holiday Boardings'!FV62/4</f>
        <v>201.5</v>
      </c>
      <c r="FW61" s="18">
        <f>'Total Sunday-Holiday Boardings'!FW62/4</f>
        <v>269.5</v>
      </c>
      <c r="FX61" s="18">
        <f>'Total Sunday-Holiday Boardings'!FX62/5</f>
        <v>181</v>
      </c>
      <c r="FY61" s="18">
        <f>'Total Sunday-Holiday Boardings'!FY62/4</f>
        <v>223.25</v>
      </c>
      <c r="FZ61" s="18">
        <f>'Total Sunday-Holiday Boardings'!FZ62/5</f>
        <v>195.6</v>
      </c>
      <c r="GA61" s="18">
        <f>'Total Sunday-Holiday Boardings'!GA62/4</f>
        <v>242.25</v>
      </c>
      <c r="GB61" s="18">
        <f>'Total Sunday-Holiday Boardings'!GB62/4</f>
        <v>177.25</v>
      </c>
      <c r="GC61" s="18">
        <f>'Total Sunday-Holiday Boardings'!GC62/5</f>
        <v>167.86132511556241</v>
      </c>
      <c r="GD61" s="18">
        <f>'Total Sunday-Holiday Boardings'!GD62/4</f>
        <v>197.5</v>
      </c>
      <c r="GE61" s="18">
        <f>'Total Sunday-Holiday Boardings'!GE62/4</f>
        <v>172</v>
      </c>
      <c r="GF61" s="18">
        <f>'Total Sunday-Holiday Boardings'!GF62/4</f>
        <v>125.25</v>
      </c>
      <c r="GG61" s="18">
        <f>'Total Sunday-Holiday Boardings'!GG62/4</f>
        <v>124</v>
      </c>
      <c r="GH61" s="18">
        <f>'Total Sunday-Holiday Boardings'!GH62/4</f>
        <v>143.5</v>
      </c>
      <c r="GI61" s="18">
        <f>'Total Sunday-Holiday Boardings'!GI62/5</f>
        <v>230.4</v>
      </c>
      <c r="GJ61" s="18">
        <f>'Total Sunday-Holiday Boardings'!GJ62/4</f>
        <v>186.75</v>
      </c>
      <c r="GK61" s="18">
        <f>'Total Sunday-Holiday Boardings'!GK62/4</f>
        <v>260</v>
      </c>
      <c r="GL61" s="18">
        <f>'Total Sunday-Holiday Boardings'!GL62/5</f>
        <v>160.80000000000001</v>
      </c>
    </row>
    <row r="62" spans="1:194" x14ac:dyDescent="0.3">
      <c r="A62" s="157" t="s">
        <v>87</v>
      </c>
      <c r="FO62" s="174">
        <v>60</v>
      </c>
      <c r="FP62" s="174">
        <v>81</v>
      </c>
      <c r="FQ62" s="145">
        <v>111</v>
      </c>
      <c r="FR62" s="145">
        <v>142</v>
      </c>
      <c r="FS62" s="145">
        <v>80.8</v>
      </c>
      <c r="FT62" s="145">
        <v>81</v>
      </c>
      <c r="FU62" s="18">
        <f>'Total Sunday-Holiday Boardings'!FU63/5</f>
        <v>68.8</v>
      </c>
      <c r="FV62" s="18">
        <f>'Total Sunday-Holiday Boardings'!FV63/4</f>
        <v>107.75</v>
      </c>
      <c r="FW62" s="18">
        <f>'Total Sunday-Holiday Boardings'!FW63/4</f>
        <v>147.25</v>
      </c>
      <c r="FX62" s="18">
        <f>'Total Sunday-Holiday Boardings'!FX63/5</f>
        <v>94.4</v>
      </c>
      <c r="FY62" s="18">
        <f>'Total Sunday-Holiday Boardings'!FY63/4</f>
        <v>105.75</v>
      </c>
      <c r="FZ62" s="18">
        <f>'Total Sunday-Holiday Boardings'!FZ63/5</f>
        <v>63.6</v>
      </c>
      <c r="GA62" s="18">
        <f>'Total Sunday-Holiday Boardings'!GA63/4</f>
        <v>107.25</v>
      </c>
      <c r="GB62" s="18">
        <f>'Total Sunday-Holiday Boardings'!GB63/4</f>
        <v>111.5</v>
      </c>
      <c r="GC62" s="18">
        <f>'Total Sunday-Holiday Boardings'!GC63/5</f>
        <v>93.118644067796623</v>
      </c>
      <c r="GD62" s="18">
        <f>'Total Sunday-Holiday Boardings'!GD63/4</f>
        <v>102</v>
      </c>
      <c r="GE62" s="18">
        <f>'Total Sunday-Holiday Boardings'!GE63/4</f>
        <v>60</v>
      </c>
      <c r="GF62" s="18">
        <f>'Total Sunday-Holiday Boardings'!GF63/4</f>
        <v>49</v>
      </c>
      <c r="GG62" s="18">
        <f>'Total Sunday-Holiday Boardings'!GG63/4</f>
        <v>56.25</v>
      </c>
      <c r="GH62" s="18">
        <f>'Total Sunday-Holiday Boardings'!GH63/4</f>
        <v>77.5</v>
      </c>
      <c r="GI62" s="18">
        <f>'Total Sunday-Holiday Boardings'!GI63/5</f>
        <v>133.6</v>
      </c>
      <c r="GJ62" s="18">
        <f>'Total Sunday-Holiday Boardings'!GJ63/4</f>
        <v>81.25</v>
      </c>
      <c r="GK62" s="18">
        <f>'Total Sunday-Holiday Boardings'!GK63/4</f>
        <v>128</v>
      </c>
      <c r="GL62" s="18">
        <f>'Total Sunday-Holiday Boardings'!GL63/5</f>
        <v>81.2</v>
      </c>
    </row>
    <row r="63" spans="1:194" x14ac:dyDescent="0.3">
      <c r="A63" s="157" t="s">
        <v>88</v>
      </c>
      <c r="FO63" s="174">
        <v>63</v>
      </c>
      <c r="FP63" s="174">
        <v>104</v>
      </c>
      <c r="FQ63" s="145">
        <v>137</v>
      </c>
      <c r="FR63" s="145">
        <v>169</v>
      </c>
      <c r="FS63" s="145">
        <v>88.8</v>
      </c>
      <c r="FT63" s="145">
        <v>77.75</v>
      </c>
      <c r="FU63" s="18">
        <f>'Total Sunday-Holiday Boardings'!FU64/5</f>
        <v>84.4</v>
      </c>
      <c r="FV63" s="18">
        <f>'Total Sunday-Holiday Boardings'!FV64/4</f>
        <v>130.75</v>
      </c>
      <c r="FW63" s="18">
        <f>'Total Sunday-Holiday Boardings'!FW64/4</f>
        <v>197.75</v>
      </c>
      <c r="FX63" s="18">
        <f>'Total Sunday-Holiday Boardings'!FX64/5</f>
        <v>115</v>
      </c>
      <c r="FY63" s="18">
        <f>'Total Sunday-Holiday Boardings'!FY64/4</f>
        <v>109.5</v>
      </c>
      <c r="FZ63" s="18">
        <f>'Total Sunday-Holiday Boardings'!FZ64/5</f>
        <v>64.8</v>
      </c>
      <c r="GA63" s="18">
        <f>'Total Sunday-Holiday Boardings'!GA64/4</f>
        <v>91</v>
      </c>
      <c r="GB63" s="18">
        <f>'Total Sunday-Holiday Boardings'!GB64/4</f>
        <v>116</v>
      </c>
      <c r="GC63" s="18">
        <f>'Total Sunday-Holiday Boardings'!GC64/5</f>
        <v>93.738058551617883</v>
      </c>
      <c r="GD63" s="18">
        <f>'Total Sunday-Holiday Boardings'!GD64/4</f>
        <v>121.5</v>
      </c>
      <c r="GE63" s="18">
        <f>'Total Sunday-Holiday Boardings'!GE64/4</f>
        <v>75.5</v>
      </c>
      <c r="GF63" s="18">
        <f>'Total Sunday-Holiday Boardings'!GF64/4</f>
        <v>67</v>
      </c>
      <c r="GG63" s="18">
        <f>'Total Sunday-Holiday Boardings'!GG64/4</f>
        <v>73</v>
      </c>
      <c r="GH63" s="18">
        <f>'Total Sunday-Holiday Boardings'!GH64/4</f>
        <v>118</v>
      </c>
      <c r="GI63" s="18">
        <f>'Total Sunday-Holiday Boardings'!GI64/5</f>
        <v>143.4</v>
      </c>
      <c r="GJ63" s="18">
        <f>'Total Sunday-Holiday Boardings'!GJ64/4</f>
        <v>113.5</v>
      </c>
      <c r="GK63" s="18">
        <f>'Total Sunday-Holiday Boardings'!GK64/4</f>
        <v>97</v>
      </c>
      <c r="GL63" s="18">
        <f>'Total Sunday-Holiday Boardings'!GL64/5</f>
        <v>62.2</v>
      </c>
    </row>
    <row r="64" spans="1:194" x14ac:dyDescent="0.3">
      <c r="A64" s="157" t="s">
        <v>89</v>
      </c>
      <c r="FO64" s="174">
        <v>116</v>
      </c>
      <c r="FP64" s="174">
        <v>174</v>
      </c>
      <c r="FQ64" s="145">
        <v>225</v>
      </c>
      <c r="FR64" s="145">
        <v>326.2</v>
      </c>
      <c r="FS64" s="145">
        <v>112.6</v>
      </c>
      <c r="FT64" s="145">
        <v>100.5</v>
      </c>
      <c r="FU64" s="18">
        <f>'Total Sunday-Holiday Boardings'!FU65/5</f>
        <v>82.4</v>
      </c>
      <c r="FV64" s="18">
        <f>'Total Sunday-Holiday Boardings'!FV65/4</f>
        <v>213.25</v>
      </c>
      <c r="FW64" s="18">
        <f>'Total Sunday-Holiday Boardings'!FW65/4</f>
        <v>315.75</v>
      </c>
      <c r="FX64" s="18">
        <f>'Total Sunday-Holiday Boardings'!FX65/5</f>
        <v>208</v>
      </c>
      <c r="FY64" s="18">
        <f>'Total Sunday-Holiday Boardings'!FY65/4</f>
        <v>219.75</v>
      </c>
      <c r="FZ64" s="18">
        <f>'Total Sunday-Holiday Boardings'!FZ65/5</f>
        <v>98.8</v>
      </c>
      <c r="GA64" s="18">
        <f>'Total Sunday-Holiday Boardings'!GA65/4</f>
        <v>218.25</v>
      </c>
      <c r="GB64" s="18">
        <f>'Total Sunday-Holiday Boardings'!GB65/4</f>
        <v>185.5</v>
      </c>
      <c r="GC64" s="18">
        <f>'Total Sunday-Holiday Boardings'!GC65/5</f>
        <v>200.89676425269647</v>
      </c>
      <c r="GD64" s="18">
        <f>'Total Sunday-Holiday Boardings'!GD65/4</f>
        <v>245.5</v>
      </c>
      <c r="GE64" s="18">
        <f>'Total Sunday-Holiday Boardings'!GE65/4</f>
        <v>90.75</v>
      </c>
      <c r="GF64" s="18">
        <f>'Total Sunday-Holiday Boardings'!GF65/4</f>
        <v>69.25</v>
      </c>
      <c r="GG64" s="18">
        <f>'Total Sunday-Holiday Boardings'!GG65/4</f>
        <v>65</v>
      </c>
      <c r="GH64" s="18">
        <f>'Total Sunday-Holiday Boardings'!GH65/4</f>
        <v>111.25</v>
      </c>
      <c r="GI64" s="18">
        <f>'Total Sunday-Holiday Boardings'!GI65/5</f>
        <v>259.60000000000002</v>
      </c>
      <c r="GJ64" s="18">
        <f>'Total Sunday-Holiday Boardings'!GJ65/4</f>
        <v>186.25</v>
      </c>
      <c r="GK64" s="18">
        <f>'Total Sunday-Holiday Boardings'!GK65/4</f>
        <v>223.75</v>
      </c>
      <c r="GL64" s="18">
        <f>'Total Sunday-Holiday Boardings'!GL65/5</f>
        <v>106.2</v>
      </c>
    </row>
    <row r="65" spans="1:194" x14ac:dyDescent="0.3">
      <c r="A65" s="157" t="s">
        <v>90</v>
      </c>
      <c r="FO65" s="174">
        <v>157</v>
      </c>
      <c r="FP65" s="174">
        <v>213</v>
      </c>
      <c r="FQ65" s="145">
        <v>274</v>
      </c>
      <c r="FR65" s="145">
        <v>270</v>
      </c>
      <c r="FS65" s="145">
        <v>211.8</v>
      </c>
      <c r="FT65" s="145">
        <v>192</v>
      </c>
      <c r="FU65" s="18">
        <f>'Total Sunday-Holiday Boardings'!FU66/5</f>
        <v>209.8</v>
      </c>
      <c r="FV65" s="18">
        <f>'Total Sunday-Holiday Boardings'!FV66/4</f>
        <v>290.75</v>
      </c>
      <c r="FW65" s="18">
        <f>'Total Sunday-Holiday Boardings'!FW66/4</f>
        <v>429.25</v>
      </c>
      <c r="FX65" s="18">
        <f>'Total Sunday-Holiday Boardings'!FX66/5</f>
        <v>254.8</v>
      </c>
      <c r="FY65" s="18">
        <f>'Total Sunday-Holiday Boardings'!FY66/4</f>
        <v>272.5</v>
      </c>
      <c r="FZ65" s="18">
        <f>'Total Sunday-Holiday Boardings'!FZ66/5</f>
        <v>176.8</v>
      </c>
      <c r="GA65" s="18">
        <f>'Total Sunday-Holiday Boardings'!GA66/4</f>
        <v>256</v>
      </c>
      <c r="GB65" s="18">
        <f>'Total Sunday-Holiday Boardings'!GB66/4</f>
        <v>236.75</v>
      </c>
      <c r="GC65" s="18">
        <f>'Total Sunday-Holiday Boardings'!GC66/5</f>
        <v>200.69029275808938</v>
      </c>
      <c r="GD65" s="18">
        <f>'Total Sunday-Holiday Boardings'!GD66/4</f>
        <v>269.5</v>
      </c>
      <c r="GE65" s="18">
        <f>'Total Sunday-Holiday Boardings'!GE66/4</f>
        <v>222.5</v>
      </c>
      <c r="GF65" s="18">
        <f>'Total Sunday-Holiday Boardings'!GF66/4</f>
        <v>154.25</v>
      </c>
      <c r="GG65" s="18">
        <f>'Total Sunday-Holiday Boardings'!GG66/4</f>
        <v>160.25</v>
      </c>
      <c r="GH65" s="18">
        <f>'Total Sunday-Holiday Boardings'!GH66/4</f>
        <v>168.75</v>
      </c>
      <c r="GI65" s="18">
        <f>'Total Sunday-Holiday Boardings'!GI66/5</f>
        <v>291.60000000000002</v>
      </c>
      <c r="GJ65" s="18">
        <f>'Total Sunday-Holiday Boardings'!GJ66/4</f>
        <v>215</v>
      </c>
      <c r="GK65" s="18">
        <f>'Total Sunday-Holiday Boardings'!GK66/4</f>
        <v>251.25</v>
      </c>
      <c r="GL65" s="18">
        <f>'Total Sunday-Holiday Boardings'!GL66/5</f>
        <v>152</v>
      </c>
    </row>
    <row r="66" spans="1:194" x14ac:dyDescent="0.3">
      <c r="A66" s="157" t="s">
        <v>91</v>
      </c>
      <c r="FO66" s="174">
        <v>141</v>
      </c>
      <c r="FP66" s="174">
        <v>142</v>
      </c>
      <c r="FQ66" s="145">
        <v>221</v>
      </c>
      <c r="FR66" s="145">
        <v>265.2</v>
      </c>
      <c r="FS66" s="145">
        <v>218.8</v>
      </c>
      <c r="FT66" s="145">
        <v>176.5</v>
      </c>
      <c r="FU66" s="18">
        <f>'Total Sunday-Holiday Boardings'!FU67/5</f>
        <v>193</v>
      </c>
      <c r="FV66" s="18">
        <f>'Total Sunday-Holiday Boardings'!FV67/4</f>
        <v>298.75</v>
      </c>
      <c r="FW66" s="18">
        <f>'Total Sunday-Holiday Boardings'!FW67/4</f>
        <v>344.75</v>
      </c>
      <c r="FX66" s="18">
        <f>'Total Sunday-Holiday Boardings'!FX67/5</f>
        <v>226.6</v>
      </c>
      <c r="FY66" s="18">
        <f>'Total Sunday-Holiday Boardings'!FY67/4</f>
        <v>259.5</v>
      </c>
      <c r="FZ66" s="18">
        <f>'Total Sunday-Holiday Boardings'!FZ67/5</f>
        <v>201</v>
      </c>
      <c r="GA66" s="18">
        <f>'Total Sunday-Holiday Boardings'!GA67/4</f>
        <v>231.25</v>
      </c>
      <c r="GB66" s="18">
        <f>'Total Sunday-Holiday Boardings'!GB67/4</f>
        <v>204.5</v>
      </c>
      <c r="GC66" s="18">
        <f>'Total Sunday-Holiday Boardings'!GC67/5</f>
        <v>171.16486902927582</v>
      </c>
      <c r="GD66" s="18">
        <f>'Total Sunday-Holiday Boardings'!GD67/4</f>
        <v>183.5</v>
      </c>
      <c r="GE66" s="18">
        <f>'Total Sunday-Holiday Boardings'!GE67/4</f>
        <v>195</v>
      </c>
      <c r="GF66" s="18">
        <f>'Total Sunday-Holiday Boardings'!GF67/4</f>
        <v>178</v>
      </c>
      <c r="GG66" s="18">
        <f>'Total Sunday-Holiday Boardings'!GG67/4</f>
        <v>169.25</v>
      </c>
      <c r="GH66" s="18">
        <f>'Total Sunday-Holiday Boardings'!GH67/4</f>
        <v>200</v>
      </c>
      <c r="GI66" s="18">
        <f>'Total Sunday-Holiday Boardings'!GI67/5</f>
        <v>279.60000000000002</v>
      </c>
      <c r="GJ66" s="18">
        <f>'Total Sunday-Holiday Boardings'!GJ67/4</f>
        <v>238.75</v>
      </c>
      <c r="GK66" s="18">
        <f>'Total Sunday-Holiday Boardings'!GK67/4</f>
        <v>276.25</v>
      </c>
      <c r="GL66" s="18">
        <f>'Total Sunday-Holiday Boardings'!GL67/5</f>
        <v>209.2</v>
      </c>
    </row>
    <row r="67" spans="1:194" x14ac:dyDescent="0.3">
      <c r="A67" s="157" t="s">
        <v>92</v>
      </c>
      <c r="FO67" s="174">
        <v>15</v>
      </c>
      <c r="FP67" s="174">
        <v>21</v>
      </c>
      <c r="FQ67" s="145">
        <v>45</v>
      </c>
      <c r="FR67" s="145">
        <v>30.6</v>
      </c>
      <c r="FS67" s="145">
        <v>43</v>
      </c>
      <c r="FT67" s="145">
        <v>35.25</v>
      </c>
      <c r="FU67" s="18">
        <f>'Total Sunday-Holiday Boardings'!FU68/5</f>
        <v>35.6</v>
      </c>
      <c r="FV67" s="18">
        <f>'Total Sunday-Holiday Boardings'!FV68/4</f>
        <v>35.5</v>
      </c>
      <c r="FW67" s="18">
        <f>'Total Sunday-Holiday Boardings'!FW68/4</f>
        <v>38.25</v>
      </c>
      <c r="FX67" s="18">
        <f>'Total Sunday-Holiday Boardings'!FX68/5</f>
        <v>32</v>
      </c>
      <c r="FY67" s="18">
        <f>'Total Sunday-Holiday Boardings'!FY68/4</f>
        <v>21.25</v>
      </c>
      <c r="FZ67" s="18">
        <f>'Total Sunday-Holiday Boardings'!FZ68/5</f>
        <v>22.6</v>
      </c>
      <c r="GA67" s="18">
        <f>'Total Sunday-Holiday Boardings'!GA68/4</f>
        <v>20.25</v>
      </c>
      <c r="GB67" s="18">
        <f>'Total Sunday-Holiday Boardings'!GB68/4</f>
        <v>24</v>
      </c>
      <c r="GC67" s="18">
        <f>'Total Sunday-Holiday Boardings'!GC68/5</f>
        <v>22.092449922958401</v>
      </c>
      <c r="GD67" s="18">
        <f>'Total Sunday-Holiday Boardings'!GD68/4</f>
        <v>25.5</v>
      </c>
      <c r="GE67" s="18">
        <f>'Total Sunday-Holiday Boardings'!GE68/4</f>
        <v>30.5</v>
      </c>
      <c r="GF67" s="18">
        <f>'Total Sunday-Holiday Boardings'!GF68/4</f>
        <v>24.25</v>
      </c>
      <c r="GG67" s="18">
        <f>'Total Sunday-Holiday Boardings'!GG68/4</f>
        <v>31</v>
      </c>
      <c r="GH67" s="18">
        <f>'Total Sunday-Holiday Boardings'!GH68/4</f>
        <v>21.5</v>
      </c>
      <c r="GI67" s="18">
        <f>'Total Sunday-Holiday Boardings'!GI68/5</f>
        <v>34.200000000000003</v>
      </c>
      <c r="GJ67" s="18">
        <f>'Total Sunday-Holiday Boardings'!GJ68/4</f>
        <v>29.75</v>
      </c>
      <c r="GK67" s="18">
        <f>'Total Sunday-Holiday Boardings'!GK68/4</f>
        <v>13.75</v>
      </c>
      <c r="GL67" s="18">
        <f>'Total Sunday-Holiday Boardings'!GL68/5</f>
        <v>17.8</v>
      </c>
    </row>
    <row r="68" spans="1:194" x14ac:dyDescent="0.3">
      <c r="A68" s="157" t="s">
        <v>93</v>
      </c>
      <c r="FO68" s="174">
        <v>12</v>
      </c>
      <c r="FP68" s="174">
        <v>17</v>
      </c>
      <c r="FQ68" s="145">
        <v>32</v>
      </c>
      <c r="FR68" s="145">
        <v>24.4</v>
      </c>
      <c r="FS68" s="145">
        <v>33.4</v>
      </c>
      <c r="FT68" s="145">
        <v>29.25</v>
      </c>
      <c r="FU68" s="18">
        <f>'Total Sunday-Holiday Boardings'!FU69/5</f>
        <v>37.4</v>
      </c>
      <c r="FV68" s="18">
        <f>'Total Sunday-Holiday Boardings'!FV69/4</f>
        <v>32.5</v>
      </c>
      <c r="FW68" s="18">
        <f>'Total Sunday-Holiday Boardings'!FW69/4</f>
        <v>48.75</v>
      </c>
      <c r="FX68" s="18">
        <f>'Total Sunday-Holiday Boardings'!FX69/5</f>
        <v>19.399999999999999</v>
      </c>
      <c r="FY68" s="18">
        <f>'Total Sunday-Holiday Boardings'!FY69/4</f>
        <v>24.25</v>
      </c>
      <c r="FZ68" s="18">
        <f>'Total Sunday-Holiday Boardings'!FZ69/5</f>
        <v>25.8</v>
      </c>
      <c r="GA68" s="18">
        <f>'Total Sunday-Holiday Boardings'!GA69/4</f>
        <v>26</v>
      </c>
      <c r="GB68" s="18">
        <f>'Total Sunday-Holiday Boardings'!GB69/4</f>
        <v>30.75</v>
      </c>
      <c r="GC68" s="18">
        <f>'Total Sunday-Holiday Boardings'!GC69/5</f>
        <v>17.756548536209557</v>
      </c>
      <c r="GD68" s="18">
        <f>'Total Sunday-Holiday Boardings'!GD69/4</f>
        <v>25.25</v>
      </c>
      <c r="GE68" s="18">
        <f>'Total Sunday-Holiday Boardings'!GE69/4</f>
        <v>30.25</v>
      </c>
      <c r="GF68" s="18">
        <f>'Total Sunday-Holiday Boardings'!GF69/4</f>
        <v>28.25</v>
      </c>
      <c r="GG68" s="18">
        <f>'Total Sunday-Holiday Boardings'!GG69/4</f>
        <v>28.5</v>
      </c>
      <c r="GH68" s="18">
        <f>'Total Sunday-Holiday Boardings'!GH69/4</f>
        <v>23.25</v>
      </c>
      <c r="GI68" s="18">
        <f>'Total Sunday-Holiday Boardings'!GI69/5</f>
        <v>36</v>
      </c>
      <c r="GJ68" s="18">
        <f>'Total Sunday-Holiday Boardings'!GJ69/4</f>
        <v>32</v>
      </c>
      <c r="GK68" s="18">
        <f>'Total Sunday-Holiday Boardings'!GK69/4</f>
        <v>21.75</v>
      </c>
      <c r="GL68" s="18">
        <f>'Total Sunday-Holiday Boardings'!GL69/5</f>
        <v>17</v>
      </c>
    </row>
    <row r="69" spans="1:194" ht="15" thickBot="1" x14ac:dyDescent="0.35">
      <c r="A69" s="158" t="s">
        <v>95</v>
      </c>
      <c r="FO69" s="145">
        <f>SUM(FO55:FO68)</f>
        <v>839</v>
      </c>
      <c r="FP69" s="145">
        <f t="shared" ref="FP69:GE69" si="11">SUM(FP55:FP68)</f>
        <v>1153</v>
      </c>
      <c r="FQ69" s="145">
        <f t="shared" si="11"/>
        <v>1677</v>
      </c>
      <c r="FR69" s="145">
        <f t="shared" si="11"/>
        <v>1804.2</v>
      </c>
      <c r="FS69" s="145">
        <f t="shared" si="11"/>
        <v>1350</v>
      </c>
      <c r="FT69" s="145">
        <f t="shared" si="11"/>
        <v>1203.25</v>
      </c>
      <c r="FU69" s="145">
        <f t="shared" si="11"/>
        <v>1235.4000000000001</v>
      </c>
      <c r="FV69" s="145">
        <f t="shared" si="11"/>
        <v>1728.25</v>
      </c>
      <c r="FW69" s="145">
        <f t="shared" si="11"/>
        <v>2248.75</v>
      </c>
      <c r="FX69" s="145">
        <f t="shared" si="11"/>
        <v>1438.4</v>
      </c>
      <c r="FY69" s="145">
        <f t="shared" si="11"/>
        <v>1510.25</v>
      </c>
      <c r="FZ69" s="145">
        <f t="shared" si="11"/>
        <v>1101.7999999999997</v>
      </c>
      <c r="GA69" s="145">
        <f t="shared" si="11"/>
        <v>1458</v>
      </c>
      <c r="GB69" s="145">
        <f t="shared" si="11"/>
        <v>1433</v>
      </c>
      <c r="GC69" s="145">
        <f t="shared" si="11"/>
        <v>1243.7842835130971</v>
      </c>
      <c r="GD69" s="145">
        <f t="shared" si="11"/>
        <v>1475.75</v>
      </c>
      <c r="GE69" s="145">
        <f t="shared" si="11"/>
        <v>1238.25</v>
      </c>
      <c r="GF69" s="18">
        <f>SUM(GF55:GF68)</f>
        <v>980.65</v>
      </c>
      <c r="GG69" s="18">
        <f t="shared" ref="GG69:GH69" si="12">SUM(GG55:GG68)</f>
        <v>1222</v>
      </c>
      <c r="GH69" s="18">
        <f t="shared" si="12"/>
        <v>1212.75</v>
      </c>
      <c r="GI69" s="18">
        <f>SUM(GI55:GI68)</f>
        <v>1984.8</v>
      </c>
      <c r="GJ69" s="18">
        <f>SUM(GJ55:GJ68)</f>
        <v>1450.25</v>
      </c>
      <c r="GK69" s="18">
        <f>SUM(GK55:GK68)</f>
        <v>1494.5</v>
      </c>
      <c r="GL69" s="18">
        <f>SUM(GL55:GL68)</f>
        <v>1036.5999999999999</v>
      </c>
    </row>
    <row r="70" spans="1:194" x14ac:dyDescent="0.3">
      <c r="A70" s="153"/>
      <c r="GG70" s="89"/>
    </row>
  </sheetData>
  <mergeCells count="35">
    <mergeCell ref="EK2:EV2"/>
    <mergeCell ref="EK51:EV51"/>
    <mergeCell ref="DY2:EJ2"/>
    <mergeCell ref="DY51:EJ51"/>
    <mergeCell ref="A2:A3"/>
    <mergeCell ref="B2:H2"/>
    <mergeCell ref="I2:T2"/>
    <mergeCell ref="U2:AF2"/>
    <mergeCell ref="AG2:AR2"/>
    <mergeCell ref="AS2:BD2"/>
    <mergeCell ref="CO2:CZ2"/>
    <mergeCell ref="DM2:DX2"/>
    <mergeCell ref="DM51:DX51"/>
    <mergeCell ref="BE51:BP51"/>
    <mergeCell ref="DA2:DL2"/>
    <mergeCell ref="DA51:DL51"/>
    <mergeCell ref="BQ51:CB51"/>
    <mergeCell ref="CC51:CN51"/>
    <mergeCell ref="CO51:CZ51"/>
    <mergeCell ref="BE2:BP2"/>
    <mergeCell ref="BQ2:CB2"/>
    <mergeCell ref="CC2:CN2"/>
    <mergeCell ref="B51:H51"/>
    <mergeCell ref="I51:T51"/>
    <mergeCell ref="U51:AF51"/>
    <mergeCell ref="AG51:AR51"/>
    <mergeCell ref="AS51:BD51"/>
    <mergeCell ref="FU51:GF51"/>
    <mergeCell ref="FU2:GF2"/>
    <mergeCell ref="FI2:FT2"/>
    <mergeCell ref="FI51:FT51"/>
    <mergeCell ref="FG53:FH53"/>
    <mergeCell ref="FI53:FT53"/>
    <mergeCell ref="EW2:FH2"/>
    <mergeCell ref="EW51:FH51"/>
  </mergeCells>
  <phoneticPr fontId="14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H20"/>
  <sheetViews>
    <sheetView zoomScale="112" zoomScaleNormal="112" zoomScaleSheetLayoutView="10" workbookViewId="0">
      <pane xSplit="1" topLeftCell="FC1" activePane="topRight" state="frozen"/>
      <selection pane="topRight" activeCell="EW18" sqref="EW18"/>
    </sheetView>
  </sheetViews>
  <sheetFormatPr defaultRowHeight="14.4" x14ac:dyDescent="0.3"/>
  <cols>
    <col min="1" max="1" width="40.33203125" bestFit="1" customWidth="1"/>
    <col min="2" max="110" width="11.109375" customWidth="1"/>
    <col min="111" max="111" width="11" customWidth="1"/>
    <col min="112" max="114" width="11.109375" customWidth="1"/>
    <col min="115" max="115" width="11" customWidth="1"/>
    <col min="116" max="128" width="11.109375" customWidth="1"/>
  </cols>
  <sheetData>
    <row r="1" spans="1:164" s="5" customFormat="1" x14ac:dyDescent="0.3">
      <c r="A1" s="43" t="s">
        <v>60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</row>
    <row r="2" spans="1:164" s="5" customFormat="1" x14ac:dyDescent="0.3">
      <c r="A2" s="208"/>
      <c r="B2" s="195" t="s">
        <v>49</v>
      </c>
      <c r="C2" s="196"/>
      <c r="D2" s="196"/>
      <c r="E2" s="196"/>
      <c r="F2" s="196"/>
      <c r="G2" s="196"/>
      <c r="H2" s="197"/>
      <c r="I2" s="196" t="s">
        <v>48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7"/>
      <c r="U2" s="195" t="s">
        <v>47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7"/>
      <c r="AG2" s="192" t="s">
        <v>46</v>
      </c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 t="s">
        <v>45</v>
      </c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 t="s">
        <v>44</v>
      </c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 t="s">
        <v>2</v>
      </c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 t="s">
        <v>1</v>
      </c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 t="s">
        <v>0</v>
      </c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5" t="s">
        <v>50</v>
      </c>
      <c r="DB2" s="196"/>
      <c r="DC2" s="196"/>
      <c r="DD2" s="196"/>
      <c r="DE2" s="196"/>
      <c r="DF2" s="196"/>
      <c r="DG2" s="196"/>
      <c r="DH2" s="196"/>
      <c r="DI2" s="196"/>
      <c r="DJ2" s="196"/>
      <c r="DK2" s="196"/>
      <c r="DL2" s="197"/>
      <c r="DM2" s="192" t="s">
        <v>72</v>
      </c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 t="s">
        <v>75</v>
      </c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 t="s">
        <v>76</v>
      </c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 t="s">
        <v>77</v>
      </c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</row>
    <row r="3" spans="1:164" s="1" customFormat="1" ht="15" thickBot="1" x14ac:dyDescent="0.35">
      <c r="A3" s="209"/>
      <c r="B3" s="46">
        <v>39783</v>
      </c>
      <c r="C3" s="38">
        <v>39814</v>
      </c>
      <c r="D3" s="38">
        <v>39845</v>
      </c>
      <c r="E3" s="37">
        <v>39873</v>
      </c>
      <c r="F3" s="38">
        <v>39904</v>
      </c>
      <c r="G3" s="38">
        <v>39934</v>
      </c>
      <c r="H3" s="41">
        <v>39965</v>
      </c>
      <c r="I3" s="40">
        <v>39995</v>
      </c>
      <c r="J3" s="38">
        <v>40026</v>
      </c>
      <c r="K3" s="38">
        <v>40057</v>
      </c>
      <c r="L3" s="38">
        <v>40087</v>
      </c>
      <c r="M3" s="37">
        <v>40118</v>
      </c>
      <c r="N3" s="38">
        <v>40148</v>
      </c>
      <c r="O3" s="38">
        <v>40179</v>
      </c>
      <c r="P3" s="38">
        <v>40210</v>
      </c>
      <c r="Q3" s="37">
        <v>40238</v>
      </c>
      <c r="R3" s="38">
        <v>40269</v>
      </c>
      <c r="S3" s="38">
        <v>40299</v>
      </c>
      <c r="T3" s="41">
        <v>40330</v>
      </c>
      <c r="U3" s="40">
        <v>40360</v>
      </c>
      <c r="V3" s="38">
        <v>40391</v>
      </c>
      <c r="W3" s="38">
        <v>40422</v>
      </c>
      <c r="X3" s="38">
        <v>40452</v>
      </c>
      <c r="Y3" s="37">
        <v>40483</v>
      </c>
      <c r="Z3" s="38">
        <v>40513</v>
      </c>
      <c r="AA3" s="38">
        <v>40544</v>
      </c>
      <c r="AB3" s="38">
        <v>40575</v>
      </c>
      <c r="AC3" s="37">
        <v>40603</v>
      </c>
      <c r="AD3" s="38">
        <v>40634</v>
      </c>
      <c r="AE3" s="38">
        <v>40664</v>
      </c>
      <c r="AF3" s="41">
        <v>40695</v>
      </c>
      <c r="AG3" s="40">
        <v>40725</v>
      </c>
      <c r="AH3" s="38">
        <v>40756</v>
      </c>
      <c r="AI3" s="38">
        <v>40787</v>
      </c>
      <c r="AJ3" s="38">
        <v>40817</v>
      </c>
      <c r="AK3" s="37">
        <v>40848</v>
      </c>
      <c r="AL3" s="38">
        <v>40878</v>
      </c>
      <c r="AM3" s="38">
        <v>40909</v>
      </c>
      <c r="AN3" s="38">
        <v>40940</v>
      </c>
      <c r="AO3" s="37">
        <v>40969</v>
      </c>
      <c r="AP3" s="38">
        <v>41000</v>
      </c>
      <c r="AQ3" s="38">
        <v>41030</v>
      </c>
      <c r="AR3" s="41">
        <v>41061</v>
      </c>
      <c r="AS3" s="40">
        <v>41091</v>
      </c>
      <c r="AT3" s="38">
        <v>41122</v>
      </c>
      <c r="AU3" s="38">
        <v>41153</v>
      </c>
      <c r="AV3" s="38">
        <v>41183</v>
      </c>
      <c r="AW3" s="37">
        <v>41214</v>
      </c>
      <c r="AX3" s="38">
        <v>41244</v>
      </c>
      <c r="AY3" s="38">
        <v>41275</v>
      </c>
      <c r="AZ3" s="38">
        <v>41306</v>
      </c>
      <c r="BA3" s="37">
        <v>41334</v>
      </c>
      <c r="BB3" s="38">
        <v>41365</v>
      </c>
      <c r="BC3" s="38">
        <v>41395</v>
      </c>
      <c r="BD3" s="41">
        <v>41426</v>
      </c>
      <c r="BE3" s="40">
        <v>41456</v>
      </c>
      <c r="BF3" s="38">
        <v>41487</v>
      </c>
      <c r="BG3" s="38">
        <v>41518</v>
      </c>
      <c r="BH3" s="38">
        <v>41548</v>
      </c>
      <c r="BI3" s="37">
        <v>41579</v>
      </c>
      <c r="BJ3" s="38">
        <v>41609</v>
      </c>
      <c r="BK3" s="38">
        <v>41640</v>
      </c>
      <c r="BL3" s="38">
        <v>41671</v>
      </c>
      <c r="BM3" s="37">
        <v>41699</v>
      </c>
      <c r="BN3" s="38">
        <v>41730</v>
      </c>
      <c r="BO3" s="38">
        <v>41760</v>
      </c>
      <c r="BP3" s="41">
        <v>41791</v>
      </c>
      <c r="BQ3" s="40">
        <v>41821</v>
      </c>
      <c r="BR3" s="38">
        <v>41852</v>
      </c>
      <c r="BS3" s="38">
        <v>41883</v>
      </c>
      <c r="BT3" s="38">
        <v>41913</v>
      </c>
      <c r="BU3" s="37">
        <v>41944</v>
      </c>
      <c r="BV3" s="38">
        <v>41974</v>
      </c>
      <c r="BW3" s="38">
        <v>42005</v>
      </c>
      <c r="BX3" s="38">
        <v>42036</v>
      </c>
      <c r="BY3" s="37">
        <v>42064</v>
      </c>
      <c r="BZ3" s="38">
        <v>42095</v>
      </c>
      <c r="CA3" s="38">
        <v>42125</v>
      </c>
      <c r="CB3" s="41">
        <v>42156</v>
      </c>
      <c r="CC3" s="42">
        <v>42186</v>
      </c>
      <c r="CD3" s="38">
        <v>42217</v>
      </c>
      <c r="CE3" s="38">
        <v>42248</v>
      </c>
      <c r="CF3" s="38">
        <v>42278</v>
      </c>
      <c r="CG3" s="37">
        <v>42309</v>
      </c>
      <c r="CH3" s="38">
        <v>42339</v>
      </c>
      <c r="CI3" s="38">
        <v>42370</v>
      </c>
      <c r="CJ3" s="38">
        <v>42401</v>
      </c>
      <c r="CK3" s="37">
        <v>42430</v>
      </c>
      <c r="CL3" s="38">
        <v>42461</v>
      </c>
      <c r="CM3" s="38">
        <v>42491</v>
      </c>
      <c r="CN3" s="39">
        <v>42522</v>
      </c>
      <c r="CO3" s="40">
        <v>42552</v>
      </c>
      <c r="CP3" s="38">
        <v>42583</v>
      </c>
      <c r="CQ3" s="38">
        <v>42614</v>
      </c>
      <c r="CR3" s="38">
        <v>42644</v>
      </c>
      <c r="CS3" s="37">
        <v>42675</v>
      </c>
      <c r="CT3" s="38">
        <v>42705</v>
      </c>
      <c r="CU3" s="38">
        <v>42736</v>
      </c>
      <c r="CV3" s="38">
        <v>42767</v>
      </c>
      <c r="CW3" s="37">
        <v>42795</v>
      </c>
      <c r="CX3" s="38">
        <v>42826</v>
      </c>
      <c r="CY3" s="38">
        <v>42856</v>
      </c>
      <c r="CZ3" s="41">
        <v>42887</v>
      </c>
      <c r="DA3" s="46">
        <v>42917</v>
      </c>
      <c r="DB3" s="38">
        <v>42948</v>
      </c>
      <c r="DC3" s="37">
        <v>42979</v>
      </c>
      <c r="DD3" s="38">
        <v>43009</v>
      </c>
      <c r="DE3" s="38">
        <v>43040</v>
      </c>
      <c r="DF3" s="38">
        <v>43070</v>
      </c>
      <c r="DG3" s="57">
        <v>43101</v>
      </c>
      <c r="DH3" s="38">
        <v>43132</v>
      </c>
      <c r="DI3" s="37">
        <v>43160</v>
      </c>
      <c r="DJ3" s="38">
        <v>43191</v>
      </c>
      <c r="DK3" s="38">
        <v>43221</v>
      </c>
      <c r="DL3" s="41">
        <v>43252</v>
      </c>
      <c r="DM3" s="40">
        <v>43282</v>
      </c>
      <c r="DN3" s="38">
        <v>43313</v>
      </c>
      <c r="DO3" s="38">
        <v>43344</v>
      </c>
      <c r="DP3" s="38">
        <v>43374</v>
      </c>
      <c r="DQ3" s="37">
        <v>43405</v>
      </c>
      <c r="DR3" s="38">
        <v>43435</v>
      </c>
      <c r="DS3" s="38">
        <v>43466</v>
      </c>
      <c r="DT3" s="38">
        <v>43497</v>
      </c>
      <c r="DU3" s="37">
        <v>43525</v>
      </c>
      <c r="DV3" s="38">
        <v>43556</v>
      </c>
      <c r="DW3" s="38">
        <v>43586</v>
      </c>
      <c r="DX3" s="41">
        <v>43617</v>
      </c>
      <c r="DY3" s="40">
        <v>43647</v>
      </c>
      <c r="DZ3" s="38">
        <v>43678</v>
      </c>
      <c r="EA3" s="38">
        <v>43709</v>
      </c>
      <c r="EB3" s="38">
        <v>43739</v>
      </c>
      <c r="EC3" s="37">
        <v>43770</v>
      </c>
      <c r="ED3" s="38">
        <v>43800</v>
      </c>
      <c r="EE3" s="38">
        <v>43831</v>
      </c>
      <c r="EF3" s="38">
        <v>43862</v>
      </c>
      <c r="EG3" s="37">
        <v>43891</v>
      </c>
      <c r="EH3" s="38">
        <v>43922</v>
      </c>
      <c r="EI3" s="38">
        <v>43952</v>
      </c>
      <c r="EJ3" s="41">
        <v>43983</v>
      </c>
      <c r="EK3" s="40">
        <v>44013</v>
      </c>
      <c r="EL3" s="38">
        <v>44044</v>
      </c>
      <c r="EM3" s="38">
        <v>44075</v>
      </c>
      <c r="EN3" s="38">
        <v>44105</v>
      </c>
      <c r="EO3" s="37">
        <v>44136</v>
      </c>
      <c r="EP3" s="38">
        <v>44166</v>
      </c>
      <c r="EQ3" s="38">
        <v>44197</v>
      </c>
      <c r="ER3" s="38">
        <v>44228</v>
      </c>
      <c r="ES3" s="37">
        <v>44256</v>
      </c>
      <c r="ET3" s="38">
        <v>44287</v>
      </c>
      <c r="EU3" s="38">
        <v>44317</v>
      </c>
      <c r="EV3" s="41">
        <v>44348</v>
      </c>
      <c r="EW3" s="40">
        <v>44378</v>
      </c>
      <c r="EX3" s="38">
        <v>44409</v>
      </c>
      <c r="EY3" s="38">
        <v>44440</v>
      </c>
      <c r="EZ3" s="38">
        <v>44470</v>
      </c>
      <c r="FA3" s="37">
        <v>44501</v>
      </c>
      <c r="FB3" s="38">
        <v>44531</v>
      </c>
      <c r="FC3" s="38">
        <v>44562</v>
      </c>
      <c r="FD3" s="38">
        <v>44593</v>
      </c>
      <c r="FE3" s="37">
        <v>44621</v>
      </c>
      <c r="FF3" s="38">
        <v>44652</v>
      </c>
      <c r="FG3" s="38">
        <v>44682</v>
      </c>
      <c r="FH3" s="41">
        <v>44713</v>
      </c>
    </row>
    <row r="4" spans="1:164" x14ac:dyDescent="0.3">
      <c r="A4" s="45" t="s">
        <v>54</v>
      </c>
      <c r="B4" s="32">
        <v>2</v>
      </c>
      <c r="C4" s="33">
        <v>21</v>
      </c>
      <c r="D4" s="33">
        <v>20</v>
      </c>
      <c r="E4" s="33">
        <v>22</v>
      </c>
      <c r="F4" s="33">
        <v>22</v>
      </c>
      <c r="G4" s="33">
        <v>20</v>
      </c>
      <c r="H4" s="36">
        <v>22</v>
      </c>
      <c r="I4" s="12">
        <v>23</v>
      </c>
      <c r="J4" s="13">
        <v>21</v>
      </c>
      <c r="K4" s="13">
        <v>21</v>
      </c>
      <c r="L4" s="13">
        <v>22</v>
      </c>
      <c r="M4" s="13">
        <v>20</v>
      </c>
      <c r="N4" s="13">
        <v>22</v>
      </c>
      <c r="O4" s="13">
        <v>20</v>
      </c>
      <c r="P4" s="13">
        <v>20</v>
      </c>
      <c r="Q4" s="13">
        <v>23</v>
      </c>
      <c r="R4" s="13">
        <v>22</v>
      </c>
      <c r="S4" s="13">
        <v>20</v>
      </c>
      <c r="T4" s="14">
        <v>22</v>
      </c>
      <c r="U4" s="32">
        <v>21</v>
      </c>
      <c r="V4" s="33">
        <v>22</v>
      </c>
      <c r="W4" s="33">
        <v>21</v>
      </c>
      <c r="X4" s="33">
        <v>21</v>
      </c>
      <c r="Y4" s="33">
        <v>19</v>
      </c>
      <c r="Z4" s="33">
        <v>21</v>
      </c>
      <c r="AA4" s="33">
        <v>20</v>
      </c>
      <c r="AB4" s="33">
        <v>19</v>
      </c>
      <c r="AC4" s="33">
        <v>23</v>
      </c>
      <c r="AD4" s="33">
        <v>21</v>
      </c>
      <c r="AE4" s="33">
        <v>21</v>
      </c>
      <c r="AF4" s="34">
        <v>22</v>
      </c>
      <c r="AG4" s="32">
        <v>20</v>
      </c>
      <c r="AH4" s="33">
        <v>23</v>
      </c>
      <c r="AI4" s="33">
        <v>21</v>
      </c>
      <c r="AJ4" s="33">
        <v>21</v>
      </c>
      <c r="AK4" s="33">
        <v>19</v>
      </c>
      <c r="AL4" s="33">
        <v>21</v>
      </c>
      <c r="AM4" s="33">
        <v>20</v>
      </c>
      <c r="AN4" s="33">
        <v>20</v>
      </c>
      <c r="AO4" s="33">
        <v>22</v>
      </c>
      <c r="AP4" s="33">
        <v>21</v>
      </c>
      <c r="AQ4" s="33">
        <v>22</v>
      </c>
      <c r="AR4" s="34">
        <v>21</v>
      </c>
      <c r="AS4" s="32">
        <v>21</v>
      </c>
      <c r="AT4" s="33">
        <v>23</v>
      </c>
      <c r="AU4" s="33">
        <v>19</v>
      </c>
      <c r="AV4" s="33">
        <v>23</v>
      </c>
      <c r="AW4" s="33">
        <v>19</v>
      </c>
      <c r="AX4" s="33">
        <v>19</v>
      </c>
      <c r="AY4" s="33">
        <v>21</v>
      </c>
      <c r="AZ4" s="33">
        <v>19</v>
      </c>
      <c r="BA4" s="33">
        <v>21</v>
      </c>
      <c r="BB4" s="33">
        <v>22</v>
      </c>
      <c r="BC4" s="33">
        <v>22</v>
      </c>
      <c r="BD4" s="34">
        <v>20</v>
      </c>
      <c r="BE4" s="32">
        <v>22</v>
      </c>
      <c r="BF4" s="33">
        <v>22</v>
      </c>
      <c r="BG4" s="33">
        <v>20</v>
      </c>
      <c r="BH4" s="33">
        <v>23</v>
      </c>
      <c r="BI4" s="33">
        <v>18</v>
      </c>
      <c r="BJ4" s="33">
        <v>20</v>
      </c>
      <c r="BK4" s="33">
        <v>21</v>
      </c>
      <c r="BL4" s="33">
        <v>19</v>
      </c>
      <c r="BM4" s="33">
        <v>21</v>
      </c>
      <c r="BN4" s="33">
        <v>22</v>
      </c>
      <c r="BO4" s="33">
        <v>21</v>
      </c>
      <c r="BP4" s="34">
        <v>21</v>
      </c>
      <c r="BQ4" s="32">
        <v>22</v>
      </c>
      <c r="BR4" s="33">
        <v>21</v>
      </c>
      <c r="BS4" s="33">
        <v>21</v>
      </c>
      <c r="BT4" s="33">
        <v>23</v>
      </c>
      <c r="BU4" s="33">
        <v>17</v>
      </c>
      <c r="BV4" s="33">
        <v>21</v>
      </c>
      <c r="BW4" s="33">
        <v>20</v>
      </c>
      <c r="BX4" s="33">
        <v>19</v>
      </c>
      <c r="BY4" s="33">
        <v>22</v>
      </c>
      <c r="BZ4" s="33">
        <v>22</v>
      </c>
      <c r="CA4" s="33">
        <v>20</v>
      </c>
      <c r="CB4" s="34">
        <v>22</v>
      </c>
      <c r="CC4" s="35">
        <v>22</v>
      </c>
      <c r="CD4" s="33">
        <v>21</v>
      </c>
      <c r="CE4" s="33">
        <v>21</v>
      </c>
      <c r="CF4" s="33">
        <v>22</v>
      </c>
      <c r="CG4" s="33">
        <v>18</v>
      </c>
      <c r="CH4" s="33">
        <v>21</v>
      </c>
      <c r="CI4" s="33">
        <v>19</v>
      </c>
      <c r="CJ4" s="33">
        <v>20</v>
      </c>
      <c r="CK4" s="33">
        <v>23</v>
      </c>
      <c r="CL4" s="33">
        <v>21</v>
      </c>
      <c r="CM4" s="33">
        <v>21</v>
      </c>
      <c r="CN4" s="36">
        <v>22</v>
      </c>
      <c r="CO4" s="32">
        <v>20</v>
      </c>
      <c r="CP4" s="33">
        <v>23</v>
      </c>
      <c r="CQ4" s="33">
        <v>21</v>
      </c>
      <c r="CR4" s="33">
        <v>21</v>
      </c>
      <c r="CS4" s="33">
        <v>19</v>
      </c>
      <c r="CT4" s="33">
        <v>21</v>
      </c>
      <c r="CU4" s="33">
        <v>20</v>
      </c>
      <c r="CV4" s="33">
        <v>19</v>
      </c>
      <c r="CW4" s="33">
        <v>23</v>
      </c>
      <c r="CX4" s="33">
        <v>20</v>
      </c>
      <c r="CY4" s="33">
        <v>22</v>
      </c>
      <c r="CZ4" s="34">
        <v>22</v>
      </c>
      <c r="DA4" s="32">
        <v>20</v>
      </c>
      <c r="DB4" s="33">
        <v>23</v>
      </c>
      <c r="DC4" s="33">
        <v>20</v>
      </c>
      <c r="DD4" s="33">
        <v>22</v>
      </c>
      <c r="DE4" s="33">
        <v>19</v>
      </c>
      <c r="DF4" s="33">
        <v>20</v>
      </c>
      <c r="DG4" s="35">
        <v>21</v>
      </c>
      <c r="DH4" s="33">
        <v>19</v>
      </c>
      <c r="DI4" s="33">
        <v>22</v>
      </c>
      <c r="DJ4" s="33">
        <v>21</v>
      </c>
      <c r="DK4" s="33">
        <v>22</v>
      </c>
      <c r="DL4" s="34">
        <v>21</v>
      </c>
      <c r="DM4" s="12">
        <v>21</v>
      </c>
      <c r="DN4" s="13">
        <v>23</v>
      </c>
      <c r="DO4" s="13">
        <v>19</v>
      </c>
      <c r="DP4" s="13">
        <v>23</v>
      </c>
      <c r="DQ4" s="13">
        <v>21</v>
      </c>
      <c r="DR4" s="13">
        <v>20</v>
      </c>
      <c r="DS4" s="13">
        <v>22</v>
      </c>
      <c r="DT4" s="13">
        <v>20</v>
      </c>
      <c r="DU4" s="13">
        <v>21</v>
      </c>
      <c r="DV4" s="13">
        <v>22</v>
      </c>
      <c r="DW4" s="13">
        <v>22</v>
      </c>
      <c r="DX4" s="14">
        <v>20</v>
      </c>
      <c r="DY4" s="12">
        <v>22</v>
      </c>
      <c r="DZ4" s="13">
        <v>22</v>
      </c>
      <c r="EA4" s="13">
        <v>20</v>
      </c>
      <c r="EB4" s="13">
        <v>23</v>
      </c>
      <c r="EC4" s="13">
        <v>20</v>
      </c>
      <c r="ED4" s="13">
        <v>21</v>
      </c>
      <c r="EE4" s="13">
        <v>23</v>
      </c>
      <c r="EF4" s="13">
        <v>20</v>
      </c>
      <c r="EG4" s="13">
        <v>22</v>
      </c>
      <c r="EH4" s="13">
        <v>22</v>
      </c>
      <c r="EI4" s="13">
        <v>20</v>
      </c>
      <c r="EJ4" s="14">
        <v>22</v>
      </c>
      <c r="EK4" s="12">
        <v>22</v>
      </c>
      <c r="EL4" s="15">
        <v>21</v>
      </c>
      <c r="EM4" s="13">
        <v>21</v>
      </c>
      <c r="EN4" s="13">
        <v>22</v>
      </c>
      <c r="EO4" s="13">
        <v>20</v>
      </c>
      <c r="EP4" s="13">
        <v>22</v>
      </c>
      <c r="EQ4" s="13">
        <v>21</v>
      </c>
      <c r="ER4" s="13">
        <v>20</v>
      </c>
      <c r="ES4" s="13">
        <v>23</v>
      </c>
      <c r="ET4" s="13">
        <v>22</v>
      </c>
      <c r="EU4" s="13">
        <v>20</v>
      </c>
      <c r="EV4" s="14">
        <v>22</v>
      </c>
      <c r="EW4" s="12">
        <v>21</v>
      </c>
      <c r="EX4" s="15">
        <v>22</v>
      </c>
      <c r="EY4" s="13">
        <v>21</v>
      </c>
      <c r="EZ4" s="13">
        <v>21</v>
      </c>
      <c r="FA4" s="13">
        <v>21</v>
      </c>
      <c r="FB4" s="13">
        <v>22</v>
      </c>
      <c r="FC4" s="13">
        <v>21</v>
      </c>
      <c r="FD4" s="13">
        <v>20</v>
      </c>
      <c r="FE4" s="13">
        <v>23</v>
      </c>
      <c r="FF4" s="13">
        <v>21</v>
      </c>
      <c r="FG4" s="13">
        <v>21</v>
      </c>
      <c r="FH4" s="14">
        <v>22</v>
      </c>
    </row>
    <row r="5" spans="1:164" x14ac:dyDescent="0.3">
      <c r="A5" s="61" t="s">
        <v>57</v>
      </c>
      <c r="B5" s="17">
        <v>1</v>
      </c>
      <c r="C5" s="18">
        <v>5</v>
      </c>
      <c r="D5" s="18">
        <v>4</v>
      </c>
      <c r="E5" s="18">
        <v>4</v>
      </c>
      <c r="F5" s="18">
        <v>4</v>
      </c>
      <c r="G5" s="18">
        <v>5</v>
      </c>
      <c r="H5" s="21">
        <v>4</v>
      </c>
      <c r="I5" s="17">
        <v>3</v>
      </c>
      <c r="J5" s="18">
        <v>5</v>
      </c>
      <c r="K5" s="18">
        <v>4</v>
      </c>
      <c r="L5" s="18">
        <v>5</v>
      </c>
      <c r="M5" s="18">
        <v>4</v>
      </c>
      <c r="N5" s="18">
        <v>4</v>
      </c>
      <c r="O5" s="18">
        <v>5</v>
      </c>
      <c r="P5" s="18">
        <v>4</v>
      </c>
      <c r="Q5" s="18">
        <v>4</v>
      </c>
      <c r="R5" s="18">
        <v>4</v>
      </c>
      <c r="S5" s="18">
        <v>5</v>
      </c>
      <c r="T5" s="19">
        <v>4</v>
      </c>
      <c r="U5" s="20">
        <v>5</v>
      </c>
      <c r="V5" s="18">
        <v>4</v>
      </c>
      <c r="W5" s="18">
        <v>4</v>
      </c>
      <c r="X5" s="18">
        <v>5</v>
      </c>
      <c r="Y5" s="18">
        <v>4</v>
      </c>
      <c r="Z5" s="18">
        <v>3</v>
      </c>
      <c r="AA5" s="18">
        <v>5</v>
      </c>
      <c r="AB5" s="18">
        <v>4</v>
      </c>
      <c r="AC5" s="18">
        <v>4</v>
      </c>
      <c r="AD5" s="18">
        <v>5</v>
      </c>
      <c r="AE5" s="18">
        <v>4</v>
      </c>
      <c r="AF5" s="21">
        <v>4</v>
      </c>
      <c r="AG5" s="17">
        <v>5</v>
      </c>
      <c r="AH5" s="18">
        <v>4</v>
      </c>
      <c r="AI5" s="18">
        <v>4</v>
      </c>
      <c r="AJ5" s="18">
        <v>5</v>
      </c>
      <c r="AK5" s="18">
        <v>4</v>
      </c>
      <c r="AL5" s="18">
        <v>4</v>
      </c>
      <c r="AM5" s="18">
        <v>4</v>
      </c>
      <c r="AN5" s="18">
        <v>4</v>
      </c>
      <c r="AO5" s="18">
        <v>5</v>
      </c>
      <c r="AP5" s="18">
        <v>4</v>
      </c>
      <c r="AQ5" s="18">
        <v>4</v>
      </c>
      <c r="AR5" s="19">
        <v>5</v>
      </c>
      <c r="AS5" s="20">
        <v>4</v>
      </c>
      <c r="AT5" s="18">
        <v>4</v>
      </c>
      <c r="AU5" s="18">
        <v>5</v>
      </c>
      <c r="AV5" s="18">
        <v>4</v>
      </c>
      <c r="AW5" s="18">
        <v>4</v>
      </c>
      <c r="AX5" s="18">
        <v>5</v>
      </c>
      <c r="AY5" s="18">
        <v>4</v>
      </c>
      <c r="AZ5" s="18">
        <v>4</v>
      </c>
      <c r="BA5" s="18">
        <v>5</v>
      </c>
      <c r="BB5" s="18">
        <v>4</v>
      </c>
      <c r="BC5" s="18">
        <v>4</v>
      </c>
      <c r="BD5" s="21">
        <v>5</v>
      </c>
      <c r="BE5" s="17">
        <v>4</v>
      </c>
      <c r="BF5" s="18">
        <v>5</v>
      </c>
      <c r="BG5" s="18">
        <v>4</v>
      </c>
      <c r="BH5" s="18">
        <v>4</v>
      </c>
      <c r="BI5" s="18">
        <v>5</v>
      </c>
      <c r="BJ5" s="18">
        <v>4</v>
      </c>
      <c r="BK5" s="18">
        <v>4</v>
      </c>
      <c r="BL5" s="18">
        <v>4</v>
      </c>
      <c r="BM5" s="18">
        <v>5</v>
      </c>
      <c r="BN5" s="18">
        <v>4</v>
      </c>
      <c r="BO5" s="18">
        <v>5</v>
      </c>
      <c r="BP5" s="19">
        <v>4</v>
      </c>
      <c r="BQ5" s="20">
        <v>4</v>
      </c>
      <c r="BR5" s="18">
        <v>5</v>
      </c>
      <c r="BS5" s="18">
        <v>4</v>
      </c>
      <c r="BT5" s="18">
        <v>4</v>
      </c>
      <c r="BU5" s="18">
        <v>5</v>
      </c>
      <c r="BV5" s="18">
        <v>4</v>
      </c>
      <c r="BW5" s="18">
        <v>5</v>
      </c>
      <c r="BX5" s="18">
        <v>4</v>
      </c>
      <c r="BY5" s="18">
        <v>4</v>
      </c>
      <c r="BZ5" s="18">
        <v>4</v>
      </c>
      <c r="CA5" s="18">
        <v>5</v>
      </c>
      <c r="CB5" s="21">
        <v>4</v>
      </c>
      <c r="CC5" s="17">
        <v>4</v>
      </c>
      <c r="CD5" s="18">
        <v>5</v>
      </c>
      <c r="CE5" s="18">
        <v>4</v>
      </c>
      <c r="CF5" s="18">
        <v>5</v>
      </c>
      <c r="CG5" s="18">
        <v>4</v>
      </c>
      <c r="CH5" s="18">
        <v>4</v>
      </c>
      <c r="CI5" s="18">
        <v>5</v>
      </c>
      <c r="CJ5" s="18">
        <v>4</v>
      </c>
      <c r="CK5" s="18">
        <v>4</v>
      </c>
      <c r="CL5" s="18">
        <v>5</v>
      </c>
      <c r="CM5" s="18">
        <v>4</v>
      </c>
      <c r="CN5" s="19">
        <v>4</v>
      </c>
      <c r="CO5" s="20">
        <v>5</v>
      </c>
      <c r="CP5" s="18">
        <v>4</v>
      </c>
      <c r="CQ5" s="18">
        <v>4</v>
      </c>
      <c r="CR5" s="18">
        <v>5</v>
      </c>
      <c r="CS5" s="18">
        <v>4</v>
      </c>
      <c r="CT5" s="18">
        <v>4</v>
      </c>
      <c r="CU5" s="18">
        <v>4</v>
      </c>
      <c r="CV5" s="18">
        <v>4</v>
      </c>
      <c r="CW5" s="18">
        <v>4</v>
      </c>
      <c r="CX5" s="18">
        <v>5</v>
      </c>
      <c r="CY5" s="18">
        <v>4</v>
      </c>
      <c r="CZ5" s="21">
        <v>4</v>
      </c>
      <c r="DA5" s="17">
        <v>5</v>
      </c>
      <c r="DB5" s="18">
        <v>4</v>
      </c>
      <c r="DC5" s="18">
        <v>5</v>
      </c>
      <c r="DD5" s="18">
        <v>4</v>
      </c>
      <c r="DE5" s="18">
        <v>4</v>
      </c>
      <c r="DF5" s="18">
        <v>5</v>
      </c>
      <c r="DG5" s="20">
        <v>4</v>
      </c>
      <c r="DH5" s="18">
        <v>4</v>
      </c>
      <c r="DI5" s="18">
        <v>5</v>
      </c>
      <c r="DJ5" s="18">
        <v>4</v>
      </c>
      <c r="DK5" s="18">
        <v>4</v>
      </c>
      <c r="DL5" s="19">
        <v>5</v>
      </c>
      <c r="DM5" s="17">
        <v>4</v>
      </c>
      <c r="DN5" s="18">
        <v>4</v>
      </c>
      <c r="DO5" s="18">
        <v>5</v>
      </c>
      <c r="DP5" s="18">
        <v>4</v>
      </c>
      <c r="DQ5" s="18">
        <v>4</v>
      </c>
      <c r="DR5" s="18">
        <v>5</v>
      </c>
      <c r="DS5" s="18">
        <v>4</v>
      </c>
      <c r="DT5" s="18">
        <v>4</v>
      </c>
      <c r="DU5" s="18">
        <v>5</v>
      </c>
      <c r="DV5" s="18">
        <v>4</v>
      </c>
      <c r="DW5" s="18">
        <v>4</v>
      </c>
      <c r="DX5" s="19">
        <v>5</v>
      </c>
      <c r="DY5" s="17">
        <v>4</v>
      </c>
      <c r="DZ5" s="18">
        <v>5</v>
      </c>
      <c r="EA5" s="18">
        <v>4</v>
      </c>
      <c r="EB5" s="18">
        <v>4</v>
      </c>
      <c r="EC5" s="18">
        <v>5</v>
      </c>
      <c r="ED5" s="18">
        <v>4</v>
      </c>
      <c r="EE5" s="18">
        <v>4</v>
      </c>
      <c r="EF5" s="18">
        <v>5</v>
      </c>
      <c r="EG5" s="18">
        <v>4</v>
      </c>
      <c r="EH5" s="18">
        <v>4</v>
      </c>
      <c r="EI5" s="18">
        <v>5</v>
      </c>
      <c r="EJ5" s="19">
        <v>4</v>
      </c>
      <c r="EK5" s="17">
        <v>4</v>
      </c>
      <c r="EL5" s="20">
        <v>5</v>
      </c>
      <c r="EM5" s="18">
        <v>4</v>
      </c>
      <c r="EN5" s="18">
        <v>5</v>
      </c>
      <c r="EO5" s="18">
        <v>4</v>
      </c>
      <c r="EP5" s="18">
        <v>4</v>
      </c>
      <c r="EQ5" s="18">
        <v>5</v>
      </c>
      <c r="ER5" s="18">
        <v>4</v>
      </c>
      <c r="ES5" s="18">
        <v>4</v>
      </c>
      <c r="ET5" s="18">
        <v>4</v>
      </c>
      <c r="EU5" s="18">
        <v>5</v>
      </c>
      <c r="EV5" s="19">
        <v>4</v>
      </c>
      <c r="EW5" s="17">
        <v>5</v>
      </c>
      <c r="EX5" s="20">
        <v>4</v>
      </c>
      <c r="EY5" s="18">
        <v>4</v>
      </c>
      <c r="EZ5" s="18">
        <v>5</v>
      </c>
      <c r="FA5" s="18">
        <v>4</v>
      </c>
      <c r="FB5" s="18">
        <v>4</v>
      </c>
      <c r="FC5" s="18">
        <v>5</v>
      </c>
      <c r="FD5" s="18">
        <v>4</v>
      </c>
      <c r="FE5" s="18">
        <v>4</v>
      </c>
      <c r="FF5" s="18">
        <v>5</v>
      </c>
      <c r="FG5" s="18">
        <v>4</v>
      </c>
      <c r="FH5" s="19">
        <v>4</v>
      </c>
    </row>
    <row r="6" spans="1:164" x14ac:dyDescent="0.3">
      <c r="A6" s="61" t="s">
        <v>58</v>
      </c>
      <c r="B6" s="55">
        <v>1</v>
      </c>
      <c r="C6" s="52">
        <v>4</v>
      </c>
      <c r="D6" s="52">
        <v>4</v>
      </c>
      <c r="E6" s="52">
        <v>5</v>
      </c>
      <c r="F6" s="52">
        <v>5</v>
      </c>
      <c r="G6" s="52">
        <v>5</v>
      </c>
      <c r="H6" s="53">
        <v>4</v>
      </c>
      <c r="I6" s="55">
        <v>4</v>
      </c>
      <c r="J6" s="52">
        <v>5</v>
      </c>
      <c r="K6" s="52">
        <v>4</v>
      </c>
      <c r="L6" s="52">
        <v>4</v>
      </c>
      <c r="M6" s="52">
        <v>5</v>
      </c>
      <c r="N6" s="52">
        <v>4</v>
      </c>
      <c r="O6" s="52">
        <v>5</v>
      </c>
      <c r="P6" s="52">
        <v>4</v>
      </c>
      <c r="Q6" s="52">
        <v>4</v>
      </c>
      <c r="R6" s="52">
        <v>4</v>
      </c>
      <c r="S6" s="52">
        <v>5</v>
      </c>
      <c r="T6" s="56">
        <v>4</v>
      </c>
      <c r="U6" s="54">
        <v>4</v>
      </c>
      <c r="V6" s="52">
        <v>5</v>
      </c>
      <c r="W6" s="52">
        <v>4</v>
      </c>
      <c r="X6" s="52">
        <v>5</v>
      </c>
      <c r="Y6" s="52">
        <v>4</v>
      </c>
      <c r="Z6" s="52">
        <v>4</v>
      </c>
      <c r="AA6" s="52">
        <v>5</v>
      </c>
      <c r="AB6" s="52">
        <v>4</v>
      </c>
      <c r="AC6" s="52">
        <v>4</v>
      </c>
      <c r="AD6" s="52">
        <v>4</v>
      </c>
      <c r="AE6" s="52">
        <v>5</v>
      </c>
      <c r="AF6" s="53">
        <v>4</v>
      </c>
      <c r="AG6" s="55">
        <v>5</v>
      </c>
      <c r="AH6" s="52">
        <v>4</v>
      </c>
      <c r="AI6" s="52">
        <v>4</v>
      </c>
      <c r="AJ6" s="52">
        <v>5</v>
      </c>
      <c r="AK6" s="52">
        <v>4</v>
      </c>
      <c r="AL6" s="52">
        <v>4</v>
      </c>
      <c r="AM6" s="52">
        <v>5</v>
      </c>
      <c r="AN6" s="52">
        <v>4</v>
      </c>
      <c r="AO6" s="52">
        <v>4</v>
      </c>
      <c r="AP6" s="52">
        <v>5</v>
      </c>
      <c r="AQ6" s="52">
        <v>4</v>
      </c>
      <c r="AR6" s="56">
        <v>4</v>
      </c>
      <c r="AS6" s="54">
        <v>5</v>
      </c>
      <c r="AT6" s="52">
        <v>4</v>
      </c>
      <c r="AU6" s="52">
        <v>5</v>
      </c>
      <c r="AV6" s="52">
        <v>4</v>
      </c>
      <c r="AW6" s="52">
        <v>4</v>
      </c>
      <c r="AX6" s="52">
        <v>5</v>
      </c>
      <c r="AY6" s="52">
        <v>4</v>
      </c>
      <c r="AZ6" s="52">
        <v>4</v>
      </c>
      <c r="BA6" s="52">
        <v>5</v>
      </c>
      <c r="BB6" s="52">
        <v>4</v>
      </c>
      <c r="BC6" s="52">
        <v>4</v>
      </c>
      <c r="BD6" s="53">
        <v>5</v>
      </c>
      <c r="BE6" s="55">
        <v>4</v>
      </c>
      <c r="BF6" s="52">
        <v>4</v>
      </c>
      <c r="BG6" s="52">
        <v>5</v>
      </c>
      <c r="BH6" s="52">
        <v>4</v>
      </c>
      <c r="BI6" s="52">
        <v>4</v>
      </c>
      <c r="BJ6" s="52">
        <v>5</v>
      </c>
      <c r="BK6" s="52">
        <v>4</v>
      </c>
      <c r="BL6" s="52">
        <v>4</v>
      </c>
      <c r="BM6" s="52">
        <v>5</v>
      </c>
      <c r="BN6" s="52">
        <v>4</v>
      </c>
      <c r="BO6" s="52">
        <v>4</v>
      </c>
      <c r="BP6" s="56">
        <v>5</v>
      </c>
      <c r="BQ6" s="54">
        <v>4</v>
      </c>
      <c r="BR6" s="52">
        <v>5</v>
      </c>
      <c r="BS6" s="52">
        <v>4</v>
      </c>
      <c r="BT6" s="52">
        <v>4</v>
      </c>
      <c r="BU6" s="52">
        <v>5</v>
      </c>
      <c r="BV6" s="52">
        <v>4</v>
      </c>
      <c r="BW6" s="52">
        <v>4</v>
      </c>
      <c r="BX6" s="52">
        <v>4</v>
      </c>
      <c r="BY6" s="52">
        <v>5</v>
      </c>
      <c r="BZ6" s="52">
        <v>4</v>
      </c>
      <c r="CA6" s="52">
        <v>5</v>
      </c>
      <c r="CB6" s="53">
        <v>4</v>
      </c>
      <c r="CC6" s="55">
        <v>4</v>
      </c>
      <c r="CD6" s="52">
        <v>5</v>
      </c>
      <c r="CE6" s="52">
        <v>4</v>
      </c>
      <c r="CF6" s="52">
        <v>4</v>
      </c>
      <c r="CG6" s="52">
        <v>5</v>
      </c>
      <c r="CH6" s="52">
        <v>4</v>
      </c>
      <c r="CI6" s="52">
        <v>5</v>
      </c>
      <c r="CJ6" s="52">
        <v>4</v>
      </c>
      <c r="CK6" s="52">
        <v>4</v>
      </c>
      <c r="CL6" s="52">
        <v>4</v>
      </c>
      <c r="CM6" s="52">
        <v>5</v>
      </c>
      <c r="CN6" s="56">
        <v>4</v>
      </c>
      <c r="CO6" s="54">
        <v>5</v>
      </c>
      <c r="CP6" s="52">
        <v>4</v>
      </c>
      <c r="CQ6" s="52">
        <v>4</v>
      </c>
      <c r="CR6" s="52">
        <v>5</v>
      </c>
      <c r="CS6" s="52">
        <v>4</v>
      </c>
      <c r="CT6" s="52">
        <v>4</v>
      </c>
      <c r="CU6" s="52">
        <v>5</v>
      </c>
      <c r="CV6" s="52">
        <v>4</v>
      </c>
      <c r="CW6" s="52">
        <v>4</v>
      </c>
      <c r="CX6" s="52">
        <v>5</v>
      </c>
      <c r="CY6" s="52">
        <v>4</v>
      </c>
      <c r="CZ6" s="53">
        <v>4</v>
      </c>
      <c r="DA6" s="55">
        <v>5</v>
      </c>
      <c r="DB6" s="52">
        <v>4</v>
      </c>
      <c r="DC6" s="52">
        <v>4</v>
      </c>
      <c r="DD6" s="52">
        <v>5</v>
      </c>
      <c r="DE6" s="52">
        <v>4</v>
      </c>
      <c r="DF6" s="52">
        <v>5</v>
      </c>
      <c r="DG6" s="54">
        <v>4</v>
      </c>
      <c r="DH6" s="52">
        <v>4</v>
      </c>
      <c r="DI6" s="52">
        <v>4</v>
      </c>
      <c r="DJ6" s="52">
        <v>5</v>
      </c>
      <c r="DK6" s="52">
        <v>4</v>
      </c>
      <c r="DL6" s="56">
        <v>4</v>
      </c>
      <c r="DM6" s="17">
        <v>5</v>
      </c>
      <c r="DN6" s="18">
        <v>4</v>
      </c>
      <c r="DO6" s="18">
        <v>5</v>
      </c>
      <c r="DP6" s="18">
        <v>4</v>
      </c>
      <c r="DQ6" s="18">
        <v>4</v>
      </c>
      <c r="DR6" s="18">
        <v>5</v>
      </c>
      <c r="DS6" s="18">
        <v>4</v>
      </c>
      <c r="DT6" s="18">
        <v>4</v>
      </c>
      <c r="DU6" s="18">
        <v>5</v>
      </c>
      <c r="DV6" s="18">
        <v>4</v>
      </c>
      <c r="DW6" s="18">
        <v>4</v>
      </c>
      <c r="DX6" s="19">
        <v>5</v>
      </c>
      <c r="DY6" s="17">
        <v>4</v>
      </c>
      <c r="DZ6" s="18">
        <v>4</v>
      </c>
      <c r="EA6" s="18">
        <v>5</v>
      </c>
      <c r="EB6" s="18">
        <v>4</v>
      </c>
      <c r="EC6" s="18">
        <v>4</v>
      </c>
      <c r="ED6" s="18">
        <v>5</v>
      </c>
      <c r="EE6" s="18">
        <v>4</v>
      </c>
      <c r="EF6" s="18">
        <v>4</v>
      </c>
      <c r="EG6" s="18">
        <v>5</v>
      </c>
      <c r="EH6" s="18">
        <v>4</v>
      </c>
      <c r="EI6" s="18">
        <v>5</v>
      </c>
      <c r="EJ6" s="19">
        <v>4</v>
      </c>
      <c r="EK6" s="17">
        <v>4</v>
      </c>
      <c r="EL6" s="20">
        <v>5</v>
      </c>
      <c r="EM6" s="18">
        <v>4</v>
      </c>
      <c r="EN6" s="18">
        <v>4</v>
      </c>
      <c r="EO6" s="18">
        <v>5</v>
      </c>
      <c r="EP6" s="18">
        <v>4</v>
      </c>
      <c r="EQ6" s="18">
        <v>5</v>
      </c>
      <c r="ER6" s="18">
        <v>4</v>
      </c>
      <c r="ES6" s="18">
        <v>4</v>
      </c>
      <c r="ET6" s="18">
        <v>4</v>
      </c>
      <c r="EU6" s="18">
        <v>5</v>
      </c>
      <c r="EV6" s="19">
        <v>4</v>
      </c>
      <c r="EW6" s="17">
        <v>4</v>
      </c>
      <c r="EX6" s="20">
        <v>5</v>
      </c>
      <c r="EY6" s="18">
        <v>4</v>
      </c>
      <c r="EZ6" s="18">
        <v>5</v>
      </c>
      <c r="FA6" s="18">
        <v>4</v>
      </c>
      <c r="FB6" s="18">
        <v>4</v>
      </c>
      <c r="FC6" s="18">
        <v>5</v>
      </c>
      <c r="FD6" s="18">
        <v>4</v>
      </c>
      <c r="FE6" s="18">
        <v>4</v>
      </c>
      <c r="FF6" s="18">
        <v>4</v>
      </c>
      <c r="FG6" s="18">
        <v>5</v>
      </c>
      <c r="FH6" s="19">
        <v>4</v>
      </c>
    </row>
    <row r="7" spans="1:164" ht="15" thickBot="1" x14ac:dyDescent="0.35">
      <c r="A7" s="61" t="s">
        <v>59</v>
      </c>
      <c r="B7" s="72">
        <v>1</v>
      </c>
      <c r="C7" s="73">
        <v>1</v>
      </c>
      <c r="D7" s="73">
        <v>0</v>
      </c>
      <c r="E7" s="73">
        <v>0</v>
      </c>
      <c r="F7" s="73">
        <v>0</v>
      </c>
      <c r="G7" s="73">
        <v>1</v>
      </c>
      <c r="H7" s="96">
        <v>0</v>
      </c>
      <c r="I7" s="72">
        <v>1</v>
      </c>
      <c r="J7" s="73">
        <v>0</v>
      </c>
      <c r="K7" s="73">
        <v>1</v>
      </c>
      <c r="L7" s="73">
        <v>0</v>
      </c>
      <c r="M7" s="73">
        <v>1</v>
      </c>
      <c r="N7" s="73">
        <v>1</v>
      </c>
      <c r="O7" s="73">
        <v>1</v>
      </c>
      <c r="P7" s="73">
        <v>0</v>
      </c>
      <c r="Q7" s="73">
        <v>0</v>
      </c>
      <c r="R7" s="73">
        <v>0</v>
      </c>
      <c r="S7" s="73">
        <v>1</v>
      </c>
      <c r="T7" s="74">
        <v>0</v>
      </c>
      <c r="U7" s="97">
        <v>1</v>
      </c>
      <c r="V7" s="73">
        <v>0</v>
      </c>
      <c r="W7" s="73">
        <v>1</v>
      </c>
      <c r="X7" s="73">
        <v>0</v>
      </c>
      <c r="Y7" s="73">
        <v>3</v>
      </c>
      <c r="Z7" s="73">
        <v>3</v>
      </c>
      <c r="AA7" s="73">
        <v>1</v>
      </c>
      <c r="AB7" s="73">
        <v>1</v>
      </c>
      <c r="AC7" s="73">
        <v>0</v>
      </c>
      <c r="AD7" s="73">
        <v>0</v>
      </c>
      <c r="AE7" s="73">
        <v>1</v>
      </c>
      <c r="AF7" s="96">
        <v>0</v>
      </c>
      <c r="AG7" s="72">
        <v>1</v>
      </c>
      <c r="AH7" s="73">
        <v>0</v>
      </c>
      <c r="AI7" s="73">
        <v>1</v>
      </c>
      <c r="AJ7" s="73">
        <v>0</v>
      </c>
      <c r="AK7" s="73">
        <v>3</v>
      </c>
      <c r="AL7" s="73">
        <v>2</v>
      </c>
      <c r="AM7" s="73">
        <v>2</v>
      </c>
      <c r="AN7" s="73">
        <v>1</v>
      </c>
      <c r="AO7" s="73">
        <v>0</v>
      </c>
      <c r="AP7" s="73">
        <v>0</v>
      </c>
      <c r="AQ7" s="73">
        <v>1</v>
      </c>
      <c r="AR7" s="74">
        <v>0</v>
      </c>
      <c r="AS7" s="97">
        <v>1</v>
      </c>
      <c r="AT7" s="73">
        <v>0</v>
      </c>
      <c r="AU7" s="73">
        <v>1</v>
      </c>
      <c r="AV7" s="73">
        <v>0</v>
      </c>
      <c r="AW7" s="73">
        <v>3</v>
      </c>
      <c r="AX7" s="73">
        <v>2</v>
      </c>
      <c r="AY7" s="73">
        <v>2</v>
      </c>
      <c r="AZ7" s="73">
        <v>1</v>
      </c>
      <c r="BA7" s="73">
        <v>0</v>
      </c>
      <c r="BB7" s="73">
        <v>0</v>
      </c>
      <c r="BC7" s="73">
        <v>1</v>
      </c>
      <c r="BD7" s="96">
        <v>0</v>
      </c>
      <c r="BE7" s="72">
        <v>1</v>
      </c>
      <c r="BF7" s="73">
        <v>0</v>
      </c>
      <c r="BG7" s="73">
        <v>1</v>
      </c>
      <c r="BH7" s="73">
        <v>0</v>
      </c>
      <c r="BI7" s="73">
        <v>3</v>
      </c>
      <c r="BJ7" s="73">
        <v>2</v>
      </c>
      <c r="BK7" s="73">
        <v>2</v>
      </c>
      <c r="BL7" s="73">
        <v>1</v>
      </c>
      <c r="BM7" s="73">
        <v>0</v>
      </c>
      <c r="BN7" s="73">
        <v>0</v>
      </c>
      <c r="BO7" s="73">
        <v>1</v>
      </c>
      <c r="BP7" s="74">
        <v>0</v>
      </c>
      <c r="BQ7" s="97">
        <v>1</v>
      </c>
      <c r="BR7" s="73">
        <v>0</v>
      </c>
      <c r="BS7" s="73">
        <v>1</v>
      </c>
      <c r="BT7" s="73">
        <v>0</v>
      </c>
      <c r="BU7" s="73">
        <v>3</v>
      </c>
      <c r="BV7" s="73">
        <v>2</v>
      </c>
      <c r="BW7" s="73">
        <v>2</v>
      </c>
      <c r="BX7" s="73">
        <v>1</v>
      </c>
      <c r="BY7" s="73">
        <v>0</v>
      </c>
      <c r="BZ7" s="73">
        <v>0</v>
      </c>
      <c r="CA7" s="73">
        <v>1</v>
      </c>
      <c r="CB7" s="96">
        <v>0</v>
      </c>
      <c r="CC7" s="72">
        <v>1</v>
      </c>
      <c r="CD7" s="73">
        <v>0</v>
      </c>
      <c r="CE7" s="73">
        <v>1</v>
      </c>
      <c r="CF7" s="73">
        <v>0</v>
      </c>
      <c r="CG7" s="73">
        <v>3</v>
      </c>
      <c r="CH7" s="73">
        <v>2</v>
      </c>
      <c r="CI7" s="73">
        <v>2</v>
      </c>
      <c r="CJ7" s="73">
        <v>1</v>
      </c>
      <c r="CK7" s="73">
        <v>0</v>
      </c>
      <c r="CL7" s="73">
        <v>0</v>
      </c>
      <c r="CM7" s="73">
        <v>1</v>
      </c>
      <c r="CN7" s="74">
        <v>0</v>
      </c>
      <c r="CO7" s="97">
        <v>1</v>
      </c>
      <c r="CP7" s="73">
        <v>0</v>
      </c>
      <c r="CQ7" s="73">
        <v>1</v>
      </c>
      <c r="CR7" s="73">
        <v>0</v>
      </c>
      <c r="CS7" s="73">
        <v>3</v>
      </c>
      <c r="CT7" s="73">
        <v>2</v>
      </c>
      <c r="CU7" s="73">
        <v>2</v>
      </c>
      <c r="CV7" s="73">
        <v>1</v>
      </c>
      <c r="CW7" s="73">
        <v>0</v>
      </c>
      <c r="CX7" s="73">
        <v>0</v>
      </c>
      <c r="CY7" s="73">
        <v>1</v>
      </c>
      <c r="CZ7" s="96">
        <v>0</v>
      </c>
      <c r="DA7" s="72">
        <v>1</v>
      </c>
      <c r="DB7" s="73">
        <v>0</v>
      </c>
      <c r="DC7" s="73">
        <v>1</v>
      </c>
      <c r="DD7" s="73">
        <v>0</v>
      </c>
      <c r="DE7" s="73">
        <v>3</v>
      </c>
      <c r="DF7" s="73">
        <v>1</v>
      </c>
      <c r="DG7" s="97">
        <v>2</v>
      </c>
      <c r="DH7" s="73">
        <v>1</v>
      </c>
      <c r="DI7" s="73">
        <v>0</v>
      </c>
      <c r="DJ7" s="73">
        <v>0</v>
      </c>
      <c r="DK7" s="73">
        <v>1</v>
      </c>
      <c r="DL7" s="74">
        <v>0</v>
      </c>
      <c r="DM7" s="22">
        <v>1</v>
      </c>
      <c r="DN7" s="23">
        <v>0</v>
      </c>
      <c r="DO7" s="23">
        <v>1</v>
      </c>
      <c r="DP7" s="23">
        <v>0</v>
      </c>
      <c r="DQ7" s="23">
        <v>1</v>
      </c>
      <c r="DR7" s="23">
        <v>1</v>
      </c>
      <c r="DS7" s="23">
        <v>1</v>
      </c>
      <c r="DT7" s="23">
        <v>0</v>
      </c>
      <c r="DU7" s="23">
        <v>0</v>
      </c>
      <c r="DV7" s="23">
        <v>0</v>
      </c>
      <c r="DW7" s="23">
        <v>1</v>
      </c>
      <c r="DX7" s="24">
        <v>0</v>
      </c>
      <c r="DY7" s="27">
        <v>1</v>
      </c>
      <c r="DZ7" s="28">
        <v>0</v>
      </c>
      <c r="EA7" s="28">
        <v>1</v>
      </c>
      <c r="EB7" s="28">
        <v>0</v>
      </c>
      <c r="EC7" s="28">
        <v>1</v>
      </c>
      <c r="ED7" s="28">
        <v>1</v>
      </c>
      <c r="EE7" s="28">
        <v>0</v>
      </c>
      <c r="EF7" s="28">
        <v>0</v>
      </c>
      <c r="EG7" s="28">
        <v>0</v>
      </c>
      <c r="EH7" s="28">
        <v>0</v>
      </c>
      <c r="EI7" s="28">
        <v>1</v>
      </c>
      <c r="EJ7" s="29">
        <v>0</v>
      </c>
      <c r="EK7" s="27">
        <v>1</v>
      </c>
      <c r="EL7" s="30">
        <v>0</v>
      </c>
      <c r="EM7" s="28">
        <v>1</v>
      </c>
      <c r="EN7" s="28">
        <v>0</v>
      </c>
      <c r="EO7" s="28">
        <v>1</v>
      </c>
      <c r="EP7" s="28">
        <v>1</v>
      </c>
      <c r="EQ7" s="28">
        <v>0</v>
      </c>
      <c r="ER7" s="28">
        <v>0</v>
      </c>
      <c r="ES7" s="28">
        <v>0</v>
      </c>
      <c r="ET7" s="28">
        <v>0</v>
      </c>
      <c r="EU7" s="28">
        <v>1</v>
      </c>
      <c r="EV7" s="29">
        <v>0</v>
      </c>
      <c r="EW7" s="27">
        <v>1</v>
      </c>
      <c r="EX7" s="30">
        <v>0</v>
      </c>
      <c r="EY7" s="28">
        <v>1</v>
      </c>
      <c r="EZ7" s="28">
        <v>0</v>
      </c>
      <c r="FA7" s="28">
        <v>1</v>
      </c>
      <c r="FB7" s="28">
        <v>1</v>
      </c>
      <c r="FC7" s="28">
        <v>0</v>
      </c>
      <c r="FD7" s="28">
        <v>0</v>
      </c>
      <c r="FE7" s="28">
        <v>0</v>
      </c>
      <c r="FF7" s="28">
        <v>0</v>
      </c>
      <c r="FG7" s="28">
        <v>1</v>
      </c>
      <c r="FH7" s="29">
        <v>0</v>
      </c>
    </row>
    <row r="8" spans="1:164" ht="15" customHeight="1" x14ac:dyDescent="0.3">
      <c r="A8" s="71" t="s">
        <v>63</v>
      </c>
      <c r="B8" s="212"/>
      <c r="C8" s="213"/>
      <c r="D8" s="213"/>
      <c r="E8" s="213"/>
      <c r="F8" s="213"/>
      <c r="G8" s="213"/>
      <c r="H8" s="213"/>
      <c r="I8" s="212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2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4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4"/>
      <c r="BE8" s="212"/>
      <c r="BF8" s="213"/>
      <c r="BG8" s="213"/>
      <c r="BH8" s="213"/>
      <c r="BI8" s="213"/>
      <c r="BJ8" s="213"/>
      <c r="BK8" s="213"/>
      <c r="BL8" s="213"/>
      <c r="BM8" s="213"/>
      <c r="BN8" s="213"/>
      <c r="BO8" s="213"/>
      <c r="BP8" s="214"/>
      <c r="BQ8" s="213"/>
      <c r="BR8" s="213"/>
      <c r="BS8" s="213"/>
      <c r="BT8" s="213"/>
      <c r="BU8" s="213"/>
      <c r="BV8" s="213"/>
      <c r="BW8" s="213"/>
      <c r="BX8" s="213"/>
      <c r="BY8" s="213"/>
      <c r="BZ8" s="213"/>
      <c r="CA8" s="213"/>
      <c r="CB8" s="214"/>
      <c r="CC8" s="226"/>
      <c r="CD8" s="75">
        <v>6</v>
      </c>
      <c r="CE8" s="221"/>
      <c r="CF8" s="213"/>
      <c r="CG8" s="213"/>
      <c r="CH8" s="213"/>
      <c r="CI8" s="213"/>
      <c r="CJ8" s="231"/>
      <c r="CK8" s="75">
        <v>9</v>
      </c>
      <c r="CL8" s="221"/>
      <c r="CM8" s="213"/>
      <c r="CN8" s="214"/>
      <c r="CO8" s="212"/>
      <c r="CP8" s="213"/>
      <c r="CQ8" s="213"/>
      <c r="CR8" s="213"/>
      <c r="CS8" s="213"/>
      <c r="CT8" s="213"/>
      <c r="CU8" s="213"/>
      <c r="CV8" s="213"/>
      <c r="CW8" s="213"/>
      <c r="CX8" s="213"/>
      <c r="CY8" s="213"/>
      <c r="CZ8" s="214"/>
      <c r="DA8" s="213"/>
      <c r="DB8" s="213"/>
      <c r="DC8" s="213"/>
      <c r="DD8" s="213"/>
      <c r="DE8" s="213"/>
      <c r="DF8" s="213"/>
      <c r="DG8" s="213"/>
      <c r="DH8" s="213"/>
      <c r="DI8" s="213"/>
      <c r="DJ8" s="213"/>
      <c r="DK8" s="213"/>
      <c r="DL8" s="214"/>
      <c r="DM8" s="212"/>
      <c r="DN8" s="213"/>
      <c r="DO8" s="231"/>
      <c r="DP8" s="229" t="s">
        <v>73</v>
      </c>
      <c r="DQ8" s="229"/>
      <c r="DR8" s="229"/>
      <c r="DS8" s="229"/>
      <c r="DT8" s="221"/>
      <c r="DU8" s="231"/>
      <c r="DV8" s="13">
        <v>4</v>
      </c>
      <c r="DW8" s="13">
        <v>9</v>
      </c>
      <c r="DX8" s="223"/>
      <c r="DY8" s="212"/>
      <c r="DZ8" s="213"/>
      <c r="EA8" s="213"/>
      <c r="EB8" s="213"/>
      <c r="EC8" s="213"/>
      <c r="ED8" s="213"/>
      <c r="EE8" s="213"/>
      <c r="EF8" s="213"/>
      <c r="EG8" s="213"/>
      <c r="EH8" s="213"/>
      <c r="EI8" s="213"/>
      <c r="EJ8" s="214"/>
    </row>
    <row r="9" spans="1:164" x14ac:dyDescent="0.3">
      <c r="A9" s="71" t="s">
        <v>64</v>
      </c>
      <c r="B9" s="215"/>
      <c r="C9" s="216"/>
      <c r="D9" s="216"/>
      <c r="E9" s="216"/>
      <c r="F9" s="216"/>
      <c r="G9" s="216"/>
      <c r="H9" s="216"/>
      <c r="I9" s="215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5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7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7"/>
      <c r="BE9" s="215"/>
      <c r="BF9" s="216"/>
      <c r="BG9" s="216"/>
      <c r="BH9" s="216"/>
      <c r="BI9" s="216"/>
      <c r="BJ9" s="216"/>
      <c r="BK9" s="216"/>
      <c r="BL9" s="216"/>
      <c r="BM9" s="216"/>
      <c r="BN9" s="216"/>
      <c r="BO9" s="216"/>
      <c r="BP9" s="217"/>
      <c r="BQ9" s="216"/>
      <c r="BR9" s="216"/>
      <c r="BS9" s="216"/>
      <c r="BT9" s="216"/>
      <c r="BU9" s="216"/>
      <c r="BV9" s="216"/>
      <c r="BW9" s="216"/>
      <c r="BX9" s="216"/>
      <c r="BY9" s="216"/>
      <c r="BZ9" s="216"/>
      <c r="CA9" s="216"/>
      <c r="CB9" s="217"/>
      <c r="CC9" s="227"/>
      <c r="CD9" s="52">
        <v>2</v>
      </c>
      <c r="CE9" s="194"/>
      <c r="CF9" s="216"/>
      <c r="CG9" s="216"/>
      <c r="CH9" s="216"/>
      <c r="CI9" s="216"/>
      <c r="CJ9" s="232"/>
      <c r="CK9" s="52">
        <v>2</v>
      </c>
      <c r="CL9" s="194"/>
      <c r="CM9" s="216"/>
      <c r="CN9" s="217"/>
      <c r="CO9" s="215"/>
      <c r="CP9" s="216"/>
      <c r="CQ9" s="216"/>
      <c r="CR9" s="216"/>
      <c r="CS9" s="216"/>
      <c r="CT9" s="216"/>
      <c r="CU9" s="216"/>
      <c r="CV9" s="216"/>
      <c r="CW9" s="216"/>
      <c r="CX9" s="216"/>
      <c r="CY9" s="216"/>
      <c r="CZ9" s="217"/>
      <c r="DA9" s="216"/>
      <c r="DB9" s="216"/>
      <c r="DC9" s="216"/>
      <c r="DD9" s="216"/>
      <c r="DE9" s="216"/>
      <c r="DF9" s="216"/>
      <c r="DG9" s="216"/>
      <c r="DH9" s="216"/>
      <c r="DI9" s="216"/>
      <c r="DJ9" s="216"/>
      <c r="DK9" s="216"/>
      <c r="DL9" s="217"/>
      <c r="DM9" s="215"/>
      <c r="DN9" s="216"/>
      <c r="DO9" s="232"/>
      <c r="DP9" s="230"/>
      <c r="DQ9" s="230"/>
      <c r="DR9" s="230"/>
      <c r="DS9" s="230"/>
      <c r="DT9" s="194"/>
      <c r="DU9" s="232"/>
      <c r="DV9" s="18">
        <v>1</v>
      </c>
      <c r="DW9" s="18">
        <v>2</v>
      </c>
      <c r="DX9" s="224"/>
      <c r="DY9" s="215"/>
      <c r="DZ9" s="216"/>
      <c r="EA9" s="216"/>
      <c r="EB9" s="216"/>
      <c r="EC9" s="216"/>
      <c r="ED9" s="216"/>
      <c r="EE9" s="216"/>
      <c r="EF9" s="216"/>
      <c r="EG9" s="216"/>
      <c r="EH9" s="216"/>
      <c r="EI9" s="216"/>
      <c r="EJ9" s="217"/>
    </row>
    <row r="10" spans="1:164" x14ac:dyDescent="0.3">
      <c r="A10" s="71" t="s">
        <v>65</v>
      </c>
      <c r="B10" s="215"/>
      <c r="C10" s="216"/>
      <c r="D10" s="216"/>
      <c r="E10" s="216"/>
      <c r="F10" s="216"/>
      <c r="G10" s="216"/>
      <c r="H10" s="216"/>
      <c r="I10" s="215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5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7"/>
      <c r="AS10" s="216"/>
      <c r="AT10" s="216"/>
      <c r="AU10" s="216"/>
      <c r="AV10" s="216"/>
      <c r="AW10" s="216"/>
      <c r="AX10" s="216"/>
      <c r="AY10" s="216"/>
      <c r="AZ10" s="216"/>
      <c r="BA10" s="216"/>
      <c r="BB10" s="216"/>
      <c r="BC10" s="216"/>
      <c r="BD10" s="217"/>
      <c r="BE10" s="215"/>
      <c r="BF10" s="216"/>
      <c r="BG10" s="216"/>
      <c r="BH10" s="216"/>
      <c r="BI10" s="216"/>
      <c r="BJ10" s="216"/>
      <c r="BK10" s="216"/>
      <c r="BL10" s="216"/>
      <c r="BM10" s="216"/>
      <c r="BN10" s="216"/>
      <c r="BO10" s="216"/>
      <c r="BP10" s="217"/>
      <c r="BQ10" s="216"/>
      <c r="BR10" s="216"/>
      <c r="BS10" s="216"/>
      <c r="BT10" s="216"/>
      <c r="BU10" s="216"/>
      <c r="BV10" s="216"/>
      <c r="BW10" s="216"/>
      <c r="BX10" s="216"/>
      <c r="BY10" s="216"/>
      <c r="BZ10" s="216"/>
      <c r="CA10" s="216"/>
      <c r="CB10" s="217"/>
      <c r="CC10" s="227"/>
      <c r="CD10" s="52">
        <v>2</v>
      </c>
      <c r="CE10" s="194"/>
      <c r="CF10" s="216"/>
      <c r="CG10" s="216"/>
      <c r="CH10" s="216"/>
      <c r="CI10" s="216"/>
      <c r="CJ10" s="232"/>
      <c r="CK10" s="52">
        <v>2</v>
      </c>
      <c r="CL10" s="194"/>
      <c r="CM10" s="216"/>
      <c r="CN10" s="217"/>
      <c r="CO10" s="215"/>
      <c r="CP10" s="216"/>
      <c r="CQ10" s="216"/>
      <c r="CR10" s="216"/>
      <c r="CS10" s="216"/>
      <c r="CT10" s="216"/>
      <c r="CU10" s="216"/>
      <c r="CV10" s="216"/>
      <c r="CW10" s="216"/>
      <c r="CX10" s="216"/>
      <c r="CY10" s="216"/>
      <c r="CZ10" s="217"/>
      <c r="DA10" s="216"/>
      <c r="DB10" s="216"/>
      <c r="DC10" s="216"/>
      <c r="DD10" s="216"/>
      <c r="DE10" s="216"/>
      <c r="DF10" s="216"/>
      <c r="DG10" s="216"/>
      <c r="DH10" s="216"/>
      <c r="DI10" s="216"/>
      <c r="DJ10" s="216"/>
      <c r="DK10" s="216"/>
      <c r="DL10" s="217"/>
      <c r="DM10" s="215"/>
      <c r="DN10" s="216"/>
      <c r="DO10" s="232"/>
      <c r="DP10" s="230"/>
      <c r="DQ10" s="230"/>
      <c r="DR10" s="230"/>
      <c r="DS10" s="230"/>
      <c r="DT10" s="194"/>
      <c r="DU10" s="232"/>
      <c r="DV10" s="18">
        <v>1</v>
      </c>
      <c r="DW10" s="18">
        <v>2</v>
      </c>
      <c r="DX10" s="224"/>
      <c r="DY10" s="215"/>
      <c r="DZ10" s="216"/>
      <c r="EA10" s="216"/>
      <c r="EB10" s="216"/>
      <c r="EC10" s="216"/>
      <c r="ED10" s="216"/>
      <c r="EE10" s="216"/>
      <c r="EF10" s="216"/>
      <c r="EG10" s="216"/>
      <c r="EH10" s="216"/>
      <c r="EI10" s="216"/>
      <c r="EJ10" s="217"/>
    </row>
    <row r="11" spans="1:164" x14ac:dyDescent="0.3">
      <c r="A11" s="71" t="s">
        <v>66</v>
      </c>
      <c r="B11" s="218"/>
      <c r="C11" s="219"/>
      <c r="D11" s="219"/>
      <c r="E11" s="219"/>
      <c r="F11" s="219"/>
      <c r="G11" s="219"/>
      <c r="H11" s="219"/>
      <c r="I11" s="218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20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8"/>
      <c r="AH11" s="219"/>
      <c r="AI11" s="219"/>
      <c r="AJ11" s="219"/>
      <c r="AK11" s="219"/>
      <c r="AL11" s="219"/>
      <c r="AM11" s="219"/>
      <c r="AN11" s="219"/>
      <c r="AO11" s="219"/>
      <c r="AP11" s="219"/>
      <c r="AQ11" s="219"/>
      <c r="AR11" s="220"/>
      <c r="AS11" s="219"/>
      <c r="AT11" s="219"/>
      <c r="AU11" s="219"/>
      <c r="AV11" s="219"/>
      <c r="AW11" s="219"/>
      <c r="AX11" s="219"/>
      <c r="AY11" s="219"/>
      <c r="AZ11" s="219"/>
      <c r="BA11" s="219"/>
      <c r="BB11" s="219"/>
      <c r="BC11" s="219"/>
      <c r="BD11" s="220"/>
      <c r="BE11" s="218"/>
      <c r="BF11" s="219"/>
      <c r="BG11" s="219"/>
      <c r="BH11" s="219"/>
      <c r="BI11" s="219"/>
      <c r="BJ11" s="219"/>
      <c r="BK11" s="219"/>
      <c r="BL11" s="219"/>
      <c r="BM11" s="219"/>
      <c r="BN11" s="219"/>
      <c r="BO11" s="219"/>
      <c r="BP11" s="220"/>
      <c r="BQ11" s="219"/>
      <c r="BR11" s="219"/>
      <c r="BS11" s="219"/>
      <c r="BT11" s="219"/>
      <c r="BU11" s="219"/>
      <c r="BV11" s="219"/>
      <c r="BW11" s="219"/>
      <c r="BX11" s="219"/>
      <c r="BY11" s="219"/>
      <c r="BZ11" s="219"/>
      <c r="CA11" s="219"/>
      <c r="CB11" s="220"/>
      <c r="CC11" s="228"/>
      <c r="CD11" s="52">
        <v>0</v>
      </c>
      <c r="CE11" s="222"/>
      <c r="CF11" s="219"/>
      <c r="CG11" s="219"/>
      <c r="CH11" s="219"/>
      <c r="CI11" s="219"/>
      <c r="CJ11" s="233"/>
      <c r="CK11" s="52">
        <v>0</v>
      </c>
      <c r="CL11" s="222"/>
      <c r="CM11" s="219"/>
      <c r="CN11" s="220"/>
      <c r="CO11" s="218"/>
      <c r="CP11" s="219"/>
      <c r="CQ11" s="219"/>
      <c r="CR11" s="219"/>
      <c r="CS11" s="219"/>
      <c r="CT11" s="219"/>
      <c r="CU11" s="219"/>
      <c r="CV11" s="219"/>
      <c r="CW11" s="219"/>
      <c r="CX11" s="219"/>
      <c r="CY11" s="219"/>
      <c r="CZ11" s="220"/>
      <c r="DA11" s="219"/>
      <c r="DB11" s="219"/>
      <c r="DC11" s="219"/>
      <c r="DD11" s="219"/>
      <c r="DE11" s="219"/>
      <c r="DF11" s="219"/>
      <c r="DG11" s="219"/>
      <c r="DH11" s="219"/>
      <c r="DI11" s="219"/>
      <c r="DJ11" s="219"/>
      <c r="DK11" s="219"/>
      <c r="DL11" s="220"/>
      <c r="DM11" s="218"/>
      <c r="DN11" s="219"/>
      <c r="DO11" s="233"/>
      <c r="DP11" s="230"/>
      <c r="DQ11" s="230"/>
      <c r="DR11" s="230"/>
      <c r="DS11" s="230"/>
      <c r="DT11" s="222"/>
      <c r="DU11" s="233"/>
      <c r="DV11" s="18">
        <v>0</v>
      </c>
      <c r="DW11" s="18">
        <v>1</v>
      </c>
      <c r="DX11" s="225"/>
      <c r="DY11" s="218"/>
      <c r="DZ11" s="219"/>
      <c r="EA11" s="219"/>
      <c r="EB11" s="219"/>
      <c r="EC11" s="219"/>
      <c r="ED11" s="219"/>
      <c r="EE11" s="219"/>
      <c r="EF11" s="219"/>
      <c r="EG11" s="219"/>
      <c r="EH11" s="219"/>
      <c r="EI11" s="219"/>
      <c r="EJ11" s="220"/>
    </row>
    <row r="12" spans="1:164" x14ac:dyDescent="0.3">
      <c r="DP12" s="95"/>
      <c r="DQ12" s="95"/>
      <c r="DR12" s="95"/>
    </row>
    <row r="13" spans="1:164" x14ac:dyDescent="0.3">
      <c r="DP13" s="95"/>
      <c r="DQ13" s="95"/>
      <c r="DR13" s="95"/>
    </row>
    <row r="15" spans="1:164" x14ac:dyDescent="0.3">
      <c r="DP15" s="95"/>
      <c r="DQ15" s="95"/>
      <c r="DR15" s="95"/>
    </row>
    <row r="16" spans="1:164" x14ac:dyDescent="0.3">
      <c r="DP16" s="95"/>
      <c r="DQ16" s="95"/>
      <c r="DR16" s="95"/>
    </row>
    <row r="17" spans="85:122" x14ac:dyDescent="0.3">
      <c r="DP17" s="95"/>
      <c r="DQ17" s="95"/>
      <c r="DR17" s="95"/>
    </row>
    <row r="20" spans="85:122" x14ac:dyDescent="0.3">
      <c r="CG20" t="s">
        <v>33</v>
      </c>
    </row>
  </sheetData>
  <mergeCells count="32">
    <mergeCell ref="DX8:DX11"/>
    <mergeCell ref="DA8:DL11"/>
    <mergeCell ref="CO8:CZ11"/>
    <mergeCell ref="CC8:CC11"/>
    <mergeCell ref="DA2:DL2"/>
    <mergeCell ref="DP8:DS11"/>
    <mergeCell ref="DM8:DO11"/>
    <mergeCell ref="DT8:DU11"/>
    <mergeCell ref="CE8:CJ11"/>
    <mergeCell ref="A2:A3"/>
    <mergeCell ref="BE2:BP2"/>
    <mergeCell ref="AS2:BD2"/>
    <mergeCell ref="AG2:AR2"/>
    <mergeCell ref="U2:AF2"/>
    <mergeCell ref="I2:T2"/>
    <mergeCell ref="B2:H2"/>
    <mergeCell ref="EW2:FH2"/>
    <mergeCell ref="EK2:EV2"/>
    <mergeCell ref="BE8:BP11"/>
    <mergeCell ref="BQ8:CB11"/>
    <mergeCell ref="B8:H11"/>
    <mergeCell ref="I8:T11"/>
    <mergeCell ref="U8:AF11"/>
    <mergeCell ref="AG8:AR11"/>
    <mergeCell ref="AS8:BD11"/>
    <mergeCell ref="DY2:EJ2"/>
    <mergeCell ref="DY8:EJ11"/>
    <mergeCell ref="BQ2:CB2"/>
    <mergeCell ref="CC2:CN2"/>
    <mergeCell ref="CO2:CZ2"/>
    <mergeCell ref="DM2:DX2"/>
    <mergeCell ref="CL8:CN1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Boardings (All Days)</vt:lpstr>
      <vt:lpstr>Total Weekday Boardings</vt:lpstr>
      <vt:lpstr>Total Saturday Boardings</vt:lpstr>
      <vt:lpstr>Total Sunday-Holiday Boardings</vt:lpstr>
      <vt:lpstr>Average Weekday Boardings</vt:lpstr>
      <vt:lpstr>Average Saturday Boardings</vt:lpstr>
      <vt:lpstr>Average Sunday-Holiday Boarding</vt:lpstr>
      <vt:lpstr>Service Days per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Joshua</dc:creator>
  <cp:lastModifiedBy>Soni, Nikita</cp:lastModifiedBy>
  <dcterms:created xsi:type="dcterms:W3CDTF">2017-03-24T17:17:43Z</dcterms:created>
  <dcterms:modified xsi:type="dcterms:W3CDTF">2025-01-22T01:14:55Z</dcterms:modified>
</cp:coreProperties>
</file>